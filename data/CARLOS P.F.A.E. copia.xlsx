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B70B5F49-E4EB-4C9D-AB81-F3AC64EB8D6A}" xr6:coauthVersionLast="47" xr6:coauthVersionMax="47" xr10:uidLastSave="{00000000-0000-0000-0000-000000000000}"/>
  <bookViews>
    <workbookView xWindow="-110" yWindow="-110" windowWidth="25820" windowHeight="15500" tabRatio="662" xr2:uid="{E4056441-8F75-409B-98E3-8605F30C8894}"/>
  </bookViews>
  <sheets>
    <sheet name="INF" sheetId="1" r:id="rId1"/>
    <sheet name="P.F.A.E." sheetId="2" r:id="rId2"/>
    <sheet name="IVA" sheetId="3" r:id="rId3"/>
    <sheet name="T ISR" sheetId="4" r:id="rId4"/>
    <sheet name="ING" sheetId="5" r:id="rId5"/>
    <sheet name="EGR" sheetId="6" r:id="rId6"/>
    <sheet name="ISR ANUAL" sheetId="7" r:id="rId7"/>
    <sheet name="D.A.M" sheetId="8" r:id="rId8"/>
    <sheet name="D.P.A" sheetId="9" r:id="rId9"/>
    <sheet name="control p.y g." sheetId="12" r:id="rId10"/>
    <sheet name="ganancia" sheetId="13" r:id="rId11"/>
    <sheet name="GASTO" sheetId="14" r:id="rId12"/>
  </sheets>
  <externalReferences>
    <externalReference r:id="rId13"/>
    <externalReference r:id="rId14"/>
  </externalReferences>
  <definedNames>
    <definedName name="_xlnm._FilterDatabase" localSheetId="5" hidden="1">EGR!$A$1:$Q$982</definedName>
    <definedName name="_xlnm._FilterDatabase" localSheetId="4" hidden="1">ING!$A$1:$N$600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1" i="5" l="1"/>
  <c r="K106" i="5"/>
  <c r="K105" i="5"/>
  <c r="K102" i="5"/>
  <c r="K99" i="5"/>
  <c r="K98" i="5"/>
  <c r="K97" i="5"/>
  <c r="K96" i="5"/>
  <c r="K94" i="5"/>
  <c r="K92" i="5"/>
  <c r="K91" i="5"/>
  <c r="K90" i="5"/>
  <c r="K88" i="5"/>
  <c r="K87" i="5"/>
  <c r="K86" i="5"/>
  <c r="B2855" i="13"/>
  <c r="K82" i="5" l="1"/>
  <c r="K78" i="5" l="1"/>
  <c r="K77" i="5"/>
  <c r="K75" i="5"/>
  <c r="K74" i="5"/>
  <c r="P600" i="5"/>
  <c r="K72" i="5"/>
  <c r="K71" i="5"/>
  <c r="H69" i="5"/>
  <c r="K68" i="5"/>
  <c r="K67" i="5"/>
  <c r="K66" i="5"/>
  <c r="K65" i="5"/>
  <c r="K63" i="5"/>
  <c r="K62" i="5"/>
  <c r="H2490" i="13" l="1"/>
  <c r="I2490" i="13"/>
  <c r="J2490" i="13"/>
  <c r="K2490" i="13"/>
  <c r="H2500" i="13"/>
  <c r="I2500" i="13"/>
  <c r="J2500" i="13"/>
  <c r="K2500" i="13"/>
  <c r="H2501" i="13"/>
  <c r="H2510" i="13"/>
  <c r="I2510" i="13"/>
  <c r="H2511" i="13" s="1"/>
  <c r="J2510" i="13"/>
  <c r="K2510" i="13"/>
  <c r="H2520" i="13"/>
  <c r="I2520" i="13"/>
  <c r="J2520" i="13"/>
  <c r="K2520" i="13"/>
  <c r="H2530" i="13"/>
  <c r="I2530" i="13"/>
  <c r="J2530" i="13"/>
  <c r="K2530" i="13"/>
  <c r="H2540" i="13"/>
  <c r="I2540" i="13"/>
  <c r="J2540" i="13"/>
  <c r="K2540" i="13"/>
  <c r="H2541" i="13" s="1"/>
  <c r="H2550" i="13"/>
  <c r="I2550" i="13"/>
  <c r="J2550" i="13"/>
  <c r="K2550" i="13"/>
  <c r="H2560" i="13"/>
  <c r="I2560" i="13"/>
  <c r="H2561" i="13" s="1"/>
  <c r="J2560" i="13"/>
  <c r="K2560" i="13"/>
  <c r="H2570" i="13"/>
  <c r="I2570" i="13"/>
  <c r="H2571" i="13" s="1"/>
  <c r="J2570" i="13"/>
  <c r="K2570" i="13"/>
  <c r="H2580" i="13"/>
  <c r="I2580" i="13"/>
  <c r="J2580" i="13"/>
  <c r="K2580" i="13"/>
  <c r="H2581" i="13"/>
  <c r="H2590" i="13"/>
  <c r="I2590" i="13"/>
  <c r="H2591" i="13" s="1"/>
  <c r="J2590" i="13"/>
  <c r="K2590" i="13"/>
  <c r="H2600" i="13"/>
  <c r="I2600" i="13"/>
  <c r="J2600" i="13"/>
  <c r="K2600" i="13"/>
  <c r="H2610" i="13"/>
  <c r="I2610" i="13"/>
  <c r="J2610" i="13"/>
  <c r="K2610" i="13"/>
  <c r="H2620" i="13"/>
  <c r="H2621" i="13" s="1"/>
  <c r="I2620" i="13"/>
  <c r="J2620" i="13"/>
  <c r="K2620" i="13"/>
  <c r="H2630" i="13"/>
  <c r="I2630" i="13"/>
  <c r="J2630" i="13"/>
  <c r="K2630" i="13"/>
  <c r="H2640" i="13"/>
  <c r="I2640" i="13"/>
  <c r="J2640" i="13"/>
  <c r="K2640" i="13"/>
  <c r="H2650" i="13"/>
  <c r="I2650" i="13"/>
  <c r="H2651" i="13" s="1"/>
  <c r="J2650" i="13"/>
  <c r="K2650" i="13"/>
  <c r="H2660" i="13"/>
  <c r="H2661" i="13" s="1"/>
  <c r="I2660" i="13"/>
  <c r="J2660" i="13"/>
  <c r="K2660" i="13"/>
  <c r="H2670" i="13"/>
  <c r="I2670" i="13"/>
  <c r="H2671" i="13" s="1"/>
  <c r="J2670" i="13"/>
  <c r="K2670" i="13"/>
  <c r="H2680" i="13"/>
  <c r="I2680" i="13"/>
  <c r="J2680" i="13"/>
  <c r="K2680" i="13"/>
  <c r="H2690" i="13"/>
  <c r="I2690" i="13"/>
  <c r="J2690" i="13"/>
  <c r="K2690" i="13"/>
  <c r="H2700" i="13"/>
  <c r="H2701" i="13" s="1"/>
  <c r="I2700" i="13"/>
  <c r="J2700" i="13"/>
  <c r="K2700" i="13"/>
  <c r="H2710" i="13"/>
  <c r="I2710" i="13"/>
  <c r="H2711" i="13" s="1"/>
  <c r="J2710" i="13"/>
  <c r="K2710" i="13"/>
  <c r="H2720" i="13"/>
  <c r="I2720" i="13"/>
  <c r="H2721" i="13" s="1"/>
  <c r="J2720" i="13"/>
  <c r="K2720" i="13"/>
  <c r="H2730" i="13"/>
  <c r="I2730" i="13"/>
  <c r="J2730" i="13"/>
  <c r="K2730" i="13"/>
  <c r="H2740" i="13"/>
  <c r="I2740" i="13"/>
  <c r="J2740" i="13"/>
  <c r="K2740" i="13"/>
  <c r="H2741" i="13"/>
  <c r="H2750" i="13"/>
  <c r="I2750" i="13"/>
  <c r="J2750" i="13"/>
  <c r="K2750" i="13"/>
  <c r="H2760" i="13"/>
  <c r="I2760" i="13"/>
  <c r="J2760" i="13"/>
  <c r="K2760" i="13"/>
  <c r="H2770" i="13"/>
  <c r="I2770" i="13"/>
  <c r="J2770" i="13"/>
  <c r="K2770" i="13"/>
  <c r="B2490" i="13"/>
  <c r="C2490" i="13"/>
  <c r="D2490" i="13"/>
  <c r="E2490" i="13"/>
  <c r="B2500" i="13"/>
  <c r="C2500" i="13"/>
  <c r="D2500" i="13"/>
  <c r="E2500" i="13"/>
  <c r="B2510" i="13"/>
  <c r="C2510" i="13"/>
  <c r="D2510" i="13"/>
  <c r="E2510" i="13"/>
  <c r="B2520" i="13"/>
  <c r="B2521" i="13" s="1"/>
  <c r="C2520" i="13"/>
  <c r="D2520" i="13"/>
  <c r="E2520" i="13"/>
  <c r="B2530" i="13"/>
  <c r="C2530" i="13"/>
  <c r="D2530" i="13"/>
  <c r="E2530" i="13"/>
  <c r="B2540" i="13"/>
  <c r="C2540" i="13"/>
  <c r="D2540" i="13"/>
  <c r="E2540" i="13"/>
  <c r="B2550" i="13"/>
  <c r="C2550" i="13"/>
  <c r="D2550" i="13"/>
  <c r="E2550" i="13"/>
  <c r="B2560" i="13"/>
  <c r="C2560" i="13"/>
  <c r="D2560" i="13"/>
  <c r="E2560" i="13"/>
  <c r="B2561" i="13"/>
  <c r="B2570" i="13"/>
  <c r="C2570" i="13"/>
  <c r="D2570" i="13"/>
  <c r="E2570" i="13"/>
  <c r="B2580" i="13"/>
  <c r="C2580" i="13"/>
  <c r="D2580" i="13"/>
  <c r="E2580" i="13"/>
  <c r="B2590" i="13"/>
  <c r="C2590" i="13"/>
  <c r="D2590" i="13"/>
  <c r="E2590" i="13"/>
  <c r="B2600" i="13"/>
  <c r="C2600" i="13"/>
  <c r="D2600" i="13"/>
  <c r="E2600" i="13"/>
  <c r="B2610" i="13"/>
  <c r="C2610" i="13"/>
  <c r="D2610" i="13"/>
  <c r="E2610" i="13"/>
  <c r="B2620" i="13"/>
  <c r="C2620" i="13"/>
  <c r="D2620" i="13"/>
  <c r="E2620" i="13"/>
  <c r="B2630" i="13"/>
  <c r="C2630" i="13"/>
  <c r="D2630" i="13"/>
  <c r="E2630" i="13"/>
  <c r="B2640" i="13"/>
  <c r="C2640" i="13"/>
  <c r="B2641" i="13" s="1"/>
  <c r="D2640" i="13"/>
  <c r="E2640" i="13"/>
  <c r="B2650" i="13"/>
  <c r="C2650" i="13"/>
  <c r="D2650" i="13"/>
  <c r="E2650" i="13"/>
  <c r="B2660" i="13"/>
  <c r="C2660" i="13"/>
  <c r="D2660" i="13"/>
  <c r="E2660" i="13"/>
  <c r="B2670" i="13"/>
  <c r="C2670" i="13"/>
  <c r="D2670" i="13"/>
  <c r="E2670" i="13"/>
  <c r="B2680" i="13"/>
  <c r="C2680" i="13"/>
  <c r="D2680" i="13"/>
  <c r="E2680" i="13"/>
  <c r="B2690" i="13"/>
  <c r="C2690" i="13"/>
  <c r="D2690" i="13"/>
  <c r="E2690" i="13"/>
  <c r="B2700" i="13"/>
  <c r="C2700" i="13"/>
  <c r="D2700" i="13"/>
  <c r="E2700" i="13"/>
  <c r="B2710" i="13"/>
  <c r="C2710" i="13"/>
  <c r="D2710" i="13"/>
  <c r="E2710" i="13"/>
  <c r="B2720" i="13"/>
  <c r="C2720" i="13"/>
  <c r="D2720" i="13"/>
  <c r="E2720" i="13"/>
  <c r="B2721" i="13" s="1"/>
  <c r="B2730" i="13"/>
  <c r="C2730" i="13"/>
  <c r="D2730" i="13"/>
  <c r="E2730" i="13"/>
  <c r="B2740" i="13"/>
  <c r="C2740" i="13"/>
  <c r="D2740" i="13"/>
  <c r="E2740" i="13"/>
  <c r="B2750" i="13"/>
  <c r="C2750" i="13"/>
  <c r="D2750" i="13"/>
  <c r="E2750" i="13"/>
  <c r="B2760" i="13"/>
  <c r="C2760" i="13"/>
  <c r="D2760" i="13"/>
  <c r="E2760" i="13"/>
  <c r="B2770" i="13"/>
  <c r="C2770" i="13"/>
  <c r="D2770" i="13"/>
  <c r="E2770" i="13"/>
  <c r="H2177" i="13"/>
  <c r="I2177" i="13"/>
  <c r="J2177" i="13"/>
  <c r="K2177" i="13"/>
  <c r="H2187" i="13"/>
  <c r="I2187" i="13"/>
  <c r="H2188" i="13" s="1"/>
  <c r="J2187" i="13"/>
  <c r="K2187" i="13"/>
  <c r="H2197" i="13"/>
  <c r="I2197" i="13"/>
  <c r="H2198" i="13" s="1"/>
  <c r="J2197" i="13"/>
  <c r="K2197" i="13"/>
  <c r="H2207" i="13"/>
  <c r="I2207" i="13"/>
  <c r="J2207" i="13"/>
  <c r="K2207" i="13"/>
  <c r="H2217" i="13"/>
  <c r="I2217" i="13"/>
  <c r="J2217" i="13"/>
  <c r="K2217" i="13"/>
  <c r="H2227" i="13"/>
  <c r="H2228" i="13" s="1"/>
  <c r="I2227" i="13"/>
  <c r="J2227" i="13"/>
  <c r="K2227" i="13"/>
  <c r="H2237" i="13"/>
  <c r="I2237" i="13"/>
  <c r="J2237" i="13"/>
  <c r="K2237" i="13"/>
  <c r="H2247" i="13"/>
  <c r="I2247" i="13"/>
  <c r="J2247" i="13"/>
  <c r="K2247" i="13"/>
  <c r="H2257" i="13"/>
  <c r="I2257" i="13"/>
  <c r="J2257" i="13"/>
  <c r="K2257" i="13"/>
  <c r="H2267" i="13"/>
  <c r="I2267" i="13"/>
  <c r="J2267" i="13"/>
  <c r="K2267" i="13"/>
  <c r="H2268" i="13"/>
  <c r="H2277" i="13"/>
  <c r="I2277" i="13"/>
  <c r="J2277" i="13"/>
  <c r="K2277" i="13"/>
  <c r="H2287" i="13"/>
  <c r="I2287" i="13"/>
  <c r="J2287" i="13"/>
  <c r="K2287" i="13"/>
  <c r="H2297" i="13"/>
  <c r="I2297" i="13"/>
  <c r="J2297" i="13"/>
  <c r="K2297" i="13"/>
  <c r="H2307" i="13"/>
  <c r="I2307" i="13"/>
  <c r="H2308" i="13" s="1"/>
  <c r="J2307" i="13"/>
  <c r="K2307" i="13"/>
  <c r="H2317" i="13"/>
  <c r="I2317" i="13"/>
  <c r="J2317" i="13"/>
  <c r="K2317" i="13"/>
  <c r="H2327" i="13"/>
  <c r="I2327" i="13"/>
  <c r="J2327" i="13"/>
  <c r="K2327" i="13"/>
  <c r="H2337" i="13"/>
  <c r="I2337" i="13"/>
  <c r="J2337" i="13"/>
  <c r="K2337" i="13"/>
  <c r="H2347" i="13"/>
  <c r="I2347" i="13"/>
  <c r="J2347" i="13"/>
  <c r="K2347" i="13"/>
  <c r="H2357" i="13"/>
  <c r="I2357" i="13"/>
  <c r="J2357" i="13"/>
  <c r="K2357" i="13"/>
  <c r="H2367" i="13"/>
  <c r="I2367" i="13"/>
  <c r="H2368" i="13" s="1"/>
  <c r="J2367" i="13"/>
  <c r="K2367" i="13"/>
  <c r="H2377" i="13"/>
  <c r="I2377" i="13"/>
  <c r="H2378" i="13" s="1"/>
  <c r="J2377" i="13"/>
  <c r="K2377" i="13"/>
  <c r="H2387" i="13"/>
  <c r="I2387" i="13"/>
  <c r="J2387" i="13"/>
  <c r="K2387" i="13"/>
  <c r="H2397" i="13"/>
  <c r="I2397" i="13"/>
  <c r="J2397" i="13"/>
  <c r="K2397" i="13"/>
  <c r="H2407" i="13"/>
  <c r="I2407" i="13"/>
  <c r="J2407" i="13"/>
  <c r="K2407" i="13"/>
  <c r="H2417" i="13"/>
  <c r="I2417" i="13"/>
  <c r="J2417" i="13"/>
  <c r="K2417" i="13"/>
  <c r="H2427" i="13"/>
  <c r="H2428" i="13" s="1"/>
  <c r="I2427" i="13"/>
  <c r="J2427" i="13"/>
  <c r="K2427" i="13"/>
  <c r="H2437" i="13"/>
  <c r="I2437" i="13"/>
  <c r="J2437" i="13"/>
  <c r="K2437" i="13"/>
  <c r="H2447" i="13"/>
  <c r="I2447" i="13"/>
  <c r="J2447" i="13"/>
  <c r="K2447" i="13"/>
  <c r="H2457" i="13"/>
  <c r="I2457" i="13"/>
  <c r="J2457" i="13"/>
  <c r="K2457" i="13"/>
  <c r="H2467" i="13"/>
  <c r="H2468" i="13" s="1"/>
  <c r="I2467" i="13"/>
  <c r="J2467" i="13"/>
  <c r="K2467" i="13"/>
  <c r="B2177" i="13"/>
  <c r="C2177" i="13"/>
  <c r="D2177" i="13"/>
  <c r="E2177" i="13"/>
  <c r="B2187" i="13"/>
  <c r="C2187" i="13"/>
  <c r="D2187" i="13"/>
  <c r="E2187" i="13"/>
  <c r="B2197" i="13"/>
  <c r="C2197" i="13"/>
  <c r="D2197" i="13"/>
  <c r="E2197" i="13"/>
  <c r="B2207" i="13"/>
  <c r="C2207" i="13"/>
  <c r="D2207" i="13"/>
  <c r="E2207" i="13"/>
  <c r="B2217" i="13"/>
  <c r="C2217" i="13"/>
  <c r="D2217" i="13"/>
  <c r="E2217" i="13"/>
  <c r="B2227" i="13"/>
  <c r="C2227" i="13"/>
  <c r="D2227" i="13"/>
  <c r="E2227" i="13"/>
  <c r="B2237" i="13"/>
  <c r="C2237" i="13"/>
  <c r="D2237" i="13"/>
  <c r="E2237" i="13"/>
  <c r="B2247" i="13"/>
  <c r="C2247" i="13"/>
  <c r="D2247" i="13"/>
  <c r="E2247" i="13"/>
  <c r="B2257" i="13"/>
  <c r="C2257" i="13"/>
  <c r="B2258" i="13" s="1"/>
  <c r="D2257" i="13"/>
  <c r="E2257" i="13"/>
  <c r="B2267" i="13"/>
  <c r="C2267" i="13"/>
  <c r="D2267" i="13"/>
  <c r="E2267" i="13"/>
  <c r="B2277" i="13"/>
  <c r="C2277" i="13"/>
  <c r="D2277" i="13"/>
  <c r="E2277" i="13"/>
  <c r="B2287" i="13"/>
  <c r="C2287" i="13"/>
  <c r="D2287" i="13"/>
  <c r="E2287" i="13"/>
  <c r="B2297" i="13"/>
  <c r="C2297" i="13"/>
  <c r="D2297" i="13"/>
  <c r="E2297" i="13"/>
  <c r="B2307" i="13"/>
  <c r="C2307" i="13"/>
  <c r="D2307" i="13"/>
  <c r="E2307" i="13"/>
  <c r="B2317" i="13"/>
  <c r="C2317" i="13"/>
  <c r="D2317" i="13"/>
  <c r="E2317" i="13"/>
  <c r="B2327" i="13"/>
  <c r="B2328" i="13" s="1"/>
  <c r="C2327" i="13"/>
  <c r="D2327" i="13"/>
  <c r="E2327" i="13"/>
  <c r="B2337" i="13"/>
  <c r="C2337" i="13"/>
  <c r="D2337" i="13"/>
  <c r="E2337" i="13"/>
  <c r="B2347" i="13"/>
  <c r="C2347" i="13"/>
  <c r="D2347" i="13"/>
  <c r="E2347" i="13"/>
  <c r="B2357" i="13"/>
  <c r="C2357" i="13"/>
  <c r="D2357" i="13"/>
  <c r="E2357" i="13"/>
  <c r="B2367" i="13"/>
  <c r="C2367" i="13"/>
  <c r="D2367" i="13"/>
  <c r="E2367" i="13"/>
  <c r="B2377" i="13"/>
  <c r="C2377" i="13"/>
  <c r="D2377" i="13"/>
  <c r="E2377" i="13"/>
  <c r="B2387" i="13"/>
  <c r="C2387" i="13"/>
  <c r="D2387" i="13"/>
  <c r="E2387" i="13"/>
  <c r="B2397" i="13"/>
  <c r="C2397" i="13"/>
  <c r="D2397" i="13"/>
  <c r="E2397" i="13"/>
  <c r="B2407" i="13"/>
  <c r="C2407" i="13"/>
  <c r="D2407" i="13"/>
  <c r="E2407" i="13"/>
  <c r="B2417" i="13"/>
  <c r="C2417" i="13"/>
  <c r="D2417" i="13"/>
  <c r="E2417" i="13"/>
  <c r="B2427" i="13"/>
  <c r="C2427" i="13"/>
  <c r="D2427" i="13"/>
  <c r="E2427" i="13"/>
  <c r="B2437" i="13"/>
  <c r="C2437" i="13"/>
  <c r="D2437" i="13"/>
  <c r="E2437" i="13"/>
  <c r="B2447" i="13"/>
  <c r="C2447" i="13"/>
  <c r="D2447" i="13"/>
  <c r="E2447" i="13"/>
  <c r="B2457" i="13"/>
  <c r="C2457" i="13"/>
  <c r="D2457" i="13"/>
  <c r="E2457" i="13"/>
  <c r="B2467" i="13"/>
  <c r="C2467" i="13"/>
  <c r="D2467" i="13"/>
  <c r="E2467" i="13"/>
  <c r="B2167" i="13"/>
  <c r="C2167" i="13"/>
  <c r="D2167" i="13"/>
  <c r="E2167" i="13"/>
  <c r="H2167" i="13"/>
  <c r="I2167" i="13"/>
  <c r="J2167" i="13"/>
  <c r="K2167" i="13"/>
  <c r="H2521" i="13" l="1"/>
  <c r="H2531" i="13"/>
  <c r="H2731" i="13"/>
  <c r="B2731" i="13"/>
  <c r="H2751" i="13"/>
  <c r="H2761" i="13"/>
  <c r="B2761" i="13"/>
  <c r="H2771" i="13"/>
  <c r="H2631" i="13"/>
  <c r="H2641" i="13"/>
  <c r="B2671" i="13"/>
  <c r="H2681" i="13"/>
  <c r="B2681" i="13"/>
  <c r="H2691" i="13"/>
  <c r="H2551" i="13"/>
  <c r="B2571" i="13"/>
  <c r="H2601" i="13"/>
  <c r="B2601" i="13"/>
  <c r="H2611" i="13"/>
  <c r="B2621" i="13"/>
  <c r="B2438" i="13"/>
  <c r="B2448" i="13"/>
  <c r="H2491" i="13"/>
  <c r="H2348" i="13"/>
  <c r="H2358" i="13"/>
  <c r="B2368" i="13"/>
  <c r="H2388" i="13"/>
  <c r="B2408" i="13"/>
  <c r="B2418" i="13"/>
  <c r="B2428" i="13"/>
  <c r="B2268" i="13"/>
  <c r="H2208" i="13"/>
  <c r="B2208" i="13"/>
  <c r="H2218" i="13"/>
  <c r="B2248" i="13"/>
  <c r="B2278" i="13"/>
  <c r="B2288" i="13"/>
  <c r="B2398" i="13"/>
  <c r="B2238" i="13"/>
  <c r="B2218" i="13"/>
  <c r="H2338" i="13"/>
  <c r="H2328" i="13"/>
  <c r="H2178" i="13"/>
  <c r="B2741" i="13"/>
  <c r="B2631" i="13"/>
  <c r="B2581" i="13"/>
  <c r="B2531" i="13"/>
  <c r="H2168" i="13"/>
  <c r="B2168" i="13"/>
  <c r="B2388" i="13"/>
  <c r="B2358" i="13"/>
  <c r="B2348" i="13"/>
  <c r="B2338" i="13"/>
  <c r="B2198" i="13"/>
  <c r="B2188" i="13"/>
  <c r="B2178" i="13"/>
  <c r="H2298" i="13"/>
  <c r="H2288" i="13"/>
  <c r="H2278" i="13"/>
  <c r="B2751" i="13"/>
  <c r="B2701" i="13"/>
  <c r="B2651" i="13"/>
  <c r="B2591" i="13"/>
  <c r="B2541" i="13"/>
  <c r="B2501" i="13"/>
  <c r="B2378" i="13"/>
  <c r="B2228" i="13"/>
  <c r="H2318" i="13"/>
  <c r="B2691" i="13"/>
  <c r="B2491" i="13"/>
  <c r="B2468" i="13"/>
  <c r="B2458" i="13"/>
  <c r="B2318" i="13"/>
  <c r="B2308" i="13"/>
  <c r="B2298" i="13"/>
  <c r="H2458" i="13"/>
  <c r="H2448" i="13"/>
  <c r="H2438" i="13"/>
  <c r="H2418" i="13"/>
  <c r="H2408" i="13"/>
  <c r="H2398" i="13"/>
  <c r="H2258" i="13"/>
  <c r="H2248" i="13"/>
  <c r="H2238" i="13"/>
  <c r="B2771" i="13"/>
  <c r="B2711" i="13"/>
  <c r="B2661" i="13"/>
  <c r="B2611" i="13"/>
  <c r="B2551" i="13"/>
  <c r="B2511" i="13"/>
  <c r="J307" i="6"/>
  <c r="J306" i="6"/>
  <c r="K59" i="5" l="1"/>
  <c r="K57" i="5"/>
  <c r="A37" i="6"/>
  <c r="B37" i="6" s="1"/>
  <c r="K37" i="6" s="1"/>
  <c r="L37" i="6"/>
  <c r="M37" i="6" s="1"/>
  <c r="N37" i="6"/>
  <c r="A38" i="6"/>
  <c r="B38" i="6" s="1"/>
  <c r="L38" i="6"/>
  <c r="M38" i="6" s="1"/>
  <c r="N38" i="6"/>
  <c r="P38" i="6" s="1"/>
  <c r="Q38" i="6" s="1"/>
  <c r="A39" i="6"/>
  <c r="B39" i="6" s="1"/>
  <c r="L39" i="6"/>
  <c r="M39" i="6" s="1"/>
  <c r="N39" i="6"/>
  <c r="A43" i="6"/>
  <c r="B43" i="6" s="1"/>
  <c r="I43" i="6" s="1"/>
  <c r="J43" i="6"/>
  <c r="A50" i="6"/>
  <c r="B50" i="6" s="1"/>
  <c r="J50" i="6"/>
  <c r="L50" i="6" s="1"/>
  <c r="M50" i="6" s="1"/>
  <c r="A54" i="6"/>
  <c r="B54" i="6" s="1"/>
  <c r="J54" i="6"/>
  <c r="A77" i="6"/>
  <c r="B77" i="6" s="1"/>
  <c r="K77" i="6" s="1"/>
  <c r="J77" i="6"/>
  <c r="P78" i="6"/>
  <c r="Q78" i="6" s="1"/>
  <c r="P79" i="6"/>
  <c r="Q79" i="6" s="1"/>
  <c r="P80" i="6"/>
  <c r="Q80" i="6" s="1"/>
  <c r="A86" i="6"/>
  <c r="B86" i="6" s="1"/>
  <c r="L86" i="6"/>
  <c r="M86" i="6" s="1"/>
  <c r="N86" i="6"/>
  <c r="Q86" i="6" s="1"/>
  <c r="A92" i="6"/>
  <c r="B92" i="6" s="1"/>
  <c r="K92" i="6" s="1"/>
  <c r="L92" i="6"/>
  <c r="M92" i="6" s="1"/>
  <c r="N92" i="6"/>
  <c r="Q92" i="6" s="1"/>
  <c r="A105" i="6"/>
  <c r="B105" i="6" s="1"/>
  <c r="G105" i="6" s="1"/>
  <c r="L105" i="6"/>
  <c r="M105" i="6" s="1"/>
  <c r="N105" i="6"/>
  <c r="Q105" i="6" s="1"/>
  <c r="A123" i="6"/>
  <c r="B123" i="6" s="1"/>
  <c r="L123" i="6"/>
  <c r="M123" i="6" s="1"/>
  <c r="N123" i="6"/>
  <c r="Q123" i="6" s="1"/>
  <c r="A127" i="6"/>
  <c r="B127" i="6" s="1"/>
  <c r="L127" i="6"/>
  <c r="M127" i="6" s="1"/>
  <c r="N127" i="6"/>
  <c r="Q127" i="6" s="1"/>
  <c r="A128" i="6"/>
  <c r="B128" i="6" s="1"/>
  <c r="G128" i="6" s="1"/>
  <c r="L128" i="6"/>
  <c r="M128" i="6" s="1"/>
  <c r="N128" i="6"/>
  <c r="Q128" i="6" s="1"/>
  <c r="A129" i="6"/>
  <c r="B129" i="6" s="1"/>
  <c r="L129" i="6"/>
  <c r="M129" i="6" s="1"/>
  <c r="N129" i="6"/>
  <c r="Q129" i="6" s="1"/>
  <c r="A130" i="6"/>
  <c r="B130" i="6" s="1"/>
  <c r="L130" i="6"/>
  <c r="M130" i="6" s="1"/>
  <c r="N130" i="6"/>
  <c r="Q130" i="6" s="1"/>
  <c r="A134" i="6"/>
  <c r="B134" i="6" s="1"/>
  <c r="L134" i="6"/>
  <c r="M134" i="6" s="1"/>
  <c r="N134" i="6"/>
  <c r="Q134" i="6" s="1"/>
  <c r="A143" i="6"/>
  <c r="B143" i="6" s="1"/>
  <c r="I143" i="6" s="1"/>
  <c r="L143" i="6"/>
  <c r="M143" i="6" s="1"/>
  <c r="N143" i="6"/>
  <c r="Q143" i="6" s="1"/>
  <c r="A159" i="6"/>
  <c r="B159" i="6" s="1"/>
  <c r="K159" i="6" s="1"/>
  <c r="L159" i="6"/>
  <c r="M159" i="6" s="1"/>
  <c r="N159" i="6"/>
  <c r="A160" i="6"/>
  <c r="B160" i="6" s="1"/>
  <c r="K160" i="6" s="1"/>
  <c r="L160" i="6"/>
  <c r="M160" i="6" s="1"/>
  <c r="N160" i="6"/>
  <c r="A163" i="6"/>
  <c r="B163" i="6" s="1"/>
  <c r="K163" i="6" s="1"/>
  <c r="L163" i="6"/>
  <c r="M163" i="6" s="1"/>
  <c r="N163" i="6"/>
  <c r="A164" i="6"/>
  <c r="B164" i="6" s="1"/>
  <c r="K164" i="6" s="1"/>
  <c r="L164" i="6"/>
  <c r="M164" i="6" s="1"/>
  <c r="N164" i="6"/>
  <c r="A165" i="6"/>
  <c r="B165" i="6" s="1"/>
  <c r="K165" i="6" s="1"/>
  <c r="L165" i="6"/>
  <c r="M165" i="6" s="1"/>
  <c r="N165" i="6"/>
  <c r="A166" i="6"/>
  <c r="B166" i="6" s="1"/>
  <c r="K166" i="6" s="1"/>
  <c r="L166" i="6"/>
  <c r="M166" i="6" s="1"/>
  <c r="N166" i="6"/>
  <c r="Q166" i="6" s="1"/>
  <c r="A172" i="6"/>
  <c r="B172" i="6" s="1"/>
  <c r="J172" i="6"/>
  <c r="A173" i="6"/>
  <c r="B173" i="6" s="1"/>
  <c r="G173" i="6" s="1"/>
  <c r="L173" i="6"/>
  <c r="M173" i="6" s="1"/>
  <c r="N173" i="6"/>
  <c r="Q173" i="6" s="1"/>
  <c r="R173" i="6" s="1"/>
  <c r="A175" i="6"/>
  <c r="B175" i="6" s="1"/>
  <c r="G175" i="6" s="1"/>
  <c r="L175" i="6"/>
  <c r="M175" i="6" s="1"/>
  <c r="N175" i="6"/>
  <c r="Q175" i="6" s="1"/>
  <c r="A176" i="6"/>
  <c r="B176" i="6" s="1"/>
  <c r="I176" i="6" s="1"/>
  <c r="L176" i="6"/>
  <c r="M176" i="6" s="1"/>
  <c r="N176" i="6"/>
  <c r="Q176" i="6" s="1"/>
  <c r="A177" i="6"/>
  <c r="B177" i="6" s="1"/>
  <c r="G177" i="6" s="1"/>
  <c r="L177" i="6"/>
  <c r="M177" i="6" s="1"/>
  <c r="N177" i="6"/>
  <c r="Q177" i="6" s="1"/>
  <c r="A180" i="6"/>
  <c r="B180" i="6" s="1"/>
  <c r="L180" i="6"/>
  <c r="M180" i="6" s="1"/>
  <c r="N180" i="6"/>
  <c r="Q180" i="6" s="1"/>
  <c r="A182" i="6"/>
  <c r="B182" i="6" s="1"/>
  <c r="K182" i="6" s="1"/>
  <c r="L182" i="6"/>
  <c r="M182" i="6" s="1"/>
  <c r="N182" i="6"/>
  <c r="Q182" i="6" s="1"/>
  <c r="A184" i="6"/>
  <c r="B184" i="6" s="1"/>
  <c r="I184" i="6" s="1"/>
  <c r="L184" i="6"/>
  <c r="M184" i="6" s="1"/>
  <c r="N184" i="6"/>
  <c r="Q184" i="6" s="1"/>
  <c r="A185" i="6"/>
  <c r="B185" i="6" s="1"/>
  <c r="L185" i="6"/>
  <c r="M185" i="6" s="1"/>
  <c r="N185" i="6"/>
  <c r="Q185" i="6" s="1"/>
  <c r="R185" i="6" s="1"/>
  <c r="A186" i="6"/>
  <c r="B186" i="6" s="1"/>
  <c r="L186" i="6"/>
  <c r="M186" i="6" s="1"/>
  <c r="N186" i="6"/>
  <c r="Q186" i="6" s="1"/>
  <c r="A188" i="6"/>
  <c r="B188" i="6" s="1"/>
  <c r="L188" i="6"/>
  <c r="M188" i="6" s="1"/>
  <c r="N188" i="6"/>
  <c r="Q188" i="6" s="1"/>
  <c r="A189" i="6"/>
  <c r="B189" i="6" s="1"/>
  <c r="L189" i="6"/>
  <c r="M189" i="6" s="1"/>
  <c r="N189" i="6"/>
  <c r="Q189" i="6" s="1"/>
  <c r="A192" i="6"/>
  <c r="B192" i="6" s="1"/>
  <c r="L192" i="6"/>
  <c r="M192" i="6" s="1"/>
  <c r="N192" i="6"/>
  <c r="Q192" i="6" s="1"/>
  <c r="A194" i="6"/>
  <c r="B194" i="6" s="1"/>
  <c r="J194" i="6"/>
  <c r="N194" i="6" s="1"/>
  <c r="Q194" i="6" s="1"/>
  <c r="A195" i="6"/>
  <c r="B195" i="6" s="1"/>
  <c r="I195" i="6" s="1"/>
  <c r="L195" i="6"/>
  <c r="M195" i="6" s="1"/>
  <c r="N195" i="6"/>
  <c r="Q195" i="6" s="1"/>
  <c r="A196" i="6"/>
  <c r="B196" i="6" s="1"/>
  <c r="L196" i="6"/>
  <c r="M196" i="6" s="1"/>
  <c r="N196" i="6"/>
  <c r="Q196" i="6" s="1"/>
  <c r="A197" i="6"/>
  <c r="B197" i="6" s="1"/>
  <c r="L197" i="6"/>
  <c r="M197" i="6" s="1"/>
  <c r="N197" i="6"/>
  <c r="Q197" i="6" s="1"/>
  <c r="A198" i="6"/>
  <c r="B198" i="6" s="1"/>
  <c r="J198" i="6"/>
  <c r="A202" i="6"/>
  <c r="B202" i="6" s="1"/>
  <c r="G202" i="6" s="1"/>
  <c r="L202" i="6"/>
  <c r="M202" i="6" s="1"/>
  <c r="N202" i="6"/>
  <c r="Q202" i="6" s="1"/>
  <c r="A203" i="6"/>
  <c r="B203" i="6" s="1"/>
  <c r="L203" i="6"/>
  <c r="M203" i="6" s="1"/>
  <c r="N203" i="6"/>
  <c r="Q203" i="6" s="1"/>
  <c r="A204" i="6"/>
  <c r="B204" i="6" s="1"/>
  <c r="K204" i="6" s="1"/>
  <c r="L204" i="6"/>
  <c r="M204" i="6" s="1"/>
  <c r="N204" i="6"/>
  <c r="Q204" i="6" s="1"/>
  <c r="A205" i="6"/>
  <c r="B205" i="6" s="1"/>
  <c r="I205" i="6" s="1"/>
  <c r="L205" i="6"/>
  <c r="M205" i="6" s="1"/>
  <c r="N205" i="6"/>
  <c r="Q205" i="6" s="1"/>
  <c r="A206" i="6"/>
  <c r="B206" i="6" s="1"/>
  <c r="L206" i="6"/>
  <c r="M206" i="6" s="1"/>
  <c r="N206" i="6"/>
  <c r="Q206" i="6" s="1"/>
  <c r="A207" i="6"/>
  <c r="B207" i="6" s="1"/>
  <c r="L207" i="6"/>
  <c r="M207" i="6" s="1"/>
  <c r="N207" i="6"/>
  <c r="Q207" i="6" s="1"/>
  <c r="A208" i="6"/>
  <c r="B208" i="6" s="1"/>
  <c r="L208" i="6"/>
  <c r="M208" i="6" s="1"/>
  <c r="N208" i="6"/>
  <c r="Q208" i="6" s="1"/>
  <c r="A209" i="6"/>
  <c r="B209" i="6" s="1"/>
  <c r="G209" i="6" s="1"/>
  <c r="L209" i="6"/>
  <c r="M209" i="6" s="1"/>
  <c r="N209" i="6"/>
  <c r="Q209" i="6" s="1"/>
  <c r="A211" i="6"/>
  <c r="B211" i="6" s="1"/>
  <c r="I211" i="6" s="1"/>
  <c r="L211" i="6"/>
  <c r="M211" i="6" s="1"/>
  <c r="N211" i="6"/>
  <c r="Q211" i="6" s="1"/>
  <c r="A212" i="6"/>
  <c r="B212" i="6" s="1"/>
  <c r="J212" i="6"/>
  <c r="A213" i="6"/>
  <c r="B213" i="6" s="1"/>
  <c r="L213" i="6"/>
  <c r="M213" i="6" s="1"/>
  <c r="N213" i="6"/>
  <c r="Q213" i="6" s="1"/>
  <c r="A214" i="6"/>
  <c r="B214" i="6" s="1"/>
  <c r="J214" i="6"/>
  <c r="L214" i="6" s="1"/>
  <c r="M214" i="6" s="1"/>
  <c r="A215" i="6"/>
  <c r="B215" i="6" s="1"/>
  <c r="L215" i="6"/>
  <c r="M215" i="6" s="1"/>
  <c r="N215" i="6"/>
  <c r="Q215" i="6" s="1"/>
  <c r="A216" i="6"/>
  <c r="B216" i="6" s="1"/>
  <c r="L216" i="6"/>
  <c r="M216" i="6" s="1"/>
  <c r="N216" i="6"/>
  <c r="Q216" i="6" s="1"/>
  <c r="A217" i="6"/>
  <c r="B217" i="6" s="1"/>
  <c r="K217" i="6" s="1"/>
  <c r="L217" i="6"/>
  <c r="M217" i="6" s="1"/>
  <c r="N217" i="6"/>
  <c r="Q217" i="6" s="1"/>
  <c r="A218" i="6"/>
  <c r="B218" i="6" s="1"/>
  <c r="I218" i="6" s="1"/>
  <c r="L218" i="6"/>
  <c r="M218" i="6" s="1"/>
  <c r="N218" i="6"/>
  <c r="Q218" i="6" s="1"/>
  <c r="A219" i="6"/>
  <c r="B219" i="6" s="1"/>
  <c r="G219" i="6" s="1"/>
  <c r="L219" i="6"/>
  <c r="M219" i="6" s="1"/>
  <c r="N219" i="6"/>
  <c r="Q219" i="6" s="1"/>
  <c r="A221" i="6"/>
  <c r="B221" i="6" s="1"/>
  <c r="L221" i="6"/>
  <c r="M221" i="6" s="1"/>
  <c r="N221" i="6"/>
  <c r="Q221" i="6" s="1"/>
  <c r="A223" i="6"/>
  <c r="B223" i="6" s="1"/>
  <c r="L223" i="6"/>
  <c r="M223" i="6" s="1"/>
  <c r="N223" i="6"/>
  <c r="Q223" i="6" s="1"/>
  <c r="A224" i="6"/>
  <c r="B224" i="6" s="1"/>
  <c r="G224" i="6" s="1"/>
  <c r="L224" i="6"/>
  <c r="M224" i="6" s="1"/>
  <c r="N224" i="6"/>
  <c r="Q224" i="6" s="1"/>
  <c r="A225" i="6"/>
  <c r="B225" i="6" s="1"/>
  <c r="G225" i="6" s="1"/>
  <c r="L225" i="6"/>
  <c r="M225" i="6" s="1"/>
  <c r="N225" i="6"/>
  <c r="Q225" i="6" s="1"/>
  <c r="A226" i="6"/>
  <c r="B226" i="6" s="1"/>
  <c r="G226" i="6" s="1"/>
  <c r="L226" i="6"/>
  <c r="M226" i="6" s="1"/>
  <c r="N226" i="6"/>
  <c r="Q226" i="6" s="1"/>
  <c r="A227" i="6"/>
  <c r="B227" i="6" s="1"/>
  <c r="K227" i="6" s="1"/>
  <c r="L227" i="6"/>
  <c r="M227" i="6" s="1"/>
  <c r="N227" i="6"/>
  <c r="A228" i="6"/>
  <c r="B228" i="6" s="1"/>
  <c r="L228" i="6"/>
  <c r="M228" i="6" s="1"/>
  <c r="N228" i="6"/>
  <c r="Q228" i="6" s="1"/>
  <c r="A229" i="6"/>
  <c r="B229" i="6" s="1"/>
  <c r="L229" i="6"/>
  <c r="M229" i="6" s="1"/>
  <c r="N229" i="6"/>
  <c r="Q229" i="6" s="1"/>
  <c r="A230" i="6"/>
  <c r="B230" i="6" s="1"/>
  <c r="G230" i="6" s="1"/>
  <c r="L230" i="6"/>
  <c r="M230" i="6" s="1"/>
  <c r="N230" i="6"/>
  <c r="Q230" i="6" s="1"/>
  <c r="A233" i="6"/>
  <c r="B233" i="6" s="1"/>
  <c r="L233" i="6"/>
  <c r="M233" i="6" s="1"/>
  <c r="N233" i="6"/>
  <c r="Q233" i="6" s="1"/>
  <c r="A234" i="6"/>
  <c r="B234" i="6" s="1"/>
  <c r="I234" i="6" s="1"/>
  <c r="L234" i="6"/>
  <c r="M234" i="6" s="1"/>
  <c r="N234" i="6"/>
  <c r="Q234" i="6" s="1"/>
  <c r="A238" i="6"/>
  <c r="B238" i="6" s="1"/>
  <c r="L238" i="6"/>
  <c r="M238" i="6" s="1"/>
  <c r="N238" i="6"/>
  <c r="Q238" i="6" s="1"/>
  <c r="A240" i="6"/>
  <c r="B240" i="6" s="1"/>
  <c r="L240" i="6"/>
  <c r="M240" i="6" s="1"/>
  <c r="N240" i="6"/>
  <c r="Q240" i="6" s="1"/>
  <c r="R240" i="6" s="1"/>
  <c r="A241" i="6"/>
  <c r="B241" i="6" s="1"/>
  <c r="L241" i="6"/>
  <c r="M241" i="6" s="1"/>
  <c r="N241" i="6"/>
  <c r="Q241" i="6" s="1"/>
  <c r="R241" i="6" s="1"/>
  <c r="A242" i="6"/>
  <c r="B242" i="6" s="1"/>
  <c r="L242" i="6"/>
  <c r="M242" i="6" s="1"/>
  <c r="N242" i="6"/>
  <c r="Q242" i="6" s="1"/>
  <c r="R242" i="6" s="1"/>
  <c r="A243" i="6"/>
  <c r="B243" i="6" s="1"/>
  <c r="L243" i="6"/>
  <c r="M243" i="6" s="1"/>
  <c r="N243" i="6"/>
  <c r="Q243" i="6" s="1"/>
  <c r="R243" i="6" s="1"/>
  <c r="A244" i="6"/>
  <c r="B244" i="6" s="1"/>
  <c r="L244" i="6"/>
  <c r="M244" i="6" s="1"/>
  <c r="N244" i="6"/>
  <c r="R244" i="6"/>
  <c r="A245" i="6"/>
  <c r="B245" i="6" s="1"/>
  <c r="L245" i="6"/>
  <c r="M245" i="6" s="1"/>
  <c r="N245" i="6"/>
  <c r="R245" i="6"/>
  <c r="A246" i="6"/>
  <c r="B246" i="6" s="1"/>
  <c r="K246" i="6" s="1"/>
  <c r="L246" i="6"/>
  <c r="M246" i="6" s="1"/>
  <c r="N246" i="6"/>
  <c r="R246" i="6"/>
  <c r="A249" i="6"/>
  <c r="B249" i="6" s="1"/>
  <c r="L249" i="6"/>
  <c r="M249" i="6" s="1"/>
  <c r="N249" i="6"/>
  <c r="Q249" i="6" s="1"/>
  <c r="R249" i="6" s="1"/>
  <c r="A250" i="6"/>
  <c r="B250" i="6" s="1"/>
  <c r="L250" i="6"/>
  <c r="M250" i="6" s="1"/>
  <c r="N250" i="6"/>
  <c r="R250" i="6"/>
  <c r="A252" i="6"/>
  <c r="B252" i="6" s="1"/>
  <c r="L252" i="6"/>
  <c r="M252" i="6" s="1"/>
  <c r="N252" i="6"/>
  <c r="Q252" i="6" s="1"/>
  <c r="R252" i="6" s="1"/>
  <c r="A253" i="6"/>
  <c r="B253" i="6" s="1"/>
  <c r="I253" i="6" s="1"/>
  <c r="L253" i="6"/>
  <c r="M253" i="6" s="1"/>
  <c r="N253" i="6"/>
  <c r="Q253" i="6" s="1"/>
  <c r="R253" i="6" s="1"/>
  <c r="A254" i="6"/>
  <c r="B254" i="6" s="1"/>
  <c r="K254" i="6" s="1"/>
  <c r="L254" i="6"/>
  <c r="M254" i="6" s="1"/>
  <c r="N254" i="6"/>
  <c r="Q254" i="6" s="1"/>
  <c r="R254" i="6" s="1"/>
  <c r="A255" i="6"/>
  <c r="B255" i="6" s="1"/>
  <c r="L255" i="6"/>
  <c r="M255" i="6" s="1"/>
  <c r="N255" i="6"/>
  <c r="Q255" i="6" s="1"/>
  <c r="R255" i="6" s="1"/>
  <c r="A257" i="6"/>
  <c r="B257" i="6" s="1"/>
  <c r="L257" i="6"/>
  <c r="M257" i="6" s="1"/>
  <c r="N257" i="6"/>
  <c r="R257" i="6"/>
  <c r="A258" i="6"/>
  <c r="B258" i="6" s="1"/>
  <c r="K258" i="6" s="1"/>
  <c r="L258" i="6"/>
  <c r="M258" i="6" s="1"/>
  <c r="N258" i="6"/>
  <c r="R258" i="6"/>
  <c r="A259" i="6"/>
  <c r="B259" i="6" s="1"/>
  <c r="L259" i="6"/>
  <c r="M259" i="6" s="1"/>
  <c r="N259" i="6"/>
  <c r="R259" i="6"/>
  <c r="A260" i="6"/>
  <c r="B260" i="6" s="1"/>
  <c r="G260" i="6" s="1"/>
  <c r="L260" i="6"/>
  <c r="M260" i="6" s="1"/>
  <c r="N260" i="6"/>
  <c r="Q260" i="6" s="1"/>
  <c r="R260" i="6" s="1"/>
  <c r="A261" i="6"/>
  <c r="B261" i="6" s="1"/>
  <c r="L261" i="6"/>
  <c r="M261" i="6" s="1"/>
  <c r="N261" i="6"/>
  <c r="Q261" i="6" s="1"/>
  <c r="R261" i="6" s="1"/>
  <c r="A262" i="6"/>
  <c r="B262" i="6" s="1"/>
  <c r="L262" i="6"/>
  <c r="M262" i="6" s="1"/>
  <c r="N262" i="6"/>
  <c r="Q262" i="6" s="1"/>
  <c r="R262" i="6" s="1"/>
  <c r="A263" i="6"/>
  <c r="B263" i="6" s="1"/>
  <c r="K263" i="6" s="1"/>
  <c r="L263" i="6"/>
  <c r="M263" i="6" s="1"/>
  <c r="N263" i="6"/>
  <c r="Q263" i="6" s="1"/>
  <c r="R263" i="6" s="1"/>
  <c r="A264" i="6"/>
  <c r="B264" i="6" s="1"/>
  <c r="L264" i="6"/>
  <c r="M264" i="6" s="1"/>
  <c r="A265" i="6"/>
  <c r="B265" i="6" s="1"/>
  <c r="A266" i="6"/>
  <c r="B266" i="6" s="1"/>
  <c r="A267" i="6"/>
  <c r="B267" i="6" s="1"/>
  <c r="A268" i="6"/>
  <c r="B268" i="6" s="1"/>
  <c r="G268" i="6" s="1"/>
  <c r="L268" i="6"/>
  <c r="M268" i="6" s="1"/>
  <c r="A269" i="6"/>
  <c r="B269" i="6" s="1"/>
  <c r="K269" i="6" s="1"/>
  <c r="A270" i="6"/>
  <c r="B270" i="6" s="1"/>
  <c r="N270" i="6"/>
  <c r="Q270" i="6" s="1"/>
  <c r="R270" i="6" s="1"/>
  <c r="A271" i="6"/>
  <c r="B271" i="6" s="1"/>
  <c r="I271" i="6" s="1"/>
  <c r="A272" i="6"/>
  <c r="B272" i="6" s="1"/>
  <c r="A273" i="6"/>
  <c r="B273" i="6" s="1"/>
  <c r="I273" i="6" s="1"/>
  <c r="A274" i="6"/>
  <c r="B274" i="6" s="1"/>
  <c r="A275" i="6"/>
  <c r="B275" i="6" s="1"/>
  <c r="A276" i="6"/>
  <c r="B276" i="6" s="1"/>
  <c r="G276" i="6" s="1"/>
  <c r="A277" i="6"/>
  <c r="B277" i="6" s="1"/>
  <c r="A278" i="6"/>
  <c r="B278" i="6" s="1"/>
  <c r="A279" i="6"/>
  <c r="B279" i="6" s="1"/>
  <c r="I279" i="6" s="1"/>
  <c r="L279" i="6"/>
  <c r="M279" i="6" s="1"/>
  <c r="A280" i="6"/>
  <c r="B280" i="6" s="1"/>
  <c r="N280" i="6"/>
  <c r="Q280" i="6" s="1"/>
  <c r="R280" i="6" s="1"/>
  <c r="A281" i="6"/>
  <c r="B281" i="6" s="1"/>
  <c r="I281" i="6" s="1"/>
  <c r="A282" i="6"/>
  <c r="B282" i="6" s="1"/>
  <c r="I282" i="6" s="1"/>
  <c r="A283" i="6"/>
  <c r="B283" i="6" s="1"/>
  <c r="A284" i="6"/>
  <c r="B284" i="6" s="1"/>
  <c r="G284" i="6" s="1"/>
  <c r="N284" i="6"/>
  <c r="Q284" i="6" s="1"/>
  <c r="R284" i="6" s="1"/>
  <c r="A285" i="6"/>
  <c r="B285" i="6" s="1"/>
  <c r="G285" i="6" s="1"/>
  <c r="L285" i="6"/>
  <c r="M285" i="6" s="1"/>
  <c r="A286" i="6"/>
  <c r="B286" i="6" s="1"/>
  <c r="L286" i="6"/>
  <c r="M286" i="6" s="1"/>
  <c r="A287" i="6"/>
  <c r="B287" i="6" s="1"/>
  <c r="I287" i="6" s="1"/>
  <c r="A288" i="6"/>
  <c r="B288" i="6" s="1"/>
  <c r="A289" i="6"/>
  <c r="B289" i="6" s="1"/>
  <c r="N289" i="6"/>
  <c r="Q289" i="6" s="1"/>
  <c r="R289" i="6" s="1"/>
  <c r="A290" i="6"/>
  <c r="B290" i="6" s="1"/>
  <c r="A291" i="6"/>
  <c r="B291" i="6" s="1"/>
  <c r="A292" i="6"/>
  <c r="B292" i="6" s="1"/>
  <c r="A293" i="6"/>
  <c r="B293" i="6" s="1"/>
  <c r="I293" i="6" s="1"/>
  <c r="L293" i="6"/>
  <c r="M293" i="6" s="1"/>
  <c r="A294" i="6"/>
  <c r="B294" i="6" s="1"/>
  <c r="K294" i="6" s="1"/>
  <c r="N294" i="6"/>
  <c r="Q294" i="6" s="1"/>
  <c r="R294" i="6" s="1"/>
  <c r="A295" i="6"/>
  <c r="B295" i="6" s="1"/>
  <c r="L295" i="6"/>
  <c r="M295" i="6" s="1"/>
  <c r="A296" i="6"/>
  <c r="B296" i="6" s="1"/>
  <c r="A297" i="6"/>
  <c r="B297" i="6" s="1"/>
  <c r="I297" i="6" s="1"/>
  <c r="A298" i="6"/>
  <c r="B298" i="6" s="1"/>
  <c r="A299" i="6"/>
  <c r="B299" i="6" s="1"/>
  <c r="A300" i="6"/>
  <c r="B300" i="6" s="1"/>
  <c r="G300" i="6" s="1"/>
  <c r="L300" i="6"/>
  <c r="M300" i="6" s="1"/>
  <c r="A301" i="6"/>
  <c r="B301" i="6" s="1"/>
  <c r="A302" i="6"/>
  <c r="B302" i="6" s="1"/>
  <c r="A303" i="6"/>
  <c r="B303" i="6" s="1"/>
  <c r="I303" i="6" s="1"/>
  <c r="A304" i="6"/>
  <c r="B304" i="6" s="1"/>
  <c r="N304" i="6"/>
  <c r="Q304" i="6" s="1"/>
  <c r="R304" i="6" s="1"/>
  <c r="A305" i="6"/>
  <c r="B305" i="6" s="1"/>
  <c r="G305" i="6" s="1"/>
  <c r="A306" i="6"/>
  <c r="B306" i="6" s="1"/>
  <c r="A307" i="6"/>
  <c r="B307" i="6" s="1"/>
  <c r="I307" i="6" s="1"/>
  <c r="A308" i="6"/>
  <c r="B308" i="6" s="1"/>
  <c r="J308" i="6"/>
  <c r="L308" i="6" s="1"/>
  <c r="M308" i="6" s="1"/>
  <c r="A309" i="6"/>
  <c r="B309" i="6" s="1"/>
  <c r="K309" i="6" s="1"/>
  <c r="J309" i="6"/>
  <c r="A310" i="6"/>
  <c r="B310" i="6" s="1"/>
  <c r="G310" i="6" s="1"/>
  <c r="A311" i="6"/>
  <c r="B311" i="6" s="1"/>
  <c r="A312" i="6"/>
  <c r="B312" i="6" s="1"/>
  <c r="G312" i="6" s="1"/>
  <c r="J312" i="6"/>
  <c r="L312" i="6" s="1"/>
  <c r="M312" i="6" s="1"/>
  <c r="A313" i="6"/>
  <c r="B313" i="6" s="1"/>
  <c r="K313" i="6" s="1"/>
  <c r="A314" i="6"/>
  <c r="B314" i="6" s="1"/>
  <c r="J314" i="6"/>
  <c r="A315" i="6"/>
  <c r="B315" i="6" s="1"/>
  <c r="I315" i="6" s="1"/>
  <c r="A316" i="6"/>
  <c r="B316" i="6" s="1"/>
  <c r="K316" i="6" s="1"/>
  <c r="A317" i="6"/>
  <c r="B317" i="6" s="1"/>
  <c r="J317" i="6"/>
  <c r="A318" i="6"/>
  <c r="B318" i="6" s="1"/>
  <c r="G318" i="6" s="1"/>
  <c r="A319" i="6"/>
  <c r="B319" i="6" s="1"/>
  <c r="J319" i="6"/>
  <c r="A320" i="6"/>
  <c r="B320" i="6" s="1"/>
  <c r="G320" i="6" s="1"/>
  <c r="J320" i="6"/>
  <c r="A321" i="6"/>
  <c r="B321" i="6" s="1"/>
  <c r="J321" i="6"/>
  <c r="A322" i="6"/>
  <c r="B322" i="6" s="1"/>
  <c r="A323" i="6"/>
  <c r="B323" i="6" s="1"/>
  <c r="A324" i="6"/>
  <c r="B324" i="6" s="1"/>
  <c r="A325" i="6"/>
  <c r="B325" i="6" s="1"/>
  <c r="I325" i="6" s="1"/>
  <c r="L325" i="6"/>
  <c r="M325" i="6" s="1"/>
  <c r="A326" i="6"/>
  <c r="B326" i="6" s="1"/>
  <c r="G326" i="6" s="1"/>
  <c r="J326" i="6"/>
  <c r="A327" i="6"/>
  <c r="B327" i="6" s="1"/>
  <c r="I327" i="6" s="1"/>
  <c r="J327" i="6"/>
  <c r="A328" i="6"/>
  <c r="B328" i="6" s="1"/>
  <c r="A329" i="6"/>
  <c r="B329" i="6" s="1"/>
  <c r="I329" i="6" s="1"/>
  <c r="L329" i="6"/>
  <c r="M329" i="6" s="1"/>
  <c r="A330" i="6"/>
  <c r="B330" i="6" s="1"/>
  <c r="G330" i="6" s="1"/>
  <c r="A331" i="6"/>
  <c r="B331" i="6" s="1"/>
  <c r="J331" i="6"/>
  <c r="A332" i="6"/>
  <c r="B332" i="6" s="1"/>
  <c r="J332" i="6"/>
  <c r="A333" i="6"/>
  <c r="B333" i="6" s="1"/>
  <c r="I333" i="6" s="1"/>
  <c r="J333" i="6"/>
  <c r="L333" i="6" s="1"/>
  <c r="M333" i="6" s="1"/>
  <c r="A334" i="6"/>
  <c r="B334" i="6" s="1"/>
  <c r="I334" i="6" s="1"/>
  <c r="A335" i="6"/>
  <c r="B335" i="6" s="1"/>
  <c r="A336" i="6"/>
  <c r="B336" i="6" s="1"/>
  <c r="A337" i="6"/>
  <c r="B337" i="6" s="1"/>
  <c r="I337" i="6" s="1"/>
  <c r="L337" i="6"/>
  <c r="M337" i="6" s="1"/>
  <c r="A338" i="6"/>
  <c r="B338" i="6" s="1"/>
  <c r="K338" i="6" s="1"/>
  <c r="L338" i="6"/>
  <c r="M338" i="6" s="1"/>
  <c r="A339" i="6"/>
  <c r="B339" i="6" s="1"/>
  <c r="I339" i="6" s="1"/>
  <c r="A340" i="6"/>
  <c r="B340" i="6" s="1"/>
  <c r="A341" i="6"/>
  <c r="B341" i="6" s="1"/>
  <c r="I341" i="6" s="1"/>
  <c r="L341" i="6"/>
  <c r="M341" i="6" s="1"/>
  <c r="A342" i="6"/>
  <c r="B342" i="6" s="1"/>
  <c r="N342" i="6"/>
  <c r="Q342" i="6" s="1"/>
  <c r="R342" i="6" s="1"/>
  <c r="A343" i="6"/>
  <c r="B343" i="6" s="1"/>
  <c r="A344" i="6"/>
  <c r="B344" i="6" s="1"/>
  <c r="A345" i="6"/>
  <c r="B345" i="6" s="1"/>
  <c r="I345" i="6" s="1"/>
  <c r="L345" i="6"/>
  <c r="M345" i="6" s="1"/>
  <c r="A346" i="6"/>
  <c r="B346" i="6" s="1"/>
  <c r="A347" i="6"/>
  <c r="B347" i="6" s="1"/>
  <c r="A348" i="6"/>
  <c r="B348" i="6" s="1"/>
  <c r="J348" i="6"/>
  <c r="A349" i="6"/>
  <c r="B349" i="6" s="1"/>
  <c r="I349" i="6" s="1"/>
  <c r="J349" i="6"/>
  <c r="L349" i="6" s="1"/>
  <c r="M349" i="6" s="1"/>
  <c r="A350" i="6"/>
  <c r="B350" i="6" s="1"/>
  <c r="J350" i="6"/>
  <c r="A351" i="6"/>
  <c r="B351" i="6" s="1"/>
  <c r="A352" i="6"/>
  <c r="B352" i="6" s="1"/>
  <c r="J352" i="6"/>
  <c r="A353" i="6"/>
  <c r="B353" i="6" s="1"/>
  <c r="I353" i="6" s="1"/>
  <c r="J353" i="6"/>
  <c r="L353" i="6" s="1"/>
  <c r="M353" i="6" s="1"/>
  <c r="A354" i="6"/>
  <c r="B354" i="6" s="1"/>
  <c r="G354" i="6" s="1"/>
  <c r="L354" i="6"/>
  <c r="M354" i="6" s="1"/>
  <c r="A355" i="6"/>
  <c r="B355" i="6" s="1"/>
  <c r="I355" i="6" s="1"/>
  <c r="A356" i="6"/>
  <c r="B356" i="6" s="1"/>
  <c r="A357" i="6"/>
  <c r="B357" i="6" s="1"/>
  <c r="I357" i="6" s="1"/>
  <c r="J357" i="6"/>
  <c r="L357" i="6" s="1"/>
  <c r="M357" i="6" s="1"/>
  <c r="A358" i="6"/>
  <c r="B358" i="6" s="1"/>
  <c r="J358" i="6"/>
  <c r="N358" i="6" s="1"/>
  <c r="Q358" i="6" s="1"/>
  <c r="R358" i="6" s="1"/>
  <c r="A359" i="6"/>
  <c r="B359" i="6" s="1"/>
  <c r="I359" i="6" s="1"/>
  <c r="A360" i="6"/>
  <c r="B360" i="6" s="1"/>
  <c r="A361" i="6"/>
  <c r="B361" i="6" s="1"/>
  <c r="I361" i="6" s="1"/>
  <c r="L361" i="6"/>
  <c r="M361" i="6" s="1"/>
  <c r="A362" i="6"/>
  <c r="B362" i="6" s="1"/>
  <c r="G362" i="6" s="1"/>
  <c r="A363" i="6"/>
  <c r="B363" i="6" s="1"/>
  <c r="I363" i="6" s="1"/>
  <c r="A364" i="6"/>
  <c r="B364" i="6" s="1"/>
  <c r="A365" i="6"/>
  <c r="B365" i="6" s="1"/>
  <c r="I365" i="6" s="1"/>
  <c r="L365" i="6"/>
  <c r="M365" i="6" s="1"/>
  <c r="A366" i="6"/>
  <c r="B366" i="6" s="1"/>
  <c r="I366" i="6" s="1"/>
  <c r="A367" i="6"/>
  <c r="B367" i="6" s="1"/>
  <c r="A368" i="6"/>
  <c r="B368" i="6" s="1"/>
  <c r="A369" i="6"/>
  <c r="B369" i="6" s="1"/>
  <c r="I369" i="6" s="1"/>
  <c r="J369" i="6"/>
  <c r="L369" i="6" s="1"/>
  <c r="M369" i="6" s="1"/>
  <c r="A370" i="6"/>
  <c r="B370" i="6" s="1"/>
  <c r="I370" i="6" s="1"/>
  <c r="N370" i="6"/>
  <c r="Q370" i="6" s="1"/>
  <c r="R370" i="6" s="1"/>
  <c r="A371" i="6"/>
  <c r="B371" i="6" s="1"/>
  <c r="A372" i="6"/>
  <c r="B372" i="6" s="1"/>
  <c r="A373" i="6"/>
  <c r="B373" i="6" s="1"/>
  <c r="I373" i="6" s="1"/>
  <c r="L373" i="6"/>
  <c r="M373" i="6" s="1"/>
  <c r="A374" i="6"/>
  <c r="B374" i="6" s="1"/>
  <c r="J374" i="6"/>
  <c r="A375" i="6"/>
  <c r="B375" i="6" s="1"/>
  <c r="I375" i="6" s="1"/>
  <c r="A376" i="6"/>
  <c r="B376" i="6" s="1"/>
  <c r="A377" i="6"/>
  <c r="B377" i="6" s="1"/>
  <c r="I377" i="6" s="1"/>
  <c r="L377" i="6"/>
  <c r="M377" i="6" s="1"/>
  <c r="A378" i="6"/>
  <c r="B378" i="6" s="1"/>
  <c r="N378" i="6"/>
  <c r="Q378" i="6" s="1"/>
  <c r="R378" i="6" s="1"/>
  <c r="A379" i="6"/>
  <c r="B379" i="6" s="1"/>
  <c r="I379" i="6" s="1"/>
  <c r="A380" i="6"/>
  <c r="B380" i="6" s="1"/>
  <c r="A381" i="6"/>
  <c r="B381" i="6" s="1"/>
  <c r="I381" i="6" s="1"/>
  <c r="J381" i="6"/>
  <c r="L381" i="6" s="1"/>
  <c r="M381" i="6" s="1"/>
  <c r="A382" i="6"/>
  <c r="B382" i="6" s="1"/>
  <c r="A383" i="6"/>
  <c r="B383" i="6" s="1"/>
  <c r="I383" i="6" s="1"/>
  <c r="A384" i="6"/>
  <c r="B384" i="6" s="1"/>
  <c r="L384" i="6"/>
  <c r="M384" i="6" s="1"/>
  <c r="A385" i="6"/>
  <c r="B385" i="6" s="1"/>
  <c r="I385" i="6" s="1"/>
  <c r="L385" i="6"/>
  <c r="M385" i="6" s="1"/>
  <c r="A386" i="6"/>
  <c r="B386" i="6" s="1"/>
  <c r="J386" i="6"/>
  <c r="L386" i="6" s="1"/>
  <c r="M386" i="6" s="1"/>
  <c r="A387" i="6"/>
  <c r="B387" i="6" s="1"/>
  <c r="I387" i="6" s="1"/>
  <c r="J387" i="6"/>
  <c r="L387" i="6" s="1"/>
  <c r="M387" i="6" s="1"/>
  <c r="A388" i="6"/>
  <c r="B388" i="6" s="1"/>
  <c r="J388" i="6"/>
  <c r="A389" i="6"/>
  <c r="B389" i="6" s="1"/>
  <c r="I389" i="6" s="1"/>
  <c r="J389" i="6"/>
  <c r="L389" i="6" s="1"/>
  <c r="M389" i="6" s="1"/>
  <c r="A390" i="6"/>
  <c r="B390" i="6" s="1"/>
  <c r="A391" i="6"/>
  <c r="B391" i="6" s="1"/>
  <c r="I391" i="6" s="1"/>
  <c r="J391" i="6"/>
  <c r="A392" i="6"/>
  <c r="B392" i="6" s="1"/>
  <c r="I392" i="6" s="1"/>
  <c r="A393" i="6"/>
  <c r="B393" i="6" s="1"/>
  <c r="K393" i="6" s="1"/>
  <c r="A394" i="6"/>
  <c r="B394" i="6" s="1"/>
  <c r="N394" i="6"/>
  <c r="Q394" i="6" s="1"/>
  <c r="R394" i="6" s="1"/>
  <c r="A395" i="6"/>
  <c r="B395" i="6" s="1"/>
  <c r="I395" i="6" s="1"/>
  <c r="A396" i="6"/>
  <c r="B396" i="6" s="1"/>
  <c r="N396" i="6"/>
  <c r="Q396" i="6" s="1"/>
  <c r="R396" i="6" s="1"/>
  <c r="A397" i="6"/>
  <c r="B397" i="6" s="1"/>
  <c r="I397" i="6" s="1"/>
  <c r="A398" i="6"/>
  <c r="B398" i="6" s="1"/>
  <c r="A399" i="6"/>
  <c r="B399" i="6" s="1"/>
  <c r="L399" i="6"/>
  <c r="M399" i="6" s="1"/>
  <c r="A400" i="6"/>
  <c r="B400" i="6" s="1"/>
  <c r="I400" i="6" s="1"/>
  <c r="A401" i="6"/>
  <c r="B401" i="6" s="1"/>
  <c r="K401" i="6" s="1"/>
  <c r="A402" i="6"/>
  <c r="B402" i="6" s="1"/>
  <c r="N402" i="6"/>
  <c r="A403" i="6"/>
  <c r="B403" i="6" s="1"/>
  <c r="L403" i="6"/>
  <c r="M403" i="6" s="1"/>
  <c r="A404" i="6"/>
  <c r="B404" i="6" s="1"/>
  <c r="N404" i="6"/>
  <c r="Q404" i="6" s="1"/>
  <c r="R404" i="6" s="1"/>
  <c r="A405" i="6"/>
  <c r="B405" i="6" s="1"/>
  <c r="A406" i="6"/>
  <c r="B406" i="6" s="1"/>
  <c r="K406" i="6" s="1"/>
  <c r="A407" i="6"/>
  <c r="B407" i="6" s="1"/>
  <c r="A408" i="6"/>
  <c r="B408" i="6" s="1"/>
  <c r="I408" i="6" s="1"/>
  <c r="A409" i="6"/>
  <c r="B409" i="6" s="1"/>
  <c r="A410" i="6"/>
  <c r="B410" i="6" s="1"/>
  <c r="N410" i="6"/>
  <c r="Q410" i="6" s="1"/>
  <c r="R410" i="6" s="1"/>
  <c r="A411" i="6"/>
  <c r="B411" i="6" s="1"/>
  <c r="N411" i="6"/>
  <c r="Q411" i="6" s="1"/>
  <c r="R411" i="6" s="1"/>
  <c r="A412" i="6"/>
  <c r="B412" i="6" s="1"/>
  <c r="N412" i="6"/>
  <c r="Q412" i="6" s="1"/>
  <c r="R412" i="6" s="1"/>
  <c r="A413" i="6"/>
  <c r="B413" i="6" s="1"/>
  <c r="K413" i="6" s="1"/>
  <c r="L413" i="6"/>
  <c r="M413" i="6" s="1"/>
  <c r="A414" i="6"/>
  <c r="B414" i="6" s="1"/>
  <c r="A415" i="6"/>
  <c r="B415" i="6" s="1"/>
  <c r="I415" i="6" s="1"/>
  <c r="A416" i="6"/>
  <c r="B416" i="6" s="1"/>
  <c r="N416" i="6"/>
  <c r="Q416" i="6" s="1"/>
  <c r="R416" i="6" s="1"/>
  <c r="A417" i="6"/>
  <c r="B417" i="6" s="1"/>
  <c r="K417" i="6" s="1"/>
  <c r="A418" i="6"/>
  <c r="B418" i="6" s="1"/>
  <c r="A419" i="6"/>
  <c r="B419" i="6" s="1"/>
  <c r="N419" i="6"/>
  <c r="Q419" i="6" s="1"/>
  <c r="R419" i="6" s="1"/>
  <c r="A420" i="6"/>
  <c r="B420" i="6" s="1"/>
  <c r="G420" i="6" s="1"/>
  <c r="A421" i="6"/>
  <c r="B421" i="6" s="1"/>
  <c r="L421" i="6"/>
  <c r="M421" i="6" s="1"/>
  <c r="A422" i="6"/>
  <c r="B422" i="6" s="1"/>
  <c r="A423" i="6"/>
  <c r="B423" i="6" s="1"/>
  <c r="I423" i="6" s="1"/>
  <c r="N423" i="6"/>
  <c r="Q423" i="6" s="1"/>
  <c r="R423" i="6" s="1"/>
  <c r="A424" i="6"/>
  <c r="B424" i="6" s="1"/>
  <c r="G424" i="6" s="1"/>
  <c r="N424" i="6"/>
  <c r="Q424" i="6" s="1"/>
  <c r="R424" i="6" s="1"/>
  <c r="A425" i="6"/>
  <c r="B425" i="6" s="1"/>
  <c r="A426" i="6"/>
  <c r="B426" i="6" s="1"/>
  <c r="A427" i="6"/>
  <c r="B427" i="6" s="1"/>
  <c r="I427" i="6" s="1"/>
  <c r="A428" i="6"/>
  <c r="B428" i="6" s="1"/>
  <c r="G428" i="6" s="1"/>
  <c r="L428" i="6"/>
  <c r="M428" i="6" s="1"/>
  <c r="A429" i="6"/>
  <c r="B429" i="6" s="1"/>
  <c r="K429" i="6" s="1"/>
  <c r="A430" i="6"/>
  <c r="B430" i="6" s="1"/>
  <c r="L430" i="6"/>
  <c r="M430" i="6" s="1"/>
  <c r="A431" i="6"/>
  <c r="B431" i="6" s="1"/>
  <c r="N431" i="6"/>
  <c r="Q431" i="6" s="1"/>
  <c r="R431" i="6" s="1"/>
  <c r="A432" i="6"/>
  <c r="B432" i="6" s="1"/>
  <c r="N432" i="6"/>
  <c r="Q432" i="6" s="1"/>
  <c r="R432" i="6" s="1"/>
  <c r="A433" i="6"/>
  <c r="B433" i="6" s="1"/>
  <c r="K433" i="6" s="1"/>
  <c r="A434" i="6"/>
  <c r="B434" i="6" s="1"/>
  <c r="A435" i="6"/>
  <c r="B435" i="6" s="1"/>
  <c r="I435" i="6" s="1"/>
  <c r="L435" i="6"/>
  <c r="M435" i="6" s="1"/>
  <c r="A436" i="6"/>
  <c r="B436" i="6" s="1"/>
  <c r="G436" i="6" s="1"/>
  <c r="A437" i="6"/>
  <c r="B437" i="6" s="1"/>
  <c r="A438" i="6"/>
  <c r="B438" i="6" s="1"/>
  <c r="A439" i="6"/>
  <c r="B439" i="6" s="1"/>
  <c r="G439" i="6" s="1"/>
  <c r="A440" i="6"/>
  <c r="B440" i="6" s="1"/>
  <c r="G440" i="6" s="1"/>
  <c r="L440" i="6"/>
  <c r="M440" i="6" s="1"/>
  <c r="A441" i="6"/>
  <c r="B441" i="6" s="1"/>
  <c r="A442" i="6"/>
  <c r="B442" i="6" s="1"/>
  <c r="A443" i="6"/>
  <c r="B443" i="6" s="1"/>
  <c r="K443" i="6" s="1"/>
  <c r="A444" i="6"/>
  <c r="B444" i="6" s="1"/>
  <c r="G444" i="6" s="1"/>
  <c r="N444" i="6"/>
  <c r="Q444" i="6" s="1"/>
  <c r="R444" i="6" s="1"/>
  <c r="A445" i="6"/>
  <c r="B445" i="6" s="1"/>
  <c r="K445" i="6" s="1"/>
  <c r="L445" i="6"/>
  <c r="M445" i="6" s="1"/>
  <c r="A446" i="6"/>
  <c r="B446" i="6" s="1"/>
  <c r="L446" i="6"/>
  <c r="M446" i="6" s="1"/>
  <c r="A447" i="6"/>
  <c r="B447" i="6" s="1"/>
  <c r="L447" i="6"/>
  <c r="M447" i="6" s="1"/>
  <c r="A448" i="6"/>
  <c r="B448" i="6" s="1"/>
  <c r="L448" i="6"/>
  <c r="M448" i="6" s="1"/>
  <c r="A449" i="6"/>
  <c r="B449" i="6" s="1"/>
  <c r="K449" i="6" s="1"/>
  <c r="L449" i="6"/>
  <c r="M449" i="6" s="1"/>
  <c r="A450" i="6"/>
  <c r="B450" i="6" s="1"/>
  <c r="L450" i="6"/>
  <c r="M450" i="6" s="1"/>
  <c r="A451" i="6"/>
  <c r="B451" i="6" s="1"/>
  <c r="A452" i="6"/>
  <c r="B452" i="6" s="1"/>
  <c r="G452" i="6" s="1"/>
  <c r="N452" i="6"/>
  <c r="Q452" i="6" s="1"/>
  <c r="R452" i="6" s="1"/>
  <c r="A453" i="6"/>
  <c r="B453" i="6" s="1"/>
  <c r="L453" i="6"/>
  <c r="M453" i="6" s="1"/>
  <c r="A454" i="6"/>
  <c r="B454" i="6" s="1"/>
  <c r="A455" i="6"/>
  <c r="B455" i="6" s="1"/>
  <c r="A456" i="6"/>
  <c r="B456" i="6" s="1"/>
  <c r="G456" i="6" s="1"/>
  <c r="A457" i="6"/>
  <c r="B457" i="6" s="1"/>
  <c r="A458" i="6"/>
  <c r="B458" i="6" s="1"/>
  <c r="A459" i="6"/>
  <c r="B459" i="6" s="1"/>
  <c r="I459" i="6" s="1"/>
  <c r="A460" i="6"/>
  <c r="B460" i="6" s="1"/>
  <c r="G460" i="6" s="1"/>
  <c r="N460" i="6"/>
  <c r="Q460" i="6" s="1"/>
  <c r="R460" i="6" s="1"/>
  <c r="A461" i="6"/>
  <c r="B461" i="6" s="1"/>
  <c r="K461" i="6" s="1"/>
  <c r="L461" i="6"/>
  <c r="M461" i="6" s="1"/>
  <c r="A462" i="6"/>
  <c r="B462" i="6" s="1"/>
  <c r="L462" i="6"/>
  <c r="M462" i="6" s="1"/>
  <c r="A463" i="6"/>
  <c r="B463" i="6" s="1"/>
  <c r="I463" i="6" s="1"/>
  <c r="L463" i="6"/>
  <c r="M463" i="6" s="1"/>
  <c r="A464" i="6"/>
  <c r="B464" i="6" s="1"/>
  <c r="A465" i="6"/>
  <c r="B465" i="6" s="1"/>
  <c r="K465" i="6" s="1"/>
  <c r="A466" i="6"/>
  <c r="B466" i="6" s="1"/>
  <c r="L466" i="6"/>
  <c r="M466" i="6" s="1"/>
  <c r="A467" i="6"/>
  <c r="B467" i="6" s="1"/>
  <c r="N467" i="6"/>
  <c r="Q467" i="6" s="1"/>
  <c r="R467" i="6" s="1"/>
  <c r="A468" i="6"/>
  <c r="B468" i="6" s="1"/>
  <c r="G468" i="6" s="1"/>
  <c r="A469" i="6"/>
  <c r="B469" i="6" s="1"/>
  <c r="A470" i="6"/>
  <c r="B470" i="6" s="1"/>
  <c r="G470" i="6" s="1"/>
  <c r="N470" i="6"/>
  <c r="A471" i="6"/>
  <c r="B471" i="6" s="1"/>
  <c r="L471" i="6"/>
  <c r="M471" i="6" s="1"/>
  <c r="A472" i="6"/>
  <c r="B472" i="6" s="1"/>
  <c r="G472" i="6" s="1"/>
  <c r="A473" i="6"/>
  <c r="B473" i="6" s="1"/>
  <c r="A474" i="6"/>
  <c r="B474" i="6" s="1"/>
  <c r="G474" i="6" s="1"/>
  <c r="A475" i="6"/>
  <c r="B475" i="6" s="1"/>
  <c r="N475" i="6"/>
  <c r="Q475" i="6" s="1"/>
  <c r="R475" i="6" s="1"/>
  <c r="A476" i="6"/>
  <c r="B476" i="6" s="1"/>
  <c r="G476" i="6" s="1"/>
  <c r="L476" i="6"/>
  <c r="M476" i="6" s="1"/>
  <c r="A477" i="6"/>
  <c r="B477" i="6" s="1"/>
  <c r="A478" i="6"/>
  <c r="B478" i="6" s="1"/>
  <c r="G478" i="6" s="1"/>
  <c r="A479" i="6"/>
  <c r="B479" i="6" s="1"/>
  <c r="I479" i="6" s="1"/>
  <c r="L479" i="6"/>
  <c r="M479" i="6" s="1"/>
  <c r="A480" i="6"/>
  <c r="B480" i="6" s="1"/>
  <c r="A481" i="6"/>
  <c r="B481" i="6" s="1"/>
  <c r="A482" i="6"/>
  <c r="B482" i="6" s="1"/>
  <c r="L482" i="6"/>
  <c r="M482" i="6" s="1"/>
  <c r="A483" i="6"/>
  <c r="B483" i="6" s="1"/>
  <c r="N483" i="6"/>
  <c r="Q483" i="6" s="1"/>
  <c r="R483" i="6" s="1"/>
  <c r="A484" i="6"/>
  <c r="B484" i="6" s="1"/>
  <c r="G484" i="6" s="1"/>
  <c r="A485" i="6"/>
  <c r="B485" i="6" s="1"/>
  <c r="A486" i="6"/>
  <c r="B486" i="6" s="1"/>
  <c r="G486" i="6" s="1"/>
  <c r="N486" i="6"/>
  <c r="Q486" i="6" s="1"/>
  <c r="R486" i="6" s="1"/>
  <c r="A487" i="6"/>
  <c r="B487" i="6" s="1"/>
  <c r="G487" i="6" s="1"/>
  <c r="N487" i="6"/>
  <c r="Q487" i="6" s="1"/>
  <c r="R487" i="6" s="1"/>
  <c r="A488" i="6"/>
  <c r="B488" i="6" s="1"/>
  <c r="G488" i="6" s="1"/>
  <c r="A489" i="6"/>
  <c r="B489" i="6" s="1"/>
  <c r="L489" i="6"/>
  <c r="M489" i="6" s="1"/>
  <c r="A490" i="6"/>
  <c r="B490" i="6" s="1"/>
  <c r="G490" i="6" s="1"/>
  <c r="A491" i="6"/>
  <c r="B491" i="6" s="1"/>
  <c r="L491" i="6"/>
  <c r="M491" i="6" s="1"/>
  <c r="A492" i="6"/>
  <c r="B492" i="6" s="1"/>
  <c r="G492" i="6" s="1"/>
  <c r="A493" i="6"/>
  <c r="B493" i="6" s="1"/>
  <c r="A494" i="6"/>
  <c r="B494" i="6" s="1"/>
  <c r="G494" i="6" s="1"/>
  <c r="L494" i="6"/>
  <c r="M494" i="6" s="1"/>
  <c r="A495" i="6"/>
  <c r="B495" i="6" s="1"/>
  <c r="A496" i="6"/>
  <c r="B496" i="6" s="1"/>
  <c r="A497" i="6"/>
  <c r="B497" i="6" s="1"/>
  <c r="A498" i="6"/>
  <c r="B498" i="6" s="1"/>
  <c r="L498" i="6"/>
  <c r="M498" i="6" s="1"/>
  <c r="A499" i="6"/>
  <c r="B499" i="6" s="1"/>
  <c r="G499" i="6" s="1"/>
  <c r="N499" i="6"/>
  <c r="Q499" i="6" s="1"/>
  <c r="R499" i="6" s="1"/>
  <c r="A500" i="6"/>
  <c r="B500" i="6" s="1"/>
  <c r="G500" i="6" s="1"/>
  <c r="A501" i="6"/>
  <c r="B501" i="6" s="1"/>
  <c r="G501" i="6" s="1"/>
  <c r="A502" i="6"/>
  <c r="B502" i="6" s="1"/>
  <c r="G502" i="6" s="1"/>
  <c r="A503" i="6"/>
  <c r="B503" i="6" s="1"/>
  <c r="G503" i="6" s="1"/>
  <c r="A504" i="6"/>
  <c r="B504" i="6" s="1"/>
  <c r="G504" i="6" s="1"/>
  <c r="A505" i="6"/>
  <c r="B505" i="6" s="1"/>
  <c r="L505" i="6"/>
  <c r="M505" i="6" s="1"/>
  <c r="A506" i="6"/>
  <c r="B506" i="6" s="1"/>
  <c r="K506" i="6" s="1"/>
  <c r="L506" i="6"/>
  <c r="M506" i="6" s="1"/>
  <c r="A507" i="6"/>
  <c r="B507" i="6" s="1"/>
  <c r="K507" i="6" s="1"/>
  <c r="A508" i="6"/>
  <c r="B508" i="6" s="1"/>
  <c r="G508" i="6" s="1"/>
  <c r="A509" i="6"/>
  <c r="B509" i="6" s="1"/>
  <c r="G509" i="6" s="1"/>
  <c r="A510" i="6"/>
  <c r="B510" i="6" s="1"/>
  <c r="L510" i="6"/>
  <c r="M510" i="6" s="1"/>
  <c r="A511" i="6"/>
  <c r="B511" i="6" s="1"/>
  <c r="A512" i="6"/>
  <c r="B512" i="6" s="1"/>
  <c r="K512" i="6" s="1"/>
  <c r="A513" i="6"/>
  <c r="B513" i="6" s="1"/>
  <c r="L513" i="6"/>
  <c r="M513" i="6" s="1"/>
  <c r="A514" i="6"/>
  <c r="B514" i="6" s="1"/>
  <c r="N514" i="6"/>
  <c r="Q514" i="6" s="1"/>
  <c r="R514" i="6" s="1"/>
  <c r="A515" i="6"/>
  <c r="B515" i="6" s="1"/>
  <c r="K515" i="6" s="1"/>
  <c r="A516" i="6"/>
  <c r="B516" i="6" s="1"/>
  <c r="G516" i="6" s="1"/>
  <c r="L516" i="6"/>
  <c r="M516" i="6" s="1"/>
  <c r="A517" i="6"/>
  <c r="B517" i="6" s="1"/>
  <c r="G517" i="6" s="1"/>
  <c r="A518" i="6"/>
  <c r="B518" i="6" s="1"/>
  <c r="N518" i="6"/>
  <c r="Q518" i="6" s="1"/>
  <c r="R518" i="6" s="1"/>
  <c r="A519" i="6"/>
  <c r="B519" i="6" s="1"/>
  <c r="A520" i="6"/>
  <c r="B520" i="6" s="1"/>
  <c r="K520" i="6" s="1"/>
  <c r="A521" i="6"/>
  <c r="B521" i="6" s="1"/>
  <c r="L521" i="6"/>
  <c r="M521" i="6" s="1"/>
  <c r="A522" i="6"/>
  <c r="B522" i="6" s="1"/>
  <c r="L522" i="6"/>
  <c r="M522" i="6" s="1"/>
  <c r="A523" i="6"/>
  <c r="B523" i="6" s="1"/>
  <c r="I523" i="6" s="1"/>
  <c r="A524" i="6"/>
  <c r="B524" i="6" s="1"/>
  <c r="G524" i="6" s="1"/>
  <c r="A525" i="6"/>
  <c r="B525" i="6" s="1"/>
  <c r="G525" i="6" s="1"/>
  <c r="A526" i="6"/>
  <c r="B526" i="6" s="1"/>
  <c r="A527" i="6"/>
  <c r="B527" i="6" s="1"/>
  <c r="A528" i="6"/>
  <c r="B528" i="6" s="1"/>
  <c r="K528" i="6" s="1"/>
  <c r="A529" i="6"/>
  <c r="B529" i="6" s="1"/>
  <c r="L529" i="6"/>
  <c r="M529" i="6" s="1"/>
  <c r="A530" i="6"/>
  <c r="B530" i="6" s="1"/>
  <c r="K530" i="6" s="1"/>
  <c r="A531" i="6"/>
  <c r="B531" i="6" s="1"/>
  <c r="K531" i="6" s="1"/>
  <c r="L531" i="6"/>
  <c r="M531" i="6" s="1"/>
  <c r="A532" i="6"/>
  <c r="B532" i="6" s="1"/>
  <c r="G532" i="6" s="1"/>
  <c r="A533" i="6"/>
  <c r="B533" i="6" s="1"/>
  <c r="G533" i="6" s="1"/>
  <c r="A534" i="6"/>
  <c r="B534" i="6" s="1"/>
  <c r="A535" i="6"/>
  <c r="B535" i="6" s="1"/>
  <c r="A536" i="6"/>
  <c r="B536" i="6" s="1"/>
  <c r="K536" i="6" s="1"/>
  <c r="A537" i="6"/>
  <c r="B537" i="6" s="1"/>
  <c r="L537" i="6"/>
  <c r="M537" i="6" s="1"/>
  <c r="A538" i="6"/>
  <c r="B538" i="6" s="1"/>
  <c r="K538" i="6" s="1"/>
  <c r="A539" i="6"/>
  <c r="B539" i="6" s="1"/>
  <c r="A540" i="6"/>
  <c r="B540" i="6" s="1"/>
  <c r="G540" i="6" s="1"/>
  <c r="A541" i="6"/>
  <c r="B541" i="6" s="1"/>
  <c r="G541" i="6" s="1"/>
  <c r="A542" i="6"/>
  <c r="B542" i="6" s="1"/>
  <c r="L542" i="6"/>
  <c r="M542" i="6" s="1"/>
  <c r="A543" i="6"/>
  <c r="B543" i="6" s="1"/>
  <c r="N543" i="6"/>
  <c r="Q543" i="6" s="1"/>
  <c r="R543" i="6" s="1"/>
  <c r="A544" i="6"/>
  <c r="B544" i="6" s="1"/>
  <c r="K544" i="6" s="1"/>
  <c r="A545" i="6"/>
  <c r="B545" i="6" s="1"/>
  <c r="L545" i="6"/>
  <c r="M545" i="6" s="1"/>
  <c r="A546" i="6"/>
  <c r="B546" i="6" s="1"/>
  <c r="K546" i="6" s="1"/>
  <c r="N546" i="6"/>
  <c r="A547" i="6"/>
  <c r="B547" i="6" s="1"/>
  <c r="N547" i="6"/>
  <c r="A548" i="6"/>
  <c r="B548" i="6" s="1"/>
  <c r="G548" i="6" s="1"/>
  <c r="L548" i="6"/>
  <c r="M548" i="6" s="1"/>
  <c r="A549" i="6"/>
  <c r="B549" i="6" s="1"/>
  <c r="G549" i="6" s="1"/>
  <c r="A550" i="6"/>
  <c r="B550" i="6" s="1"/>
  <c r="N550" i="6"/>
  <c r="Q550" i="6" s="1"/>
  <c r="R550" i="6" s="1"/>
  <c r="A551" i="6"/>
  <c r="B551" i="6" s="1"/>
  <c r="A552" i="6"/>
  <c r="B552" i="6" s="1"/>
  <c r="K552" i="6" s="1"/>
  <c r="L552" i="6"/>
  <c r="M552" i="6" s="1"/>
  <c r="A553" i="6"/>
  <c r="B553" i="6" s="1"/>
  <c r="L553" i="6"/>
  <c r="M553" i="6" s="1"/>
  <c r="A554" i="6"/>
  <c r="B554" i="6" s="1"/>
  <c r="A555" i="6"/>
  <c r="B555" i="6" s="1"/>
  <c r="A556" i="6"/>
  <c r="B556" i="6" s="1"/>
  <c r="G556" i="6" s="1"/>
  <c r="A557" i="6"/>
  <c r="B557" i="6" s="1"/>
  <c r="G557" i="6" s="1"/>
  <c r="A558" i="6"/>
  <c r="B558" i="6" s="1"/>
  <c r="L558" i="6"/>
  <c r="M558" i="6" s="1"/>
  <c r="A559" i="6"/>
  <c r="B559" i="6" s="1"/>
  <c r="N559" i="6"/>
  <c r="Q559" i="6" s="1"/>
  <c r="R559" i="6" s="1"/>
  <c r="A560" i="6"/>
  <c r="B560" i="6" s="1"/>
  <c r="K560" i="6" s="1"/>
  <c r="J560" i="6"/>
  <c r="L560" i="6" s="1"/>
  <c r="M560" i="6" s="1"/>
  <c r="A561" i="6"/>
  <c r="B561" i="6" s="1"/>
  <c r="J561" i="6"/>
  <c r="L561" i="6" s="1"/>
  <c r="M561" i="6" s="1"/>
  <c r="A562" i="6"/>
  <c r="B562" i="6" s="1"/>
  <c r="K562" i="6" s="1"/>
  <c r="J562" i="6"/>
  <c r="L562" i="6" s="1"/>
  <c r="M562" i="6" s="1"/>
  <c r="A563" i="6"/>
  <c r="B563" i="6" s="1"/>
  <c r="J563" i="6"/>
  <c r="L563" i="6" s="1"/>
  <c r="M563" i="6" s="1"/>
  <c r="A564" i="6"/>
  <c r="B564" i="6" s="1"/>
  <c r="G564" i="6" s="1"/>
  <c r="J564" i="6"/>
  <c r="A565" i="6"/>
  <c r="B565" i="6" s="1"/>
  <c r="G565" i="6" s="1"/>
  <c r="J565" i="6"/>
  <c r="A566" i="6"/>
  <c r="B566" i="6" s="1"/>
  <c r="J566" i="6"/>
  <c r="A567" i="6"/>
  <c r="B567" i="6" s="1"/>
  <c r="J567" i="6"/>
  <c r="A568" i="6"/>
  <c r="B568" i="6" s="1"/>
  <c r="K568" i="6" s="1"/>
  <c r="J568" i="6"/>
  <c r="A569" i="6"/>
  <c r="B569" i="6" s="1"/>
  <c r="J569" i="6"/>
  <c r="L569" i="6" s="1"/>
  <c r="M569" i="6" s="1"/>
  <c r="A570" i="6"/>
  <c r="B570" i="6" s="1"/>
  <c r="I570" i="6" s="1"/>
  <c r="J570" i="6"/>
  <c r="A571" i="6"/>
  <c r="B571" i="6" s="1"/>
  <c r="J571" i="6"/>
  <c r="A572" i="6"/>
  <c r="B572" i="6" s="1"/>
  <c r="K572" i="6" s="1"/>
  <c r="J572" i="6"/>
  <c r="A573" i="6"/>
  <c r="B573" i="6" s="1"/>
  <c r="J573" i="6"/>
  <c r="A574" i="6"/>
  <c r="B574" i="6" s="1"/>
  <c r="I574" i="6" s="1"/>
  <c r="J574" i="6"/>
  <c r="L574" i="6" s="1"/>
  <c r="M574" i="6" s="1"/>
  <c r="A575" i="6"/>
  <c r="B575" i="6" s="1"/>
  <c r="G575" i="6" s="1"/>
  <c r="J575" i="6"/>
  <c r="N575" i="6" s="1"/>
  <c r="A576" i="6"/>
  <c r="B576" i="6" s="1"/>
  <c r="J576" i="6"/>
  <c r="A577" i="6"/>
  <c r="B577" i="6" s="1"/>
  <c r="J577" i="6"/>
  <c r="L577" i="6" s="1"/>
  <c r="M577" i="6" s="1"/>
  <c r="A578" i="6"/>
  <c r="B578" i="6" s="1"/>
  <c r="G578" i="6" s="1"/>
  <c r="J578" i="6"/>
  <c r="L578" i="6" s="1"/>
  <c r="M578" i="6" s="1"/>
  <c r="A579" i="6"/>
  <c r="B579" i="6" s="1"/>
  <c r="G579" i="6" s="1"/>
  <c r="J579" i="6"/>
  <c r="A580" i="6"/>
  <c r="B580" i="6" s="1"/>
  <c r="K580" i="6" s="1"/>
  <c r="J580" i="6"/>
  <c r="A581" i="6"/>
  <c r="B581" i="6" s="1"/>
  <c r="J581" i="6"/>
  <c r="L581" i="6" s="1"/>
  <c r="M581" i="6" s="1"/>
  <c r="A582" i="6"/>
  <c r="B582" i="6" s="1"/>
  <c r="I582" i="6" s="1"/>
  <c r="J582" i="6"/>
  <c r="L582" i="6" s="1"/>
  <c r="M582" i="6" s="1"/>
  <c r="A583" i="6"/>
  <c r="B583" i="6" s="1"/>
  <c r="G583" i="6" s="1"/>
  <c r="J583" i="6"/>
  <c r="A584" i="6"/>
  <c r="B584" i="6" s="1"/>
  <c r="K584" i="6" s="1"/>
  <c r="J584" i="6"/>
  <c r="A585" i="6"/>
  <c r="B585" i="6" s="1"/>
  <c r="J585" i="6"/>
  <c r="L585" i="6" s="1"/>
  <c r="M585" i="6" s="1"/>
  <c r="A586" i="6"/>
  <c r="B586" i="6" s="1"/>
  <c r="I586" i="6" s="1"/>
  <c r="J586" i="6"/>
  <c r="N586" i="6" s="1"/>
  <c r="A587" i="6"/>
  <c r="B587" i="6" s="1"/>
  <c r="J587" i="6"/>
  <c r="L587" i="6" s="1"/>
  <c r="M587" i="6" s="1"/>
  <c r="A588" i="6"/>
  <c r="B588" i="6" s="1"/>
  <c r="K588" i="6" s="1"/>
  <c r="J588" i="6"/>
  <c r="A589" i="6"/>
  <c r="B589" i="6" s="1"/>
  <c r="J589" i="6"/>
  <c r="A590" i="6"/>
  <c r="B590" i="6" s="1"/>
  <c r="I590" i="6" s="1"/>
  <c r="J590" i="6"/>
  <c r="L590" i="6" s="1"/>
  <c r="M590" i="6" s="1"/>
  <c r="A591" i="6"/>
  <c r="B591" i="6" s="1"/>
  <c r="G591" i="6" s="1"/>
  <c r="J591" i="6"/>
  <c r="A592" i="6"/>
  <c r="B592" i="6" s="1"/>
  <c r="J592" i="6"/>
  <c r="A593" i="6"/>
  <c r="B593" i="6" s="1"/>
  <c r="J593" i="6"/>
  <c r="L593" i="6" s="1"/>
  <c r="M593" i="6" s="1"/>
  <c r="A594" i="6"/>
  <c r="B594" i="6" s="1"/>
  <c r="I594" i="6" s="1"/>
  <c r="J594" i="6"/>
  <c r="L594" i="6" s="1"/>
  <c r="M594" i="6" s="1"/>
  <c r="A595" i="6"/>
  <c r="B595" i="6" s="1"/>
  <c r="G595" i="6" s="1"/>
  <c r="J595" i="6"/>
  <c r="N595" i="6" s="1"/>
  <c r="A596" i="6"/>
  <c r="B596" i="6" s="1"/>
  <c r="J596" i="6"/>
  <c r="L596" i="6" s="1"/>
  <c r="M596" i="6" s="1"/>
  <c r="A597" i="6"/>
  <c r="B597" i="6" s="1"/>
  <c r="J597" i="6"/>
  <c r="L597" i="6" s="1"/>
  <c r="M597" i="6" s="1"/>
  <c r="A598" i="6"/>
  <c r="B598" i="6" s="1"/>
  <c r="I598" i="6" s="1"/>
  <c r="J598" i="6"/>
  <c r="L598" i="6" s="1"/>
  <c r="M598" i="6" s="1"/>
  <c r="A599" i="6"/>
  <c r="B599" i="6" s="1"/>
  <c r="G599" i="6" s="1"/>
  <c r="J599" i="6"/>
  <c r="L599" i="6" s="1"/>
  <c r="M599" i="6" s="1"/>
  <c r="A600" i="6"/>
  <c r="B600" i="6" s="1"/>
  <c r="K600" i="6" s="1"/>
  <c r="J600" i="6"/>
  <c r="A601" i="6"/>
  <c r="B601" i="6" s="1"/>
  <c r="J601" i="6"/>
  <c r="L601" i="6" s="1"/>
  <c r="M601" i="6" s="1"/>
  <c r="A602" i="6"/>
  <c r="B602" i="6" s="1"/>
  <c r="I602" i="6" s="1"/>
  <c r="J602" i="6"/>
  <c r="N602" i="6" s="1"/>
  <c r="A603" i="6"/>
  <c r="B603" i="6" s="1"/>
  <c r="J603" i="6"/>
  <c r="A604" i="6"/>
  <c r="B604" i="6" s="1"/>
  <c r="K604" i="6" s="1"/>
  <c r="J604" i="6"/>
  <c r="A605" i="6"/>
  <c r="B605" i="6" s="1"/>
  <c r="J605" i="6"/>
  <c r="A606" i="6"/>
  <c r="B606" i="6" s="1"/>
  <c r="I606" i="6" s="1"/>
  <c r="J606" i="6"/>
  <c r="N606" i="6" s="1"/>
  <c r="A607" i="6"/>
  <c r="B607" i="6" s="1"/>
  <c r="G607" i="6" s="1"/>
  <c r="J607" i="6"/>
  <c r="N607" i="6" s="1"/>
  <c r="A608" i="6"/>
  <c r="B608" i="6" s="1"/>
  <c r="J608" i="6"/>
  <c r="A609" i="6"/>
  <c r="B609" i="6" s="1"/>
  <c r="J609" i="6"/>
  <c r="L609" i="6" s="1"/>
  <c r="M609" i="6" s="1"/>
  <c r="A610" i="6"/>
  <c r="B610" i="6" s="1"/>
  <c r="G610" i="6" s="1"/>
  <c r="J610" i="6"/>
  <c r="L610" i="6" s="1"/>
  <c r="M610" i="6" s="1"/>
  <c r="A611" i="6"/>
  <c r="B611" i="6" s="1"/>
  <c r="G611" i="6" s="1"/>
  <c r="J611" i="6"/>
  <c r="A612" i="6"/>
  <c r="B612" i="6" s="1"/>
  <c r="J612" i="6"/>
  <c r="L612" i="6" s="1"/>
  <c r="M612" i="6" s="1"/>
  <c r="A613" i="6"/>
  <c r="B613" i="6" s="1"/>
  <c r="J613" i="6"/>
  <c r="L613" i="6" s="1"/>
  <c r="M613" i="6" s="1"/>
  <c r="A614" i="6"/>
  <c r="B614" i="6" s="1"/>
  <c r="K614" i="6" s="1"/>
  <c r="J614" i="6"/>
  <c r="L614" i="6" s="1"/>
  <c r="M614" i="6" s="1"/>
  <c r="A615" i="6"/>
  <c r="B615" i="6" s="1"/>
  <c r="G615" i="6" s="1"/>
  <c r="J615" i="6"/>
  <c r="L615" i="6" s="1"/>
  <c r="M615" i="6" s="1"/>
  <c r="A616" i="6"/>
  <c r="B616" i="6" s="1"/>
  <c r="K616" i="6" s="1"/>
  <c r="J616" i="6"/>
  <c r="A617" i="6"/>
  <c r="B617" i="6" s="1"/>
  <c r="J617" i="6"/>
  <c r="L617" i="6" s="1"/>
  <c r="M617" i="6" s="1"/>
  <c r="A618" i="6"/>
  <c r="B618" i="6" s="1"/>
  <c r="I618" i="6" s="1"/>
  <c r="J618" i="6"/>
  <c r="N618" i="6" s="1"/>
  <c r="A619" i="6"/>
  <c r="B619" i="6" s="1"/>
  <c r="J619" i="6"/>
  <c r="N619" i="6" s="1"/>
  <c r="A620" i="6"/>
  <c r="B620" i="6" s="1"/>
  <c r="K620" i="6" s="1"/>
  <c r="J620" i="6"/>
  <c r="A621" i="6"/>
  <c r="B621" i="6" s="1"/>
  <c r="J621" i="6"/>
  <c r="L621" i="6" s="1"/>
  <c r="M621" i="6" s="1"/>
  <c r="A622" i="6"/>
  <c r="B622" i="6" s="1"/>
  <c r="I622" i="6" s="1"/>
  <c r="J622" i="6"/>
  <c r="A623" i="6"/>
  <c r="B623" i="6" s="1"/>
  <c r="G623" i="6" s="1"/>
  <c r="J623" i="6"/>
  <c r="A624" i="6"/>
  <c r="B624" i="6" s="1"/>
  <c r="J624" i="6"/>
  <c r="A625" i="6"/>
  <c r="B625" i="6" s="1"/>
  <c r="J625" i="6"/>
  <c r="L625" i="6" s="1"/>
  <c r="M625" i="6" s="1"/>
  <c r="A626" i="6"/>
  <c r="B626" i="6" s="1"/>
  <c r="G626" i="6" s="1"/>
  <c r="J626" i="6"/>
  <c r="L626" i="6" s="1"/>
  <c r="M626" i="6" s="1"/>
  <c r="A627" i="6"/>
  <c r="B627" i="6" s="1"/>
  <c r="G627" i="6" s="1"/>
  <c r="J627" i="6"/>
  <c r="N627" i="6" s="1"/>
  <c r="A628" i="6"/>
  <c r="B628" i="6" s="1"/>
  <c r="K628" i="6" s="1"/>
  <c r="J628" i="6"/>
  <c r="L628" i="6" s="1"/>
  <c r="M628" i="6" s="1"/>
  <c r="A629" i="6"/>
  <c r="B629" i="6" s="1"/>
  <c r="J629" i="6"/>
  <c r="L629" i="6" s="1"/>
  <c r="M629" i="6" s="1"/>
  <c r="A630" i="6"/>
  <c r="B630" i="6" s="1"/>
  <c r="J630" i="6"/>
  <c r="L630" i="6" s="1"/>
  <c r="M630" i="6" s="1"/>
  <c r="A631" i="6"/>
  <c r="B631" i="6" s="1"/>
  <c r="G631" i="6" s="1"/>
  <c r="J631" i="6"/>
  <c r="L631" i="6" s="1"/>
  <c r="M631" i="6" s="1"/>
  <c r="A632" i="6"/>
  <c r="B632" i="6" s="1"/>
  <c r="K632" i="6" s="1"/>
  <c r="J632" i="6"/>
  <c r="A633" i="6"/>
  <c r="B633" i="6" s="1"/>
  <c r="J633" i="6"/>
  <c r="L633" i="6" s="1"/>
  <c r="M633" i="6" s="1"/>
  <c r="A634" i="6"/>
  <c r="B634" i="6" s="1"/>
  <c r="I634" i="6" s="1"/>
  <c r="J634" i="6"/>
  <c r="L634" i="6" s="1"/>
  <c r="M634" i="6" s="1"/>
  <c r="A635" i="6"/>
  <c r="B635" i="6" s="1"/>
  <c r="J635" i="6"/>
  <c r="A636" i="6"/>
  <c r="B636" i="6" s="1"/>
  <c r="K636" i="6" s="1"/>
  <c r="J636" i="6"/>
  <c r="A637" i="6"/>
  <c r="B637" i="6" s="1"/>
  <c r="J637" i="6"/>
  <c r="L637" i="6" s="1"/>
  <c r="M637" i="6" s="1"/>
  <c r="A638" i="6"/>
  <c r="B638" i="6" s="1"/>
  <c r="I638" i="6" s="1"/>
  <c r="J638" i="6"/>
  <c r="N638" i="6" s="1"/>
  <c r="A639" i="6"/>
  <c r="B639" i="6" s="1"/>
  <c r="G639" i="6" s="1"/>
  <c r="J639" i="6"/>
  <c r="N639" i="6" s="1"/>
  <c r="A640" i="6"/>
  <c r="B640" i="6" s="1"/>
  <c r="J640" i="6"/>
  <c r="A641" i="6"/>
  <c r="B641" i="6" s="1"/>
  <c r="J641" i="6"/>
  <c r="L641" i="6" s="1"/>
  <c r="M641" i="6" s="1"/>
  <c r="A642" i="6"/>
  <c r="B642" i="6" s="1"/>
  <c r="G642" i="6" s="1"/>
  <c r="J642" i="6"/>
  <c r="L642" i="6" s="1"/>
  <c r="M642" i="6" s="1"/>
  <c r="A643" i="6"/>
  <c r="B643" i="6" s="1"/>
  <c r="G643" i="6" s="1"/>
  <c r="J643" i="6"/>
  <c r="N643" i="6" s="1"/>
  <c r="A644" i="6"/>
  <c r="B644" i="6" s="1"/>
  <c r="J644" i="6"/>
  <c r="L644" i="6" s="1"/>
  <c r="M644" i="6" s="1"/>
  <c r="A645" i="6"/>
  <c r="B645" i="6" s="1"/>
  <c r="J645" i="6"/>
  <c r="A646" i="6"/>
  <c r="B646" i="6" s="1"/>
  <c r="G646" i="6" s="1"/>
  <c r="J646" i="6"/>
  <c r="L646" i="6" s="1"/>
  <c r="M646" i="6" s="1"/>
  <c r="A647" i="6"/>
  <c r="B647" i="6" s="1"/>
  <c r="G647" i="6" s="1"/>
  <c r="J647" i="6"/>
  <c r="L647" i="6" s="1"/>
  <c r="M647" i="6" s="1"/>
  <c r="A648" i="6"/>
  <c r="B648" i="6" s="1"/>
  <c r="K648" i="6" s="1"/>
  <c r="J648" i="6"/>
  <c r="A649" i="6"/>
  <c r="B649" i="6" s="1"/>
  <c r="J649" i="6"/>
  <c r="L649" i="6" s="1"/>
  <c r="M649" i="6" s="1"/>
  <c r="A650" i="6"/>
  <c r="B650" i="6" s="1"/>
  <c r="I650" i="6" s="1"/>
  <c r="J650" i="6"/>
  <c r="L650" i="6" s="1"/>
  <c r="M650" i="6" s="1"/>
  <c r="A651" i="6"/>
  <c r="B651" i="6" s="1"/>
  <c r="J651" i="6"/>
  <c r="L651" i="6" s="1"/>
  <c r="M651" i="6" s="1"/>
  <c r="A652" i="6"/>
  <c r="B652" i="6" s="1"/>
  <c r="K652" i="6" s="1"/>
  <c r="J652" i="6"/>
  <c r="A653" i="6"/>
  <c r="B653" i="6" s="1"/>
  <c r="J653" i="6"/>
  <c r="L653" i="6" s="1"/>
  <c r="M653" i="6" s="1"/>
  <c r="A654" i="6"/>
  <c r="B654" i="6" s="1"/>
  <c r="I654" i="6" s="1"/>
  <c r="J654" i="6"/>
  <c r="N654" i="6" s="1"/>
  <c r="A655" i="6"/>
  <c r="B655" i="6" s="1"/>
  <c r="G655" i="6" s="1"/>
  <c r="J655" i="6"/>
  <c r="A656" i="6"/>
  <c r="B656" i="6" s="1"/>
  <c r="J656" i="6"/>
  <c r="A657" i="6"/>
  <c r="B657" i="6" s="1"/>
  <c r="J657" i="6"/>
  <c r="L657" i="6" s="1"/>
  <c r="M657" i="6" s="1"/>
  <c r="A658" i="6"/>
  <c r="B658" i="6" s="1"/>
  <c r="G658" i="6" s="1"/>
  <c r="J658" i="6"/>
  <c r="L658" i="6" s="1"/>
  <c r="M658" i="6" s="1"/>
  <c r="A659" i="6"/>
  <c r="B659" i="6" s="1"/>
  <c r="G659" i="6" s="1"/>
  <c r="J659" i="6"/>
  <c r="N659" i="6" s="1"/>
  <c r="A660" i="6"/>
  <c r="B660" i="6" s="1"/>
  <c r="K660" i="6" s="1"/>
  <c r="J660" i="6"/>
  <c r="L660" i="6" s="1"/>
  <c r="M660" i="6" s="1"/>
  <c r="A661" i="6"/>
  <c r="B661" i="6" s="1"/>
  <c r="J661" i="6"/>
  <c r="L661" i="6" s="1"/>
  <c r="M661" i="6" s="1"/>
  <c r="A662" i="6"/>
  <c r="B662" i="6" s="1"/>
  <c r="G662" i="6" s="1"/>
  <c r="J662" i="6"/>
  <c r="L662" i="6" s="1"/>
  <c r="M662" i="6" s="1"/>
  <c r="A663" i="6"/>
  <c r="B663" i="6" s="1"/>
  <c r="G663" i="6" s="1"/>
  <c r="J663" i="6"/>
  <c r="L663" i="6" s="1"/>
  <c r="M663" i="6" s="1"/>
  <c r="A664" i="6"/>
  <c r="B664" i="6" s="1"/>
  <c r="K664" i="6" s="1"/>
  <c r="J664" i="6"/>
  <c r="A665" i="6"/>
  <c r="B665" i="6" s="1"/>
  <c r="J665" i="6"/>
  <c r="L665" i="6" s="1"/>
  <c r="M665" i="6" s="1"/>
  <c r="A666" i="6"/>
  <c r="B666" i="6" s="1"/>
  <c r="I666" i="6" s="1"/>
  <c r="J666" i="6"/>
  <c r="A667" i="6"/>
  <c r="B667" i="6" s="1"/>
  <c r="J667" i="6"/>
  <c r="A668" i="6"/>
  <c r="B668" i="6" s="1"/>
  <c r="K668" i="6" s="1"/>
  <c r="J668" i="6"/>
  <c r="A669" i="6"/>
  <c r="B669" i="6" s="1"/>
  <c r="J669" i="6"/>
  <c r="A670" i="6"/>
  <c r="B670" i="6" s="1"/>
  <c r="I670" i="6" s="1"/>
  <c r="J670" i="6"/>
  <c r="N670" i="6" s="1"/>
  <c r="A671" i="6"/>
  <c r="B671" i="6" s="1"/>
  <c r="G671" i="6" s="1"/>
  <c r="J671" i="6"/>
  <c r="N671" i="6" s="1"/>
  <c r="A672" i="6"/>
  <c r="B672" i="6" s="1"/>
  <c r="J672" i="6"/>
  <c r="A673" i="6"/>
  <c r="B673" i="6" s="1"/>
  <c r="J673" i="6"/>
  <c r="L673" i="6" s="1"/>
  <c r="M673" i="6" s="1"/>
  <c r="A674" i="6"/>
  <c r="B674" i="6" s="1"/>
  <c r="G674" i="6" s="1"/>
  <c r="J674" i="6"/>
  <c r="L674" i="6" s="1"/>
  <c r="M674" i="6" s="1"/>
  <c r="A675" i="6"/>
  <c r="B675" i="6" s="1"/>
  <c r="G675" i="6" s="1"/>
  <c r="J675" i="6"/>
  <c r="A676" i="6"/>
  <c r="B676" i="6" s="1"/>
  <c r="J676" i="6"/>
  <c r="L676" i="6" s="1"/>
  <c r="M676" i="6" s="1"/>
  <c r="A677" i="6"/>
  <c r="B677" i="6" s="1"/>
  <c r="J677" i="6"/>
  <c r="L677" i="6" s="1"/>
  <c r="M677" i="6" s="1"/>
  <c r="A678" i="6"/>
  <c r="B678" i="6" s="1"/>
  <c r="J678" i="6"/>
  <c r="L678" i="6" s="1"/>
  <c r="M678" i="6" s="1"/>
  <c r="A679" i="6"/>
  <c r="B679" i="6" s="1"/>
  <c r="G679" i="6" s="1"/>
  <c r="J679" i="6"/>
  <c r="L679" i="6" s="1"/>
  <c r="M679" i="6" s="1"/>
  <c r="A680" i="6"/>
  <c r="B680" i="6" s="1"/>
  <c r="K680" i="6" s="1"/>
  <c r="J680" i="6"/>
  <c r="A681" i="6"/>
  <c r="B681" i="6" s="1"/>
  <c r="J681" i="6"/>
  <c r="L681" i="6" s="1"/>
  <c r="M681" i="6" s="1"/>
  <c r="A682" i="6"/>
  <c r="B682" i="6" s="1"/>
  <c r="I682" i="6" s="1"/>
  <c r="J682" i="6"/>
  <c r="N682" i="6" s="1"/>
  <c r="A683" i="6"/>
  <c r="B683" i="6" s="1"/>
  <c r="J683" i="6"/>
  <c r="N683" i="6" s="1"/>
  <c r="A684" i="6"/>
  <c r="B684" i="6" s="1"/>
  <c r="K684" i="6" s="1"/>
  <c r="J684" i="6"/>
  <c r="A685" i="6"/>
  <c r="B685" i="6" s="1"/>
  <c r="J685" i="6"/>
  <c r="L685" i="6" s="1"/>
  <c r="M685" i="6" s="1"/>
  <c r="A686" i="6"/>
  <c r="B686" i="6" s="1"/>
  <c r="I686" i="6" s="1"/>
  <c r="J686" i="6"/>
  <c r="A687" i="6"/>
  <c r="B687" i="6" s="1"/>
  <c r="G687" i="6" s="1"/>
  <c r="J687" i="6"/>
  <c r="A688" i="6"/>
  <c r="B688" i="6" s="1"/>
  <c r="G688" i="6" s="1"/>
  <c r="J688" i="6"/>
  <c r="A689" i="6"/>
  <c r="B689" i="6" s="1"/>
  <c r="G689" i="6" s="1"/>
  <c r="J689" i="6"/>
  <c r="N689" i="6" s="1"/>
  <c r="A690" i="6"/>
  <c r="B690" i="6" s="1"/>
  <c r="J690" i="6"/>
  <c r="N690" i="6" s="1"/>
  <c r="A691" i="6"/>
  <c r="B691" i="6" s="1"/>
  <c r="G691" i="6" s="1"/>
  <c r="J691" i="6"/>
  <c r="L691" i="6" s="1"/>
  <c r="M691" i="6" s="1"/>
  <c r="A692" i="6"/>
  <c r="B692" i="6" s="1"/>
  <c r="G692" i="6" s="1"/>
  <c r="J692" i="6"/>
  <c r="A693" i="6"/>
  <c r="B693" i="6" s="1"/>
  <c r="G693" i="6" s="1"/>
  <c r="J693" i="6"/>
  <c r="L693" i="6" s="1"/>
  <c r="M693" i="6" s="1"/>
  <c r="A694" i="6"/>
  <c r="B694" i="6" s="1"/>
  <c r="G694" i="6" s="1"/>
  <c r="J694" i="6"/>
  <c r="N694" i="6" s="1"/>
  <c r="A695" i="6"/>
  <c r="B695" i="6" s="1"/>
  <c r="G695" i="6" s="1"/>
  <c r="J695" i="6"/>
  <c r="N695" i="6" s="1"/>
  <c r="A696" i="6"/>
  <c r="B696" i="6" s="1"/>
  <c r="G696" i="6" s="1"/>
  <c r="J696" i="6"/>
  <c r="A697" i="6"/>
  <c r="B697" i="6" s="1"/>
  <c r="G697" i="6" s="1"/>
  <c r="J697" i="6"/>
  <c r="A698" i="6"/>
  <c r="B698" i="6" s="1"/>
  <c r="K698" i="6" s="1"/>
  <c r="J698" i="6"/>
  <c r="L698" i="6" s="1"/>
  <c r="M698" i="6" s="1"/>
  <c r="A699" i="6"/>
  <c r="B699" i="6" s="1"/>
  <c r="J699" i="6"/>
  <c r="L699" i="6" s="1"/>
  <c r="M699" i="6" s="1"/>
  <c r="A700" i="6"/>
  <c r="B700" i="6" s="1"/>
  <c r="J700" i="6"/>
  <c r="L700" i="6" s="1"/>
  <c r="M700" i="6" s="1"/>
  <c r="A701" i="6"/>
  <c r="B701" i="6" s="1"/>
  <c r="J701" i="6"/>
  <c r="A702" i="6"/>
  <c r="B702" i="6" s="1"/>
  <c r="G702" i="6" s="1"/>
  <c r="J702" i="6"/>
  <c r="L702" i="6" s="1"/>
  <c r="M702" i="6" s="1"/>
  <c r="A703" i="6"/>
  <c r="B703" i="6" s="1"/>
  <c r="G703" i="6" s="1"/>
  <c r="J703" i="6"/>
  <c r="A704" i="6"/>
  <c r="B704" i="6" s="1"/>
  <c r="J704" i="6"/>
  <c r="L704" i="6" s="1"/>
  <c r="M704" i="6" s="1"/>
  <c r="A705" i="6"/>
  <c r="B705" i="6" s="1"/>
  <c r="G705" i="6" s="1"/>
  <c r="J705" i="6"/>
  <c r="N705" i="6" s="1"/>
  <c r="A706" i="6"/>
  <c r="B706" i="6" s="1"/>
  <c r="J706" i="6"/>
  <c r="L706" i="6" s="1"/>
  <c r="M706" i="6" s="1"/>
  <c r="A707" i="6"/>
  <c r="B707" i="6" s="1"/>
  <c r="G707" i="6" s="1"/>
  <c r="J707" i="6"/>
  <c r="L707" i="6" s="1"/>
  <c r="M707" i="6" s="1"/>
  <c r="A708" i="6"/>
  <c r="B708" i="6" s="1"/>
  <c r="G708" i="6" s="1"/>
  <c r="J708" i="6"/>
  <c r="A709" i="6"/>
  <c r="B709" i="6" s="1"/>
  <c r="G709" i="6" s="1"/>
  <c r="J709" i="6"/>
  <c r="L709" i="6" s="1"/>
  <c r="M709" i="6" s="1"/>
  <c r="A710" i="6"/>
  <c r="B710" i="6" s="1"/>
  <c r="G710" i="6" s="1"/>
  <c r="J710" i="6"/>
  <c r="A711" i="6"/>
  <c r="B711" i="6" s="1"/>
  <c r="G711" i="6" s="1"/>
  <c r="J711" i="6"/>
  <c r="A712" i="6"/>
  <c r="B712" i="6" s="1"/>
  <c r="J712" i="6"/>
  <c r="A713" i="6"/>
  <c r="B713" i="6" s="1"/>
  <c r="G713" i="6" s="1"/>
  <c r="J713" i="6"/>
  <c r="L713" i="6" s="1"/>
  <c r="M713" i="6" s="1"/>
  <c r="A714" i="6"/>
  <c r="B714" i="6" s="1"/>
  <c r="J714" i="6"/>
  <c r="N714" i="6" s="1"/>
  <c r="A715" i="6"/>
  <c r="B715" i="6" s="1"/>
  <c r="J715" i="6"/>
  <c r="N715" i="6" s="1"/>
  <c r="A716" i="6"/>
  <c r="B716" i="6" s="1"/>
  <c r="G716" i="6" s="1"/>
  <c r="J716" i="6"/>
  <c r="A717" i="6"/>
  <c r="B717" i="6" s="1"/>
  <c r="J717" i="6"/>
  <c r="N717" i="6" s="1"/>
  <c r="A718" i="6"/>
  <c r="B718" i="6" s="1"/>
  <c r="G718" i="6" s="1"/>
  <c r="J718" i="6"/>
  <c r="L718" i="6" s="1"/>
  <c r="M718" i="6" s="1"/>
  <c r="A719" i="6"/>
  <c r="B719" i="6" s="1"/>
  <c r="G719" i="6" s="1"/>
  <c r="J719" i="6"/>
  <c r="N719" i="6" s="1"/>
  <c r="A720" i="6"/>
  <c r="B720" i="6" s="1"/>
  <c r="J720" i="6"/>
  <c r="L720" i="6" s="1"/>
  <c r="M720" i="6" s="1"/>
  <c r="A721" i="6"/>
  <c r="B721" i="6" s="1"/>
  <c r="G721" i="6" s="1"/>
  <c r="J721" i="6"/>
  <c r="N721" i="6" s="1"/>
  <c r="A722" i="6"/>
  <c r="B722" i="6" s="1"/>
  <c r="J722" i="6"/>
  <c r="N722" i="6" s="1"/>
  <c r="A723" i="6"/>
  <c r="B723" i="6" s="1"/>
  <c r="G723" i="6" s="1"/>
  <c r="J723" i="6"/>
  <c r="L723" i="6" s="1"/>
  <c r="M723" i="6" s="1"/>
  <c r="A724" i="6"/>
  <c r="B724" i="6" s="1"/>
  <c r="G724" i="6" s="1"/>
  <c r="J724" i="6"/>
  <c r="A725" i="6"/>
  <c r="B725" i="6" s="1"/>
  <c r="G725" i="6" s="1"/>
  <c r="J725" i="6"/>
  <c r="L725" i="6" s="1"/>
  <c r="M725" i="6" s="1"/>
  <c r="A726" i="6"/>
  <c r="B726" i="6" s="1"/>
  <c r="G726" i="6" s="1"/>
  <c r="J726" i="6"/>
  <c r="N726" i="6" s="1"/>
  <c r="A727" i="6"/>
  <c r="B727" i="6" s="1"/>
  <c r="G727" i="6" s="1"/>
  <c r="J727" i="6"/>
  <c r="L727" i="6" s="1"/>
  <c r="M727" i="6" s="1"/>
  <c r="A728" i="6"/>
  <c r="B728" i="6" s="1"/>
  <c r="G728" i="6" s="1"/>
  <c r="J728" i="6"/>
  <c r="A729" i="6"/>
  <c r="B729" i="6" s="1"/>
  <c r="G729" i="6" s="1"/>
  <c r="J729" i="6"/>
  <c r="L729" i="6" s="1"/>
  <c r="M729" i="6" s="1"/>
  <c r="A730" i="6"/>
  <c r="B730" i="6" s="1"/>
  <c r="J730" i="6"/>
  <c r="N730" i="6" s="1"/>
  <c r="A731" i="6"/>
  <c r="B731" i="6" s="1"/>
  <c r="J731" i="6"/>
  <c r="L731" i="6" s="1"/>
  <c r="M731" i="6" s="1"/>
  <c r="A732" i="6"/>
  <c r="B732" i="6" s="1"/>
  <c r="J732" i="6"/>
  <c r="L732" i="6" s="1"/>
  <c r="M732" i="6" s="1"/>
  <c r="A733" i="6"/>
  <c r="B733" i="6" s="1"/>
  <c r="J733" i="6"/>
  <c r="A734" i="6"/>
  <c r="B734" i="6" s="1"/>
  <c r="G734" i="6" s="1"/>
  <c r="J734" i="6"/>
  <c r="L734" i="6" s="1"/>
  <c r="M734" i="6" s="1"/>
  <c r="A735" i="6"/>
  <c r="B735" i="6" s="1"/>
  <c r="G735" i="6" s="1"/>
  <c r="J735" i="6"/>
  <c r="N735" i="6" s="1"/>
  <c r="A736" i="6"/>
  <c r="B736" i="6" s="1"/>
  <c r="J736" i="6"/>
  <c r="L736" i="6" s="1"/>
  <c r="M736" i="6" s="1"/>
  <c r="A737" i="6"/>
  <c r="B737" i="6" s="1"/>
  <c r="G737" i="6" s="1"/>
  <c r="J737" i="6"/>
  <c r="N737" i="6" s="1"/>
  <c r="A738" i="6"/>
  <c r="B738" i="6" s="1"/>
  <c r="J738" i="6"/>
  <c r="L738" i="6" s="1"/>
  <c r="M738" i="6" s="1"/>
  <c r="A739" i="6"/>
  <c r="B739" i="6" s="1"/>
  <c r="G739" i="6" s="1"/>
  <c r="J739" i="6"/>
  <c r="L739" i="6" s="1"/>
  <c r="M739" i="6" s="1"/>
  <c r="A740" i="6"/>
  <c r="B740" i="6" s="1"/>
  <c r="G740" i="6" s="1"/>
  <c r="J740" i="6"/>
  <c r="A741" i="6"/>
  <c r="B741" i="6" s="1"/>
  <c r="G741" i="6" s="1"/>
  <c r="J741" i="6"/>
  <c r="L741" i="6" s="1"/>
  <c r="M741" i="6" s="1"/>
  <c r="A742" i="6"/>
  <c r="B742" i="6" s="1"/>
  <c r="G742" i="6" s="1"/>
  <c r="J742" i="6"/>
  <c r="L742" i="6" s="1"/>
  <c r="M742" i="6" s="1"/>
  <c r="A743" i="6"/>
  <c r="B743" i="6" s="1"/>
  <c r="G743" i="6" s="1"/>
  <c r="J743" i="6"/>
  <c r="N743" i="6" s="1"/>
  <c r="A744" i="6"/>
  <c r="B744" i="6" s="1"/>
  <c r="J744" i="6"/>
  <c r="L744" i="6" s="1"/>
  <c r="M744" i="6" s="1"/>
  <c r="A745" i="6"/>
  <c r="B745" i="6" s="1"/>
  <c r="G745" i="6" s="1"/>
  <c r="J745" i="6"/>
  <c r="A746" i="6"/>
  <c r="B746" i="6" s="1"/>
  <c r="I746" i="6" s="1"/>
  <c r="J746" i="6"/>
  <c r="A747" i="6"/>
  <c r="B747" i="6" s="1"/>
  <c r="J747" i="6"/>
  <c r="L747" i="6" s="1"/>
  <c r="M747" i="6" s="1"/>
  <c r="A748" i="6"/>
  <c r="B748" i="6" s="1"/>
  <c r="G748" i="6" s="1"/>
  <c r="J748" i="6"/>
  <c r="A749" i="6"/>
  <c r="B749" i="6" s="1"/>
  <c r="J749" i="6"/>
  <c r="N749" i="6" s="1"/>
  <c r="A750" i="6"/>
  <c r="B750" i="6" s="1"/>
  <c r="J750" i="6"/>
  <c r="L750" i="6" s="1"/>
  <c r="M750" i="6" s="1"/>
  <c r="A751" i="6"/>
  <c r="B751" i="6" s="1"/>
  <c r="G751" i="6" s="1"/>
  <c r="J751" i="6"/>
  <c r="N751" i="6" s="1"/>
  <c r="A752" i="6"/>
  <c r="B752" i="6" s="1"/>
  <c r="J752" i="6"/>
  <c r="L752" i="6" s="1"/>
  <c r="M752" i="6" s="1"/>
  <c r="A753" i="6"/>
  <c r="B753" i="6" s="1"/>
  <c r="G753" i="6" s="1"/>
  <c r="J753" i="6"/>
  <c r="N753" i="6" s="1"/>
  <c r="A754" i="6"/>
  <c r="B754" i="6" s="1"/>
  <c r="J754" i="6"/>
  <c r="N754" i="6" s="1"/>
  <c r="A755" i="6"/>
  <c r="B755" i="6" s="1"/>
  <c r="G755" i="6" s="1"/>
  <c r="J755" i="6"/>
  <c r="L755" i="6" s="1"/>
  <c r="M755" i="6" s="1"/>
  <c r="A756" i="6"/>
  <c r="B756" i="6" s="1"/>
  <c r="G756" i="6" s="1"/>
  <c r="J756" i="6"/>
  <c r="A757" i="6"/>
  <c r="B757" i="6" s="1"/>
  <c r="G757" i="6" s="1"/>
  <c r="J757" i="6"/>
  <c r="L757" i="6" s="1"/>
  <c r="M757" i="6" s="1"/>
  <c r="A758" i="6"/>
  <c r="B758" i="6" s="1"/>
  <c r="G758" i="6" s="1"/>
  <c r="J758" i="6"/>
  <c r="A759" i="6"/>
  <c r="B759" i="6" s="1"/>
  <c r="G759" i="6" s="1"/>
  <c r="J759" i="6"/>
  <c r="N759" i="6" s="1"/>
  <c r="A760" i="6"/>
  <c r="B760" i="6" s="1"/>
  <c r="G760" i="6" s="1"/>
  <c r="J760" i="6"/>
  <c r="A761" i="6"/>
  <c r="B761" i="6" s="1"/>
  <c r="G761" i="6" s="1"/>
  <c r="J761" i="6"/>
  <c r="L761" i="6" s="1"/>
  <c r="M761" i="6" s="1"/>
  <c r="A762" i="6"/>
  <c r="B762" i="6" s="1"/>
  <c r="J762" i="6"/>
  <c r="N762" i="6" s="1"/>
  <c r="A763" i="6"/>
  <c r="B763" i="6" s="1"/>
  <c r="J763" i="6"/>
  <c r="L763" i="6" s="1"/>
  <c r="M763" i="6" s="1"/>
  <c r="A764" i="6"/>
  <c r="B764" i="6" s="1"/>
  <c r="J764" i="6"/>
  <c r="L764" i="6" s="1"/>
  <c r="M764" i="6" s="1"/>
  <c r="A765" i="6"/>
  <c r="B765" i="6" s="1"/>
  <c r="J765" i="6"/>
  <c r="L765" i="6" s="1"/>
  <c r="M765" i="6" s="1"/>
  <c r="A766" i="6"/>
  <c r="B766" i="6" s="1"/>
  <c r="J766" i="6"/>
  <c r="N766" i="6" s="1"/>
  <c r="A767" i="6"/>
  <c r="B767" i="6" s="1"/>
  <c r="G767" i="6" s="1"/>
  <c r="J767" i="6"/>
  <c r="N767" i="6" s="1"/>
  <c r="A768" i="6"/>
  <c r="B768" i="6" s="1"/>
  <c r="G768" i="6" s="1"/>
  <c r="J768" i="6"/>
  <c r="L768" i="6" s="1"/>
  <c r="M768" i="6" s="1"/>
  <c r="A769" i="6"/>
  <c r="B769" i="6" s="1"/>
  <c r="G769" i="6" s="1"/>
  <c r="J769" i="6"/>
  <c r="N769" i="6" s="1"/>
  <c r="A770" i="6"/>
  <c r="B770" i="6" s="1"/>
  <c r="G770" i="6" s="1"/>
  <c r="J770" i="6"/>
  <c r="L770" i="6" s="1"/>
  <c r="M770" i="6" s="1"/>
  <c r="A771" i="6"/>
  <c r="B771" i="6" s="1"/>
  <c r="G771" i="6" s="1"/>
  <c r="J771" i="6"/>
  <c r="L771" i="6" s="1"/>
  <c r="M771" i="6" s="1"/>
  <c r="A772" i="6"/>
  <c r="B772" i="6" s="1"/>
  <c r="G772" i="6" s="1"/>
  <c r="J772" i="6"/>
  <c r="L772" i="6" s="1"/>
  <c r="M772" i="6" s="1"/>
  <c r="A773" i="6"/>
  <c r="B773" i="6" s="1"/>
  <c r="G773" i="6" s="1"/>
  <c r="J773" i="6"/>
  <c r="L773" i="6" s="1"/>
  <c r="M773" i="6" s="1"/>
  <c r="A774" i="6"/>
  <c r="B774" i="6" s="1"/>
  <c r="G774" i="6" s="1"/>
  <c r="J774" i="6"/>
  <c r="N774" i="6" s="1"/>
  <c r="A775" i="6"/>
  <c r="B775" i="6" s="1"/>
  <c r="G775" i="6" s="1"/>
  <c r="J775" i="6"/>
  <c r="N775" i="6" s="1"/>
  <c r="A776" i="6"/>
  <c r="B776" i="6" s="1"/>
  <c r="J776" i="6"/>
  <c r="L776" i="6" s="1"/>
  <c r="M776" i="6" s="1"/>
  <c r="A777" i="6"/>
  <c r="B777" i="6" s="1"/>
  <c r="G777" i="6" s="1"/>
  <c r="J777" i="6"/>
  <c r="L777" i="6" s="1"/>
  <c r="M777" i="6" s="1"/>
  <c r="A778" i="6"/>
  <c r="B778" i="6" s="1"/>
  <c r="G778" i="6" s="1"/>
  <c r="J778" i="6"/>
  <c r="L778" i="6" s="1"/>
  <c r="M778" i="6" s="1"/>
  <c r="A779" i="6"/>
  <c r="B779" i="6" s="1"/>
  <c r="J779" i="6"/>
  <c r="L779" i="6" s="1"/>
  <c r="M779" i="6" s="1"/>
  <c r="A780" i="6"/>
  <c r="B780" i="6" s="1"/>
  <c r="J780" i="6"/>
  <c r="L780" i="6" s="1"/>
  <c r="M780" i="6" s="1"/>
  <c r="A781" i="6"/>
  <c r="B781" i="6" s="1"/>
  <c r="J781" i="6"/>
  <c r="N781" i="6" s="1"/>
  <c r="A782" i="6"/>
  <c r="B782" i="6" s="1"/>
  <c r="I782" i="6" s="1"/>
  <c r="J782" i="6"/>
  <c r="N782" i="6" s="1"/>
  <c r="A783" i="6"/>
  <c r="B783" i="6" s="1"/>
  <c r="I783" i="6" s="1"/>
  <c r="J783" i="6"/>
  <c r="N783" i="6" s="1"/>
  <c r="A784" i="6"/>
  <c r="B784" i="6" s="1"/>
  <c r="J784" i="6"/>
  <c r="L784" i="6" s="1"/>
  <c r="M784" i="6" s="1"/>
  <c r="A785" i="6"/>
  <c r="B785" i="6" s="1"/>
  <c r="K785" i="6" s="1"/>
  <c r="J785" i="6"/>
  <c r="N785" i="6" s="1"/>
  <c r="A786" i="6"/>
  <c r="B786" i="6" s="1"/>
  <c r="G786" i="6" s="1"/>
  <c r="J786" i="6"/>
  <c r="N786" i="6" s="1"/>
  <c r="A787" i="6"/>
  <c r="B787" i="6" s="1"/>
  <c r="J787" i="6"/>
  <c r="L787" i="6" s="1"/>
  <c r="M787" i="6" s="1"/>
  <c r="A788" i="6"/>
  <c r="B788" i="6" s="1"/>
  <c r="G788" i="6" s="1"/>
  <c r="J788" i="6"/>
  <c r="L788" i="6" s="1"/>
  <c r="M788" i="6" s="1"/>
  <c r="A789" i="6"/>
  <c r="B789" i="6" s="1"/>
  <c r="K789" i="6" s="1"/>
  <c r="J789" i="6"/>
  <c r="N789" i="6" s="1"/>
  <c r="A790" i="6"/>
  <c r="B790" i="6" s="1"/>
  <c r="G790" i="6" s="1"/>
  <c r="J790" i="6"/>
  <c r="L790" i="6" s="1"/>
  <c r="M790" i="6" s="1"/>
  <c r="A791" i="6"/>
  <c r="B791" i="6" s="1"/>
  <c r="J791" i="6"/>
  <c r="N791" i="6" s="1"/>
  <c r="A792" i="6"/>
  <c r="B792" i="6" s="1"/>
  <c r="J792" i="6"/>
  <c r="L792" i="6" s="1"/>
  <c r="M792" i="6" s="1"/>
  <c r="A793" i="6"/>
  <c r="B793" i="6" s="1"/>
  <c r="K793" i="6" s="1"/>
  <c r="J793" i="6"/>
  <c r="N793" i="6" s="1"/>
  <c r="A794" i="6"/>
  <c r="B794" i="6" s="1"/>
  <c r="G794" i="6" s="1"/>
  <c r="J794" i="6"/>
  <c r="N794" i="6" s="1"/>
  <c r="A795" i="6"/>
  <c r="B795" i="6" s="1"/>
  <c r="J795" i="6"/>
  <c r="L795" i="6" s="1"/>
  <c r="M795" i="6" s="1"/>
  <c r="A796" i="6"/>
  <c r="B796" i="6" s="1"/>
  <c r="G796" i="6" s="1"/>
  <c r="J796" i="6"/>
  <c r="L796" i="6" s="1"/>
  <c r="M796" i="6" s="1"/>
  <c r="A797" i="6"/>
  <c r="B797" i="6" s="1"/>
  <c r="K797" i="6" s="1"/>
  <c r="J797" i="6"/>
  <c r="L797" i="6" s="1"/>
  <c r="M797" i="6" s="1"/>
  <c r="A798" i="6"/>
  <c r="B798" i="6" s="1"/>
  <c r="J798" i="6"/>
  <c r="L798" i="6" s="1"/>
  <c r="M798" i="6" s="1"/>
  <c r="A799" i="6"/>
  <c r="B799" i="6" s="1"/>
  <c r="J799" i="6"/>
  <c r="L799" i="6" s="1"/>
  <c r="M799" i="6" s="1"/>
  <c r="A800" i="6"/>
  <c r="B800" i="6" s="1"/>
  <c r="G800" i="6" s="1"/>
  <c r="J800" i="6"/>
  <c r="L800" i="6" s="1"/>
  <c r="M800" i="6" s="1"/>
  <c r="A801" i="6"/>
  <c r="B801" i="6" s="1"/>
  <c r="K801" i="6" s="1"/>
  <c r="J801" i="6"/>
  <c r="N801" i="6" s="1"/>
  <c r="A802" i="6"/>
  <c r="B802" i="6" s="1"/>
  <c r="G802" i="6" s="1"/>
  <c r="J802" i="6"/>
  <c r="L802" i="6" s="1"/>
  <c r="M802" i="6" s="1"/>
  <c r="A803" i="6"/>
  <c r="B803" i="6" s="1"/>
  <c r="J803" i="6"/>
  <c r="L803" i="6" s="1"/>
  <c r="M803" i="6" s="1"/>
  <c r="A804" i="6"/>
  <c r="B804" i="6" s="1"/>
  <c r="G804" i="6" s="1"/>
  <c r="J804" i="6"/>
  <c r="L804" i="6" s="1"/>
  <c r="M804" i="6" s="1"/>
  <c r="A805" i="6"/>
  <c r="B805" i="6" s="1"/>
  <c r="K805" i="6" s="1"/>
  <c r="J805" i="6"/>
  <c r="L805" i="6" s="1"/>
  <c r="M805" i="6" s="1"/>
  <c r="A806" i="6"/>
  <c r="B806" i="6" s="1"/>
  <c r="J806" i="6"/>
  <c r="L806" i="6" s="1"/>
  <c r="M806" i="6" s="1"/>
  <c r="A807" i="6"/>
  <c r="B807" i="6" s="1"/>
  <c r="J807" i="6"/>
  <c r="L807" i="6" s="1"/>
  <c r="M807" i="6" s="1"/>
  <c r="A808" i="6"/>
  <c r="B808" i="6" s="1"/>
  <c r="G808" i="6" s="1"/>
  <c r="J808" i="6"/>
  <c r="L808" i="6" s="1"/>
  <c r="M808" i="6" s="1"/>
  <c r="A809" i="6"/>
  <c r="B809" i="6" s="1"/>
  <c r="K809" i="6" s="1"/>
  <c r="J809" i="6"/>
  <c r="N809" i="6" s="1"/>
  <c r="A810" i="6"/>
  <c r="B810" i="6" s="1"/>
  <c r="G810" i="6" s="1"/>
  <c r="J810" i="6"/>
  <c r="L810" i="6" s="1"/>
  <c r="M810" i="6" s="1"/>
  <c r="A811" i="6"/>
  <c r="B811" i="6" s="1"/>
  <c r="J811" i="6"/>
  <c r="L811" i="6" s="1"/>
  <c r="M811" i="6" s="1"/>
  <c r="A812" i="6"/>
  <c r="B812" i="6" s="1"/>
  <c r="G812" i="6" s="1"/>
  <c r="J812" i="6"/>
  <c r="L812" i="6" s="1"/>
  <c r="M812" i="6" s="1"/>
  <c r="A813" i="6"/>
  <c r="B813" i="6" s="1"/>
  <c r="K813" i="6" s="1"/>
  <c r="J813" i="6"/>
  <c r="L813" i="6" s="1"/>
  <c r="M813" i="6" s="1"/>
  <c r="A814" i="6"/>
  <c r="B814" i="6" s="1"/>
  <c r="J814" i="6"/>
  <c r="L814" i="6" s="1"/>
  <c r="M814" i="6" s="1"/>
  <c r="A815" i="6"/>
  <c r="B815" i="6" s="1"/>
  <c r="J815" i="6"/>
  <c r="L815" i="6" s="1"/>
  <c r="M815" i="6" s="1"/>
  <c r="A816" i="6"/>
  <c r="B816" i="6" s="1"/>
  <c r="G816" i="6" s="1"/>
  <c r="J816" i="6"/>
  <c r="L816" i="6" s="1"/>
  <c r="M816" i="6" s="1"/>
  <c r="A817" i="6"/>
  <c r="B817" i="6" s="1"/>
  <c r="K817" i="6" s="1"/>
  <c r="J817" i="6"/>
  <c r="N817" i="6" s="1"/>
  <c r="A818" i="6"/>
  <c r="B818" i="6" s="1"/>
  <c r="G818" i="6" s="1"/>
  <c r="J818" i="6"/>
  <c r="L818" i="6" s="1"/>
  <c r="M818" i="6" s="1"/>
  <c r="A819" i="6"/>
  <c r="B819" i="6" s="1"/>
  <c r="J819" i="6"/>
  <c r="L819" i="6" s="1"/>
  <c r="M819" i="6" s="1"/>
  <c r="A820" i="6"/>
  <c r="B820" i="6" s="1"/>
  <c r="G820" i="6" s="1"/>
  <c r="J820" i="6"/>
  <c r="L820" i="6" s="1"/>
  <c r="M820" i="6" s="1"/>
  <c r="A821" i="6"/>
  <c r="B821" i="6" s="1"/>
  <c r="K821" i="6" s="1"/>
  <c r="J821" i="6"/>
  <c r="L821" i="6" s="1"/>
  <c r="M821" i="6" s="1"/>
  <c r="A822" i="6"/>
  <c r="B822" i="6" s="1"/>
  <c r="J822" i="6"/>
  <c r="L822" i="6" s="1"/>
  <c r="M822" i="6" s="1"/>
  <c r="A823" i="6"/>
  <c r="B823" i="6" s="1"/>
  <c r="I823" i="6" s="1"/>
  <c r="J823" i="6"/>
  <c r="L823" i="6" s="1"/>
  <c r="M823" i="6" s="1"/>
  <c r="A824" i="6"/>
  <c r="B824" i="6" s="1"/>
  <c r="J824" i="6"/>
  <c r="L824" i="6" s="1"/>
  <c r="M824" i="6" s="1"/>
  <c r="A825" i="6"/>
  <c r="B825" i="6" s="1"/>
  <c r="K825" i="6" s="1"/>
  <c r="J825" i="6"/>
  <c r="N825" i="6" s="1"/>
  <c r="A826" i="6"/>
  <c r="B826" i="6" s="1"/>
  <c r="G826" i="6" s="1"/>
  <c r="J826" i="6"/>
  <c r="N826" i="6" s="1"/>
  <c r="A827" i="6"/>
  <c r="B827" i="6" s="1"/>
  <c r="J827" i="6"/>
  <c r="L827" i="6" s="1"/>
  <c r="M827" i="6" s="1"/>
  <c r="A828" i="6"/>
  <c r="B828" i="6" s="1"/>
  <c r="G828" i="6" s="1"/>
  <c r="J828" i="6"/>
  <c r="L828" i="6" s="1"/>
  <c r="M828" i="6" s="1"/>
  <c r="A829" i="6"/>
  <c r="B829" i="6" s="1"/>
  <c r="K829" i="6" s="1"/>
  <c r="J829" i="6"/>
  <c r="N829" i="6" s="1"/>
  <c r="A830" i="6"/>
  <c r="B830" i="6" s="1"/>
  <c r="I830" i="6" s="1"/>
  <c r="J830" i="6"/>
  <c r="L830" i="6" s="1"/>
  <c r="M830" i="6" s="1"/>
  <c r="A831" i="6"/>
  <c r="B831" i="6" s="1"/>
  <c r="I831" i="6" s="1"/>
  <c r="J831" i="6"/>
  <c r="N831" i="6" s="1"/>
  <c r="A832" i="6"/>
  <c r="B832" i="6" s="1"/>
  <c r="J832" i="6"/>
  <c r="L832" i="6" s="1"/>
  <c r="M832" i="6" s="1"/>
  <c r="A833" i="6"/>
  <c r="B833" i="6" s="1"/>
  <c r="K833" i="6" s="1"/>
  <c r="J833" i="6"/>
  <c r="N833" i="6" s="1"/>
  <c r="A834" i="6"/>
  <c r="B834" i="6" s="1"/>
  <c r="G834" i="6" s="1"/>
  <c r="J834" i="6"/>
  <c r="N834" i="6" s="1"/>
  <c r="A835" i="6"/>
  <c r="B835" i="6" s="1"/>
  <c r="J835" i="6"/>
  <c r="L835" i="6" s="1"/>
  <c r="M835" i="6" s="1"/>
  <c r="A836" i="6"/>
  <c r="B836" i="6" s="1"/>
  <c r="G836" i="6" s="1"/>
  <c r="J836" i="6"/>
  <c r="L836" i="6" s="1"/>
  <c r="M836" i="6" s="1"/>
  <c r="A837" i="6"/>
  <c r="B837" i="6" s="1"/>
  <c r="K837" i="6" s="1"/>
  <c r="J837" i="6"/>
  <c r="N837" i="6" s="1"/>
  <c r="A838" i="6"/>
  <c r="B838" i="6" s="1"/>
  <c r="K838" i="6" s="1"/>
  <c r="J838" i="6"/>
  <c r="N838" i="6" s="1"/>
  <c r="A839" i="6"/>
  <c r="B839" i="6" s="1"/>
  <c r="I839" i="6" s="1"/>
  <c r="J839" i="6"/>
  <c r="N839" i="6" s="1"/>
  <c r="A840" i="6"/>
  <c r="B840" i="6" s="1"/>
  <c r="G840" i="6" s="1"/>
  <c r="J840" i="6"/>
  <c r="L840" i="6" s="1"/>
  <c r="M840" i="6" s="1"/>
  <c r="A841" i="6"/>
  <c r="B841" i="6" s="1"/>
  <c r="K841" i="6" s="1"/>
  <c r="J841" i="6"/>
  <c r="N841" i="6" s="1"/>
  <c r="A842" i="6"/>
  <c r="B842" i="6" s="1"/>
  <c r="G842" i="6" s="1"/>
  <c r="J842" i="6"/>
  <c r="N842" i="6" s="1"/>
  <c r="A843" i="6"/>
  <c r="B843" i="6" s="1"/>
  <c r="J843" i="6"/>
  <c r="L843" i="6" s="1"/>
  <c r="M843" i="6" s="1"/>
  <c r="A844" i="6"/>
  <c r="B844" i="6" s="1"/>
  <c r="G844" i="6" s="1"/>
  <c r="J844" i="6"/>
  <c r="L844" i="6" s="1"/>
  <c r="M844" i="6" s="1"/>
  <c r="A845" i="6"/>
  <c r="B845" i="6" s="1"/>
  <c r="K845" i="6" s="1"/>
  <c r="J845" i="6"/>
  <c r="N845" i="6" s="1"/>
  <c r="A846" i="6"/>
  <c r="B846" i="6" s="1"/>
  <c r="J846" i="6"/>
  <c r="L846" i="6" s="1"/>
  <c r="M846" i="6" s="1"/>
  <c r="A847" i="6"/>
  <c r="B847" i="6" s="1"/>
  <c r="J847" i="6"/>
  <c r="N847" i="6" s="1"/>
  <c r="A848" i="6"/>
  <c r="B848" i="6" s="1"/>
  <c r="G848" i="6" s="1"/>
  <c r="J848" i="6"/>
  <c r="L848" i="6" s="1"/>
  <c r="M848" i="6" s="1"/>
  <c r="A849" i="6"/>
  <c r="B849" i="6" s="1"/>
  <c r="K849" i="6" s="1"/>
  <c r="J849" i="6"/>
  <c r="N849" i="6" s="1"/>
  <c r="A850" i="6"/>
  <c r="B850" i="6" s="1"/>
  <c r="G850" i="6" s="1"/>
  <c r="J850" i="6"/>
  <c r="N850" i="6" s="1"/>
  <c r="A851" i="6"/>
  <c r="B851" i="6" s="1"/>
  <c r="J851" i="6"/>
  <c r="L851" i="6" s="1"/>
  <c r="M851" i="6" s="1"/>
  <c r="A852" i="6"/>
  <c r="B852" i="6" s="1"/>
  <c r="G852" i="6" s="1"/>
  <c r="J852" i="6"/>
  <c r="L852" i="6" s="1"/>
  <c r="M852" i="6" s="1"/>
  <c r="A853" i="6"/>
  <c r="B853" i="6" s="1"/>
  <c r="K853" i="6" s="1"/>
  <c r="J853" i="6"/>
  <c r="L853" i="6" s="1"/>
  <c r="M853" i="6" s="1"/>
  <c r="A854" i="6"/>
  <c r="B854" i="6" s="1"/>
  <c r="J854" i="6"/>
  <c r="L854" i="6" s="1"/>
  <c r="M854" i="6" s="1"/>
  <c r="A855" i="6"/>
  <c r="B855" i="6" s="1"/>
  <c r="J855" i="6"/>
  <c r="L855" i="6" s="1"/>
  <c r="M855" i="6" s="1"/>
  <c r="A856" i="6"/>
  <c r="B856" i="6" s="1"/>
  <c r="G856" i="6" s="1"/>
  <c r="J856" i="6"/>
  <c r="L856" i="6" s="1"/>
  <c r="M856" i="6" s="1"/>
  <c r="A857" i="6"/>
  <c r="B857" i="6" s="1"/>
  <c r="J857" i="6"/>
  <c r="L857" i="6" s="1"/>
  <c r="M857" i="6" s="1"/>
  <c r="A858" i="6"/>
  <c r="B858" i="6" s="1"/>
  <c r="K858" i="6" s="1"/>
  <c r="J858" i="6"/>
  <c r="N858" i="6" s="1"/>
  <c r="A859" i="6"/>
  <c r="B859" i="6" s="1"/>
  <c r="J859" i="6"/>
  <c r="N859" i="6" s="1"/>
  <c r="A860" i="6"/>
  <c r="B860" i="6" s="1"/>
  <c r="G860" i="6" s="1"/>
  <c r="J860" i="6"/>
  <c r="L860" i="6" s="1"/>
  <c r="M860" i="6" s="1"/>
  <c r="A861" i="6"/>
  <c r="B861" i="6" s="1"/>
  <c r="J861" i="6"/>
  <c r="L861" i="6" s="1"/>
  <c r="M861" i="6" s="1"/>
  <c r="A862" i="6"/>
  <c r="B862" i="6" s="1"/>
  <c r="K862" i="6" s="1"/>
  <c r="J862" i="6"/>
  <c r="N862" i="6" s="1"/>
  <c r="A863" i="6"/>
  <c r="B863" i="6" s="1"/>
  <c r="I863" i="6" s="1"/>
  <c r="J863" i="6"/>
  <c r="N863" i="6" s="1"/>
  <c r="A864" i="6"/>
  <c r="B864" i="6" s="1"/>
  <c r="G864" i="6" s="1"/>
  <c r="J864" i="6"/>
  <c r="L864" i="6" s="1"/>
  <c r="M864" i="6" s="1"/>
  <c r="A865" i="6"/>
  <c r="B865" i="6" s="1"/>
  <c r="J865" i="6"/>
  <c r="L865" i="6" s="1"/>
  <c r="M865" i="6" s="1"/>
  <c r="A866" i="6"/>
  <c r="B866" i="6" s="1"/>
  <c r="J866" i="6"/>
  <c r="N866" i="6" s="1"/>
  <c r="A867" i="6"/>
  <c r="B867" i="6" s="1"/>
  <c r="J867" i="6"/>
  <c r="L867" i="6" s="1"/>
  <c r="M867" i="6" s="1"/>
  <c r="A868" i="6"/>
  <c r="B868" i="6" s="1"/>
  <c r="G868" i="6" s="1"/>
  <c r="J868" i="6"/>
  <c r="L868" i="6" s="1"/>
  <c r="M868" i="6" s="1"/>
  <c r="A869" i="6"/>
  <c r="B869" i="6" s="1"/>
  <c r="J869" i="6"/>
  <c r="L869" i="6" s="1"/>
  <c r="M869" i="6" s="1"/>
  <c r="A870" i="6"/>
  <c r="B870" i="6" s="1"/>
  <c r="K870" i="6" s="1"/>
  <c r="J870" i="6"/>
  <c r="N870" i="6" s="1"/>
  <c r="A871" i="6"/>
  <c r="B871" i="6" s="1"/>
  <c r="I871" i="6" s="1"/>
  <c r="J871" i="6"/>
  <c r="N871" i="6" s="1"/>
  <c r="A872" i="6"/>
  <c r="B872" i="6" s="1"/>
  <c r="G872" i="6" s="1"/>
  <c r="J872" i="6"/>
  <c r="L872" i="6" s="1"/>
  <c r="M872" i="6" s="1"/>
  <c r="A873" i="6"/>
  <c r="B873" i="6" s="1"/>
  <c r="J873" i="6"/>
  <c r="L873" i="6" s="1"/>
  <c r="M873" i="6" s="1"/>
  <c r="A874" i="6"/>
  <c r="B874" i="6" s="1"/>
  <c r="J874" i="6"/>
  <c r="L874" i="6" s="1"/>
  <c r="M874" i="6" s="1"/>
  <c r="A875" i="6"/>
  <c r="B875" i="6" s="1"/>
  <c r="J875" i="6"/>
  <c r="L875" i="6" s="1"/>
  <c r="M875" i="6" s="1"/>
  <c r="A876" i="6"/>
  <c r="B876" i="6" s="1"/>
  <c r="G876" i="6" s="1"/>
  <c r="J876" i="6"/>
  <c r="L876" i="6" s="1"/>
  <c r="M876" i="6" s="1"/>
  <c r="A877" i="6"/>
  <c r="B877" i="6" s="1"/>
  <c r="J877" i="6"/>
  <c r="L877" i="6" s="1"/>
  <c r="M877" i="6" s="1"/>
  <c r="A878" i="6"/>
  <c r="B878" i="6" s="1"/>
  <c r="K878" i="6" s="1"/>
  <c r="J878" i="6"/>
  <c r="N878" i="6" s="1"/>
  <c r="A879" i="6"/>
  <c r="B879" i="6" s="1"/>
  <c r="I879" i="6" s="1"/>
  <c r="J879" i="6"/>
  <c r="L879" i="6" s="1"/>
  <c r="M879" i="6" s="1"/>
  <c r="A880" i="6"/>
  <c r="B880" i="6" s="1"/>
  <c r="G880" i="6" s="1"/>
  <c r="J880" i="6"/>
  <c r="L880" i="6" s="1"/>
  <c r="M880" i="6" s="1"/>
  <c r="A881" i="6"/>
  <c r="B881" i="6" s="1"/>
  <c r="J881" i="6"/>
  <c r="L881" i="6" s="1"/>
  <c r="M881" i="6" s="1"/>
  <c r="A882" i="6"/>
  <c r="B882" i="6" s="1"/>
  <c r="J882" i="6"/>
  <c r="N882" i="6" s="1"/>
  <c r="A883" i="6"/>
  <c r="B883" i="6" s="1"/>
  <c r="J883" i="6"/>
  <c r="N883" i="6" s="1"/>
  <c r="A884" i="6"/>
  <c r="B884" i="6" s="1"/>
  <c r="G884" i="6" s="1"/>
  <c r="J884" i="6"/>
  <c r="L884" i="6" s="1"/>
  <c r="M884" i="6" s="1"/>
  <c r="A885" i="6"/>
  <c r="B885" i="6" s="1"/>
  <c r="J885" i="6"/>
  <c r="L885" i="6" s="1"/>
  <c r="M885" i="6" s="1"/>
  <c r="A886" i="6"/>
  <c r="B886" i="6" s="1"/>
  <c r="K886" i="6" s="1"/>
  <c r="J886" i="6"/>
  <c r="N886" i="6" s="1"/>
  <c r="A887" i="6"/>
  <c r="B887" i="6" s="1"/>
  <c r="I887" i="6" s="1"/>
  <c r="J887" i="6"/>
  <c r="N887" i="6" s="1"/>
  <c r="A888" i="6"/>
  <c r="B888" i="6" s="1"/>
  <c r="G888" i="6" s="1"/>
  <c r="J888" i="6"/>
  <c r="L888" i="6" s="1"/>
  <c r="M888" i="6" s="1"/>
  <c r="A889" i="6"/>
  <c r="B889" i="6" s="1"/>
  <c r="J889" i="6"/>
  <c r="L889" i="6" s="1"/>
  <c r="M889" i="6" s="1"/>
  <c r="A890" i="6"/>
  <c r="B890" i="6" s="1"/>
  <c r="J890" i="6"/>
  <c r="L890" i="6" s="1"/>
  <c r="M890" i="6" s="1"/>
  <c r="A891" i="6"/>
  <c r="B891" i="6" s="1"/>
  <c r="J891" i="6"/>
  <c r="L891" i="6" s="1"/>
  <c r="M891" i="6" s="1"/>
  <c r="A892" i="6"/>
  <c r="B892" i="6" s="1"/>
  <c r="G892" i="6" s="1"/>
  <c r="J892" i="6"/>
  <c r="L892" i="6" s="1"/>
  <c r="M892" i="6" s="1"/>
  <c r="A893" i="6"/>
  <c r="B893" i="6" s="1"/>
  <c r="J893" i="6"/>
  <c r="L893" i="6" s="1"/>
  <c r="M893" i="6" s="1"/>
  <c r="A894" i="6"/>
  <c r="B894" i="6" s="1"/>
  <c r="J894" i="6"/>
  <c r="L894" i="6" s="1"/>
  <c r="M894" i="6" s="1"/>
  <c r="A895" i="6"/>
  <c r="B895" i="6" s="1"/>
  <c r="J895" i="6"/>
  <c r="L895" i="6" s="1"/>
  <c r="M895" i="6" s="1"/>
  <c r="A896" i="6"/>
  <c r="B896" i="6" s="1"/>
  <c r="G896" i="6" s="1"/>
  <c r="J896" i="6"/>
  <c r="L896" i="6" s="1"/>
  <c r="M896" i="6" s="1"/>
  <c r="A897" i="6"/>
  <c r="B897" i="6" s="1"/>
  <c r="J897" i="6"/>
  <c r="L897" i="6" s="1"/>
  <c r="M897" i="6" s="1"/>
  <c r="A898" i="6"/>
  <c r="B898" i="6" s="1"/>
  <c r="J898" i="6"/>
  <c r="L898" i="6" s="1"/>
  <c r="M898" i="6" s="1"/>
  <c r="A899" i="6"/>
  <c r="B899" i="6" s="1"/>
  <c r="I899" i="6" s="1"/>
  <c r="J899" i="6"/>
  <c r="N899" i="6" s="1"/>
  <c r="A900" i="6"/>
  <c r="B900" i="6" s="1"/>
  <c r="G900" i="6" s="1"/>
  <c r="J900" i="6"/>
  <c r="L900" i="6" s="1"/>
  <c r="M900" i="6" s="1"/>
  <c r="A901" i="6"/>
  <c r="B901" i="6" s="1"/>
  <c r="J901" i="6"/>
  <c r="L901" i="6" s="1"/>
  <c r="M901" i="6" s="1"/>
  <c r="A902" i="6"/>
  <c r="B902" i="6" s="1"/>
  <c r="J902" i="6"/>
  <c r="L902" i="6" s="1"/>
  <c r="M902" i="6" s="1"/>
  <c r="A903" i="6"/>
  <c r="B903" i="6" s="1"/>
  <c r="J903" i="6"/>
  <c r="N903" i="6" s="1"/>
  <c r="A904" i="6"/>
  <c r="B904" i="6" s="1"/>
  <c r="G904" i="6" s="1"/>
  <c r="J904" i="6"/>
  <c r="L904" i="6" s="1"/>
  <c r="M904" i="6" s="1"/>
  <c r="A905" i="6"/>
  <c r="B905" i="6" s="1"/>
  <c r="J905" i="6"/>
  <c r="L905" i="6" s="1"/>
  <c r="M905" i="6" s="1"/>
  <c r="A906" i="6"/>
  <c r="B906" i="6" s="1"/>
  <c r="J906" i="6"/>
  <c r="L906" i="6" s="1"/>
  <c r="M906" i="6" s="1"/>
  <c r="A907" i="6"/>
  <c r="B907" i="6" s="1"/>
  <c r="J907" i="6"/>
  <c r="N907" i="6" s="1"/>
  <c r="A908" i="6"/>
  <c r="B908" i="6" s="1"/>
  <c r="G908" i="6" s="1"/>
  <c r="J908" i="6"/>
  <c r="L908" i="6" s="1"/>
  <c r="M908" i="6" s="1"/>
  <c r="A909" i="6"/>
  <c r="B909" i="6" s="1"/>
  <c r="J909" i="6"/>
  <c r="L909" i="6" s="1"/>
  <c r="M909" i="6" s="1"/>
  <c r="A910" i="6"/>
  <c r="B910" i="6" s="1"/>
  <c r="K910" i="6" s="1"/>
  <c r="J910" i="6"/>
  <c r="N910" i="6" s="1"/>
  <c r="A911" i="6"/>
  <c r="B911" i="6" s="1"/>
  <c r="I911" i="6" s="1"/>
  <c r="J911" i="6"/>
  <c r="N911" i="6" s="1"/>
  <c r="A912" i="6"/>
  <c r="B912" i="6" s="1"/>
  <c r="G912" i="6" s="1"/>
  <c r="J912" i="6"/>
  <c r="L912" i="6" s="1"/>
  <c r="M912" i="6" s="1"/>
  <c r="A913" i="6"/>
  <c r="B913" i="6" s="1"/>
  <c r="J913" i="6"/>
  <c r="L913" i="6" s="1"/>
  <c r="M913" i="6" s="1"/>
  <c r="A914" i="6"/>
  <c r="B914" i="6" s="1"/>
  <c r="J914" i="6"/>
  <c r="L914" i="6" s="1"/>
  <c r="M914" i="6" s="1"/>
  <c r="A915" i="6"/>
  <c r="B915" i="6" s="1"/>
  <c r="J915" i="6"/>
  <c r="N915" i="6" s="1"/>
  <c r="A916" i="6"/>
  <c r="B916" i="6" s="1"/>
  <c r="G916" i="6" s="1"/>
  <c r="J916" i="6"/>
  <c r="L916" i="6" s="1"/>
  <c r="M916" i="6" s="1"/>
  <c r="A917" i="6"/>
  <c r="B917" i="6" s="1"/>
  <c r="J917" i="6"/>
  <c r="L917" i="6" s="1"/>
  <c r="M917" i="6" s="1"/>
  <c r="A918" i="6"/>
  <c r="B918" i="6" s="1"/>
  <c r="K918" i="6" s="1"/>
  <c r="J918" i="6"/>
  <c r="N918" i="6" s="1"/>
  <c r="A919" i="6"/>
  <c r="B919" i="6" s="1"/>
  <c r="I919" i="6" s="1"/>
  <c r="J919" i="6"/>
  <c r="N919" i="6" s="1"/>
  <c r="A920" i="6"/>
  <c r="B920" i="6" s="1"/>
  <c r="G920" i="6" s="1"/>
  <c r="J920" i="6"/>
  <c r="L920" i="6" s="1"/>
  <c r="M920" i="6" s="1"/>
  <c r="A921" i="6"/>
  <c r="B921" i="6" s="1"/>
  <c r="J921" i="6"/>
  <c r="L921" i="6" s="1"/>
  <c r="M921" i="6" s="1"/>
  <c r="A922" i="6"/>
  <c r="B922" i="6" s="1"/>
  <c r="J922" i="6"/>
  <c r="L922" i="6" s="1"/>
  <c r="M922" i="6" s="1"/>
  <c r="A923" i="6"/>
  <c r="B923" i="6" s="1"/>
  <c r="J923" i="6"/>
  <c r="N923" i="6" s="1"/>
  <c r="A924" i="6"/>
  <c r="B924" i="6" s="1"/>
  <c r="G924" i="6" s="1"/>
  <c r="J924" i="6"/>
  <c r="L924" i="6" s="1"/>
  <c r="M924" i="6" s="1"/>
  <c r="A925" i="6"/>
  <c r="B925" i="6" s="1"/>
  <c r="J925" i="6"/>
  <c r="L925" i="6" s="1"/>
  <c r="M925" i="6" s="1"/>
  <c r="A926" i="6"/>
  <c r="B926" i="6" s="1"/>
  <c r="J926" i="6"/>
  <c r="L926" i="6" s="1"/>
  <c r="M926" i="6" s="1"/>
  <c r="A927" i="6"/>
  <c r="B927" i="6" s="1"/>
  <c r="J927" i="6"/>
  <c r="N927" i="6" s="1"/>
  <c r="A928" i="6"/>
  <c r="B928" i="6" s="1"/>
  <c r="G928" i="6" s="1"/>
  <c r="J928" i="6"/>
  <c r="L928" i="6" s="1"/>
  <c r="M928" i="6" s="1"/>
  <c r="A929" i="6"/>
  <c r="B929" i="6" s="1"/>
  <c r="J929" i="6"/>
  <c r="L929" i="6" s="1"/>
  <c r="M929" i="6" s="1"/>
  <c r="A930" i="6"/>
  <c r="B930" i="6" s="1"/>
  <c r="J930" i="6"/>
  <c r="L930" i="6" s="1"/>
  <c r="M930" i="6" s="1"/>
  <c r="A931" i="6"/>
  <c r="B931" i="6" s="1"/>
  <c r="J931" i="6"/>
  <c r="N931" i="6" s="1"/>
  <c r="A932" i="6"/>
  <c r="B932" i="6" s="1"/>
  <c r="G932" i="6" s="1"/>
  <c r="J932" i="6"/>
  <c r="L932" i="6" s="1"/>
  <c r="M932" i="6" s="1"/>
  <c r="A933" i="6"/>
  <c r="B933" i="6" s="1"/>
  <c r="J933" i="6"/>
  <c r="L933" i="6" s="1"/>
  <c r="M933" i="6" s="1"/>
  <c r="A934" i="6"/>
  <c r="B934" i="6" s="1"/>
  <c r="K934" i="6" s="1"/>
  <c r="J934" i="6"/>
  <c r="N934" i="6" s="1"/>
  <c r="A935" i="6"/>
  <c r="B935" i="6" s="1"/>
  <c r="I935" i="6" s="1"/>
  <c r="J935" i="6"/>
  <c r="L935" i="6" s="1"/>
  <c r="M935" i="6" s="1"/>
  <c r="A936" i="6"/>
  <c r="B936" i="6" s="1"/>
  <c r="G936" i="6" s="1"/>
  <c r="J936" i="6"/>
  <c r="L936" i="6" s="1"/>
  <c r="M936" i="6" s="1"/>
  <c r="A937" i="6"/>
  <c r="B937" i="6" s="1"/>
  <c r="J937" i="6"/>
  <c r="L937" i="6" s="1"/>
  <c r="M937" i="6" s="1"/>
  <c r="A938" i="6"/>
  <c r="B938" i="6" s="1"/>
  <c r="J938" i="6"/>
  <c r="N938" i="6" s="1"/>
  <c r="A939" i="6"/>
  <c r="B939" i="6" s="1"/>
  <c r="I939" i="6" s="1"/>
  <c r="J939" i="6"/>
  <c r="N939" i="6" s="1"/>
  <c r="A940" i="6"/>
  <c r="B940" i="6" s="1"/>
  <c r="G940" i="6" s="1"/>
  <c r="J940" i="6"/>
  <c r="L940" i="6" s="1"/>
  <c r="M940" i="6" s="1"/>
  <c r="A941" i="6"/>
  <c r="B941" i="6" s="1"/>
  <c r="J941" i="6"/>
  <c r="N941" i="6" s="1"/>
  <c r="A942" i="6"/>
  <c r="B942" i="6" s="1"/>
  <c r="K942" i="6" s="1"/>
  <c r="J942" i="6"/>
  <c r="N942" i="6" s="1"/>
  <c r="A943" i="6"/>
  <c r="B943" i="6" s="1"/>
  <c r="J943" i="6"/>
  <c r="N943" i="6" s="1"/>
  <c r="A944" i="6"/>
  <c r="B944" i="6" s="1"/>
  <c r="G944" i="6" s="1"/>
  <c r="J944" i="6"/>
  <c r="L944" i="6" s="1"/>
  <c r="M944" i="6" s="1"/>
  <c r="A945" i="6"/>
  <c r="B945" i="6" s="1"/>
  <c r="J945" i="6"/>
  <c r="L945" i="6" s="1"/>
  <c r="M945" i="6" s="1"/>
  <c r="A946" i="6"/>
  <c r="B946" i="6" s="1"/>
  <c r="K946" i="6" s="1"/>
  <c r="J946" i="6"/>
  <c r="N946" i="6" s="1"/>
  <c r="A947" i="6"/>
  <c r="B947" i="6" s="1"/>
  <c r="I947" i="6" s="1"/>
  <c r="J947" i="6"/>
  <c r="N947" i="6" s="1"/>
  <c r="A948" i="6"/>
  <c r="B948" i="6" s="1"/>
  <c r="G948" i="6" s="1"/>
  <c r="J948" i="6"/>
  <c r="L948" i="6" s="1"/>
  <c r="M948" i="6" s="1"/>
  <c r="A949" i="6"/>
  <c r="B949" i="6" s="1"/>
  <c r="J949" i="6"/>
  <c r="L949" i="6" s="1"/>
  <c r="M949" i="6" s="1"/>
  <c r="A950" i="6"/>
  <c r="B950" i="6" s="1"/>
  <c r="J950" i="6"/>
  <c r="L950" i="6" s="1"/>
  <c r="M950" i="6" s="1"/>
  <c r="A951" i="6"/>
  <c r="B951" i="6" s="1"/>
  <c r="I951" i="6" s="1"/>
  <c r="J951" i="6"/>
  <c r="L951" i="6" s="1"/>
  <c r="M951" i="6" s="1"/>
  <c r="A952" i="6"/>
  <c r="B952" i="6" s="1"/>
  <c r="G952" i="6" s="1"/>
  <c r="J952" i="6"/>
  <c r="L952" i="6" s="1"/>
  <c r="M952" i="6" s="1"/>
  <c r="A953" i="6"/>
  <c r="B953" i="6" s="1"/>
  <c r="J953" i="6"/>
  <c r="L953" i="6" s="1"/>
  <c r="M953" i="6" s="1"/>
  <c r="A954" i="6"/>
  <c r="B954" i="6" s="1"/>
  <c r="G954" i="6" s="1"/>
  <c r="J954" i="6"/>
  <c r="L954" i="6" s="1"/>
  <c r="M954" i="6" s="1"/>
  <c r="A955" i="6"/>
  <c r="B955" i="6" s="1"/>
  <c r="J955" i="6"/>
  <c r="N955" i="6" s="1"/>
  <c r="A956" i="6"/>
  <c r="B956" i="6" s="1"/>
  <c r="G956" i="6" s="1"/>
  <c r="J956" i="6"/>
  <c r="L956" i="6" s="1"/>
  <c r="M956" i="6" s="1"/>
  <c r="A957" i="6"/>
  <c r="B957" i="6" s="1"/>
  <c r="J957" i="6"/>
  <c r="L957" i="6" s="1"/>
  <c r="M957" i="6" s="1"/>
  <c r="A958" i="6"/>
  <c r="B958" i="6" s="1"/>
  <c r="J958" i="6"/>
  <c r="L958" i="6" s="1"/>
  <c r="M958" i="6" s="1"/>
  <c r="A959" i="6"/>
  <c r="B959" i="6" s="1"/>
  <c r="J959" i="6"/>
  <c r="L959" i="6" s="1"/>
  <c r="M959" i="6" s="1"/>
  <c r="A960" i="6"/>
  <c r="B960" i="6" s="1"/>
  <c r="G960" i="6" s="1"/>
  <c r="J960" i="6"/>
  <c r="L960" i="6" s="1"/>
  <c r="M960" i="6" s="1"/>
  <c r="A961" i="6"/>
  <c r="B961" i="6" s="1"/>
  <c r="J961" i="6"/>
  <c r="L961" i="6" s="1"/>
  <c r="M961" i="6" s="1"/>
  <c r="A962" i="6"/>
  <c r="B962" i="6" s="1"/>
  <c r="I962" i="6" s="1"/>
  <c r="J962" i="6"/>
  <c r="N962" i="6" s="1"/>
  <c r="A963" i="6"/>
  <c r="B963" i="6" s="1"/>
  <c r="I963" i="6" s="1"/>
  <c r="J963" i="6"/>
  <c r="L963" i="6" s="1"/>
  <c r="M963" i="6" s="1"/>
  <c r="A964" i="6"/>
  <c r="B964" i="6" s="1"/>
  <c r="G964" i="6" s="1"/>
  <c r="J964" i="6"/>
  <c r="L964" i="6" s="1"/>
  <c r="M964" i="6" s="1"/>
  <c r="A965" i="6"/>
  <c r="B965" i="6" s="1"/>
  <c r="J965" i="6"/>
  <c r="L965" i="6" s="1"/>
  <c r="M965" i="6" s="1"/>
  <c r="A966" i="6"/>
  <c r="B966" i="6" s="1"/>
  <c r="J966" i="6"/>
  <c r="N966" i="6" s="1"/>
  <c r="A967" i="6"/>
  <c r="B967" i="6" s="1"/>
  <c r="I967" i="6" s="1"/>
  <c r="J967" i="6"/>
  <c r="L967" i="6" s="1"/>
  <c r="M967" i="6" s="1"/>
  <c r="A968" i="6"/>
  <c r="B968" i="6" s="1"/>
  <c r="G968" i="6" s="1"/>
  <c r="J968" i="6"/>
  <c r="L968" i="6" s="1"/>
  <c r="M968" i="6" s="1"/>
  <c r="A969" i="6"/>
  <c r="B969" i="6" s="1"/>
  <c r="J969" i="6"/>
  <c r="L969" i="6" s="1"/>
  <c r="M969" i="6" s="1"/>
  <c r="A970" i="6"/>
  <c r="B970" i="6" s="1"/>
  <c r="K970" i="6" s="1"/>
  <c r="J970" i="6"/>
  <c r="N970" i="6" s="1"/>
  <c r="A971" i="6"/>
  <c r="B971" i="6" s="1"/>
  <c r="I971" i="6" s="1"/>
  <c r="J971" i="6"/>
  <c r="N971" i="6" s="1"/>
  <c r="A972" i="6"/>
  <c r="B972" i="6" s="1"/>
  <c r="G972" i="6" s="1"/>
  <c r="J972" i="6"/>
  <c r="L972" i="6" s="1"/>
  <c r="M972" i="6" s="1"/>
  <c r="A973" i="6"/>
  <c r="B973" i="6" s="1"/>
  <c r="J973" i="6"/>
  <c r="L973" i="6" s="1"/>
  <c r="M973" i="6" s="1"/>
  <c r="A974" i="6"/>
  <c r="B974" i="6" s="1"/>
  <c r="G974" i="6" s="1"/>
  <c r="J974" i="6"/>
  <c r="L974" i="6" s="1"/>
  <c r="M974" i="6" s="1"/>
  <c r="A975" i="6"/>
  <c r="B975" i="6" s="1"/>
  <c r="J975" i="6"/>
  <c r="N975" i="6" s="1"/>
  <c r="A976" i="6"/>
  <c r="B976" i="6" s="1"/>
  <c r="G976" i="6" s="1"/>
  <c r="J976" i="6"/>
  <c r="L976" i="6" s="1"/>
  <c r="M976" i="6" s="1"/>
  <c r="A977" i="6"/>
  <c r="B977" i="6" s="1"/>
  <c r="J977" i="6"/>
  <c r="L977" i="6" s="1"/>
  <c r="M977" i="6" s="1"/>
  <c r="A978" i="6"/>
  <c r="B978" i="6" s="1"/>
  <c r="J978" i="6"/>
  <c r="L978" i="6" s="1"/>
  <c r="M978" i="6" s="1"/>
  <c r="A979" i="6"/>
  <c r="B979" i="6" s="1"/>
  <c r="J979" i="6"/>
  <c r="N979" i="6" s="1"/>
  <c r="A980" i="6"/>
  <c r="B980" i="6" s="1"/>
  <c r="G980" i="6" s="1"/>
  <c r="J980" i="6"/>
  <c r="L980" i="6" s="1"/>
  <c r="M980" i="6" s="1"/>
  <c r="A981" i="6"/>
  <c r="B981" i="6" s="1"/>
  <c r="J981" i="6"/>
  <c r="L981" i="6" s="1"/>
  <c r="M981" i="6" s="1"/>
  <c r="A982" i="6"/>
  <c r="B982" i="6" s="1"/>
  <c r="K982" i="6" s="1"/>
  <c r="J982" i="6"/>
  <c r="N982" i="6" s="1"/>
  <c r="N45" i="5"/>
  <c r="L452" i="6" l="1"/>
  <c r="M452" i="6" s="1"/>
  <c r="N445" i="6"/>
  <c r="Q445" i="6" s="1"/>
  <c r="R445" i="6" s="1"/>
  <c r="L783" i="6"/>
  <c r="M783" i="6" s="1"/>
  <c r="I662" i="6"/>
  <c r="L654" i="6"/>
  <c r="M654" i="6" s="1"/>
  <c r="N935" i="6"/>
  <c r="N876" i="6"/>
  <c r="L825" i="6"/>
  <c r="M825" i="6" s="1"/>
  <c r="N677" i="6"/>
  <c r="L934" i="6"/>
  <c r="M934" i="6" s="1"/>
  <c r="L774" i="6"/>
  <c r="M774" i="6" s="1"/>
  <c r="I696" i="6"/>
  <c r="L694" i="6"/>
  <c r="M694" i="6" s="1"/>
  <c r="L979" i="6"/>
  <c r="M979" i="6" s="1"/>
  <c r="N453" i="6"/>
  <c r="Q453" i="6" s="1"/>
  <c r="R453" i="6" s="1"/>
  <c r="I305" i="6"/>
  <c r="L866" i="6"/>
  <c r="M866" i="6" s="1"/>
  <c r="N731" i="6"/>
  <c r="L670" i="6"/>
  <c r="M670" i="6" s="1"/>
  <c r="N637" i="6"/>
  <c r="L575" i="6"/>
  <c r="M575" i="6" s="1"/>
  <c r="N905" i="6"/>
  <c r="L858" i="6"/>
  <c r="M858" i="6" s="1"/>
  <c r="N822" i="6"/>
  <c r="L782" i="6"/>
  <c r="M782" i="6" s="1"/>
  <c r="N720" i="6"/>
  <c r="L643" i="6"/>
  <c r="M643" i="6" s="1"/>
  <c r="N629" i="6"/>
  <c r="N585" i="6"/>
  <c r="N578" i="6"/>
  <c r="G363" i="6"/>
  <c r="L284" i="6"/>
  <c r="M284" i="6" s="1"/>
  <c r="K866" i="6"/>
  <c r="G866" i="6"/>
  <c r="N945" i="6"/>
  <c r="N940" i="6"/>
  <c r="N884" i="6"/>
  <c r="N868" i="6"/>
  <c r="L859" i="6"/>
  <c r="M859" i="6" s="1"/>
  <c r="L842" i="6"/>
  <c r="M842" i="6" s="1"/>
  <c r="L833" i="6"/>
  <c r="M833" i="6" s="1"/>
  <c r="N830" i="6"/>
  <c r="L826" i="6"/>
  <c r="M826" i="6" s="1"/>
  <c r="L759" i="6"/>
  <c r="M759" i="6" s="1"/>
  <c r="L737" i="6"/>
  <c r="M737" i="6" s="1"/>
  <c r="N736" i="6"/>
  <c r="L714" i="6"/>
  <c r="M714" i="6" s="1"/>
  <c r="L690" i="6"/>
  <c r="M690" i="6" s="1"/>
  <c r="L683" i="6"/>
  <c r="M683" i="6" s="1"/>
  <c r="L659" i="6"/>
  <c r="M659" i="6" s="1"/>
  <c r="N650" i="6"/>
  <c r="N598" i="6"/>
  <c r="N597" i="6"/>
  <c r="N498" i="6"/>
  <c r="Q498" i="6" s="1"/>
  <c r="R498" i="6" s="1"/>
  <c r="N308" i="6"/>
  <c r="Q308" i="6" s="1"/>
  <c r="R308" i="6" s="1"/>
  <c r="K305" i="6"/>
  <c r="N300" i="6"/>
  <c r="Q300" i="6" s="1"/>
  <c r="R300" i="6" s="1"/>
  <c r="L194" i="6"/>
  <c r="M194" i="6" s="1"/>
  <c r="N958" i="6"/>
  <c r="L871" i="6"/>
  <c r="M871" i="6" s="1"/>
  <c r="L862" i="6"/>
  <c r="M862" i="6" s="1"/>
  <c r="N856" i="6"/>
  <c r="G853" i="6"/>
  <c r="L845" i="6"/>
  <c r="M845" i="6" s="1"/>
  <c r="L831" i="6"/>
  <c r="M831" i="6" s="1"/>
  <c r="L785" i="6"/>
  <c r="M785" i="6" s="1"/>
  <c r="L781" i="6"/>
  <c r="M781" i="6" s="1"/>
  <c r="N776" i="6"/>
  <c r="L762" i="6"/>
  <c r="M762" i="6" s="1"/>
  <c r="L715" i="6"/>
  <c r="M715" i="6" s="1"/>
  <c r="L618" i="6"/>
  <c r="M618" i="6" s="1"/>
  <c r="N522" i="6"/>
  <c r="Q522" i="6" s="1"/>
  <c r="R522" i="6" s="1"/>
  <c r="L499" i="6"/>
  <c r="M499" i="6" s="1"/>
  <c r="L483" i="6"/>
  <c r="M483" i="6" s="1"/>
  <c r="N476" i="6"/>
  <c r="Q476" i="6" s="1"/>
  <c r="R476" i="6" s="1"/>
  <c r="N471" i="6"/>
  <c r="Q471" i="6" s="1"/>
  <c r="R471" i="6" s="1"/>
  <c r="N399" i="6"/>
  <c r="Q399" i="6" s="1"/>
  <c r="R399" i="6" s="1"/>
  <c r="L342" i="6"/>
  <c r="M342" i="6" s="1"/>
  <c r="L294" i="6"/>
  <c r="M294" i="6" s="1"/>
  <c r="G712" i="6"/>
  <c r="I712" i="6"/>
  <c r="I855" i="6"/>
  <c r="G855" i="6"/>
  <c r="N421" i="6"/>
  <c r="Q421" i="6" s="1"/>
  <c r="R421" i="6" s="1"/>
  <c r="N354" i="6"/>
  <c r="Q354" i="6" s="1"/>
  <c r="R354" i="6" s="1"/>
  <c r="I338" i="6"/>
  <c r="L947" i="6"/>
  <c r="M947" i="6" s="1"/>
  <c r="L939" i="6"/>
  <c r="M939" i="6" s="1"/>
  <c r="L910" i="6"/>
  <c r="M910" i="6" s="1"/>
  <c r="L882" i="6"/>
  <c r="M882" i="6" s="1"/>
  <c r="G797" i="6"/>
  <c r="N763" i="6"/>
  <c r="N732" i="6"/>
  <c r="I728" i="6"/>
  <c r="L671" i="6"/>
  <c r="M671" i="6" s="1"/>
  <c r="N661" i="6"/>
  <c r="N653" i="6"/>
  <c r="N587" i="6"/>
  <c r="I578" i="6"/>
  <c r="L467" i="6"/>
  <c r="M467" i="6" s="1"/>
  <c r="N449" i="6"/>
  <c r="Q449" i="6" s="1"/>
  <c r="R449" i="6" s="1"/>
  <c r="L411" i="6"/>
  <c r="M411" i="6" s="1"/>
  <c r="N386" i="6"/>
  <c r="G338" i="6"/>
  <c r="I316" i="6"/>
  <c r="N312" i="6"/>
  <c r="Q312" i="6" s="1"/>
  <c r="R312" i="6" s="1"/>
  <c r="N293" i="6"/>
  <c r="Q293" i="6" s="1"/>
  <c r="R293" i="6" s="1"/>
  <c r="G792" i="6"/>
  <c r="I792" i="6"/>
  <c r="G750" i="6"/>
  <c r="I750" i="6"/>
  <c r="I898" i="6"/>
  <c r="G898" i="6"/>
  <c r="G784" i="6"/>
  <c r="I784" i="6"/>
  <c r="N968" i="6"/>
  <c r="G942" i="6"/>
  <c r="L927" i="6"/>
  <c r="M927" i="6" s="1"/>
  <c r="L919" i="6"/>
  <c r="M919" i="6" s="1"/>
  <c r="N745" i="6"/>
  <c r="L745" i="6"/>
  <c r="M745" i="6" s="1"/>
  <c r="L712" i="6"/>
  <c r="M712" i="6" s="1"/>
  <c r="N712" i="6"/>
  <c r="N666" i="6"/>
  <c r="L666" i="6"/>
  <c r="M666" i="6" s="1"/>
  <c r="N591" i="6"/>
  <c r="L591" i="6"/>
  <c r="M591" i="6" s="1"/>
  <c r="L579" i="6"/>
  <c r="M579" i="6" s="1"/>
  <c r="N579" i="6"/>
  <c r="L540" i="6"/>
  <c r="M540" i="6" s="1"/>
  <c r="N540" i="6"/>
  <c r="Q540" i="6" s="1"/>
  <c r="R540" i="6" s="1"/>
  <c r="L534" i="6"/>
  <c r="M534" i="6" s="1"/>
  <c r="N534" i="6"/>
  <c r="Q534" i="6" s="1"/>
  <c r="R534" i="6" s="1"/>
  <c r="L515" i="6"/>
  <c r="M515" i="6" s="1"/>
  <c r="N515" i="6"/>
  <c r="Q515" i="6" s="1"/>
  <c r="R515" i="6" s="1"/>
  <c r="I411" i="6"/>
  <c r="G411" i="6"/>
  <c r="L335" i="6"/>
  <c r="M335" i="6" s="1"/>
  <c r="N335" i="6"/>
  <c r="Q335" i="6" s="1"/>
  <c r="R335" i="6" s="1"/>
  <c r="L331" i="6"/>
  <c r="M331" i="6" s="1"/>
  <c r="N331" i="6"/>
  <c r="Q331" i="6" s="1"/>
  <c r="R331" i="6" s="1"/>
  <c r="L321" i="6"/>
  <c r="M321" i="6" s="1"/>
  <c r="N321" i="6"/>
  <c r="Q321" i="6" s="1"/>
  <c r="R321" i="6" s="1"/>
  <c r="L315" i="6"/>
  <c r="M315" i="6" s="1"/>
  <c r="N315" i="6"/>
  <c r="Q315" i="6" s="1"/>
  <c r="R315" i="6" s="1"/>
  <c r="L305" i="6"/>
  <c r="M305" i="6" s="1"/>
  <c r="N305" i="6"/>
  <c r="Q305" i="6" s="1"/>
  <c r="R305" i="6" s="1"/>
  <c r="N277" i="6"/>
  <c r="Q277" i="6" s="1"/>
  <c r="R277" i="6" s="1"/>
  <c r="L277" i="6"/>
  <c r="M277" i="6" s="1"/>
  <c r="L271" i="6"/>
  <c r="M271" i="6" s="1"/>
  <c r="N271" i="6"/>
  <c r="Q271" i="6" s="1"/>
  <c r="R271" i="6" s="1"/>
  <c r="N951" i="6"/>
  <c r="I821" i="6"/>
  <c r="I813" i="6"/>
  <c r="I805" i="6"/>
  <c r="L793" i="6"/>
  <c r="M793" i="6" s="1"/>
  <c r="L789" i="6"/>
  <c r="M789" i="6" s="1"/>
  <c r="L786" i="6"/>
  <c r="M786" i="6" s="1"/>
  <c r="N764" i="6"/>
  <c r="L751" i="6"/>
  <c r="M751" i="6" s="1"/>
  <c r="N685" i="6"/>
  <c r="I646" i="6"/>
  <c r="L619" i="6"/>
  <c r="M619" i="6" s="1"/>
  <c r="L580" i="6"/>
  <c r="M580" i="6" s="1"/>
  <c r="N580" i="6"/>
  <c r="L543" i="6"/>
  <c r="M543" i="6" s="1"/>
  <c r="L469" i="6"/>
  <c r="M469" i="6" s="1"/>
  <c r="N469" i="6"/>
  <c r="Q469" i="6" s="1"/>
  <c r="R469" i="6" s="1"/>
  <c r="L347" i="6"/>
  <c r="M347" i="6" s="1"/>
  <c r="N347" i="6"/>
  <c r="Q347" i="6" s="1"/>
  <c r="R347" i="6" s="1"/>
  <c r="L316" i="6"/>
  <c r="M316" i="6" s="1"/>
  <c r="N316" i="6"/>
  <c r="Q316" i="6" s="1"/>
  <c r="R316" i="6" s="1"/>
  <c r="G982" i="6"/>
  <c r="L966" i="6"/>
  <c r="M966" i="6" s="1"/>
  <c r="N960" i="6"/>
  <c r="L955" i="6"/>
  <c r="M955" i="6" s="1"/>
  <c r="N952" i="6"/>
  <c r="L946" i="6"/>
  <c r="M946" i="6" s="1"/>
  <c r="L943" i="6"/>
  <c r="M943" i="6" s="1"/>
  <c r="L942" i="6"/>
  <c r="M942" i="6" s="1"/>
  <c r="N921" i="6"/>
  <c r="L911" i="6"/>
  <c r="M911" i="6" s="1"/>
  <c r="N896" i="6"/>
  <c r="L883" i="6"/>
  <c r="M883" i="6" s="1"/>
  <c r="L870" i="6"/>
  <c r="M870" i="6" s="1"/>
  <c r="G858" i="6"/>
  <c r="N854" i="6"/>
  <c r="I853" i="6"/>
  <c r="L850" i="6"/>
  <c r="M850" i="6" s="1"/>
  <c r="L847" i="6"/>
  <c r="M847" i="6" s="1"/>
  <c r="L841" i="6"/>
  <c r="M841" i="6" s="1"/>
  <c r="I840" i="6"/>
  <c r="G830" i="6"/>
  <c r="G829" i="6"/>
  <c r="G823" i="6"/>
  <c r="G821" i="6"/>
  <c r="G813" i="6"/>
  <c r="G805" i="6"/>
  <c r="N798" i="6"/>
  <c r="I797" i="6"/>
  <c r="L794" i="6"/>
  <c r="M794" i="6" s="1"/>
  <c r="N778" i="6"/>
  <c r="N758" i="6"/>
  <c r="L758" i="6"/>
  <c r="M758" i="6" s="1"/>
  <c r="L733" i="6"/>
  <c r="M733" i="6" s="1"/>
  <c r="N733" i="6"/>
  <c r="N727" i="6"/>
  <c r="L726" i="6"/>
  <c r="M726" i="6" s="1"/>
  <c r="L722" i="6"/>
  <c r="M722" i="6" s="1"/>
  <c r="L719" i="6"/>
  <c r="M719" i="6" s="1"/>
  <c r="I718" i="6"/>
  <c r="L689" i="6"/>
  <c r="M689" i="6" s="1"/>
  <c r="L595" i="6"/>
  <c r="M595" i="6" s="1"/>
  <c r="N583" i="6"/>
  <c r="L583" i="6"/>
  <c r="M583" i="6" s="1"/>
  <c r="L564" i="6"/>
  <c r="M564" i="6" s="1"/>
  <c r="N564" i="6"/>
  <c r="N535" i="6"/>
  <c r="Q535" i="6" s="1"/>
  <c r="R535" i="6" s="1"/>
  <c r="L535" i="6"/>
  <c r="M535" i="6" s="1"/>
  <c r="G471" i="6"/>
  <c r="I471" i="6"/>
  <c r="N451" i="6"/>
  <c r="Q451" i="6" s="1"/>
  <c r="R451" i="6" s="1"/>
  <c r="L451" i="6"/>
  <c r="M451" i="6" s="1"/>
  <c r="L415" i="6"/>
  <c r="M415" i="6" s="1"/>
  <c r="N415" i="6"/>
  <c r="Q415" i="6" s="1"/>
  <c r="R415" i="6" s="1"/>
  <c r="L367" i="6"/>
  <c r="M367" i="6" s="1"/>
  <c r="N367" i="6"/>
  <c r="Q367" i="6" s="1"/>
  <c r="R367" i="6" s="1"/>
  <c r="I343" i="6"/>
  <c r="G343" i="6"/>
  <c r="L334" i="6"/>
  <c r="M334" i="6" s="1"/>
  <c r="N334" i="6"/>
  <c r="Q334" i="6" s="1"/>
  <c r="R334" i="6" s="1"/>
  <c r="L322" i="6"/>
  <c r="M322" i="6" s="1"/>
  <c r="N322" i="6"/>
  <c r="Q322" i="6" s="1"/>
  <c r="R322" i="6" s="1"/>
  <c r="N317" i="6"/>
  <c r="Q317" i="6" s="1"/>
  <c r="R317" i="6" s="1"/>
  <c r="L317" i="6"/>
  <c r="M317" i="6" s="1"/>
  <c r="L296" i="6"/>
  <c r="M296" i="6" s="1"/>
  <c r="N296" i="6"/>
  <c r="Q296" i="6" s="1"/>
  <c r="R296" i="6" s="1"/>
  <c r="L274" i="6"/>
  <c r="M274" i="6" s="1"/>
  <c r="N274" i="6"/>
  <c r="Q274" i="6" s="1"/>
  <c r="R274" i="6" s="1"/>
  <c r="G744" i="6"/>
  <c r="I744" i="6"/>
  <c r="N710" i="6"/>
  <c r="L710" i="6"/>
  <c r="M710" i="6" s="1"/>
  <c r="N655" i="6"/>
  <c r="L655" i="6"/>
  <c r="M655" i="6" s="1"/>
  <c r="L635" i="6"/>
  <c r="M635" i="6" s="1"/>
  <c r="N635" i="6"/>
  <c r="K514" i="6"/>
  <c r="I514" i="6"/>
  <c r="N480" i="6"/>
  <c r="Q480" i="6" s="1"/>
  <c r="R480" i="6" s="1"/>
  <c r="L480" i="6"/>
  <c r="M480" i="6" s="1"/>
  <c r="N455" i="6"/>
  <c r="Q455" i="6" s="1"/>
  <c r="R455" i="6" s="1"/>
  <c r="L455" i="6"/>
  <c r="M455" i="6" s="1"/>
  <c r="L409" i="6"/>
  <c r="M409" i="6" s="1"/>
  <c r="N409" i="6"/>
  <c r="Q409" i="6" s="1"/>
  <c r="R409" i="6" s="1"/>
  <c r="N350" i="6"/>
  <c r="Q350" i="6" s="1"/>
  <c r="R350" i="6" s="1"/>
  <c r="L350" i="6"/>
  <c r="M350" i="6" s="1"/>
  <c r="L346" i="6"/>
  <c r="M346" i="6" s="1"/>
  <c r="N346" i="6"/>
  <c r="Q346" i="6" s="1"/>
  <c r="R346" i="6" s="1"/>
  <c r="L320" i="6"/>
  <c r="M320" i="6" s="1"/>
  <c r="N320" i="6"/>
  <c r="Q320" i="6" s="1"/>
  <c r="R320" i="6" s="1"/>
  <c r="L310" i="6"/>
  <c r="M310" i="6" s="1"/>
  <c r="N310" i="6"/>
  <c r="Q310" i="6" s="1"/>
  <c r="R310" i="6" s="1"/>
  <c r="N302" i="6"/>
  <c r="Q302" i="6" s="1"/>
  <c r="R302" i="6" s="1"/>
  <c r="L302" i="6"/>
  <c r="M302" i="6" s="1"/>
  <c r="N286" i="6"/>
  <c r="Q286" i="6" s="1"/>
  <c r="R286" i="6" s="1"/>
  <c r="N285" i="6"/>
  <c r="Q285" i="6" s="1"/>
  <c r="R285" i="6" s="1"/>
  <c r="N447" i="6"/>
  <c r="Q447" i="6" s="1"/>
  <c r="R447" i="6" s="1"/>
  <c r="L432" i="6"/>
  <c r="M432" i="6" s="1"/>
  <c r="L423" i="6"/>
  <c r="M423" i="6" s="1"/>
  <c r="L419" i="6"/>
  <c r="M419" i="6" s="1"/>
  <c r="L412" i="6"/>
  <c r="M412" i="6" s="1"/>
  <c r="L289" i="6"/>
  <c r="M289" i="6" s="1"/>
  <c r="L280" i="6"/>
  <c r="M280" i="6" s="1"/>
  <c r="N264" i="6"/>
  <c r="Q264" i="6" s="1"/>
  <c r="R264" i="6" s="1"/>
  <c r="G195" i="6"/>
  <c r="I867" i="6"/>
  <c r="G867" i="6"/>
  <c r="K822" i="6"/>
  <c r="G822" i="6"/>
  <c r="I822" i="6"/>
  <c r="K814" i="6"/>
  <c r="I814" i="6"/>
  <c r="G814" i="6"/>
  <c r="K806" i="6"/>
  <c r="G806" i="6"/>
  <c r="I806" i="6"/>
  <c r="G832" i="6"/>
  <c r="I832" i="6"/>
  <c r="I883" i="6"/>
  <c r="G883" i="6"/>
  <c r="K938" i="6"/>
  <c r="G938" i="6"/>
  <c r="I815" i="6"/>
  <c r="G815" i="6"/>
  <c r="I807" i="6"/>
  <c r="G807" i="6"/>
  <c r="I799" i="6"/>
  <c r="G799" i="6"/>
  <c r="I331" i="6"/>
  <c r="G331" i="6"/>
  <c r="K894" i="6"/>
  <c r="G894" i="6"/>
  <c r="I894" i="6"/>
  <c r="I959" i="6"/>
  <c r="G959" i="6"/>
  <c r="I950" i="6"/>
  <c r="G950" i="6"/>
  <c r="I895" i="6"/>
  <c r="G895" i="6"/>
  <c r="G846" i="6"/>
  <c r="K846" i="6"/>
  <c r="G776" i="6"/>
  <c r="I776" i="6"/>
  <c r="N292" i="6"/>
  <c r="Q292" i="6" s="1"/>
  <c r="R292" i="6" s="1"/>
  <c r="L292" i="6"/>
  <c r="M292" i="6" s="1"/>
  <c r="N582" i="6"/>
  <c r="N581" i="6"/>
  <c r="L550" i="6"/>
  <c r="M550" i="6" s="1"/>
  <c r="I538" i="6"/>
  <c r="N506" i="6"/>
  <c r="Q506" i="6" s="1"/>
  <c r="R506" i="6" s="1"/>
  <c r="N491" i="6"/>
  <c r="Q491" i="6" s="1"/>
  <c r="R491" i="6" s="1"/>
  <c r="N482" i="6"/>
  <c r="Q482" i="6" s="1"/>
  <c r="R482" i="6" s="1"/>
  <c r="N479" i="6"/>
  <c r="N450" i="6"/>
  <c r="L431" i="6"/>
  <c r="M431" i="6" s="1"/>
  <c r="L416" i="6"/>
  <c r="M416" i="6" s="1"/>
  <c r="L396" i="6"/>
  <c r="M396" i="6" s="1"/>
  <c r="K395" i="6"/>
  <c r="L388" i="6"/>
  <c r="M388" i="6" s="1"/>
  <c r="N388" i="6"/>
  <c r="L363" i="6"/>
  <c r="M363" i="6" s="1"/>
  <c r="N363" i="6"/>
  <c r="Q363" i="6" s="1"/>
  <c r="R363" i="6" s="1"/>
  <c r="L358" i="6"/>
  <c r="M358" i="6" s="1"/>
  <c r="G355" i="6"/>
  <c r="N338" i="6"/>
  <c r="Q338" i="6" s="1"/>
  <c r="R338" i="6" s="1"/>
  <c r="N330" i="6"/>
  <c r="Q330" i="6" s="1"/>
  <c r="R330" i="6" s="1"/>
  <c r="L330" i="6"/>
  <c r="M330" i="6" s="1"/>
  <c r="N301" i="6"/>
  <c r="Q301" i="6" s="1"/>
  <c r="R301" i="6" s="1"/>
  <c r="L301" i="6"/>
  <c r="M301" i="6" s="1"/>
  <c r="N288" i="6"/>
  <c r="Q288" i="6" s="1"/>
  <c r="R288" i="6" s="1"/>
  <c r="L288" i="6"/>
  <c r="M288" i="6" s="1"/>
  <c r="K255" i="6"/>
  <c r="I255" i="6"/>
  <c r="G233" i="6"/>
  <c r="I233" i="6"/>
  <c r="L43" i="6"/>
  <c r="M43" i="6" s="1"/>
  <c r="N43" i="6"/>
  <c r="P43" i="6" s="1"/>
  <c r="K374" i="6"/>
  <c r="G374" i="6"/>
  <c r="N894" i="6"/>
  <c r="N821" i="6"/>
  <c r="N814" i="6"/>
  <c r="N806" i="6"/>
  <c r="N634" i="6"/>
  <c r="N898" i="6"/>
  <c r="N823" i="6"/>
  <c r="K790" i="6"/>
  <c r="N779" i="6"/>
  <c r="N742" i="6"/>
  <c r="N734" i="6"/>
  <c r="K662" i="6"/>
  <c r="N651" i="6"/>
  <c r="N562" i="6"/>
  <c r="N558" i="6"/>
  <c r="Q558" i="6" s="1"/>
  <c r="R558" i="6" s="1"/>
  <c r="I503" i="6"/>
  <c r="N494" i="6"/>
  <c r="Q494" i="6" s="1"/>
  <c r="R494" i="6" s="1"/>
  <c r="N463" i="6"/>
  <c r="Q463" i="6" s="1"/>
  <c r="R463" i="6" s="1"/>
  <c r="N440" i="6"/>
  <c r="Q440" i="6" s="1"/>
  <c r="R440" i="6" s="1"/>
  <c r="K439" i="6"/>
  <c r="I406" i="6"/>
  <c r="N403" i="6"/>
  <c r="Q403" i="6" s="1"/>
  <c r="R403" i="6" s="1"/>
  <c r="K394" i="6"/>
  <c r="G394" i="6"/>
  <c r="L374" i="6"/>
  <c r="M374" i="6" s="1"/>
  <c r="N374" i="6"/>
  <c r="Q374" i="6" s="1"/>
  <c r="R374" i="6" s="1"/>
  <c r="G293" i="6"/>
  <c r="K257" i="6"/>
  <c r="I257" i="6"/>
  <c r="G188" i="6"/>
  <c r="K188" i="6"/>
  <c r="N813" i="6"/>
  <c r="N805" i="6"/>
  <c r="L982" i="6"/>
  <c r="M982" i="6" s="1"/>
  <c r="L971" i="6"/>
  <c r="M971" i="6" s="1"/>
  <c r="L970" i="6"/>
  <c r="M970" i="6" s="1"/>
  <c r="L962" i="6"/>
  <c r="M962" i="6" s="1"/>
  <c r="N948" i="6"/>
  <c r="N944" i="6"/>
  <c r="N929" i="6"/>
  <c r="L923" i="6"/>
  <c r="M923" i="6" s="1"/>
  <c r="N920" i="6"/>
  <c r="L918" i="6"/>
  <c r="M918" i="6" s="1"/>
  <c r="N913" i="6"/>
  <c r="L899" i="6"/>
  <c r="M899" i="6" s="1"/>
  <c r="N892" i="6"/>
  <c r="L878" i="6"/>
  <c r="M878" i="6" s="1"/>
  <c r="N869" i="6"/>
  <c r="L863" i="6"/>
  <c r="M863" i="6" s="1"/>
  <c r="L849" i="6"/>
  <c r="M849" i="6" s="1"/>
  <c r="I848" i="6"/>
  <c r="L839" i="6"/>
  <c r="M839" i="6" s="1"/>
  <c r="L838" i="6"/>
  <c r="M838" i="6" s="1"/>
  <c r="L837" i="6"/>
  <c r="M837" i="6" s="1"/>
  <c r="L834" i="6"/>
  <c r="M834" i="6" s="1"/>
  <c r="L829" i="6"/>
  <c r="M829" i="6" s="1"/>
  <c r="L791" i="6"/>
  <c r="M791" i="6" s="1"/>
  <c r="L769" i="6"/>
  <c r="M769" i="6" s="1"/>
  <c r="N761" i="6"/>
  <c r="I760" i="6"/>
  <c r="L753" i="6"/>
  <c r="M753" i="6" s="1"/>
  <c r="L735" i="6"/>
  <c r="M735" i="6" s="1"/>
  <c r="L705" i="6"/>
  <c r="M705" i="6" s="1"/>
  <c r="N704" i="6"/>
  <c r="I702" i="6"/>
  <c r="L682" i="6"/>
  <c r="M682" i="6" s="1"/>
  <c r="L639" i="6"/>
  <c r="M639" i="6" s="1"/>
  <c r="L638" i="6"/>
  <c r="M638" i="6" s="1"/>
  <c r="N621" i="6"/>
  <c r="N613" i="6"/>
  <c r="L607" i="6"/>
  <c r="M607" i="6" s="1"/>
  <c r="L606" i="6"/>
  <c r="M606" i="6" s="1"/>
  <c r="L602" i="6"/>
  <c r="M602" i="6" s="1"/>
  <c r="N590" i="6"/>
  <c r="L586" i="6"/>
  <c r="M586" i="6" s="1"/>
  <c r="N574" i="6"/>
  <c r="N563" i="6"/>
  <c r="N552" i="6"/>
  <c r="Q552" i="6" s="1"/>
  <c r="R552" i="6" s="1"/>
  <c r="N548" i="6"/>
  <c r="L547" i="6"/>
  <c r="M547" i="6" s="1"/>
  <c r="I546" i="6"/>
  <c r="N542" i="6"/>
  <c r="Q542" i="6" s="1"/>
  <c r="R542" i="6" s="1"/>
  <c r="I530" i="6"/>
  <c r="I501" i="6"/>
  <c r="L444" i="6"/>
  <c r="M444" i="6" s="1"/>
  <c r="N428" i="6"/>
  <c r="N413" i="6"/>
  <c r="Q413" i="6" s="1"/>
  <c r="R413" i="6" s="1"/>
  <c r="G406" i="6"/>
  <c r="L404" i="6"/>
  <c r="M404" i="6" s="1"/>
  <c r="G395" i="6"/>
  <c r="N387" i="6"/>
  <c r="G379" i="6"/>
  <c r="L378" i="6"/>
  <c r="M378" i="6" s="1"/>
  <c r="G375" i="6"/>
  <c r="I374" i="6"/>
  <c r="L366" i="6"/>
  <c r="M366" i="6" s="1"/>
  <c r="N366" i="6"/>
  <c r="Q366" i="6" s="1"/>
  <c r="R366" i="6" s="1"/>
  <c r="G339" i="6"/>
  <c r="N268" i="6"/>
  <c r="Q268" i="6" s="1"/>
  <c r="R268" i="6" s="1"/>
  <c r="K234" i="6"/>
  <c r="N279" i="6"/>
  <c r="Q279" i="6" s="1"/>
  <c r="R279" i="6" s="1"/>
  <c r="K882" i="6"/>
  <c r="G882" i="6"/>
  <c r="G752" i="6"/>
  <c r="I752" i="6"/>
  <c r="I966" i="6"/>
  <c r="G966" i="6"/>
  <c r="I907" i="6"/>
  <c r="G907" i="6"/>
  <c r="I943" i="6"/>
  <c r="G943" i="6"/>
  <c r="K906" i="6"/>
  <c r="G906" i="6"/>
  <c r="I906" i="6"/>
  <c r="I859" i="6"/>
  <c r="G859" i="6"/>
  <c r="G780" i="6"/>
  <c r="I780" i="6"/>
  <c r="K39" i="6"/>
  <c r="G39" i="6"/>
  <c r="I39" i="6"/>
  <c r="G738" i="6"/>
  <c r="I738" i="6"/>
  <c r="G720" i="6"/>
  <c r="I720" i="6"/>
  <c r="N711" i="6"/>
  <c r="L711" i="6"/>
  <c r="M711" i="6" s="1"/>
  <c r="G706" i="6"/>
  <c r="I706" i="6"/>
  <c r="L701" i="6"/>
  <c r="M701" i="6" s="1"/>
  <c r="N701" i="6"/>
  <c r="L544" i="6"/>
  <c r="M544" i="6" s="1"/>
  <c r="N544" i="6"/>
  <c r="Q544" i="6" s="1"/>
  <c r="R544" i="6" s="1"/>
  <c r="L371" i="6"/>
  <c r="M371" i="6" s="1"/>
  <c r="N371" i="6"/>
  <c r="Q371" i="6" s="1"/>
  <c r="R371" i="6" s="1"/>
  <c r="G127" i="6"/>
  <c r="I127" i="6"/>
  <c r="K127" i="6"/>
  <c r="K962" i="6"/>
  <c r="L407" i="6"/>
  <c r="M407" i="6" s="1"/>
  <c r="N407" i="6"/>
  <c r="Q407" i="6" s="1"/>
  <c r="R407" i="6" s="1"/>
  <c r="N906" i="6"/>
  <c r="N623" i="6"/>
  <c r="L623" i="6"/>
  <c r="M623" i="6" s="1"/>
  <c r="L605" i="6"/>
  <c r="M605" i="6" s="1"/>
  <c r="N605" i="6"/>
  <c r="L566" i="6"/>
  <c r="M566" i="6" s="1"/>
  <c r="N566" i="6"/>
  <c r="N555" i="6"/>
  <c r="Q555" i="6" s="1"/>
  <c r="R555" i="6" s="1"/>
  <c r="L555" i="6"/>
  <c r="M555" i="6" s="1"/>
  <c r="L551" i="6"/>
  <c r="M551" i="6" s="1"/>
  <c r="N551" i="6"/>
  <c r="Q551" i="6" s="1"/>
  <c r="R551" i="6" s="1"/>
  <c r="N524" i="6"/>
  <c r="Q524" i="6" s="1"/>
  <c r="R524" i="6" s="1"/>
  <c r="L524" i="6"/>
  <c r="M524" i="6" s="1"/>
  <c r="L508" i="6"/>
  <c r="M508" i="6" s="1"/>
  <c r="N508" i="6"/>
  <c r="Q508" i="6" s="1"/>
  <c r="R508" i="6" s="1"/>
  <c r="L481" i="6"/>
  <c r="M481" i="6" s="1"/>
  <c r="N481" i="6"/>
  <c r="Q481" i="6" s="1"/>
  <c r="R481" i="6" s="1"/>
  <c r="L477" i="6"/>
  <c r="M477" i="6" s="1"/>
  <c r="N477" i="6"/>
  <c r="L464" i="6"/>
  <c r="M464" i="6" s="1"/>
  <c r="N464" i="6"/>
  <c r="Q464" i="6" s="1"/>
  <c r="R464" i="6" s="1"/>
  <c r="L434" i="6"/>
  <c r="M434" i="6" s="1"/>
  <c r="N434" i="6"/>
  <c r="Q434" i="6" s="1"/>
  <c r="R434" i="6" s="1"/>
  <c r="L417" i="6"/>
  <c r="M417" i="6" s="1"/>
  <c r="N417" i="6"/>
  <c r="Q417" i="6" s="1"/>
  <c r="R417" i="6" s="1"/>
  <c r="K410" i="6"/>
  <c r="G410" i="6"/>
  <c r="K402" i="6"/>
  <c r="G402" i="6"/>
  <c r="L397" i="6"/>
  <c r="M397" i="6" s="1"/>
  <c r="N397" i="6"/>
  <c r="Q397" i="6" s="1"/>
  <c r="R397" i="6" s="1"/>
  <c r="I371" i="6"/>
  <c r="G371" i="6"/>
  <c r="K342" i="6"/>
  <c r="I342" i="6"/>
  <c r="G342" i="6"/>
  <c r="I323" i="6"/>
  <c r="G323" i="6"/>
  <c r="I298" i="6"/>
  <c r="K298" i="6"/>
  <c r="N967" i="6"/>
  <c r="N963" i="6"/>
  <c r="I878" i="6"/>
  <c r="K830" i="6"/>
  <c r="N777" i="6"/>
  <c r="N768" i="6"/>
  <c r="N765" i="6"/>
  <c r="L740" i="6"/>
  <c r="M740" i="6" s="1"/>
  <c r="N740" i="6"/>
  <c r="N718" i="6"/>
  <c r="L708" i="6"/>
  <c r="M708" i="6" s="1"/>
  <c r="N708" i="6"/>
  <c r="N703" i="6"/>
  <c r="L703" i="6"/>
  <c r="M703" i="6" s="1"/>
  <c r="N686" i="6"/>
  <c r="L686" i="6"/>
  <c r="M686" i="6" s="1"/>
  <c r="N611" i="6"/>
  <c r="L611" i="6"/>
  <c r="M611" i="6" s="1"/>
  <c r="L603" i="6"/>
  <c r="M603" i="6" s="1"/>
  <c r="N603" i="6"/>
  <c r="G598" i="6"/>
  <c r="K598" i="6"/>
  <c r="N532" i="6"/>
  <c r="Q532" i="6" s="1"/>
  <c r="R532" i="6" s="1"/>
  <c r="L532" i="6"/>
  <c r="M532" i="6" s="1"/>
  <c r="L530" i="6"/>
  <c r="M530" i="6" s="1"/>
  <c r="N530" i="6"/>
  <c r="Q530" i="6" s="1"/>
  <c r="R530" i="6" s="1"/>
  <c r="L527" i="6"/>
  <c r="M527" i="6" s="1"/>
  <c r="N527" i="6"/>
  <c r="Q527" i="6" s="1"/>
  <c r="R527" i="6" s="1"/>
  <c r="L501" i="6"/>
  <c r="M501" i="6" s="1"/>
  <c r="N501" i="6"/>
  <c r="Q501" i="6" s="1"/>
  <c r="R501" i="6" s="1"/>
  <c r="G493" i="6"/>
  <c r="K493" i="6"/>
  <c r="N478" i="6"/>
  <c r="L478" i="6"/>
  <c r="M478" i="6" s="1"/>
  <c r="N436" i="6"/>
  <c r="Q436" i="6" s="1"/>
  <c r="R436" i="6" s="1"/>
  <c r="L436" i="6"/>
  <c r="M436" i="6" s="1"/>
  <c r="G419" i="6"/>
  <c r="I419" i="6"/>
  <c r="N383" i="6"/>
  <c r="Q383" i="6" s="1"/>
  <c r="R383" i="6" s="1"/>
  <c r="L383" i="6"/>
  <c r="M383" i="6" s="1"/>
  <c r="L379" i="6"/>
  <c r="M379" i="6" s="1"/>
  <c r="N379" i="6"/>
  <c r="Q379" i="6" s="1"/>
  <c r="R379" i="6" s="1"/>
  <c r="K354" i="6"/>
  <c r="I354" i="6"/>
  <c r="L326" i="6"/>
  <c r="M326" i="6" s="1"/>
  <c r="N326" i="6"/>
  <c r="Q326" i="6" s="1"/>
  <c r="R326" i="6" s="1"/>
  <c r="L273" i="6"/>
  <c r="M273" i="6" s="1"/>
  <c r="N273" i="6"/>
  <c r="Q273" i="6" s="1"/>
  <c r="R273" i="6" s="1"/>
  <c r="G265" i="6"/>
  <c r="I265" i="6"/>
  <c r="K265" i="6"/>
  <c r="L688" i="6"/>
  <c r="M688" i="6" s="1"/>
  <c r="N688" i="6"/>
  <c r="N675" i="6"/>
  <c r="L675" i="6"/>
  <c r="M675" i="6" s="1"/>
  <c r="L667" i="6"/>
  <c r="M667" i="6" s="1"/>
  <c r="N667" i="6"/>
  <c r="G630" i="6"/>
  <c r="K630" i="6"/>
  <c r="N622" i="6"/>
  <c r="L622" i="6"/>
  <c r="M622" i="6" s="1"/>
  <c r="G547" i="6"/>
  <c r="I547" i="6"/>
  <c r="L539" i="6"/>
  <c r="M539" i="6" s="1"/>
  <c r="N539" i="6"/>
  <c r="Q539" i="6" s="1"/>
  <c r="R539" i="6" s="1"/>
  <c r="L528" i="6"/>
  <c r="M528" i="6" s="1"/>
  <c r="N528" i="6"/>
  <c r="Q528" i="6" s="1"/>
  <c r="R528" i="6" s="1"/>
  <c r="L523" i="6"/>
  <c r="M523" i="6" s="1"/>
  <c r="N523" i="6"/>
  <c r="Q523" i="6" s="1"/>
  <c r="R523" i="6" s="1"/>
  <c r="L520" i="6"/>
  <c r="M520" i="6" s="1"/>
  <c r="N520" i="6"/>
  <c r="Q520" i="6" s="1"/>
  <c r="R520" i="6" s="1"/>
  <c r="N459" i="6"/>
  <c r="Q459" i="6" s="1"/>
  <c r="R459" i="6" s="1"/>
  <c r="L459" i="6"/>
  <c r="M459" i="6" s="1"/>
  <c r="N750" i="6"/>
  <c r="L697" i="6"/>
  <c r="M697" i="6" s="1"/>
  <c r="N697" i="6"/>
  <c r="G678" i="6"/>
  <c r="I678" i="6"/>
  <c r="N950" i="6"/>
  <c r="I982" i="6"/>
  <c r="N981" i="6"/>
  <c r="L975" i="6"/>
  <c r="M975" i="6" s="1"/>
  <c r="N972" i="6"/>
  <c r="G962" i="6"/>
  <c r="N954" i="6"/>
  <c r="G939" i="6"/>
  <c r="L938" i="6"/>
  <c r="M938" i="6" s="1"/>
  <c r="L931" i="6"/>
  <c r="M931" i="6" s="1"/>
  <c r="N916" i="6"/>
  <c r="L915" i="6"/>
  <c r="M915" i="6" s="1"/>
  <c r="N912" i="6"/>
  <c r="L903" i="6"/>
  <c r="M903" i="6" s="1"/>
  <c r="L887" i="6"/>
  <c r="M887" i="6" s="1"/>
  <c r="L886" i="6"/>
  <c r="M886" i="6" s="1"/>
  <c r="N880" i="6"/>
  <c r="G879" i="6"/>
  <c r="G878" i="6"/>
  <c r="I866" i="6"/>
  <c r="N865" i="6"/>
  <c r="N860" i="6"/>
  <c r="N846" i="6"/>
  <c r="N790" i="6"/>
  <c r="G782" i="6"/>
  <c r="I778" i="6"/>
  <c r="L775" i="6"/>
  <c r="M775" i="6" s="1"/>
  <c r="N772" i="6"/>
  <c r="I770" i="6"/>
  <c r="L767" i="6"/>
  <c r="M767" i="6" s="1"/>
  <c r="L766" i="6"/>
  <c r="M766" i="6" s="1"/>
  <c r="N746" i="6"/>
  <c r="L746" i="6"/>
  <c r="M746" i="6" s="1"/>
  <c r="N744" i="6"/>
  <c r="I734" i="6"/>
  <c r="L721" i="6"/>
  <c r="M721" i="6" s="1"/>
  <c r="L717" i="6"/>
  <c r="M717" i="6" s="1"/>
  <c r="I716" i="6"/>
  <c r="L695" i="6"/>
  <c r="M695" i="6" s="1"/>
  <c r="N687" i="6"/>
  <c r="L687" i="6"/>
  <c r="M687" i="6" s="1"/>
  <c r="K678" i="6"/>
  <c r="L669" i="6"/>
  <c r="M669" i="6" s="1"/>
  <c r="N669" i="6"/>
  <c r="L645" i="6"/>
  <c r="M645" i="6" s="1"/>
  <c r="N645" i="6"/>
  <c r="I630" i="6"/>
  <c r="L627" i="6"/>
  <c r="M627" i="6" s="1"/>
  <c r="G614" i="6"/>
  <c r="I614" i="6"/>
  <c r="N570" i="6"/>
  <c r="L570" i="6"/>
  <c r="M570" i="6" s="1"/>
  <c r="G563" i="6"/>
  <c r="I563" i="6"/>
  <c r="I562" i="6"/>
  <c r="L559" i="6"/>
  <c r="M559" i="6" s="1"/>
  <c r="L538" i="6"/>
  <c r="M538" i="6" s="1"/>
  <c r="N538" i="6"/>
  <c r="Q538" i="6" s="1"/>
  <c r="R538" i="6" s="1"/>
  <c r="L511" i="6"/>
  <c r="M511" i="6" s="1"/>
  <c r="N511" i="6"/>
  <c r="Q511" i="6" s="1"/>
  <c r="R511" i="6" s="1"/>
  <c r="L492" i="6"/>
  <c r="M492" i="6" s="1"/>
  <c r="N492" i="6"/>
  <c r="Q492" i="6" s="1"/>
  <c r="R492" i="6" s="1"/>
  <c r="N489" i="6"/>
  <c r="Q489" i="6" s="1"/>
  <c r="R489" i="6" s="1"/>
  <c r="L486" i="6"/>
  <c r="M486" i="6" s="1"/>
  <c r="L485" i="6"/>
  <c r="M485" i="6" s="1"/>
  <c r="N485" i="6"/>
  <c r="Q485" i="6" s="1"/>
  <c r="R485" i="6" s="1"/>
  <c r="L458" i="6"/>
  <c r="M458" i="6" s="1"/>
  <c r="N458" i="6"/>
  <c r="Q458" i="6" s="1"/>
  <c r="R458" i="6" s="1"/>
  <c r="L442" i="6"/>
  <c r="M442" i="6" s="1"/>
  <c r="N442" i="6"/>
  <c r="Q442" i="6" s="1"/>
  <c r="R442" i="6" s="1"/>
  <c r="L427" i="6"/>
  <c r="M427" i="6" s="1"/>
  <c r="N427" i="6"/>
  <c r="L424" i="6"/>
  <c r="M424" i="6" s="1"/>
  <c r="N391" i="6"/>
  <c r="Q391" i="6" s="1"/>
  <c r="R391" i="6" s="1"/>
  <c r="L391" i="6"/>
  <c r="M391" i="6" s="1"/>
  <c r="N384" i="6"/>
  <c r="Q384" i="6" s="1"/>
  <c r="R384" i="6" s="1"/>
  <c r="L370" i="6"/>
  <c r="M370" i="6" s="1"/>
  <c r="L362" i="6"/>
  <c r="M362" i="6" s="1"/>
  <c r="N362" i="6"/>
  <c r="Q362" i="6" s="1"/>
  <c r="R362" i="6" s="1"/>
  <c r="G359" i="6"/>
  <c r="L351" i="6"/>
  <c r="M351" i="6" s="1"/>
  <c r="N351" i="6"/>
  <c r="Q351" i="6" s="1"/>
  <c r="R351" i="6" s="1"/>
  <c r="L339" i="6"/>
  <c r="M339" i="6" s="1"/>
  <c r="N339" i="6"/>
  <c r="Q339" i="6" s="1"/>
  <c r="R339" i="6" s="1"/>
  <c r="L198" i="6"/>
  <c r="M198" i="6" s="1"/>
  <c r="N198" i="6"/>
  <c r="Q198" i="6" s="1"/>
  <c r="I197" i="6"/>
  <c r="G197" i="6"/>
  <c r="L382" i="6"/>
  <c r="M382" i="6" s="1"/>
  <c r="N382" i="6"/>
  <c r="Q382" i="6" s="1"/>
  <c r="R382" i="6" s="1"/>
  <c r="I347" i="6"/>
  <c r="G347" i="6"/>
  <c r="L54" i="6"/>
  <c r="M54" i="6" s="1"/>
  <c r="N54" i="6"/>
  <c r="P54" i="6" s="1"/>
  <c r="Q54" i="6" s="1"/>
  <c r="K696" i="6"/>
  <c r="K646" i="6"/>
  <c r="I403" i="6"/>
  <c r="K403" i="6"/>
  <c r="K370" i="6"/>
  <c r="G370" i="6"/>
  <c r="L307" i="6"/>
  <c r="M307" i="6" s="1"/>
  <c r="N307" i="6"/>
  <c r="Q307" i="6" s="1"/>
  <c r="R307" i="6" s="1"/>
  <c r="K282" i="6"/>
  <c r="N276" i="6"/>
  <c r="Q276" i="6" s="1"/>
  <c r="R276" i="6" s="1"/>
  <c r="L276" i="6"/>
  <c r="M276" i="6" s="1"/>
  <c r="L266" i="6"/>
  <c r="M266" i="6" s="1"/>
  <c r="N266" i="6"/>
  <c r="Q266" i="6" s="1"/>
  <c r="R266" i="6" s="1"/>
  <c r="G211" i="6"/>
  <c r="K211" i="6"/>
  <c r="K192" i="6"/>
  <c r="I192" i="6"/>
  <c r="L172" i="6"/>
  <c r="M172" i="6" s="1"/>
  <c r="N172" i="6"/>
  <c r="Q172" i="6" s="1"/>
  <c r="K978" i="6"/>
  <c r="G978" i="6"/>
  <c r="I978" i="6"/>
  <c r="I975" i="6"/>
  <c r="G975" i="6"/>
  <c r="I931" i="6"/>
  <c r="G931" i="6"/>
  <c r="I915" i="6"/>
  <c r="G915" i="6"/>
  <c r="I903" i="6"/>
  <c r="G903" i="6"/>
  <c r="K890" i="6"/>
  <c r="G890" i="6"/>
  <c r="I890" i="6"/>
  <c r="I875" i="6"/>
  <c r="G875" i="6"/>
  <c r="K875" i="6"/>
  <c r="G766" i="6"/>
  <c r="I766" i="6"/>
  <c r="G736" i="6"/>
  <c r="I736" i="6"/>
  <c r="K914" i="6"/>
  <c r="G914" i="6"/>
  <c r="I914" i="6"/>
  <c r="K902" i="6"/>
  <c r="G902" i="6"/>
  <c r="I902" i="6"/>
  <c r="I891" i="6"/>
  <c r="G891" i="6"/>
  <c r="K891" i="6"/>
  <c r="K874" i="6"/>
  <c r="G874" i="6"/>
  <c r="I874" i="6"/>
  <c r="G690" i="6"/>
  <c r="I690" i="6"/>
  <c r="K958" i="6"/>
  <c r="G958" i="6"/>
  <c r="I958" i="6"/>
  <c r="I955" i="6"/>
  <c r="G955" i="6"/>
  <c r="K926" i="6"/>
  <c r="G926" i="6"/>
  <c r="I926" i="6"/>
  <c r="I923" i="6"/>
  <c r="G923" i="6"/>
  <c r="K854" i="6"/>
  <c r="G854" i="6"/>
  <c r="I854" i="6"/>
  <c r="I847" i="6"/>
  <c r="G847" i="6"/>
  <c r="K798" i="6"/>
  <c r="G798" i="6"/>
  <c r="I798" i="6"/>
  <c r="I791" i="6"/>
  <c r="G791" i="6"/>
  <c r="I979" i="6"/>
  <c r="G979" i="6"/>
  <c r="K930" i="6"/>
  <c r="G930" i="6"/>
  <c r="I930" i="6"/>
  <c r="I927" i="6"/>
  <c r="G927" i="6"/>
  <c r="K922" i="6"/>
  <c r="G922" i="6"/>
  <c r="I922" i="6"/>
  <c r="G824" i="6"/>
  <c r="I824" i="6"/>
  <c r="G764" i="6"/>
  <c r="I764" i="6"/>
  <c r="G451" i="6"/>
  <c r="I451" i="6"/>
  <c r="K451" i="6"/>
  <c r="K974" i="6"/>
  <c r="G732" i="6"/>
  <c r="I732" i="6"/>
  <c r="L728" i="6"/>
  <c r="M728" i="6" s="1"/>
  <c r="N728" i="6"/>
  <c r="L589" i="6"/>
  <c r="M589" i="6" s="1"/>
  <c r="N589" i="6"/>
  <c r="G495" i="6"/>
  <c r="I495" i="6"/>
  <c r="G481" i="6"/>
  <c r="I481" i="6"/>
  <c r="G469" i="6"/>
  <c r="K469" i="6"/>
  <c r="K399" i="6"/>
  <c r="I399" i="6"/>
  <c r="K378" i="6"/>
  <c r="I378" i="6"/>
  <c r="G378" i="6"/>
  <c r="I367" i="6"/>
  <c r="G367" i="6"/>
  <c r="K350" i="6"/>
  <c r="G350" i="6"/>
  <c r="I350" i="6"/>
  <c r="L328" i="6"/>
  <c r="M328" i="6" s="1"/>
  <c r="N328" i="6"/>
  <c r="Q328" i="6" s="1"/>
  <c r="R328" i="6" s="1"/>
  <c r="I277" i="6"/>
  <c r="G277" i="6"/>
  <c r="K277" i="6"/>
  <c r="N978" i="6"/>
  <c r="K966" i="6"/>
  <c r="N930" i="6"/>
  <c r="N926" i="6"/>
  <c r="N914" i="6"/>
  <c r="N902" i="6"/>
  <c r="N895" i="6"/>
  <c r="N890" i="6"/>
  <c r="K887" i="6"/>
  <c r="N879" i="6"/>
  <c r="N874" i="6"/>
  <c r="N867" i="6"/>
  <c r="N855" i="6"/>
  <c r="N853" i="6"/>
  <c r="N818" i="6"/>
  <c r="N810" i="6"/>
  <c r="N802" i="6"/>
  <c r="N797" i="6"/>
  <c r="N770" i="6"/>
  <c r="G754" i="6"/>
  <c r="I754" i="6"/>
  <c r="G730" i="6"/>
  <c r="I730" i="6"/>
  <c r="L748" i="6"/>
  <c r="M748" i="6" s="1"/>
  <c r="N748" i="6"/>
  <c r="N747" i="6"/>
  <c r="K744" i="6"/>
  <c r="N738" i="6"/>
  <c r="L730" i="6"/>
  <c r="M730" i="6" s="1"/>
  <c r="G722" i="6"/>
  <c r="I722" i="6"/>
  <c r="N713" i="6"/>
  <c r="N702" i="6"/>
  <c r="N698" i="6"/>
  <c r="G698" i="6"/>
  <c r="I698" i="6"/>
  <c r="L692" i="6"/>
  <c r="M692" i="6" s="1"/>
  <c r="N692" i="6"/>
  <c r="N679" i="6"/>
  <c r="N678" i="6"/>
  <c r="N663" i="6"/>
  <c r="N662" i="6"/>
  <c r="N647" i="6"/>
  <c r="N646" i="6"/>
  <c r="N631" i="6"/>
  <c r="N630" i="6"/>
  <c r="N615" i="6"/>
  <c r="N614" i="6"/>
  <c r="N599" i="6"/>
  <c r="L592" i="6"/>
  <c r="M592" i="6" s="1"/>
  <c r="N592" i="6"/>
  <c r="G590" i="6"/>
  <c r="K590" i="6"/>
  <c r="L584" i="6"/>
  <c r="M584" i="6" s="1"/>
  <c r="N584" i="6"/>
  <c r="L571" i="6"/>
  <c r="M571" i="6" s="1"/>
  <c r="N571" i="6"/>
  <c r="K554" i="6"/>
  <c r="I554" i="6"/>
  <c r="G539" i="6"/>
  <c r="I539" i="6"/>
  <c r="K539" i="6"/>
  <c r="G531" i="6"/>
  <c r="I531" i="6"/>
  <c r="L507" i="6"/>
  <c r="M507" i="6" s="1"/>
  <c r="N507" i="6"/>
  <c r="Q507" i="6" s="1"/>
  <c r="R507" i="6" s="1"/>
  <c r="G497" i="6"/>
  <c r="I497" i="6"/>
  <c r="K495" i="6"/>
  <c r="G483" i="6"/>
  <c r="I483" i="6"/>
  <c r="L473" i="6"/>
  <c r="M473" i="6" s="1"/>
  <c r="N473" i="6"/>
  <c r="Q473" i="6" s="1"/>
  <c r="R473" i="6" s="1"/>
  <c r="N468" i="6"/>
  <c r="Q468" i="6" s="1"/>
  <c r="R468" i="6" s="1"/>
  <c r="L468" i="6"/>
  <c r="M468" i="6" s="1"/>
  <c r="G443" i="6"/>
  <c r="I443" i="6"/>
  <c r="L441" i="6"/>
  <c r="M441" i="6" s="1"/>
  <c r="N441" i="6"/>
  <c r="Q441" i="6" s="1"/>
  <c r="R441" i="6" s="1"/>
  <c r="L405" i="6"/>
  <c r="M405" i="6" s="1"/>
  <c r="N405" i="6"/>
  <c r="Q405" i="6" s="1"/>
  <c r="R405" i="6" s="1"/>
  <c r="K398" i="6"/>
  <c r="G398" i="6"/>
  <c r="I398" i="6"/>
  <c r="K390" i="6"/>
  <c r="I390" i="6"/>
  <c r="L324" i="6"/>
  <c r="M324" i="6" s="1"/>
  <c r="N324" i="6"/>
  <c r="Q324" i="6" s="1"/>
  <c r="R324" i="6" s="1"/>
  <c r="L314" i="6"/>
  <c r="M314" i="6" s="1"/>
  <c r="N314" i="6"/>
  <c r="Q314" i="6" s="1"/>
  <c r="R314" i="6" s="1"/>
  <c r="N313" i="6"/>
  <c r="Q313" i="6" s="1"/>
  <c r="R313" i="6" s="1"/>
  <c r="L313" i="6"/>
  <c r="M313" i="6" s="1"/>
  <c r="I290" i="6"/>
  <c r="K290" i="6"/>
  <c r="G289" i="6"/>
  <c r="I289" i="6"/>
  <c r="K289" i="6"/>
  <c r="I242" i="6"/>
  <c r="K242" i="6"/>
  <c r="G242" i="6"/>
  <c r="K954" i="6"/>
  <c r="G762" i="6"/>
  <c r="I762" i="6"/>
  <c r="L756" i="6"/>
  <c r="M756" i="6" s="1"/>
  <c r="N756" i="6"/>
  <c r="G714" i="6"/>
  <c r="K714" i="6"/>
  <c r="G704" i="6"/>
  <c r="I704" i="6"/>
  <c r="L526" i="6"/>
  <c r="M526" i="6" s="1"/>
  <c r="N526" i="6"/>
  <c r="Q526" i="6" s="1"/>
  <c r="R526" i="6" s="1"/>
  <c r="G515" i="6"/>
  <c r="I515" i="6"/>
  <c r="N502" i="6"/>
  <c r="Q502" i="6" s="1"/>
  <c r="R502" i="6" s="1"/>
  <c r="L502" i="6"/>
  <c r="M502" i="6" s="1"/>
  <c r="L496" i="6"/>
  <c r="M496" i="6" s="1"/>
  <c r="N496" i="6"/>
  <c r="Q496" i="6" s="1"/>
  <c r="R496" i="6" s="1"/>
  <c r="G485" i="6"/>
  <c r="I485" i="6"/>
  <c r="L457" i="6"/>
  <c r="M457" i="6" s="1"/>
  <c r="N457" i="6"/>
  <c r="Q457" i="6" s="1"/>
  <c r="R457" i="6" s="1"/>
  <c r="G447" i="6"/>
  <c r="I447" i="6"/>
  <c r="K447" i="6"/>
  <c r="L420" i="6"/>
  <c r="M420" i="6" s="1"/>
  <c r="N420" i="6"/>
  <c r="Q420" i="6" s="1"/>
  <c r="R420" i="6" s="1"/>
  <c r="G407" i="6"/>
  <c r="K407" i="6"/>
  <c r="L401" i="6"/>
  <c r="M401" i="6" s="1"/>
  <c r="N401" i="6"/>
  <c r="Q401" i="6" s="1"/>
  <c r="R401" i="6" s="1"/>
  <c r="K358" i="6"/>
  <c r="I358" i="6"/>
  <c r="L348" i="6"/>
  <c r="M348" i="6" s="1"/>
  <c r="N348" i="6"/>
  <c r="Q348" i="6" s="1"/>
  <c r="R348" i="6" s="1"/>
  <c r="L343" i="6"/>
  <c r="M343" i="6" s="1"/>
  <c r="N343" i="6"/>
  <c r="Q343" i="6" s="1"/>
  <c r="R343" i="6" s="1"/>
  <c r="L323" i="6"/>
  <c r="M323" i="6" s="1"/>
  <c r="N323" i="6"/>
  <c r="Q323" i="6" s="1"/>
  <c r="R323" i="6" s="1"/>
  <c r="N974" i="6"/>
  <c r="K950" i="6"/>
  <c r="N922" i="6"/>
  <c r="K899" i="6"/>
  <c r="K898" i="6"/>
  <c r="K871" i="6"/>
  <c r="K863" i="6"/>
  <c r="K782" i="6"/>
  <c r="L724" i="6"/>
  <c r="M724" i="6" s="1"/>
  <c r="N724" i="6"/>
  <c r="G700" i="6"/>
  <c r="I700" i="6"/>
  <c r="L696" i="6"/>
  <c r="M696" i="6" s="1"/>
  <c r="N696" i="6"/>
  <c r="L684" i="6"/>
  <c r="M684" i="6" s="1"/>
  <c r="N684" i="6"/>
  <c r="G682" i="6"/>
  <c r="K682" i="6"/>
  <c r="K674" i="6"/>
  <c r="L668" i="6"/>
  <c r="M668" i="6" s="1"/>
  <c r="N668" i="6"/>
  <c r="G666" i="6"/>
  <c r="K666" i="6"/>
  <c r="K658" i="6"/>
  <c r="L652" i="6"/>
  <c r="M652" i="6" s="1"/>
  <c r="N652" i="6"/>
  <c r="G650" i="6"/>
  <c r="K650" i="6"/>
  <c r="K642" i="6"/>
  <c r="L636" i="6"/>
  <c r="M636" i="6" s="1"/>
  <c r="N636" i="6"/>
  <c r="G634" i="6"/>
  <c r="K634" i="6"/>
  <c r="K626" i="6"/>
  <c r="L620" i="6"/>
  <c r="M620" i="6" s="1"/>
  <c r="N620" i="6"/>
  <c r="G618" i="6"/>
  <c r="K618" i="6"/>
  <c r="K610" i="6"/>
  <c r="L604" i="6"/>
  <c r="M604" i="6" s="1"/>
  <c r="N604" i="6"/>
  <c r="G602" i="6"/>
  <c r="K602" i="6"/>
  <c r="G582" i="6"/>
  <c r="K582" i="6"/>
  <c r="L573" i="6"/>
  <c r="M573" i="6" s="1"/>
  <c r="N573" i="6"/>
  <c r="N567" i="6"/>
  <c r="L567" i="6"/>
  <c r="M567" i="6" s="1"/>
  <c r="N556" i="6"/>
  <c r="Q556" i="6" s="1"/>
  <c r="R556" i="6" s="1"/>
  <c r="L556" i="6"/>
  <c r="M556" i="6" s="1"/>
  <c r="L554" i="6"/>
  <c r="M554" i="6" s="1"/>
  <c r="N554" i="6"/>
  <c r="Q554" i="6" s="1"/>
  <c r="R554" i="6" s="1"/>
  <c r="L519" i="6"/>
  <c r="M519" i="6" s="1"/>
  <c r="N519" i="6"/>
  <c r="Q519" i="6" s="1"/>
  <c r="R519" i="6" s="1"/>
  <c r="L512" i="6"/>
  <c r="M512" i="6" s="1"/>
  <c r="N512" i="6"/>
  <c r="Q512" i="6" s="1"/>
  <c r="R512" i="6" s="1"/>
  <c r="L503" i="6"/>
  <c r="M503" i="6" s="1"/>
  <c r="N503" i="6"/>
  <c r="Q503" i="6" s="1"/>
  <c r="R503" i="6" s="1"/>
  <c r="L497" i="6"/>
  <c r="M497" i="6" s="1"/>
  <c r="N497" i="6"/>
  <c r="Q497" i="6" s="1"/>
  <c r="R497" i="6" s="1"/>
  <c r="L493" i="6"/>
  <c r="M493" i="6" s="1"/>
  <c r="N493" i="6"/>
  <c r="Q493" i="6" s="1"/>
  <c r="R493" i="6" s="1"/>
  <c r="N484" i="6"/>
  <c r="Q484" i="6" s="1"/>
  <c r="R484" i="6" s="1"/>
  <c r="L484" i="6"/>
  <c r="M484" i="6" s="1"/>
  <c r="G479" i="6"/>
  <c r="K479" i="6"/>
  <c r="G477" i="6"/>
  <c r="I477" i="6"/>
  <c r="G467" i="6"/>
  <c r="K467" i="6"/>
  <c r="I467" i="6"/>
  <c r="G455" i="6"/>
  <c r="I455" i="6"/>
  <c r="L443" i="6"/>
  <c r="M443" i="6" s="1"/>
  <c r="N443" i="6"/>
  <c r="Q443" i="6" s="1"/>
  <c r="R443" i="6" s="1"/>
  <c r="L439" i="6"/>
  <c r="M439" i="6" s="1"/>
  <c r="N439" i="6"/>
  <c r="Q439" i="6" s="1"/>
  <c r="R439" i="6" s="1"/>
  <c r="G431" i="6"/>
  <c r="K431" i="6"/>
  <c r="I431" i="6"/>
  <c r="L426" i="6"/>
  <c r="M426" i="6" s="1"/>
  <c r="N426" i="6"/>
  <c r="Q426" i="6" s="1"/>
  <c r="R426" i="6" s="1"/>
  <c r="L390" i="6"/>
  <c r="M390" i="6" s="1"/>
  <c r="N390" i="6"/>
  <c r="Q390" i="6" s="1"/>
  <c r="R390" i="6" s="1"/>
  <c r="K382" i="6"/>
  <c r="I382" i="6"/>
  <c r="L380" i="6"/>
  <c r="M380" i="6" s="1"/>
  <c r="N380" i="6"/>
  <c r="Q380" i="6" s="1"/>
  <c r="R380" i="6" s="1"/>
  <c r="L375" i="6"/>
  <c r="M375" i="6" s="1"/>
  <c r="N375" i="6"/>
  <c r="Q375" i="6" s="1"/>
  <c r="R375" i="6" s="1"/>
  <c r="L360" i="6"/>
  <c r="M360" i="6" s="1"/>
  <c r="N360" i="6"/>
  <c r="Q360" i="6" s="1"/>
  <c r="R360" i="6" s="1"/>
  <c r="L355" i="6"/>
  <c r="M355" i="6" s="1"/>
  <c r="N355" i="6"/>
  <c r="Q355" i="6" s="1"/>
  <c r="R355" i="6" s="1"/>
  <c r="N309" i="6"/>
  <c r="Q309" i="6" s="1"/>
  <c r="R309" i="6" s="1"/>
  <c r="L309" i="6"/>
  <c r="M309" i="6" s="1"/>
  <c r="K308" i="6"/>
  <c r="I308" i="6"/>
  <c r="G273" i="6"/>
  <c r="K273" i="6"/>
  <c r="L265" i="6"/>
  <c r="M265" i="6" s="1"/>
  <c r="N265" i="6"/>
  <c r="Q265" i="6" s="1"/>
  <c r="R265" i="6" s="1"/>
  <c r="K215" i="6"/>
  <c r="G215" i="6"/>
  <c r="I215" i="6"/>
  <c r="G185" i="6"/>
  <c r="I185" i="6"/>
  <c r="K185" i="6"/>
  <c r="I974" i="6"/>
  <c r="I970" i="6"/>
  <c r="N959" i="6"/>
  <c r="I954" i="6"/>
  <c r="I946" i="6"/>
  <c r="I934" i="6"/>
  <c r="I918" i="6"/>
  <c r="I910" i="6"/>
  <c r="N891" i="6"/>
  <c r="I886" i="6"/>
  <c r="K883" i="6"/>
  <c r="N875" i="6"/>
  <c r="I870" i="6"/>
  <c r="I862" i="6"/>
  <c r="K859" i="6"/>
  <c r="I846" i="6"/>
  <c r="I845" i="6"/>
  <c r="I838" i="6"/>
  <c r="I837" i="6"/>
  <c r="N815" i="6"/>
  <c r="N807" i="6"/>
  <c r="N799" i="6"/>
  <c r="I790" i="6"/>
  <c r="I789" i="6"/>
  <c r="K776" i="6"/>
  <c r="K762" i="6"/>
  <c r="K760" i="6"/>
  <c r="N980" i="6"/>
  <c r="N976" i="6"/>
  <c r="G971" i="6"/>
  <c r="G970" i="6"/>
  <c r="G967" i="6"/>
  <c r="G963" i="6"/>
  <c r="N961" i="6"/>
  <c r="N956" i="6"/>
  <c r="G951" i="6"/>
  <c r="G947" i="6"/>
  <c r="G946" i="6"/>
  <c r="I942" i="6"/>
  <c r="I938" i="6"/>
  <c r="G935" i="6"/>
  <c r="G934" i="6"/>
  <c r="N924" i="6"/>
  <c r="G919" i="6"/>
  <c r="G918" i="6"/>
  <c r="G911" i="6"/>
  <c r="G910" i="6"/>
  <c r="L907" i="6"/>
  <c r="M907" i="6" s="1"/>
  <c r="N904" i="6"/>
  <c r="N900" i="6"/>
  <c r="G899" i="6"/>
  <c r="K895" i="6"/>
  <c r="N888" i="6"/>
  <c r="G887" i="6"/>
  <c r="G886" i="6"/>
  <c r="I882" i="6"/>
  <c r="K879" i="6"/>
  <c r="N872" i="6"/>
  <c r="G871" i="6"/>
  <c r="G870" i="6"/>
  <c r="K867" i="6"/>
  <c r="N864" i="6"/>
  <c r="G863" i="6"/>
  <c r="G862" i="6"/>
  <c r="I858" i="6"/>
  <c r="K855" i="6"/>
  <c r="G845" i="6"/>
  <c r="G839" i="6"/>
  <c r="G838" i="6"/>
  <c r="G837" i="6"/>
  <c r="G831" i="6"/>
  <c r="I829" i="6"/>
  <c r="L817" i="6"/>
  <c r="M817" i="6" s="1"/>
  <c r="I816" i="6"/>
  <c r="L809" i="6"/>
  <c r="M809" i="6" s="1"/>
  <c r="I808" i="6"/>
  <c r="L801" i="6"/>
  <c r="M801" i="6" s="1"/>
  <c r="I800" i="6"/>
  <c r="G789" i="6"/>
  <c r="G783" i="6"/>
  <c r="N780" i="6"/>
  <c r="K778" i="6"/>
  <c r="I768" i="6"/>
  <c r="L760" i="6"/>
  <c r="M760" i="6" s="1"/>
  <c r="N760" i="6"/>
  <c r="L754" i="6"/>
  <c r="M754" i="6" s="1"/>
  <c r="N752" i="6"/>
  <c r="L749" i="6"/>
  <c r="M749" i="6" s="1"/>
  <c r="I748" i="6"/>
  <c r="G746" i="6"/>
  <c r="K746" i="6"/>
  <c r="L743" i="6"/>
  <c r="M743" i="6" s="1"/>
  <c r="K730" i="6"/>
  <c r="N729" i="6"/>
  <c r="K728" i="6"/>
  <c r="L716" i="6"/>
  <c r="M716" i="6" s="1"/>
  <c r="N716" i="6"/>
  <c r="I714" i="6"/>
  <c r="K712" i="6"/>
  <c r="N706" i="6"/>
  <c r="N700" i="6"/>
  <c r="N699" i="6"/>
  <c r="I688" i="6"/>
  <c r="G686" i="6"/>
  <c r="K686" i="6"/>
  <c r="N681" i="6"/>
  <c r="L680" i="6"/>
  <c r="M680" i="6" s="1"/>
  <c r="N680" i="6"/>
  <c r="N676" i="6"/>
  <c r="N674" i="6"/>
  <c r="I674" i="6"/>
  <c r="L672" i="6"/>
  <c r="M672" i="6" s="1"/>
  <c r="N672" i="6"/>
  <c r="G670" i="6"/>
  <c r="K670" i="6"/>
  <c r="N665" i="6"/>
  <c r="L664" i="6"/>
  <c r="M664" i="6" s="1"/>
  <c r="N664" i="6"/>
  <c r="N660" i="6"/>
  <c r="N658" i="6"/>
  <c r="I658" i="6"/>
  <c r="L656" i="6"/>
  <c r="M656" i="6" s="1"/>
  <c r="N656" i="6"/>
  <c r="G654" i="6"/>
  <c r="K654" i="6"/>
  <c r="N649" i="6"/>
  <c r="L648" i="6"/>
  <c r="M648" i="6" s="1"/>
  <c r="N648" i="6"/>
  <c r="N644" i="6"/>
  <c r="N642" i="6"/>
  <c r="I642" i="6"/>
  <c r="L640" i="6"/>
  <c r="M640" i="6" s="1"/>
  <c r="N640" i="6"/>
  <c r="G638" i="6"/>
  <c r="K638" i="6"/>
  <c r="N633" i="6"/>
  <c r="L632" i="6"/>
  <c r="M632" i="6" s="1"/>
  <c r="N632" i="6"/>
  <c r="N628" i="6"/>
  <c r="N626" i="6"/>
  <c r="I626" i="6"/>
  <c r="L624" i="6"/>
  <c r="M624" i="6" s="1"/>
  <c r="N624" i="6"/>
  <c r="G622" i="6"/>
  <c r="K622" i="6"/>
  <c r="N617" i="6"/>
  <c r="L616" i="6"/>
  <c r="M616" i="6" s="1"/>
  <c r="N616" i="6"/>
  <c r="N612" i="6"/>
  <c r="N610" i="6"/>
  <c r="I610" i="6"/>
  <c r="L608" i="6"/>
  <c r="M608" i="6" s="1"/>
  <c r="N608" i="6"/>
  <c r="G606" i="6"/>
  <c r="K606" i="6"/>
  <c r="N601" i="6"/>
  <c r="L600" i="6"/>
  <c r="M600" i="6" s="1"/>
  <c r="N600" i="6"/>
  <c r="N596" i="6"/>
  <c r="N594" i="6"/>
  <c r="G594" i="6"/>
  <c r="K594" i="6"/>
  <c r="L576" i="6"/>
  <c r="M576" i="6" s="1"/>
  <c r="N576" i="6"/>
  <c r="G574" i="6"/>
  <c r="K574" i="6"/>
  <c r="L568" i="6"/>
  <c r="M568" i="6" s="1"/>
  <c r="N568" i="6"/>
  <c r="N560" i="6"/>
  <c r="G555" i="6"/>
  <c r="K555" i="6"/>
  <c r="I555" i="6"/>
  <c r="L546" i="6"/>
  <c r="M546" i="6" s="1"/>
  <c r="L518" i="6"/>
  <c r="M518" i="6" s="1"/>
  <c r="N510" i="6"/>
  <c r="Q510" i="6" s="1"/>
  <c r="R510" i="6" s="1"/>
  <c r="G507" i="6"/>
  <c r="I507" i="6"/>
  <c r="N500" i="6"/>
  <c r="Q500" i="6" s="1"/>
  <c r="R500" i="6" s="1"/>
  <c r="L500" i="6"/>
  <c r="M500" i="6" s="1"/>
  <c r="L495" i="6"/>
  <c r="M495" i="6" s="1"/>
  <c r="N495" i="6"/>
  <c r="Q495" i="6" s="1"/>
  <c r="R495" i="6" s="1"/>
  <c r="L487" i="6"/>
  <c r="M487" i="6" s="1"/>
  <c r="K477" i="6"/>
  <c r="I469" i="6"/>
  <c r="N456" i="6"/>
  <c r="Q456" i="6" s="1"/>
  <c r="R456" i="6" s="1"/>
  <c r="L456" i="6"/>
  <c r="M456" i="6" s="1"/>
  <c r="K455" i="6"/>
  <c r="N435" i="6"/>
  <c r="Q435" i="6" s="1"/>
  <c r="R435" i="6" s="1"/>
  <c r="L433" i="6"/>
  <c r="M433" i="6" s="1"/>
  <c r="N433" i="6"/>
  <c r="Q433" i="6" s="1"/>
  <c r="R433" i="6" s="1"/>
  <c r="G427" i="6"/>
  <c r="K427" i="6"/>
  <c r="G415" i="6"/>
  <c r="K415" i="6"/>
  <c r="I407" i="6"/>
  <c r="G399" i="6"/>
  <c r="G358" i="6"/>
  <c r="L356" i="6"/>
  <c r="M356" i="6" s="1"/>
  <c r="N356" i="6"/>
  <c r="Q356" i="6" s="1"/>
  <c r="R356" i="6" s="1"/>
  <c r="K346" i="6"/>
  <c r="I346" i="6"/>
  <c r="G346" i="6"/>
  <c r="I335" i="6"/>
  <c r="G335" i="6"/>
  <c r="G327" i="6"/>
  <c r="K326" i="6"/>
  <c r="I326" i="6"/>
  <c r="I321" i="6"/>
  <c r="K321" i="6"/>
  <c r="G321" i="6"/>
  <c r="L318" i="6"/>
  <c r="M318" i="6" s="1"/>
  <c r="N318" i="6"/>
  <c r="Q318" i="6" s="1"/>
  <c r="R318" i="6" s="1"/>
  <c r="I306" i="6"/>
  <c r="K306" i="6"/>
  <c r="L304" i="6"/>
  <c r="M304" i="6" s="1"/>
  <c r="L297" i="6"/>
  <c r="M297" i="6" s="1"/>
  <c r="N297" i="6"/>
  <c r="Q297" i="6" s="1"/>
  <c r="R297" i="6" s="1"/>
  <c r="N295" i="6"/>
  <c r="Q295" i="6" s="1"/>
  <c r="R295" i="6" s="1"/>
  <c r="L281" i="6"/>
  <c r="M281" i="6" s="1"/>
  <c r="N281" i="6"/>
  <c r="Q281" i="6" s="1"/>
  <c r="R281" i="6" s="1"/>
  <c r="L536" i="6"/>
  <c r="M536" i="6" s="1"/>
  <c r="N536" i="6"/>
  <c r="Q536" i="6" s="1"/>
  <c r="R536" i="6" s="1"/>
  <c r="G523" i="6"/>
  <c r="K523" i="6"/>
  <c r="N516" i="6"/>
  <c r="Q516" i="6" s="1"/>
  <c r="R516" i="6" s="1"/>
  <c r="L514" i="6"/>
  <c r="M514" i="6" s="1"/>
  <c r="I506" i="6"/>
  <c r="I493" i="6"/>
  <c r="I487" i="6"/>
  <c r="L475" i="6"/>
  <c r="M475" i="6" s="1"/>
  <c r="L470" i="6"/>
  <c r="M470" i="6" s="1"/>
  <c r="N466" i="6"/>
  <c r="Q466" i="6" s="1"/>
  <c r="R466" i="6" s="1"/>
  <c r="L465" i="6"/>
  <c r="M465" i="6" s="1"/>
  <c r="N465" i="6"/>
  <c r="Q465" i="6" s="1"/>
  <c r="R465" i="6" s="1"/>
  <c r="G463" i="6"/>
  <c r="K463" i="6"/>
  <c r="N461" i="6"/>
  <c r="Q461" i="6" s="1"/>
  <c r="R461" i="6" s="1"/>
  <c r="L460" i="6"/>
  <c r="M460" i="6" s="1"/>
  <c r="N448" i="6"/>
  <c r="Q448" i="6" s="1"/>
  <c r="R448" i="6" s="1"/>
  <c r="I439" i="6"/>
  <c r="L437" i="6"/>
  <c r="M437" i="6" s="1"/>
  <c r="N437" i="6"/>
  <c r="Q437" i="6" s="1"/>
  <c r="R437" i="6" s="1"/>
  <c r="G435" i="6"/>
  <c r="K435" i="6"/>
  <c r="N430" i="6"/>
  <c r="Q430" i="6" s="1"/>
  <c r="R430" i="6" s="1"/>
  <c r="L429" i="6"/>
  <c r="M429" i="6" s="1"/>
  <c r="N429" i="6"/>
  <c r="G403" i="6"/>
  <c r="L393" i="6"/>
  <c r="M393" i="6" s="1"/>
  <c r="N393" i="6"/>
  <c r="Q393" i="6" s="1"/>
  <c r="R393" i="6" s="1"/>
  <c r="K366" i="6"/>
  <c r="G366" i="6"/>
  <c r="L364" i="6"/>
  <c r="M364" i="6" s="1"/>
  <c r="N364" i="6"/>
  <c r="Q364" i="6" s="1"/>
  <c r="R364" i="6" s="1"/>
  <c r="K362" i="6"/>
  <c r="I362" i="6"/>
  <c r="I351" i="6"/>
  <c r="G351" i="6"/>
  <c r="K334" i="6"/>
  <c r="G334" i="6"/>
  <c r="L332" i="6"/>
  <c r="M332" i="6" s="1"/>
  <c r="N332" i="6"/>
  <c r="Q332" i="6" s="1"/>
  <c r="R332" i="6" s="1"/>
  <c r="K330" i="6"/>
  <c r="I330" i="6"/>
  <c r="I313" i="6"/>
  <c r="G313" i="6"/>
  <c r="G309" i="6"/>
  <c r="I309" i="6"/>
  <c r="I301" i="6"/>
  <c r="K301" i="6"/>
  <c r="G301" i="6"/>
  <c r="G297" i="6"/>
  <c r="K297" i="6"/>
  <c r="L287" i="6"/>
  <c r="M287" i="6" s="1"/>
  <c r="N287" i="6"/>
  <c r="Q287" i="6" s="1"/>
  <c r="R287" i="6" s="1"/>
  <c r="I285" i="6"/>
  <c r="K285" i="6"/>
  <c r="N278" i="6"/>
  <c r="Q278" i="6" s="1"/>
  <c r="R278" i="6" s="1"/>
  <c r="L278" i="6"/>
  <c r="M278" i="6" s="1"/>
  <c r="L272" i="6"/>
  <c r="M272" i="6" s="1"/>
  <c r="N272" i="6"/>
  <c r="Q272" i="6" s="1"/>
  <c r="R272" i="6" s="1"/>
  <c r="L270" i="6"/>
  <c r="M270" i="6" s="1"/>
  <c r="N269" i="6"/>
  <c r="Q269" i="6" s="1"/>
  <c r="R269" i="6" s="1"/>
  <c r="L269" i="6"/>
  <c r="M269" i="6" s="1"/>
  <c r="K264" i="6"/>
  <c r="I264" i="6"/>
  <c r="K225" i="6"/>
  <c r="I225" i="6"/>
  <c r="L588" i="6"/>
  <c r="M588" i="6" s="1"/>
  <c r="N588" i="6"/>
  <c r="G586" i="6"/>
  <c r="K586" i="6"/>
  <c r="K578" i="6"/>
  <c r="L572" i="6"/>
  <c r="M572" i="6" s="1"/>
  <c r="N572" i="6"/>
  <c r="G570" i="6"/>
  <c r="K570" i="6"/>
  <c r="K563" i="6"/>
  <c r="K547" i="6"/>
  <c r="N531" i="6"/>
  <c r="Q531" i="6" s="1"/>
  <c r="R531" i="6" s="1"/>
  <c r="K522" i="6"/>
  <c r="I522" i="6"/>
  <c r="G459" i="6"/>
  <c r="K459" i="6"/>
  <c r="K419" i="6"/>
  <c r="L414" i="6"/>
  <c r="M414" i="6" s="1"/>
  <c r="N414" i="6"/>
  <c r="Q414" i="6" s="1"/>
  <c r="R414" i="6" s="1"/>
  <c r="K411" i="6"/>
  <c r="L395" i="6"/>
  <c r="M395" i="6" s="1"/>
  <c r="N395" i="6"/>
  <c r="Q395" i="6" s="1"/>
  <c r="R395" i="6" s="1"/>
  <c r="K386" i="6"/>
  <c r="I386" i="6"/>
  <c r="L376" i="6"/>
  <c r="M376" i="6" s="1"/>
  <c r="N376" i="6"/>
  <c r="L372" i="6"/>
  <c r="M372" i="6" s="1"/>
  <c r="N372" i="6"/>
  <c r="Q372" i="6" s="1"/>
  <c r="R372" i="6" s="1"/>
  <c r="L359" i="6"/>
  <c r="M359" i="6" s="1"/>
  <c r="N359" i="6"/>
  <c r="Q359" i="6" s="1"/>
  <c r="R359" i="6" s="1"/>
  <c r="L344" i="6"/>
  <c r="M344" i="6" s="1"/>
  <c r="N344" i="6"/>
  <c r="Q344" i="6" s="1"/>
  <c r="R344" i="6" s="1"/>
  <c r="L340" i="6"/>
  <c r="M340" i="6" s="1"/>
  <c r="N340" i="6"/>
  <c r="Q340" i="6" s="1"/>
  <c r="R340" i="6" s="1"/>
  <c r="L327" i="6"/>
  <c r="M327" i="6" s="1"/>
  <c r="N327" i="6"/>
  <c r="Q327" i="6" s="1"/>
  <c r="R327" i="6" s="1"/>
  <c r="G317" i="6"/>
  <c r="K317" i="6"/>
  <c r="I317" i="6"/>
  <c r="L303" i="6"/>
  <c r="M303" i="6" s="1"/>
  <c r="N303" i="6"/>
  <c r="Q303" i="6" s="1"/>
  <c r="R303" i="6" s="1"/>
  <c r="K280" i="6"/>
  <c r="I280" i="6"/>
  <c r="K272" i="6"/>
  <c r="I272" i="6"/>
  <c r="I269" i="6"/>
  <c r="G269" i="6"/>
  <c r="K219" i="6"/>
  <c r="I219" i="6"/>
  <c r="K230" i="6"/>
  <c r="I230" i="6"/>
  <c r="K208" i="6"/>
  <c r="G208" i="6"/>
  <c r="I208" i="6"/>
  <c r="K143" i="6"/>
  <c r="G143" i="6"/>
  <c r="K128" i="6"/>
  <c r="I128" i="6"/>
  <c r="L425" i="6"/>
  <c r="M425" i="6" s="1"/>
  <c r="N425" i="6"/>
  <c r="G423" i="6"/>
  <c r="K423" i="6"/>
  <c r="L418" i="6"/>
  <c r="M418" i="6" s="1"/>
  <c r="N418" i="6"/>
  <c r="Q418" i="6" s="1"/>
  <c r="R418" i="6" s="1"/>
  <c r="L368" i="6"/>
  <c r="M368" i="6" s="1"/>
  <c r="N368" i="6"/>
  <c r="Q368" i="6" s="1"/>
  <c r="R368" i="6" s="1"/>
  <c r="L352" i="6"/>
  <c r="M352" i="6" s="1"/>
  <c r="N352" i="6"/>
  <c r="Q352" i="6" s="1"/>
  <c r="R352" i="6" s="1"/>
  <c r="L336" i="6"/>
  <c r="M336" i="6" s="1"/>
  <c r="N336" i="6"/>
  <c r="Q336" i="6" s="1"/>
  <c r="R336" i="6" s="1"/>
  <c r="G281" i="6"/>
  <c r="K281" i="6"/>
  <c r="K253" i="6"/>
  <c r="G253" i="6"/>
  <c r="K186" i="6"/>
  <c r="G186" i="6"/>
  <c r="I186" i="6"/>
  <c r="K245" i="6"/>
  <c r="I245" i="6"/>
  <c r="G176" i="6"/>
  <c r="K176" i="6"/>
  <c r="I175" i="6"/>
  <c r="K175" i="6"/>
  <c r="K205" i="6"/>
  <c r="G205" i="6"/>
  <c r="K202" i="6"/>
  <c r="I202" i="6"/>
  <c r="G180" i="6"/>
  <c r="I180" i="6"/>
  <c r="K180" i="6"/>
  <c r="K172" i="6"/>
  <c r="G172" i="6"/>
  <c r="I172" i="6"/>
  <c r="G192" i="6"/>
  <c r="I188" i="6"/>
  <c r="I92" i="6"/>
  <c r="N50" i="6"/>
  <c r="K43" i="6"/>
  <c r="G92" i="6"/>
  <c r="I37" i="6"/>
  <c r="K969" i="6"/>
  <c r="G969" i="6"/>
  <c r="I969" i="6"/>
  <c r="K949" i="6"/>
  <c r="G949" i="6"/>
  <c r="I949" i="6"/>
  <c r="K937" i="6"/>
  <c r="G937" i="6"/>
  <c r="I937" i="6"/>
  <c r="K897" i="6"/>
  <c r="G897" i="6"/>
  <c r="I897" i="6"/>
  <c r="K881" i="6"/>
  <c r="G881" i="6"/>
  <c r="I881" i="6"/>
  <c r="K981" i="6"/>
  <c r="G981" i="6"/>
  <c r="I981" i="6"/>
  <c r="K977" i="6"/>
  <c r="I977" i="6"/>
  <c r="G977" i="6"/>
  <c r="K957" i="6"/>
  <c r="G957" i="6"/>
  <c r="I957" i="6"/>
  <c r="K925" i="6"/>
  <c r="G925" i="6"/>
  <c r="I925" i="6"/>
  <c r="K905" i="6"/>
  <c r="G905" i="6"/>
  <c r="I905" i="6"/>
  <c r="K901" i="6"/>
  <c r="G901" i="6"/>
  <c r="I901" i="6"/>
  <c r="K889" i="6"/>
  <c r="G889" i="6"/>
  <c r="I889" i="6"/>
  <c r="K873" i="6"/>
  <c r="G873" i="6"/>
  <c r="I873" i="6"/>
  <c r="K865" i="6"/>
  <c r="G865" i="6"/>
  <c r="I865" i="6"/>
  <c r="I843" i="6"/>
  <c r="G843" i="6"/>
  <c r="K843" i="6"/>
  <c r="I835" i="6"/>
  <c r="G835" i="6"/>
  <c r="K835" i="6"/>
  <c r="I787" i="6"/>
  <c r="K787" i="6"/>
  <c r="G787" i="6"/>
  <c r="K953" i="6"/>
  <c r="G953" i="6"/>
  <c r="I953" i="6"/>
  <c r="K933" i="6"/>
  <c r="G933" i="6"/>
  <c r="I933" i="6"/>
  <c r="K929" i="6"/>
  <c r="G929" i="6"/>
  <c r="I929" i="6"/>
  <c r="K921" i="6"/>
  <c r="I921" i="6"/>
  <c r="G921" i="6"/>
  <c r="K917" i="6"/>
  <c r="G917" i="6"/>
  <c r="I917" i="6"/>
  <c r="K913" i="6"/>
  <c r="G913" i="6"/>
  <c r="I913" i="6"/>
  <c r="K909" i="6"/>
  <c r="G909" i="6"/>
  <c r="I909" i="6"/>
  <c r="K885" i="6"/>
  <c r="G885" i="6"/>
  <c r="I885" i="6"/>
  <c r="K861" i="6"/>
  <c r="G861" i="6"/>
  <c r="I861" i="6"/>
  <c r="I827" i="6"/>
  <c r="G827" i="6"/>
  <c r="K827" i="6"/>
  <c r="K973" i="6"/>
  <c r="G973" i="6"/>
  <c r="I973" i="6"/>
  <c r="K941" i="6"/>
  <c r="G941" i="6"/>
  <c r="I941" i="6"/>
  <c r="I819" i="6"/>
  <c r="G819" i="6"/>
  <c r="K819" i="6"/>
  <c r="I811" i="6"/>
  <c r="G811" i="6"/>
  <c r="K811" i="6"/>
  <c r="I803" i="6"/>
  <c r="G803" i="6"/>
  <c r="K803" i="6"/>
  <c r="K965" i="6"/>
  <c r="G965" i="6"/>
  <c r="I965" i="6"/>
  <c r="K945" i="6"/>
  <c r="G945" i="6"/>
  <c r="I945" i="6"/>
  <c r="K869" i="6"/>
  <c r="G869" i="6"/>
  <c r="I869" i="6"/>
  <c r="K857" i="6"/>
  <c r="G857" i="6"/>
  <c r="I857" i="6"/>
  <c r="K961" i="6"/>
  <c r="G961" i="6"/>
  <c r="I961" i="6"/>
  <c r="K893" i="6"/>
  <c r="G893" i="6"/>
  <c r="I893" i="6"/>
  <c r="K877" i="6"/>
  <c r="G877" i="6"/>
  <c r="I877" i="6"/>
  <c r="I851" i="6"/>
  <c r="G851" i="6"/>
  <c r="K851" i="6"/>
  <c r="I795" i="6"/>
  <c r="K795" i="6"/>
  <c r="G795" i="6"/>
  <c r="N977" i="6"/>
  <c r="N953" i="6"/>
  <c r="K948" i="6"/>
  <c r="N937" i="6"/>
  <c r="K936" i="6"/>
  <c r="N909" i="6"/>
  <c r="K908" i="6"/>
  <c r="K904" i="6"/>
  <c r="N893" i="6"/>
  <c r="K892" i="6"/>
  <c r="N885" i="6"/>
  <c r="K884" i="6"/>
  <c r="K868" i="6"/>
  <c r="K781" i="6"/>
  <c r="I781" i="6"/>
  <c r="K765" i="6"/>
  <c r="I765" i="6"/>
  <c r="I747" i="6"/>
  <c r="K747" i="6"/>
  <c r="I699" i="6"/>
  <c r="K699" i="6"/>
  <c r="K677" i="6"/>
  <c r="G677" i="6"/>
  <c r="I677" i="6"/>
  <c r="K661" i="6"/>
  <c r="G661" i="6"/>
  <c r="I661" i="6"/>
  <c r="G644" i="6"/>
  <c r="I644" i="6"/>
  <c r="I635" i="6"/>
  <c r="K635" i="6"/>
  <c r="G612" i="6"/>
  <c r="I612" i="6"/>
  <c r="I603" i="6"/>
  <c r="K603" i="6"/>
  <c r="I587" i="6"/>
  <c r="K587" i="6"/>
  <c r="L504" i="6"/>
  <c r="M504" i="6" s="1"/>
  <c r="N504" i="6"/>
  <c r="Q504" i="6" s="1"/>
  <c r="R504" i="6" s="1"/>
  <c r="G475" i="6"/>
  <c r="I475" i="6"/>
  <c r="K475" i="6"/>
  <c r="L454" i="6"/>
  <c r="M454" i="6" s="1"/>
  <c r="N454" i="6"/>
  <c r="Q454" i="6" s="1"/>
  <c r="R454" i="6" s="1"/>
  <c r="K426" i="6"/>
  <c r="G426" i="6"/>
  <c r="I426" i="6"/>
  <c r="G376" i="6"/>
  <c r="I376" i="6"/>
  <c r="K376" i="6"/>
  <c r="G360" i="6"/>
  <c r="I360" i="6"/>
  <c r="K360" i="6"/>
  <c r="G344" i="6"/>
  <c r="I344" i="6"/>
  <c r="K344" i="6"/>
  <c r="G328" i="6"/>
  <c r="I328" i="6"/>
  <c r="K328" i="6"/>
  <c r="G267" i="6"/>
  <c r="I267" i="6"/>
  <c r="K267" i="6"/>
  <c r="I262" i="6"/>
  <c r="G262" i="6"/>
  <c r="K262" i="6"/>
  <c r="G228" i="6"/>
  <c r="I228" i="6"/>
  <c r="K228" i="6"/>
  <c r="I194" i="6"/>
  <c r="G194" i="6"/>
  <c r="K194" i="6"/>
  <c r="I189" i="6"/>
  <c r="G189" i="6"/>
  <c r="K189" i="6"/>
  <c r="G130" i="6"/>
  <c r="I130" i="6"/>
  <c r="K130" i="6"/>
  <c r="K50" i="6"/>
  <c r="G50" i="6"/>
  <c r="I50" i="6"/>
  <c r="P39" i="6"/>
  <c r="Q39" i="6" s="1"/>
  <c r="K980" i="6"/>
  <c r="N973" i="6"/>
  <c r="K972" i="6"/>
  <c r="N965" i="6"/>
  <c r="K964" i="6"/>
  <c r="K944" i="6"/>
  <c r="N925" i="6"/>
  <c r="N901" i="6"/>
  <c r="K900" i="6"/>
  <c r="N889" i="6"/>
  <c r="K888" i="6"/>
  <c r="K872" i="6"/>
  <c r="K864" i="6"/>
  <c r="K842" i="6"/>
  <c r="K826" i="6"/>
  <c r="K802" i="6"/>
  <c r="I763" i="6"/>
  <c r="K763" i="6"/>
  <c r="K733" i="6"/>
  <c r="I733" i="6"/>
  <c r="K717" i="6"/>
  <c r="I717" i="6"/>
  <c r="G676" i="6"/>
  <c r="I676" i="6"/>
  <c r="I667" i="6"/>
  <c r="K667" i="6"/>
  <c r="K645" i="6"/>
  <c r="G645" i="6"/>
  <c r="I645" i="6"/>
  <c r="I619" i="6"/>
  <c r="K619" i="6"/>
  <c r="K597" i="6"/>
  <c r="G597" i="6"/>
  <c r="I597" i="6"/>
  <c r="L488" i="6"/>
  <c r="M488" i="6" s="1"/>
  <c r="N488" i="6"/>
  <c r="Q488" i="6" s="1"/>
  <c r="R488" i="6" s="1"/>
  <c r="G372" i="6"/>
  <c r="I372" i="6"/>
  <c r="K372" i="6"/>
  <c r="G356" i="6"/>
  <c r="I356" i="6"/>
  <c r="K356" i="6"/>
  <c r="G340" i="6"/>
  <c r="I340" i="6"/>
  <c r="K340" i="6"/>
  <c r="G332" i="6"/>
  <c r="I332" i="6"/>
  <c r="K332" i="6"/>
  <c r="I314" i="6"/>
  <c r="G314" i="6"/>
  <c r="K314" i="6"/>
  <c r="K975" i="6"/>
  <c r="K955" i="6"/>
  <c r="K951" i="6"/>
  <c r="K935" i="6"/>
  <c r="K931" i="6"/>
  <c r="N928" i="6"/>
  <c r="K927" i="6"/>
  <c r="K911" i="6"/>
  <c r="N908" i="6"/>
  <c r="K903" i="6"/>
  <c r="K852" i="6"/>
  <c r="N848" i="6"/>
  <c r="K844" i="6"/>
  <c r="N840" i="6"/>
  <c r="K836" i="6"/>
  <c r="N832" i="6"/>
  <c r="K828" i="6"/>
  <c r="N824" i="6"/>
  <c r="K820" i="6"/>
  <c r="N816" i="6"/>
  <c r="K812" i="6"/>
  <c r="N808" i="6"/>
  <c r="K804" i="6"/>
  <c r="N800" i="6"/>
  <c r="K796" i="6"/>
  <c r="N792" i="6"/>
  <c r="K788" i="6"/>
  <c r="N784" i="6"/>
  <c r="K777" i="6"/>
  <c r="I777" i="6"/>
  <c r="I775" i="6"/>
  <c r="K775" i="6"/>
  <c r="K774" i="6"/>
  <c r="K772" i="6"/>
  <c r="K761" i="6"/>
  <c r="I761" i="6"/>
  <c r="I759" i="6"/>
  <c r="K759" i="6"/>
  <c r="K758" i="6"/>
  <c r="K756" i="6"/>
  <c r="K745" i="6"/>
  <c r="I745" i="6"/>
  <c r="I743" i="6"/>
  <c r="K743" i="6"/>
  <c r="K742" i="6"/>
  <c r="K740" i="6"/>
  <c r="K729" i="6"/>
  <c r="I729" i="6"/>
  <c r="I727" i="6"/>
  <c r="K727" i="6"/>
  <c r="K726" i="6"/>
  <c r="K724" i="6"/>
  <c r="K713" i="6"/>
  <c r="I713" i="6"/>
  <c r="I711" i="6"/>
  <c r="K711" i="6"/>
  <c r="K710" i="6"/>
  <c r="K708" i="6"/>
  <c r="K697" i="6"/>
  <c r="I697" i="6"/>
  <c r="I695" i="6"/>
  <c r="K695" i="6"/>
  <c r="K694" i="6"/>
  <c r="K692" i="6"/>
  <c r="I679" i="6"/>
  <c r="K679" i="6"/>
  <c r="K673" i="6"/>
  <c r="G673" i="6"/>
  <c r="I673" i="6"/>
  <c r="G672" i="6"/>
  <c r="I672" i="6"/>
  <c r="I663" i="6"/>
  <c r="K663" i="6"/>
  <c r="K657" i="6"/>
  <c r="G657" i="6"/>
  <c r="I657" i="6"/>
  <c r="G656" i="6"/>
  <c r="I656" i="6"/>
  <c r="I647" i="6"/>
  <c r="K647" i="6"/>
  <c r="K641" i="6"/>
  <c r="G641" i="6"/>
  <c r="I641" i="6"/>
  <c r="G640" i="6"/>
  <c r="I640" i="6"/>
  <c r="I631" i="6"/>
  <c r="K631" i="6"/>
  <c r="K625" i="6"/>
  <c r="G625" i="6"/>
  <c r="I625" i="6"/>
  <c r="G624" i="6"/>
  <c r="I624" i="6"/>
  <c r="I615" i="6"/>
  <c r="K615" i="6"/>
  <c r="K609" i="6"/>
  <c r="G609" i="6"/>
  <c r="I609" i="6"/>
  <c r="G608" i="6"/>
  <c r="I608" i="6"/>
  <c r="I599" i="6"/>
  <c r="K599" i="6"/>
  <c r="K593" i="6"/>
  <c r="G593" i="6"/>
  <c r="I593" i="6"/>
  <c r="G592" i="6"/>
  <c r="I592" i="6"/>
  <c r="I583" i="6"/>
  <c r="K583" i="6"/>
  <c r="K577" i="6"/>
  <c r="G577" i="6"/>
  <c r="I577" i="6"/>
  <c r="G576" i="6"/>
  <c r="I576" i="6"/>
  <c r="G567" i="6"/>
  <c r="I567" i="6"/>
  <c r="G559" i="6"/>
  <c r="I559" i="6"/>
  <c r="G551" i="6"/>
  <c r="I551" i="6"/>
  <c r="G543" i="6"/>
  <c r="I543" i="6"/>
  <c r="G535" i="6"/>
  <c r="I535" i="6"/>
  <c r="G527" i="6"/>
  <c r="I527" i="6"/>
  <c r="G519" i="6"/>
  <c r="I519" i="6"/>
  <c r="G511" i="6"/>
  <c r="I511" i="6"/>
  <c r="K498" i="6"/>
  <c r="I498" i="6"/>
  <c r="G498" i="6"/>
  <c r="L490" i="6"/>
  <c r="M490" i="6" s="1"/>
  <c r="N490" i="6"/>
  <c r="Q490" i="6" s="1"/>
  <c r="R490" i="6" s="1"/>
  <c r="L472" i="6"/>
  <c r="M472" i="6" s="1"/>
  <c r="N472" i="6"/>
  <c r="Q472" i="6" s="1"/>
  <c r="R472" i="6" s="1"/>
  <c r="K442" i="6"/>
  <c r="G442" i="6"/>
  <c r="I442" i="6"/>
  <c r="G405" i="6"/>
  <c r="K405" i="6"/>
  <c r="I405" i="6"/>
  <c r="L400" i="6"/>
  <c r="M400" i="6" s="1"/>
  <c r="N400" i="6"/>
  <c r="Q400" i="6" s="1"/>
  <c r="R400" i="6" s="1"/>
  <c r="K976" i="6"/>
  <c r="N957" i="6"/>
  <c r="K956" i="6"/>
  <c r="K952" i="6"/>
  <c r="N949" i="6"/>
  <c r="K928" i="6"/>
  <c r="K924" i="6"/>
  <c r="N917" i="6"/>
  <c r="K916" i="6"/>
  <c r="N897" i="6"/>
  <c r="K896" i="6"/>
  <c r="N861" i="6"/>
  <c r="K860" i="6"/>
  <c r="N857" i="6"/>
  <c r="K856" i="6"/>
  <c r="K834" i="6"/>
  <c r="K810" i="6"/>
  <c r="I731" i="6"/>
  <c r="K731" i="6"/>
  <c r="K701" i="6"/>
  <c r="I701" i="6"/>
  <c r="I683" i="6"/>
  <c r="K683" i="6"/>
  <c r="I651" i="6"/>
  <c r="K651" i="6"/>
  <c r="K629" i="6"/>
  <c r="G629" i="6"/>
  <c r="I629" i="6"/>
  <c r="K613" i="6"/>
  <c r="G613" i="6"/>
  <c r="I613" i="6"/>
  <c r="G596" i="6"/>
  <c r="I596" i="6"/>
  <c r="K581" i="6"/>
  <c r="G581" i="6"/>
  <c r="I581" i="6"/>
  <c r="I571" i="6"/>
  <c r="K571" i="6"/>
  <c r="G441" i="6"/>
  <c r="I441" i="6"/>
  <c r="K441" i="6"/>
  <c r="I416" i="6"/>
  <c r="K416" i="6"/>
  <c r="G416" i="6"/>
  <c r="G368" i="6"/>
  <c r="I368" i="6"/>
  <c r="K368" i="6"/>
  <c r="G352" i="6"/>
  <c r="I352" i="6"/>
  <c r="K352" i="6"/>
  <c r="G336" i="6"/>
  <c r="I336" i="6"/>
  <c r="K336" i="6"/>
  <c r="G324" i="6"/>
  <c r="I324" i="6"/>
  <c r="K324" i="6"/>
  <c r="K971" i="6"/>
  <c r="K967" i="6"/>
  <c r="N964" i="6"/>
  <c r="K963" i="6"/>
  <c r="K959" i="6"/>
  <c r="K947" i="6"/>
  <c r="K943" i="6"/>
  <c r="K939" i="6"/>
  <c r="N936" i="6"/>
  <c r="N932" i="6"/>
  <c r="K923" i="6"/>
  <c r="K907" i="6"/>
  <c r="I976" i="6"/>
  <c r="I968" i="6"/>
  <c r="L941" i="6"/>
  <c r="M941" i="6" s="1"/>
  <c r="I940" i="6"/>
  <c r="I928" i="6"/>
  <c r="I908" i="6"/>
  <c r="I888" i="6"/>
  <c r="I856" i="6"/>
  <c r="N851" i="6"/>
  <c r="I850" i="6"/>
  <c r="I849" i="6"/>
  <c r="K847" i="6"/>
  <c r="N843" i="6"/>
  <c r="I842" i="6"/>
  <c r="I841" i="6"/>
  <c r="K839" i="6"/>
  <c r="I834" i="6"/>
  <c r="I833" i="6"/>
  <c r="I826" i="6"/>
  <c r="I825" i="6"/>
  <c r="K823" i="6"/>
  <c r="N819" i="6"/>
  <c r="I818" i="6"/>
  <c r="I817" i="6"/>
  <c r="N811" i="6"/>
  <c r="I810" i="6"/>
  <c r="I809" i="6"/>
  <c r="K807" i="6"/>
  <c r="N803" i="6"/>
  <c r="I802" i="6"/>
  <c r="I801" i="6"/>
  <c r="K799" i="6"/>
  <c r="N795" i="6"/>
  <c r="I794" i="6"/>
  <c r="I793" i="6"/>
  <c r="K791" i="6"/>
  <c r="N787" i="6"/>
  <c r="I786" i="6"/>
  <c r="I785" i="6"/>
  <c r="K783" i="6"/>
  <c r="N773" i="6"/>
  <c r="K773" i="6"/>
  <c r="I773" i="6"/>
  <c r="N771" i="6"/>
  <c r="I771" i="6"/>
  <c r="K771" i="6"/>
  <c r="K770" i="6"/>
  <c r="K768" i="6"/>
  <c r="N757" i="6"/>
  <c r="K757" i="6"/>
  <c r="I757" i="6"/>
  <c r="N755" i="6"/>
  <c r="I755" i="6"/>
  <c r="K755" i="6"/>
  <c r="K754" i="6"/>
  <c r="K752" i="6"/>
  <c r="N741" i="6"/>
  <c r="K741" i="6"/>
  <c r="I741" i="6"/>
  <c r="N739" i="6"/>
  <c r="I739" i="6"/>
  <c r="K739" i="6"/>
  <c r="K738" i="6"/>
  <c r="K736" i="6"/>
  <c r="N725" i="6"/>
  <c r="K725" i="6"/>
  <c r="I725" i="6"/>
  <c r="N723" i="6"/>
  <c r="I723" i="6"/>
  <c r="K723" i="6"/>
  <c r="K722" i="6"/>
  <c r="K720" i="6"/>
  <c r="N709" i="6"/>
  <c r="K709" i="6"/>
  <c r="I709" i="6"/>
  <c r="N707" i="6"/>
  <c r="I707" i="6"/>
  <c r="K707" i="6"/>
  <c r="K706" i="6"/>
  <c r="K704" i="6"/>
  <c r="N693" i="6"/>
  <c r="K693" i="6"/>
  <c r="I693" i="6"/>
  <c r="N691" i="6"/>
  <c r="I691" i="6"/>
  <c r="K691" i="6"/>
  <c r="K690" i="6"/>
  <c r="K688" i="6"/>
  <c r="K685" i="6"/>
  <c r="G685" i="6"/>
  <c r="I685" i="6"/>
  <c r="G684" i="6"/>
  <c r="I684" i="6"/>
  <c r="K676" i="6"/>
  <c r="I675" i="6"/>
  <c r="K675" i="6"/>
  <c r="K669" i="6"/>
  <c r="G669" i="6"/>
  <c r="I669" i="6"/>
  <c r="G668" i="6"/>
  <c r="I668" i="6"/>
  <c r="I659" i="6"/>
  <c r="K659" i="6"/>
  <c r="K653" i="6"/>
  <c r="G653" i="6"/>
  <c r="I653" i="6"/>
  <c r="G652" i="6"/>
  <c r="I652" i="6"/>
  <c r="K644" i="6"/>
  <c r="I643" i="6"/>
  <c r="K643" i="6"/>
  <c r="K637" i="6"/>
  <c r="G637" i="6"/>
  <c r="I637" i="6"/>
  <c r="G636" i="6"/>
  <c r="I636" i="6"/>
  <c r="I627" i="6"/>
  <c r="K627" i="6"/>
  <c r="K621" i="6"/>
  <c r="G621" i="6"/>
  <c r="I621" i="6"/>
  <c r="G620" i="6"/>
  <c r="I620" i="6"/>
  <c r="K612" i="6"/>
  <c r="I611" i="6"/>
  <c r="K611" i="6"/>
  <c r="K605" i="6"/>
  <c r="G605" i="6"/>
  <c r="I605" i="6"/>
  <c r="G604" i="6"/>
  <c r="I604" i="6"/>
  <c r="K596" i="6"/>
  <c r="I595" i="6"/>
  <c r="K595" i="6"/>
  <c r="K589" i="6"/>
  <c r="G589" i="6"/>
  <c r="I589" i="6"/>
  <c r="G588" i="6"/>
  <c r="I588" i="6"/>
  <c r="I579" i="6"/>
  <c r="K579" i="6"/>
  <c r="K573" i="6"/>
  <c r="G573" i="6"/>
  <c r="I573" i="6"/>
  <c r="G572" i="6"/>
  <c r="I572" i="6"/>
  <c r="G569" i="6"/>
  <c r="I569" i="6"/>
  <c r="K569" i="6"/>
  <c r="K566" i="6"/>
  <c r="G566" i="6"/>
  <c r="I566" i="6"/>
  <c r="I564" i="6"/>
  <c r="K564" i="6"/>
  <c r="G561" i="6"/>
  <c r="I561" i="6"/>
  <c r="K561" i="6"/>
  <c r="K558" i="6"/>
  <c r="G558" i="6"/>
  <c r="I558" i="6"/>
  <c r="I556" i="6"/>
  <c r="K556" i="6"/>
  <c r="G553" i="6"/>
  <c r="I553" i="6"/>
  <c r="K553" i="6"/>
  <c r="K550" i="6"/>
  <c r="G550" i="6"/>
  <c r="I550" i="6"/>
  <c r="I548" i="6"/>
  <c r="K548" i="6"/>
  <c r="G545" i="6"/>
  <c r="I545" i="6"/>
  <c r="K545" i="6"/>
  <c r="K542" i="6"/>
  <c r="G542" i="6"/>
  <c r="I542" i="6"/>
  <c r="I540" i="6"/>
  <c r="K540" i="6"/>
  <c r="G537" i="6"/>
  <c r="I537" i="6"/>
  <c r="K537" i="6"/>
  <c r="K534" i="6"/>
  <c r="G534" i="6"/>
  <c r="I534" i="6"/>
  <c r="I532" i="6"/>
  <c r="K532" i="6"/>
  <c r="G529" i="6"/>
  <c r="I529" i="6"/>
  <c r="K529" i="6"/>
  <c r="K526" i="6"/>
  <c r="G526" i="6"/>
  <c r="I526" i="6"/>
  <c r="I524" i="6"/>
  <c r="K524" i="6"/>
  <c r="G521" i="6"/>
  <c r="I521" i="6"/>
  <c r="K521" i="6"/>
  <c r="K518" i="6"/>
  <c r="G518" i="6"/>
  <c r="I518" i="6"/>
  <c r="I516" i="6"/>
  <c r="K516" i="6"/>
  <c r="G513" i="6"/>
  <c r="I513" i="6"/>
  <c r="K513" i="6"/>
  <c r="K510" i="6"/>
  <c r="G510" i="6"/>
  <c r="I510" i="6"/>
  <c r="I508" i="6"/>
  <c r="K508" i="6"/>
  <c r="G505" i="6"/>
  <c r="I505" i="6"/>
  <c r="K505" i="6"/>
  <c r="I496" i="6"/>
  <c r="K496" i="6"/>
  <c r="G496" i="6"/>
  <c r="G489" i="6"/>
  <c r="I489" i="6"/>
  <c r="K489" i="6"/>
  <c r="K482" i="6"/>
  <c r="I482" i="6"/>
  <c r="G482" i="6"/>
  <c r="L474" i="6"/>
  <c r="M474" i="6" s="1"/>
  <c r="N474" i="6"/>
  <c r="Q474" i="6" s="1"/>
  <c r="R474" i="6" s="1"/>
  <c r="G457" i="6"/>
  <c r="I457" i="6"/>
  <c r="K457" i="6"/>
  <c r="I448" i="6"/>
  <c r="K448" i="6"/>
  <c r="G448" i="6"/>
  <c r="L438" i="6"/>
  <c r="M438" i="6" s="1"/>
  <c r="N438" i="6"/>
  <c r="Q438" i="6" s="1"/>
  <c r="R438" i="6" s="1"/>
  <c r="L422" i="6"/>
  <c r="M422" i="6" s="1"/>
  <c r="N422" i="6"/>
  <c r="Q422" i="6" s="1"/>
  <c r="R422" i="6" s="1"/>
  <c r="G409" i="6"/>
  <c r="I409" i="6"/>
  <c r="K409" i="6"/>
  <c r="L406" i="6"/>
  <c r="M406" i="6" s="1"/>
  <c r="N406" i="6"/>
  <c r="Q406" i="6" s="1"/>
  <c r="R406" i="6" s="1"/>
  <c r="N969" i="6"/>
  <c r="K968" i="6"/>
  <c r="K960" i="6"/>
  <c r="K940" i="6"/>
  <c r="N933" i="6"/>
  <c r="K932" i="6"/>
  <c r="K920" i="6"/>
  <c r="K912" i="6"/>
  <c r="N881" i="6"/>
  <c r="K880" i="6"/>
  <c r="N877" i="6"/>
  <c r="K876" i="6"/>
  <c r="N873" i="6"/>
  <c r="K850" i="6"/>
  <c r="K818" i="6"/>
  <c r="K794" i="6"/>
  <c r="K786" i="6"/>
  <c r="I779" i="6"/>
  <c r="K779" i="6"/>
  <c r="K749" i="6"/>
  <c r="I749" i="6"/>
  <c r="I715" i="6"/>
  <c r="K715" i="6"/>
  <c r="G660" i="6"/>
  <c r="I660" i="6"/>
  <c r="G628" i="6"/>
  <c r="I628" i="6"/>
  <c r="G580" i="6"/>
  <c r="I580" i="6"/>
  <c r="I464" i="6"/>
  <c r="K464" i="6"/>
  <c r="G464" i="6"/>
  <c r="I432" i="6"/>
  <c r="K432" i="6"/>
  <c r="G432" i="6"/>
  <c r="I412" i="6"/>
  <c r="G412" i="6"/>
  <c r="K412" i="6"/>
  <c r="G380" i="6"/>
  <c r="I380" i="6"/>
  <c r="K380" i="6"/>
  <c r="G364" i="6"/>
  <c r="I364" i="6"/>
  <c r="K364" i="6"/>
  <c r="G348" i="6"/>
  <c r="I348" i="6"/>
  <c r="K348" i="6"/>
  <c r="K979" i="6"/>
  <c r="K919" i="6"/>
  <c r="K915" i="6"/>
  <c r="I980" i="6"/>
  <c r="I972" i="6"/>
  <c r="I964" i="6"/>
  <c r="I960" i="6"/>
  <c r="I956" i="6"/>
  <c r="I952" i="6"/>
  <c r="I948" i="6"/>
  <c r="I944" i="6"/>
  <c r="I936" i="6"/>
  <c r="I932" i="6"/>
  <c r="I924" i="6"/>
  <c r="I920" i="6"/>
  <c r="I916" i="6"/>
  <c r="I912" i="6"/>
  <c r="I904" i="6"/>
  <c r="I900" i="6"/>
  <c r="I896" i="6"/>
  <c r="I892" i="6"/>
  <c r="I884" i="6"/>
  <c r="I880" i="6"/>
  <c r="I876" i="6"/>
  <c r="I872" i="6"/>
  <c r="I868" i="6"/>
  <c r="I864" i="6"/>
  <c r="I860" i="6"/>
  <c r="N835" i="6"/>
  <c r="K831" i="6"/>
  <c r="N827" i="6"/>
  <c r="K815" i="6"/>
  <c r="N852" i="6"/>
  <c r="I852" i="6"/>
  <c r="G849" i="6"/>
  <c r="K848" i="6"/>
  <c r="N844" i="6"/>
  <c r="I844" i="6"/>
  <c r="G841" i="6"/>
  <c r="K840" i="6"/>
  <c r="N836" i="6"/>
  <c r="I836" i="6"/>
  <c r="G833" i="6"/>
  <c r="K832" i="6"/>
  <c r="N828" i="6"/>
  <c r="I828" i="6"/>
  <c r="G825" i="6"/>
  <c r="K824" i="6"/>
  <c r="N820" i="6"/>
  <c r="I820" i="6"/>
  <c r="G817" i="6"/>
  <c r="K816" i="6"/>
  <c r="N812" i="6"/>
  <c r="I812" i="6"/>
  <c r="G809" i="6"/>
  <c r="K808" i="6"/>
  <c r="N804" i="6"/>
  <c r="I804" i="6"/>
  <c r="G801" i="6"/>
  <c r="K800" i="6"/>
  <c r="N796" i="6"/>
  <c r="I796" i="6"/>
  <c r="G793" i="6"/>
  <c r="K792" i="6"/>
  <c r="N788" i="6"/>
  <c r="I788" i="6"/>
  <c r="G785" i="6"/>
  <c r="K784" i="6"/>
  <c r="G781" i="6"/>
  <c r="K780" i="6"/>
  <c r="G779" i="6"/>
  <c r="I774" i="6"/>
  <c r="I772" i="6"/>
  <c r="K769" i="6"/>
  <c r="I769" i="6"/>
  <c r="I767" i="6"/>
  <c r="K767" i="6"/>
  <c r="K766" i="6"/>
  <c r="G765" i="6"/>
  <c r="K764" i="6"/>
  <c r="G763" i="6"/>
  <c r="I758" i="6"/>
  <c r="I756" i="6"/>
  <c r="K753" i="6"/>
  <c r="I753" i="6"/>
  <c r="I751" i="6"/>
  <c r="K751" i="6"/>
  <c r="K750" i="6"/>
  <c r="G749" i="6"/>
  <c r="K748" i="6"/>
  <c r="G747" i="6"/>
  <c r="I742" i="6"/>
  <c r="I740" i="6"/>
  <c r="K737" i="6"/>
  <c r="I737" i="6"/>
  <c r="I735" i="6"/>
  <c r="K735" i="6"/>
  <c r="K734" i="6"/>
  <c r="G733" i="6"/>
  <c r="K732" i="6"/>
  <c r="G731" i="6"/>
  <c r="I726" i="6"/>
  <c r="I724" i="6"/>
  <c r="K721" i="6"/>
  <c r="I721" i="6"/>
  <c r="I719" i="6"/>
  <c r="K719" i="6"/>
  <c r="K718" i="6"/>
  <c r="G717" i="6"/>
  <c r="K716" i="6"/>
  <c r="G715" i="6"/>
  <c r="I710" i="6"/>
  <c r="I708" i="6"/>
  <c r="K705" i="6"/>
  <c r="I705" i="6"/>
  <c r="I703" i="6"/>
  <c r="K703" i="6"/>
  <c r="K702" i="6"/>
  <c r="G701" i="6"/>
  <c r="K700" i="6"/>
  <c r="G699" i="6"/>
  <c r="I694" i="6"/>
  <c r="I692" i="6"/>
  <c r="K689" i="6"/>
  <c r="I689" i="6"/>
  <c r="I687" i="6"/>
  <c r="K687" i="6"/>
  <c r="G683" i="6"/>
  <c r="K681" i="6"/>
  <c r="G681" i="6"/>
  <c r="I681" i="6"/>
  <c r="G680" i="6"/>
  <c r="I680" i="6"/>
  <c r="N673" i="6"/>
  <c r="K672" i="6"/>
  <c r="I671" i="6"/>
  <c r="K671" i="6"/>
  <c r="G667" i="6"/>
  <c r="K665" i="6"/>
  <c r="G665" i="6"/>
  <c r="I665" i="6"/>
  <c r="G664" i="6"/>
  <c r="I664" i="6"/>
  <c r="N657" i="6"/>
  <c r="K656" i="6"/>
  <c r="I655" i="6"/>
  <c r="K655" i="6"/>
  <c r="G651" i="6"/>
  <c r="K649" i="6"/>
  <c r="G649" i="6"/>
  <c r="I649" i="6"/>
  <c r="G648" i="6"/>
  <c r="I648" i="6"/>
  <c r="N641" i="6"/>
  <c r="K640" i="6"/>
  <c r="I639" i="6"/>
  <c r="K639" i="6"/>
  <c r="G635" i="6"/>
  <c r="K633" i="6"/>
  <c r="G633" i="6"/>
  <c r="I633" i="6"/>
  <c r="G632" i="6"/>
  <c r="I632" i="6"/>
  <c r="N625" i="6"/>
  <c r="K624" i="6"/>
  <c r="I623" i="6"/>
  <c r="K623" i="6"/>
  <c r="G619" i="6"/>
  <c r="K617" i="6"/>
  <c r="G617" i="6"/>
  <c r="I617" i="6"/>
  <c r="G616" i="6"/>
  <c r="I616" i="6"/>
  <c r="N609" i="6"/>
  <c r="K608" i="6"/>
  <c r="I607" i="6"/>
  <c r="K607" i="6"/>
  <c r="G603" i="6"/>
  <c r="K601" i="6"/>
  <c r="G601" i="6"/>
  <c r="I601" i="6"/>
  <c r="G600" i="6"/>
  <c r="I600" i="6"/>
  <c r="N593" i="6"/>
  <c r="K592" i="6"/>
  <c r="I591" i="6"/>
  <c r="K591" i="6"/>
  <c r="G587" i="6"/>
  <c r="K585" i="6"/>
  <c r="G585" i="6"/>
  <c r="I585" i="6"/>
  <c r="G584" i="6"/>
  <c r="I584" i="6"/>
  <c r="N577" i="6"/>
  <c r="K576" i="6"/>
  <c r="I575" i="6"/>
  <c r="K575" i="6"/>
  <c r="G571" i="6"/>
  <c r="I568" i="6"/>
  <c r="G568" i="6"/>
  <c r="K567" i="6"/>
  <c r="L565" i="6"/>
  <c r="M565" i="6" s="1"/>
  <c r="N565" i="6"/>
  <c r="I560" i="6"/>
  <c r="G560" i="6"/>
  <c r="K559" i="6"/>
  <c r="L557" i="6"/>
  <c r="M557" i="6" s="1"/>
  <c r="N557" i="6"/>
  <c r="Q557" i="6" s="1"/>
  <c r="R557" i="6" s="1"/>
  <c r="I552" i="6"/>
  <c r="G552" i="6"/>
  <c r="K551" i="6"/>
  <c r="L549" i="6"/>
  <c r="M549" i="6" s="1"/>
  <c r="N549" i="6"/>
  <c r="Q549" i="6" s="1"/>
  <c r="R549" i="6" s="1"/>
  <c r="I544" i="6"/>
  <c r="G544" i="6"/>
  <c r="K543" i="6"/>
  <c r="L541" i="6"/>
  <c r="M541" i="6" s="1"/>
  <c r="N541" i="6"/>
  <c r="Q541" i="6" s="1"/>
  <c r="R541" i="6" s="1"/>
  <c r="I536" i="6"/>
  <c r="G536" i="6"/>
  <c r="K535" i="6"/>
  <c r="L533" i="6"/>
  <c r="M533" i="6" s="1"/>
  <c r="N533" i="6"/>
  <c r="Q533" i="6" s="1"/>
  <c r="R533" i="6" s="1"/>
  <c r="I528" i="6"/>
  <c r="G528" i="6"/>
  <c r="K527" i="6"/>
  <c r="L525" i="6"/>
  <c r="M525" i="6" s="1"/>
  <c r="N525" i="6"/>
  <c r="Q525" i="6" s="1"/>
  <c r="R525" i="6" s="1"/>
  <c r="I520" i="6"/>
  <c r="G520" i="6"/>
  <c r="K519" i="6"/>
  <c r="L517" i="6"/>
  <c r="M517" i="6" s="1"/>
  <c r="N517" i="6"/>
  <c r="Q517" i="6" s="1"/>
  <c r="R517" i="6" s="1"/>
  <c r="I512" i="6"/>
  <c r="G512" i="6"/>
  <c r="K511" i="6"/>
  <c r="L509" i="6"/>
  <c r="M509" i="6" s="1"/>
  <c r="N509" i="6"/>
  <c r="Q509" i="6" s="1"/>
  <c r="R509" i="6" s="1"/>
  <c r="G491" i="6"/>
  <c r="I491" i="6"/>
  <c r="K491" i="6"/>
  <c r="I480" i="6"/>
  <c r="K480" i="6"/>
  <c r="G480" i="6"/>
  <c r="G473" i="6"/>
  <c r="I473" i="6"/>
  <c r="K473" i="6"/>
  <c r="K458" i="6"/>
  <c r="G458" i="6"/>
  <c r="I458" i="6"/>
  <c r="G425" i="6"/>
  <c r="I425" i="6"/>
  <c r="K425" i="6"/>
  <c r="I565" i="6"/>
  <c r="G562" i="6"/>
  <c r="I557" i="6"/>
  <c r="G554" i="6"/>
  <c r="I549" i="6"/>
  <c r="G546" i="6"/>
  <c r="I541" i="6"/>
  <c r="G538" i="6"/>
  <c r="I533" i="6"/>
  <c r="G530" i="6"/>
  <c r="I525" i="6"/>
  <c r="G522" i="6"/>
  <c r="I517" i="6"/>
  <c r="G514" i="6"/>
  <c r="I509" i="6"/>
  <c r="G506" i="6"/>
  <c r="I499" i="6"/>
  <c r="K494" i="6"/>
  <c r="I494" i="6"/>
  <c r="I492" i="6"/>
  <c r="K492" i="6"/>
  <c r="K478" i="6"/>
  <c r="I478" i="6"/>
  <c r="I476" i="6"/>
  <c r="K476" i="6"/>
  <c r="N462" i="6"/>
  <c r="Q462" i="6" s="1"/>
  <c r="R462" i="6" s="1"/>
  <c r="I460" i="6"/>
  <c r="K460" i="6"/>
  <c r="K454" i="6"/>
  <c r="G454" i="6"/>
  <c r="I454" i="6"/>
  <c r="G453" i="6"/>
  <c r="I453" i="6"/>
  <c r="N446" i="6"/>
  <c r="Q446" i="6" s="1"/>
  <c r="R446" i="6" s="1"/>
  <c r="I444" i="6"/>
  <c r="K444" i="6"/>
  <c r="K438" i="6"/>
  <c r="G438" i="6"/>
  <c r="I438" i="6"/>
  <c r="G437" i="6"/>
  <c r="I437" i="6"/>
  <c r="I428" i="6"/>
  <c r="K428" i="6"/>
  <c r="K422" i="6"/>
  <c r="G422" i="6"/>
  <c r="I422" i="6"/>
  <c r="G421" i="6"/>
  <c r="I421" i="6"/>
  <c r="L408" i="6"/>
  <c r="M408" i="6" s="1"/>
  <c r="N408" i="6"/>
  <c r="Q408" i="6" s="1"/>
  <c r="R408" i="6" s="1"/>
  <c r="L319" i="6"/>
  <c r="M319" i="6" s="1"/>
  <c r="N319" i="6"/>
  <c r="Q319" i="6" s="1"/>
  <c r="R319" i="6" s="1"/>
  <c r="G295" i="6"/>
  <c r="K295" i="6"/>
  <c r="I295" i="6"/>
  <c r="I278" i="6"/>
  <c r="G278" i="6"/>
  <c r="K278" i="6"/>
  <c r="I504" i="6"/>
  <c r="K504" i="6"/>
  <c r="K503" i="6"/>
  <c r="K501" i="6"/>
  <c r="K490" i="6"/>
  <c r="I490" i="6"/>
  <c r="I488" i="6"/>
  <c r="K488" i="6"/>
  <c r="K487" i="6"/>
  <c r="K485" i="6"/>
  <c r="K474" i="6"/>
  <c r="I474" i="6"/>
  <c r="I472" i="6"/>
  <c r="K472" i="6"/>
  <c r="K471" i="6"/>
  <c r="K466" i="6"/>
  <c r="G466" i="6"/>
  <c r="I466" i="6"/>
  <c r="G465" i="6"/>
  <c r="I465" i="6"/>
  <c r="I456" i="6"/>
  <c r="K456" i="6"/>
  <c r="K450" i="6"/>
  <c r="G450" i="6"/>
  <c r="I450" i="6"/>
  <c r="G449" i="6"/>
  <c r="I449" i="6"/>
  <c r="I440" i="6"/>
  <c r="K440" i="6"/>
  <c r="K434" i="6"/>
  <c r="G434" i="6"/>
  <c r="I434" i="6"/>
  <c r="G433" i="6"/>
  <c r="I433" i="6"/>
  <c r="I424" i="6"/>
  <c r="K424" i="6"/>
  <c r="K418" i="6"/>
  <c r="G418" i="6"/>
  <c r="I418" i="6"/>
  <c r="G417" i="6"/>
  <c r="I417" i="6"/>
  <c r="I396" i="6"/>
  <c r="G396" i="6"/>
  <c r="K396" i="6"/>
  <c r="G393" i="6"/>
  <c r="I393" i="6"/>
  <c r="G388" i="6"/>
  <c r="I388" i="6"/>
  <c r="K388" i="6"/>
  <c r="I322" i="6"/>
  <c r="G322" i="6"/>
  <c r="K322" i="6"/>
  <c r="I302" i="6"/>
  <c r="G302" i="6"/>
  <c r="K302" i="6"/>
  <c r="G299" i="6"/>
  <c r="I299" i="6"/>
  <c r="K299" i="6"/>
  <c r="K296" i="6"/>
  <c r="G296" i="6"/>
  <c r="I296" i="6"/>
  <c r="I286" i="6"/>
  <c r="G286" i="6"/>
  <c r="K286" i="6"/>
  <c r="G283" i="6"/>
  <c r="I283" i="6"/>
  <c r="K283" i="6"/>
  <c r="N569" i="6"/>
  <c r="K565" i="6"/>
  <c r="N561" i="6"/>
  <c r="K557" i="6"/>
  <c r="N553" i="6"/>
  <c r="Q553" i="6" s="1"/>
  <c r="R553" i="6" s="1"/>
  <c r="K549" i="6"/>
  <c r="N545" i="6"/>
  <c r="Q545" i="6" s="1"/>
  <c r="R545" i="6" s="1"/>
  <c r="K541" i="6"/>
  <c r="N537" i="6"/>
  <c r="K533" i="6"/>
  <c r="N529" i="6"/>
  <c r="Q529" i="6" s="1"/>
  <c r="R529" i="6" s="1"/>
  <c r="K525" i="6"/>
  <c r="N521" i="6"/>
  <c r="Q521" i="6" s="1"/>
  <c r="R521" i="6" s="1"/>
  <c r="K517" i="6"/>
  <c r="N513" i="6"/>
  <c r="Q513" i="6" s="1"/>
  <c r="R513" i="6" s="1"/>
  <c r="K509" i="6"/>
  <c r="N505" i="6"/>
  <c r="Q505" i="6" s="1"/>
  <c r="R505" i="6" s="1"/>
  <c r="K502" i="6"/>
  <c r="I502" i="6"/>
  <c r="I500" i="6"/>
  <c r="K500" i="6"/>
  <c r="K499" i="6"/>
  <c r="K497" i="6"/>
  <c r="K486" i="6"/>
  <c r="I486" i="6"/>
  <c r="I484" i="6"/>
  <c r="K484" i="6"/>
  <c r="K483" i="6"/>
  <c r="K481" i="6"/>
  <c r="K470" i="6"/>
  <c r="I470" i="6"/>
  <c r="I468" i="6"/>
  <c r="K468" i="6"/>
  <c r="K462" i="6"/>
  <c r="G462" i="6"/>
  <c r="I462" i="6"/>
  <c r="G461" i="6"/>
  <c r="I461" i="6"/>
  <c r="K453" i="6"/>
  <c r="I452" i="6"/>
  <c r="K452" i="6"/>
  <c r="K446" i="6"/>
  <c r="G446" i="6"/>
  <c r="I446" i="6"/>
  <c r="G445" i="6"/>
  <c r="I445" i="6"/>
  <c r="K437" i="6"/>
  <c r="I436" i="6"/>
  <c r="K436" i="6"/>
  <c r="K430" i="6"/>
  <c r="G430" i="6"/>
  <c r="I430" i="6"/>
  <c r="G429" i="6"/>
  <c r="I429" i="6"/>
  <c r="K421" i="6"/>
  <c r="I420" i="6"/>
  <c r="K420" i="6"/>
  <c r="K414" i="6"/>
  <c r="G414" i="6"/>
  <c r="I414" i="6"/>
  <c r="G413" i="6"/>
  <c r="I413" i="6"/>
  <c r="I404" i="6"/>
  <c r="G404" i="6"/>
  <c r="K404" i="6"/>
  <c r="G401" i="6"/>
  <c r="I401" i="6"/>
  <c r="L398" i="6"/>
  <c r="M398" i="6" s="1"/>
  <c r="N398" i="6"/>
  <c r="Q398" i="6" s="1"/>
  <c r="R398" i="6" s="1"/>
  <c r="G397" i="6"/>
  <c r="K397" i="6"/>
  <c r="L392" i="6"/>
  <c r="M392" i="6" s="1"/>
  <c r="N392" i="6"/>
  <c r="Q392" i="6" s="1"/>
  <c r="R392" i="6" s="1"/>
  <c r="G384" i="6"/>
  <c r="I384" i="6"/>
  <c r="K384" i="6"/>
  <c r="L311" i="6"/>
  <c r="M311" i="6" s="1"/>
  <c r="N311" i="6"/>
  <c r="Q311" i="6" s="1"/>
  <c r="R311" i="6" s="1"/>
  <c r="K292" i="6"/>
  <c r="I292" i="6"/>
  <c r="G292" i="6"/>
  <c r="L410" i="6"/>
  <c r="M410" i="6" s="1"/>
  <c r="G408" i="6"/>
  <c r="L402" i="6"/>
  <c r="M402" i="6" s="1"/>
  <c r="G400" i="6"/>
  <c r="L394" i="6"/>
  <c r="M394" i="6" s="1"/>
  <c r="G392" i="6"/>
  <c r="G391" i="6"/>
  <c r="G390" i="6"/>
  <c r="G387" i="6"/>
  <c r="G386" i="6"/>
  <c r="G383" i="6"/>
  <c r="G382" i="6"/>
  <c r="G319" i="6"/>
  <c r="I319" i="6"/>
  <c r="I318" i="6"/>
  <c r="K318" i="6"/>
  <c r="G311" i="6"/>
  <c r="I311" i="6"/>
  <c r="I310" i="6"/>
  <c r="K310" i="6"/>
  <c r="L306" i="6"/>
  <c r="M306" i="6" s="1"/>
  <c r="N306" i="6"/>
  <c r="Q306" i="6" s="1"/>
  <c r="R306" i="6" s="1"/>
  <c r="L291" i="6"/>
  <c r="M291" i="6" s="1"/>
  <c r="N291" i="6"/>
  <c r="Q291" i="6" s="1"/>
  <c r="R291" i="6" s="1"/>
  <c r="L290" i="6"/>
  <c r="M290" i="6" s="1"/>
  <c r="N290" i="6"/>
  <c r="Q290" i="6" s="1"/>
  <c r="R290" i="6" s="1"/>
  <c r="K276" i="6"/>
  <c r="I276" i="6"/>
  <c r="I270" i="6"/>
  <c r="G270" i="6"/>
  <c r="I261" i="6"/>
  <c r="G261" i="6"/>
  <c r="K261" i="6"/>
  <c r="K249" i="6"/>
  <c r="G249" i="6"/>
  <c r="I249" i="6"/>
  <c r="I244" i="6"/>
  <c r="G244" i="6"/>
  <c r="K244" i="6"/>
  <c r="G238" i="6"/>
  <c r="I238" i="6"/>
  <c r="K238" i="6"/>
  <c r="I213" i="6"/>
  <c r="G213" i="6"/>
  <c r="K213" i="6"/>
  <c r="G207" i="6"/>
  <c r="I207" i="6"/>
  <c r="K207" i="6"/>
  <c r="I206" i="6"/>
  <c r="G206" i="6"/>
  <c r="K206" i="6"/>
  <c r="G203" i="6"/>
  <c r="I203" i="6"/>
  <c r="K203" i="6"/>
  <c r="I198" i="6"/>
  <c r="G198" i="6"/>
  <c r="K198" i="6"/>
  <c r="K320" i="6"/>
  <c r="I320" i="6"/>
  <c r="G315" i="6"/>
  <c r="K315" i="6"/>
  <c r="K312" i="6"/>
  <c r="I312" i="6"/>
  <c r="G307" i="6"/>
  <c r="K307" i="6"/>
  <c r="K304" i="6"/>
  <c r="G304" i="6"/>
  <c r="I304" i="6"/>
  <c r="G303" i="6"/>
  <c r="K303" i="6"/>
  <c r="K300" i="6"/>
  <c r="I300" i="6"/>
  <c r="I294" i="6"/>
  <c r="G294" i="6"/>
  <c r="K293" i="6"/>
  <c r="G291" i="6"/>
  <c r="I291" i="6"/>
  <c r="K291" i="6"/>
  <c r="K288" i="6"/>
  <c r="G288" i="6"/>
  <c r="I288" i="6"/>
  <c r="G287" i="6"/>
  <c r="K287" i="6"/>
  <c r="K284" i="6"/>
  <c r="I284" i="6"/>
  <c r="G279" i="6"/>
  <c r="K279" i="6"/>
  <c r="I274" i="6"/>
  <c r="K274" i="6"/>
  <c r="G274" i="6"/>
  <c r="K268" i="6"/>
  <c r="I268" i="6"/>
  <c r="G259" i="6"/>
  <c r="I259" i="6"/>
  <c r="K259" i="6"/>
  <c r="G250" i="6"/>
  <c r="K250" i="6"/>
  <c r="I250" i="6"/>
  <c r="I410" i="6"/>
  <c r="K408" i="6"/>
  <c r="I402" i="6"/>
  <c r="K400" i="6"/>
  <c r="I394" i="6"/>
  <c r="K392" i="6"/>
  <c r="K391" i="6"/>
  <c r="N389" i="6"/>
  <c r="Q389" i="6" s="1"/>
  <c r="R389" i="6" s="1"/>
  <c r="K389" i="6"/>
  <c r="G389" i="6"/>
  <c r="K387" i="6"/>
  <c r="N385" i="6"/>
  <c r="Q385" i="6" s="1"/>
  <c r="R385" i="6" s="1"/>
  <c r="K385" i="6"/>
  <c r="G385" i="6"/>
  <c r="K383" i="6"/>
  <c r="N381" i="6"/>
  <c r="Q381" i="6" s="1"/>
  <c r="R381" i="6" s="1"/>
  <c r="K381" i="6"/>
  <c r="G381" i="6"/>
  <c r="K379" i="6"/>
  <c r="N377" i="6"/>
  <c r="Q377" i="6" s="1"/>
  <c r="R377" i="6" s="1"/>
  <c r="K377" i="6"/>
  <c r="G377" i="6"/>
  <c r="K375" i="6"/>
  <c r="N373" i="6"/>
  <c r="Q373" i="6" s="1"/>
  <c r="R373" i="6" s="1"/>
  <c r="K373" i="6"/>
  <c r="G373" i="6"/>
  <c r="K371" i="6"/>
  <c r="N369" i="6"/>
  <c r="Q369" i="6" s="1"/>
  <c r="R369" i="6" s="1"/>
  <c r="K369" i="6"/>
  <c r="G369" i="6"/>
  <c r="K367" i="6"/>
  <c r="N365" i="6"/>
  <c r="Q365" i="6" s="1"/>
  <c r="R365" i="6" s="1"/>
  <c r="K365" i="6"/>
  <c r="G365" i="6"/>
  <c r="K363" i="6"/>
  <c r="N361" i="6"/>
  <c r="Q361" i="6" s="1"/>
  <c r="R361" i="6" s="1"/>
  <c r="K361" i="6"/>
  <c r="G361" i="6"/>
  <c r="K359" i="6"/>
  <c r="N357" i="6"/>
  <c r="K357" i="6"/>
  <c r="G357" i="6"/>
  <c r="K355" i="6"/>
  <c r="N353" i="6"/>
  <c r="Q353" i="6" s="1"/>
  <c r="R353" i="6" s="1"/>
  <c r="K353" i="6"/>
  <c r="G353" i="6"/>
  <c r="K351" i="6"/>
  <c r="N349" i="6"/>
  <c r="Q349" i="6" s="1"/>
  <c r="R349" i="6" s="1"/>
  <c r="K349" i="6"/>
  <c r="G349" i="6"/>
  <c r="K347" i="6"/>
  <c r="N345" i="6"/>
  <c r="Q345" i="6" s="1"/>
  <c r="R345" i="6" s="1"/>
  <c r="K345" i="6"/>
  <c r="G345" i="6"/>
  <c r="K343" i="6"/>
  <c r="N341" i="6"/>
  <c r="Q341" i="6" s="1"/>
  <c r="R341" i="6" s="1"/>
  <c r="K341" i="6"/>
  <c r="G341" i="6"/>
  <c r="K339" i="6"/>
  <c r="N337" i="6"/>
  <c r="Q337" i="6" s="1"/>
  <c r="R337" i="6" s="1"/>
  <c r="K337" i="6"/>
  <c r="G337" i="6"/>
  <c r="K335" i="6"/>
  <c r="N333" i="6"/>
  <c r="Q333" i="6" s="1"/>
  <c r="R333" i="6" s="1"/>
  <c r="K333" i="6"/>
  <c r="G333" i="6"/>
  <c r="K331" i="6"/>
  <c r="N329" i="6"/>
  <c r="Q329" i="6" s="1"/>
  <c r="R329" i="6" s="1"/>
  <c r="K329" i="6"/>
  <c r="G329" i="6"/>
  <c r="K327" i="6"/>
  <c r="N325" i="6"/>
  <c r="Q325" i="6" s="1"/>
  <c r="R325" i="6" s="1"/>
  <c r="K325" i="6"/>
  <c r="G325" i="6"/>
  <c r="K323" i="6"/>
  <c r="K319" i="6"/>
  <c r="K311" i="6"/>
  <c r="L299" i="6"/>
  <c r="M299" i="6" s="1"/>
  <c r="N299" i="6"/>
  <c r="Q299" i="6" s="1"/>
  <c r="R299" i="6" s="1"/>
  <c r="L298" i="6"/>
  <c r="M298" i="6" s="1"/>
  <c r="N298" i="6"/>
  <c r="Q298" i="6" s="1"/>
  <c r="R298" i="6" s="1"/>
  <c r="L283" i="6"/>
  <c r="M283" i="6" s="1"/>
  <c r="N283" i="6"/>
  <c r="Q283" i="6" s="1"/>
  <c r="R283" i="6" s="1"/>
  <c r="L282" i="6"/>
  <c r="M282" i="6" s="1"/>
  <c r="N282" i="6"/>
  <c r="Q282" i="6" s="1"/>
  <c r="R282" i="6" s="1"/>
  <c r="G275" i="6"/>
  <c r="I275" i="6"/>
  <c r="K275" i="6"/>
  <c r="G271" i="6"/>
  <c r="K271" i="6"/>
  <c r="K270" i="6"/>
  <c r="I266" i="6"/>
  <c r="K266" i="6"/>
  <c r="G266" i="6"/>
  <c r="I258" i="6"/>
  <c r="G258" i="6"/>
  <c r="G252" i="6"/>
  <c r="K252" i="6"/>
  <c r="I252" i="6"/>
  <c r="G316" i="6"/>
  <c r="G308" i="6"/>
  <c r="G306" i="6"/>
  <c r="G298" i="6"/>
  <c r="G290" i="6"/>
  <c r="G282" i="6"/>
  <c r="I263" i="6"/>
  <c r="G263" i="6"/>
  <c r="L275" i="6"/>
  <c r="M275" i="6" s="1"/>
  <c r="N275" i="6"/>
  <c r="Q275" i="6" s="1"/>
  <c r="R275" i="6" s="1"/>
  <c r="L267" i="6"/>
  <c r="M267" i="6" s="1"/>
  <c r="N267" i="6"/>
  <c r="Q267" i="6" s="1"/>
  <c r="R267" i="6" s="1"/>
  <c r="I260" i="6"/>
  <c r="K260" i="6"/>
  <c r="G254" i="6"/>
  <c r="I254" i="6"/>
  <c r="I241" i="6"/>
  <c r="K241" i="6"/>
  <c r="G241" i="6"/>
  <c r="I240" i="6"/>
  <c r="G240" i="6"/>
  <c r="K240" i="6"/>
  <c r="G280" i="6"/>
  <c r="G272" i="6"/>
  <c r="G264" i="6"/>
  <c r="G257" i="6"/>
  <c r="G255" i="6"/>
  <c r="I243" i="6"/>
  <c r="G243" i="6"/>
  <c r="K243" i="6"/>
  <c r="I223" i="6"/>
  <c r="K223" i="6"/>
  <c r="G223" i="6"/>
  <c r="G214" i="6"/>
  <c r="I214" i="6"/>
  <c r="K214" i="6"/>
  <c r="N212" i="6"/>
  <c r="Q212" i="6" s="1"/>
  <c r="L212" i="6"/>
  <c r="M212" i="6" s="1"/>
  <c r="I246" i="6"/>
  <c r="G246" i="6"/>
  <c r="G229" i="6"/>
  <c r="I229" i="6"/>
  <c r="K229" i="6"/>
  <c r="I216" i="6"/>
  <c r="G216" i="6"/>
  <c r="K216" i="6"/>
  <c r="G245" i="6"/>
  <c r="G234" i="6"/>
  <c r="K221" i="6"/>
  <c r="G221" i="6"/>
  <c r="I221" i="6"/>
  <c r="K212" i="6"/>
  <c r="G212" i="6"/>
  <c r="I212" i="6"/>
  <c r="K209" i="6"/>
  <c r="I209" i="6"/>
  <c r="G227" i="6"/>
  <c r="I227" i="6"/>
  <c r="I226" i="6"/>
  <c r="K226" i="6"/>
  <c r="G218" i="6"/>
  <c r="K218" i="6"/>
  <c r="G204" i="6"/>
  <c r="I204" i="6"/>
  <c r="K196" i="6"/>
  <c r="G196" i="6"/>
  <c r="I196" i="6"/>
  <c r="K233" i="6"/>
  <c r="I224" i="6"/>
  <c r="K224" i="6"/>
  <c r="G217" i="6"/>
  <c r="I217" i="6"/>
  <c r="G184" i="6"/>
  <c r="K184" i="6"/>
  <c r="G166" i="6"/>
  <c r="I166" i="6"/>
  <c r="G123" i="6"/>
  <c r="I123" i="6"/>
  <c r="K123" i="6"/>
  <c r="L77" i="6"/>
  <c r="M77" i="6" s="1"/>
  <c r="N77" i="6"/>
  <c r="G38" i="6"/>
  <c r="I38" i="6"/>
  <c r="K38" i="6"/>
  <c r="K195" i="6"/>
  <c r="G182" i="6"/>
  <c r="I182" i="6"/>
  <c r="K177" i="6"/>
  <c r="I177" i="6"/>
  <c r="K173" i="6"/>
  <c r="I173" i="6"/>
  <c r="I129" i="6"/>
  <c r="K129" i="6"/>
  <c r="G129" i="6"/>
  <c r="G86" i="6"/>
  <c r="I86" i="6"/>
  <c r="K86" i="6"/>
  <c r="N214" i="6"/>
  <c r="Q214" i="6" s="1"/>
  <c r="K197" i="6"/>
  <c r="G134" i="6"/>
  <c r="I134" i="6"/>
  <c r="K134" i="6"/>
  <c r="K54" i="6"/>
  <c r="G54" i="6"/>
  <c r="I54" i="6"/>
  <c r="G77" i="6"/>
  <c r="I77" i="6"/>
  <c r="P37" i="6"/>
  <c r="Q37" i="6" s="1"/>
  <c r="G37" i="6"/>
  <c r="I105" i="6"/>
  <c r="K105" i="6"/>
  <c r="K43" i="5"/>
  <c r="Q43" i="6" l="1"/>
  <c r="P50" i="6"/>
  <c r="Q50" i="6" s="1"/>
  <c r="P77" i="6"/>
  <c r="Q77" i="6" s="1"/>
  <c r="K38" i="5"/>
  <c r="D11" i="3"/>
  <c r="K33" i="5" l="1"/>
  <c r="K32" i="5" l="1"/>
  <c r="K31" i="5"/>
  <c r="P72" i="6" l="1"/>
  <c r="Q72" i="6" s="1"/>
  <c r="K28" i="5" l="1"/>
  <c r="K27" i="5"/>
  <c r="C13" i="2"/>
  <c r="H24" i="5"/>
  <c r="P24" i="5"/>
  <c r="O24" i="5"/>
  <c r="K23" i="5"/>
  <c r="K17" i="5"/>
  <c r="D9" i="3" l="1"/>
  <c r="K14" i="5"/>
  <c r="K12" i="5"/>
  <c r="K6" i="5"/>
  <c r="H21" i="14"/>
  <c r="I21" i="14"/>
  <c r="J21" i="14"/>
  <c r="K21" i="14"/>
  <c r="H32" i="14"/>
  <c r="I32" i="14"/>
  <c r="J32" i="14"/>
  <c r="H33" i="14" s="1"/>
  <c r="K32" i="14"/>
  <c r="H43" i="14"/>
  <c r="I43" i="14"/>
  <c r="H44" i="14" s="1"/>
  <c r="J43" i="14"/>
  <c r="K43" i="14"/>
  <c r="H54" i="14"/>
  <c r="I54" i="14"/>
  <c r="J54" i="14"/>
  <c r="K54" i="14"/>
  <c r="H55" i="14"/>
  <c r="H65" i="14"/>
  <c r="I65" i="14"/>
  <c r="J65" i="14"/>
  <c r="K65" i="14"/>
  <c r="H76" i="14"/>
  <c r="I76" i="14"/>
  <c r="J76" i="14"/>
  <c r="K76" i="14"/>
  <c r="H87" i="14"/>
  <c r="I87" i="14"/>
  <c r="J87" i="14"/>
  <c r="K87" i="14"/>
  <c r="H98" i="14"/>
  <c r="I98" i="14"/>
  <c r="J98" i="14"/>
  <c r="K98" i="14"/>
  <c r="H99" i="14"/>
  <c r="H109" i="14"/>
  <c r="I109" i="14"/>
  <c r="J109" i="14"/>
  <c r="K109" i="14"/>
  <c r="H110" i="14" s="1"/>
  <c r="H120" i="14"/>
  <c r="I120" i="14"/>
  <c r="J120" i="14"/>
  <c r="H121" i="14" s="1"/>
  <c r="K120" i="14"/>
  <c r="H131" i="14"/>
  <c r="I131" i="14"/>
  <c r="H132" i="14" s="1"/>
  <c r="J131" i="14"/>
  <c r="K131" i="14"/>
  <c r="H142" i="14"/>
  <c r="H143" i="14" s="1"/>
  <c r="I142" i="14"/>
  <c r="J142" i="14"/>
  <c r="K142" i="14"/>
  <c r="H153" i="14"/>
  <c r="I153" i="14"/>
  <c r="J153" i="14"/>
  <c r="K153" i="14"/>
  <c r="H154" i="14" s="1"/>
  <c r="H164" i="14"/>
  <c r="I164" i="14"/>
  <c r="J164" i="14"/>
  <c r="H165" i="14" s="1"/>
  <c r="K164" i="14"/>
  <c r="H175" i="14"/>
  <c r="I175" i="14"/>
  <c r="H176" i="14" s="1"/>
  <c r="J175" i="14"/>
  <c r="K175" i="14"/>
  <c r="H186" i="14"/>
  <c r="I186" i="14"/>
  <c r="J186" i="14"/>
  <c r="K186" i="14"/>
  <c r="H187" i="14"/>
  <c r="H197" i="14"/>
  <c r="I197" i="14"/>
  <c r="J197" i="14"/>
  <c r="K197" i="14"/>
  <c r="H198" i="14" s="1"/>
  <c r="H208" i="14"/>
  <c r="I208" i="14"/>
  <c r="J208" i="14"/>
  <c r="H209" i="14" s="1"/>
  <c r="K208" i="14"/>
  <c r="H219" i="14"/>
  <c r="I219" i="14"/>
  <c r="J219" i="14"/>
  <c r="K219" i="14"/>
  <c r="H230" i="14"/>
  <c r="H231" i="14" s="1"/>
  <c r="I230" i="14"/>
  <c r="J230" i="14"/>
  <c r="K230" i="14"/>
  <c r="H241" i="14"/>
  <c r="I241" i="14"/>
  <c r="J241" i="14"/>
  <c r="K241" i="14"/>
  <c r="H242" i="14" s="1"/>
  <c r="H252" i="14"/>
  <c r="I252" i="14"/>
  <c r="J252" i="14"/>
  <c r="H253" i="14" s="1"/>
  <c r="K252" i="14"/>
  <c r="H263" i="14"/>
  <c r="I263" i="14"/>
  <c r="H264" i="14" s="1"/>
  <c r="J263" i="14"/>
  <c r="K263" i="14"/>
  <c r="H274" i="14"/>
  <c r="H275" i="14" s="1"/>
  <c r="I274" i="14"/>
  <c r="J274" i="14"/>
  <c r="K274" i="14"/>
  <c r="H285" i="14"/>
  <c r="I285" i="14"/>
  <c r="J285" i="14"/>
  <c r="K285" i="14"/>
  <c r="H286" i="14" s="1"/>
  <c r="H296" i="14"/>
  <c r="I296" i="14"/>
  <c r="J296" i="14"/>
  <c r="K296" i="14"/>
  <c r="H307" i="14"/>
  <c r="I307" i="14"/>
  <c r="H308" i="14" s="1"/>
  <c r="J307" i="14"/>
  <c r="K307" i="14"/>
  <c r="H318" i="14"/>
  <c r="I318" i="14"/>
  <c r="J318" i="14"/>
  <c r="K318" i="14"/>
  <c r="H319" i="14"/>
  <c r="H329" i="14"/>
  <c r="I329" i="14"/>
  <c r="J329" i="14"/>
  <c r="K329" i="14"/>
  <c r="H330" i="14" s="1"/>
  <c r="H340" i="14"/>
  <c r="I340" i="14"/>
  <c r="J340" i="14"/>
  <c r="H341" i="14" s="1"/>
  <c r="K340" i="14"/>
  <c r="B21" i="14"/>
  <c r="C21" i="14"/>
  <c r="D21" i="14"/>
  <c r="E21" i="14"/>
  <c r="B32" i="14"/>
  <c r="C32" i="14"/>
  <c r="B33" i="14" s="1"/>
  <c r="D32" i="14"/>
  <c r="E32" i="14"/>
  <c r="B43" i="14"/>
  <c r="C43" i="14"/>
  <c r="B44" i="14" s="1"/>
  <c r="D43" i="14"/>
  <c r="E43" i="14"/>
  <c r="B54" i="14"/>
  <c r="C54" i="14"/>
  <c r="D54" i="14"/>
  <c r="E54" i="14"/>
  <c r="B65" i="14"/>
  <c r="C65" i="14"/>
  <c r="D65" i="14"/>
  <c r="E65" i="14"/>
  <c r="B76" i="14"/>
  <c r="B77" i="14" s="1"/>
  <c r="C76" i="14"/>
  <c r="D76" i="14"/>
  <c r="E76" i="14"/>
  <c r="B87" i="14"/>
  <c r="C87" i="14"/>
  <c r="D87" i="14"/>
  <c r="E87" i="14"/>
  <c r="B98" i="14"/>
  <c r="C98" i="14"/>
  <c r="D98" i="14"/>
  <c r="E98" i="14"/>
  <c r="B109" i="14"/>
  <c r="C109" i="14"/>
  <c r="B110" i="14" s="1"/>
  <c r="D109" i="14"/>
  <c r="E109" i="14"/>
  <c r="B120" i="14"/>
  <c r="B121" i="14" s="1"/>
  <c r="C120" i="14"/>
  <c r="D120" i="14"/>
  <c r="E120" i="14"/>
  <c r="B131" i="14"/>
  <c r="C131" i="14"/>
  <c r="B132" i="14" s="1"/>
  <c r="D131" i="14"/>
  <c r="E131" i="14"/>
  <c r="B142" i="14"/>
  <c r="C142" i="14"/>
  <c r="D142" i="14"/>
  <c r="E142" i="14"/>
  <c r="B153" i="14"/>
  <c r="C153" i="14"/>
  <c r="D153" i="14"/>
  <c r="E153" i="14"/>
  <c r="B164" i="14"/>
  <c r="B165" i="14" s="1"/>
  <c r="C164" i="14"/>
  <c r="D164" i="14"/>
  <c r="E164" i="14"/>
  <c r="B175" i="14"/>
  <c r="C175" i="14"/>
  <c r="D175" i="14"/>
  <c r="E175" i="14"/>
  <c r="B186" i="14"/>
  <c r="C186" i="14"/>
  <c r="D186" i="14"/>
  <c r="B187" i="14" s="1"/>
  <c r="E186" i="14"/>
  <c r="B197" i="14"/>
  <c r="C197" i="14"/>
  <c r="D197" i="14"/>
  <c r="E197" i="14"/>
  <c r="B208" i="14"/>
  <c r="C208" i="14"/>
  <c r="D208" i="14"/>
  <c r="E208" i="14"/>
  <c r="B209" i="14"/>
  <c r="B219" i="14"/>
  <c r="C219" i="14"/>
  <c r="D219" i="14"/>
  <c r="E219" i="14"/>
  <c r="B230" i="14"/>
  <c r="C230" i="14"/>
  <c r="D230" i="14"/>
  <c r="E230" i="14"/>
  <c r="B241" i="14"/>
  <c r="C241" i="14"/>
  <c r="B242" i="14" s="1"/>
  <c r="D241" i="14"/>
  <c r="E241" i="14"/>
  <c r="B252" i="14"/>
  <c r="B253" i="14" s="1"/>
  <c r="C252" i="14"/>
  <c r="D252" i="14"/>
  <c r="E252" i="14"/>
  <c r="B263" i="14"/>
  <c r="C263" i="14"/>
  <c r="D263" i="14"/>
  <c r="E263" i="14"/>
  <c r="B274" i="14"/>
  <c r="C274" i="14"/>
  <c r="D274" i="14"/>
  <c r="E274" i="14"/>
  <c r="B285" i="14"/>
  <c r="C285" i="14"/>
  <c r="B286" i="14" s="1"/>
  <c r="D285" i="14"/>
  <c r="E285" i="14"/>
  <c r="B296" i="14"/>
  <c r="B297" i="14" s="1"/>
  <c r="C296" i="14"/>
  <c r="D296" i="14"/>
  <c r="E296" i="14"/>
  <c r="B307" i="14"/>
  <c r="C307" i="14"/>
  <c r="D307" i="14"/>
  <c r="E307" i="14"/>
  <c r="B318" i="14"/>
  <c r="C318" i="14"/>
  <c r="D318" i="14"/>
  <c r="E318" i="14"/>
  <c r="B329" i="14"/>
  <c r="C329" i="14"/>
  <c r="B330" i="14" s="1"/>
  <c r="D329" i="14"/>
  <c r="E329" i="14"/>
  <c r="B340" i="14"/>
  <c r="C340" i="14"/>
  <c r="D340" i="14"/>
  <c r="E340" i="14"/>
  <c r="B341" i="14"/>
  <c r="B308" i="14" l="1"/>
  <c r="B319" i="14"/>
  <c r="H297" i="14"/>
  <c r="B275" i="14"/>
  <c r="B264" i="14"/>
  <c r="H220" i="14"/>
  <c r="B220" i="14"/>
  <c r="B231" i="14"/>
  <c r="B198" i="14"/>
  <c r="B176" i="14"/>
  <c r="B143" i="14"/>
  <c r="B154" i="14"/>
  <c r="H77" i="14"/>
  <c r="H88" i="14"/>
  <c r="B88" i="14"/>
  <c r="B99" i="14"/>
  <c r="H22" i="14"/>
  <c r="B22" i="14"/>
  <c r="B55" i="14"/>
  <c r="H66" i="14"/>
  <c r="B66" i="14"/>
  <c r="H2" i="5" l="1"/>
  <c r="H3741" i="14"/>
  <c r="I3741" i="14"/>
  <c r="H3742" i="14" s="1"/>
  <c r="J3741" i="14"/>
  <c r="K3741" i="14"/>
  <c r="H3752" i="14"/>
  <c r="I3752" i="14"/>
  <c r="J3752" i="14"/>
  <c r="H3753" i="14" s="1"/>
  <c r="K3752" i="14"/>
  <c r="H3763" i="14"/>
  <c r="I3763" i="14"/>
  <c r="H3764" i="14" s="1"/>
  <c r="J3763" i="14"/>
  <c r="K3763" i="14"/>
  <c r="H3774" i="14"/>
  <c r="I3774" i="14"/>
  <c r="J3774" i="14"/>
  <c r="K3774" i="14"/>
  <c r="H3775" i="14"/>
  <c r="H3785" i="14"/>
  <c r="I3785" i="14"/>
  <c r="H3786" i="14" s="1"/>
  <c r="J3785" i="14"/>
  <c r="K3785" i="14"/>
  <c r="H3796" i="14"/>
  <c r="I3796" i="14"/>
  <c r="J3796" i="14"/>
  <c r="H3797" i="14" s="1"/>
  <c r="K3796" i="14"/>
  <c r="H3807" i="14"/>
  <c r="I3807" i="14"/>
  <c r="H3808" i="14" s="1"/>
  <c r="J3807" i="14"/>
  <c r="K3807" i="14"/>
  <c r="H3818" i="14"/>
  <c r="I3818" i="14"/>
  <c r="J3818" i="14"/>
  <c r="K3818" i="14"/>
  <c r="H3819" i="14"/>
  <c r="H3829" i="14"/>
  <c r="I3829" i="14"/>
  <c r="H3830" i="14" s="1"/>
  <c r="J3829" i="14"/>
  <c r="K3829" i="14"/>
  <c r="H3840" i="14"/>
  <c r="I3840" i="14"/>
  <c r="J3840" i="14"/>
  <c r="H3841" i="14" s="1"/>
  <c r="K3840" i="14"/>
  <c r="H3851" i="14"/>
  <c r="I3851" i="14"/>
  <c r="H3852" i="14" s="1"/>
  <c r="J3851" i="14"/>
  <c r="K3851" i="14"/>
  <c r="H3862" i="14"/>
  <c r="I3862" i="14"/>
  <c r="J3862" i="14"/>
  <c r="K3862" i="14"/>
  <c r="H3863" i="14"/>
  <c r="H3873" i="14"/>
  <c r="I3873" i="14"/>
  <c r="H3874" i="14" s="1"/>
  <c r="J3873" i="14"/>
  <c r="K3873" i="14"/>
  <c r="H3884" i="14"/>
  <c r="I3884" i="14"/>
  <c r="J3884" i="14"/>
  <c r="H3885" i="14" s="1"/>
  <c r="K3884" i="14"/>
  <c r="H3895" i="14"/>
  <c r="I3895" i="14"/>
  <c r="H3896" i="14" s="1"/>
  <c r="J3895" i="14"/>
  <c r="K3895" i="14"/>
  <c r="H3906" i="14"/>
  <c r="I3906" i="14"/>
  <c r="J3906" i="14"/>
  <c r="K3906" i="14"/>
  <c r="H3907" i="14"/>
  <c r="H3917" i="14"/>
  <c r="I3917" i="14"/>
  <c r="H3918" i="14" s="1"/>
  <c r="J3917" i="14"/>
  <c r="K3917" i="14"/>
  <c r="H3928" i="14"/>
  <c r="I3928" i="14"/>
  <c r="J3928" i="14"/>
  <c r="H3929" i="14" s="1"/>
  <c r="K3928" i="14"/>
  <c r="H3939" i="14"/>
  <c r="I3939" i="14"/>
  <c r="H3940" i="14" s="1"/>
  <c r="J3939" i="14"/>
  <c r="K3939" i="14"/>
  <c r="H3950" i="14"/>
  <c r="I3950" i="14"/>
  <c r="J3950" i="14"/>
  <c r="K3950" i="14"/>
  <c r="H3951" i="14"/>
  <c r="H3961" i="14"/>
  <c r="I3961" i="14"/>
  <c r="H3962" i="14" s="1"/>
  <c r="J3961" i="14"/>
  <c r="K3961" i="14"/>
  <c r="H3972" i="14"/>
  <c r="I3972" i="14"/>
  <c r="J3972" i="14"/>
  <c r="H3973" i="14" s="1"/>
  <c r="K3972" i="14"/>
  <c r="H3983" i="14"/>
  <c r="I3983" i="14"/>
  <c r="H3984" i="14" s="1"/>
  <c r="J3983" i="14"/>
  <c r="K3983" i="14"/>
  <c r="H3994" i="14"/>
  <c r="H3995" i="14" s="1"/>
  <c r="I3994" i="14"/>
  <c r="J3994" i="14"/>
  <c r="K3994" i="14"/>
  <c r="H4005" i="14"/>
  <c r="I4005" i="14"/>
  <c r="H4006" i="14" s="1"/>
  <c r="J4005" i="14"/>
  <c r="K4005" i="14"/>
  <c r="H4016" i="14"/>
  <c r="I4016" i="14"/>
  <c r="J4016" i="14"/>
  <c r="H4017" i="14" s="1"/>
  <c r="K4016" i="14"/>
  <c r="H4027" i="14"/>
  <c r="I4027" i="14"/>
  <c r="H4028" i="14" s="1"/>
  <c r="J4027" i="14"/>
  <c r="K4027" i="14"/>
  <c r="H4038" i="14"/>
  <c r="I4038" i="14"/>
  <c r="J4038" i="14"/>
  <c r="K4038" i="14"/>
  <c r="H4039" i="14"/>
  <c r="H4049" i="14"/>
  <c r="I4049" i="14"/>
  <c r="H4050" i="14" s="1"/>
  <c r="J4049" i="14"/>
  <c r="K4049" i="14"/>
  <c r="H4060" i="14"/>
  <c r="I4060" i="14"/>
  <c r="J4060" i="14"/>
  <c r="H4061" i="14" s="1"/>
  <c r="K4060" i="14"/>
  <c r="B3741" i="14"/>
  <c r="C3741" i="14"/>
  <c r="B3742" i="14" s="1"/>
  <c r="D3741" i="14"/>
  <c r="E3741" i="14"/>
  <c r="B3752" i="14"/>
  <c r="C3752" i="14"/>
  <c r="D3752" i="14"/>
  <c r="B3753" i="14" s="1"/>
  <c r="E3752" i="14"/>
  <c r="B3763" i="14"/>
  <c r="C3763" i="14"/>
  <c r="B3764" i="14" s="1"/>
  <c r="D3763" i="14"/>
  <c r="E3763" i="14"/>
  <c r="B3774" i="14"/>
  <c r="B3775" i="14" s="1"/>
  <c r="C3774" i="14"/>
  <c r="D3774" i="14"/>
  <c r="E3774" i="14"/>
  <c r="B3785" i="14"/>
  <c r="C3785" i="14"/>
  <c r="B3786" i="14" s="1"/>
  <c r="D3785" i="14"/>
  <c r="E3785" i="14"/>
  <c r="B3796" i="14"/>
  <c r="C3796" i="14"/>
  <c r="D3796" i="14"/>
  <c r="B3797" i="14" s="1"/>
  <c r="E3796" i="14"/>
  <c r="B3807" i="14"/>
  <c r="C3807" i="14"/>
  <c r="B3808" i="14" s="1"/>
  <c r="D3807" i="14"/>
  <c r="E3807" i="14"/>
  <c r="B3818" i="14"/>
  <c r="C3818" i="14"/>
  <c r="D3818" i="14"/>
  <c r="E3818" i="14"/>
  <c r="B3819" i="14"/>
  <c r="B3829" i="14"/>
  <c r="C3829" i="14"/>
  <c r="B3830" i="14" s="1"/>
  <c r="D3829" i="14"/>
  <c r="E3829" i="14"/>
  <c r="B3840" i="14"/>
  <c r="C3840" i="14"/>
  <c r="D3840" i="14"/>
  <c r="B3841" i="14" s="1"/>
  <c r="E3840" i="14"/>
  <c r="B3851" i="14"/>
  <c r="C3851" i="14"/>
  <c r="B3852" i="14" s="1"/>
  <c r="D3851" i="14"/>
  <c r="E3851" i="14"/>
  <c r="B3862" i="14"/>
  <c r="C3862" i="14"/>
  <c r="D3862" i="14"/>
  <c r="E3862" i="14"/>
  <c r="B3863" i="14"/>
  <c r="B3873" i="14"/>
  <c r="C3873" i="14"/>
  <c r="B3874" i="14" s="1"/>
  <c r="D3873" i="14"/>
  <c r="E3873" i="14"/>
  <c r="B3884" i="14"/>
  <c r="C3884" i="14"/>
  <c r="D3884" i="14"/>
  <c r="B3885" i="14" s="1"/>
  <c r="E3884" i="14"/>
  <c r="B3895" i="14"/>
  <c r="C3895" i="14"/>
  <c r="B3896" i="14" s="1"/>
  <c r="D3895" i="14"/>
  <c r="E3895" i="14"/>
  <c r="B3906" i="14"/>
  <c r="B3907" i="14" s="1"/>
  <c r="C3906" i="14"/>
  <c r="D3906" i="14"/>
  <c r="E3906" i="14"/>
  <c r="B3917" i="14"/>
  <c r="C3917" i="14"/>
  <c r="B3918" i="14" s="1"/>
  <c r="D3917" i="14"/>
  <c r="E3917" i="14"/>
  <c r="B3928" i="14"/>
  <c r="C3928" i="14"/>
  <c r="D3928" i="14"/>
  <c r="B3929" i="14" s="1"/>
  <c r="E3928" i="14"/>
  <c r="B3939" i="14"/>
  <c r="C3939" i="14"/>
  <c r="B3940" i="14" s="1"/>
  <c r="D3939" i="14"/>
  <c r="E3939" i="14"/>
  <c r="B3950" i="14"/>
  <c r="C3950" i="14"/>
  <c r="D3950" i="14"/>
  <c r="E3950" i="14"/>
  <c r="B3951" i="14"/>
  <c r="B3961" i="14"/>
  <c r="C3961" i="14"/>
  <c r="B3962" i="14" s="1"/>
  <c r="D3961" i="14"/>
  <c r="E3961" i="14"/>
  <c r="B3972" i="14"/>
  <c r="C3972" i="14"/>
  <c r="D3972" i="14"/>
  <c r="B3973" i="14" s="1"/>
  <c r="E3972" i="14"/>
  <c r="B3983" i="14"/>
  <c r="C3983" i="14"/>
  <c r="B3984" i="14" s="1"/>
  <c r="D3983" i="14"/>
  <c r="E3983" i="14"/>
  <c r="B3994" i="14"/>
  <c r="B3995" i="14" s="1"/>
  <c r="C3994" i="14"/>
  <c r="D3994" i="14"/>
  <c r="E3994" i="14"/>
  <c r="B4005" i="14"/>
  <c r="C4005" i="14"/>
  <c r="B4006" i="14" s="1"/>
  <c r="D4005" i="14"/>
  <c r="E4005" i="14"/>
  <c r="B4016" i="14"/>
  <c r="C4016" i="14"/>
  <c r="D4016" i="14"/>
  <c r="B4017" i="14" s="1"/>
  <c r="E4016" i="14"/>
  <c r="B4027" i="14"/>
  <c r="C4027" i="14"/>
  <c r="B4028" i="14" s="1"/>
  <c r="D4027" i="14"/>
  <c r="E4027" i="14"/>
  <c r="B4038" i="14"/>
  <c r="C4038" i="14"/>
  <c r="D4038" i="14"/>
  <c r="E4038" i="14"/>
  <c r="B4039" i="14"/>
  <c r="B4049" i="14"/>
  <c r="C4049" i="14"/>
  <c r="B4050" i="14" s="1"/>
  <c r="D4049" i="14"/>
  <c r="E4049" i="14"/>
  <c r="B4060" i="14"/>
  <c r="C4060" i="14"/>
  <c r="D4060" i="14"/>
  <c r="B4061" i="14" s="1"/>
  <c r="E4060" i="14"/>
  <c r="K3730" i="14"/>
  <c r="J3730" i="14"/>
  <c r="I3730" i="14"/>
  <c r="H3730" i="14"/>
  <c r="H3731" i="14" s="1"/>
  <c r="E3730" i="14"/>
  <c r="D3730" i="14"/>
  <c r="C3730" i="14"/>
  <c r="B3730" i="14"/>
  <c r="B3731" i="14" s="1"/>
  <c r="H3407" i="14"/>
  <c r="I3407" i="14"/>
  <c r="H3408" i="14" s="1"/>
  <c r="J3407" i="14"/>
  <c r="K3407" i="14"/>
  <c r="H3418" i="14"/>
  <c r="I3418" i="14"/>
  <c r="J3418" i="14"/>
  <c r="H3419" i="14" s="1"/>
  <c r="K3418" i="14"/>
  <c r="H3429" i="14"/>
  <c r="I3429" i="14"/>
  <c r="H3430" i="14" s="1"/>
  <c r="J3429" i="14"/>
  <c r="K3429" i="14"/>
  <c r="H3440" i="14"/>
  <c r="H3441" i="14" s="1"/>
  <c r="I3440" i="14"/>
  <c r="J3440" i="14"/>
  <c r="K3440" i="14"/>
  <c r="H3451" i="14"/>
  <c r="I3451" i="14"/>
  <c r="H3452" i="14" s="1"/>
  <c r="J3451" i="14"/>
  <c r="K3451" i="14"/>
  <c r="H3462" i="14"/>
  <c r="I3462" i="14"/>
  <c r="J3462" i="14"/>
  <c r="H3463" i="14" s="1"/>
  <c r="K3462" i="14"/>
  <c r="H3473" i="14"/>
  <c r="I3473" i="14"/>
  <c r="H3474" i="14" s="1"/>
  <c r="J3473" i="14"/>
  <c r="K3473" i="14"/>
  <c r="H3484" i="14"/>
  <c r="I3484" i="14"/>
  <c r="J3484" i="14"/>
  <c r="K3484" i="14"/>
  <c r="H3485" i="14"/>
  <c r="H3495" i="14"/>
  <c r="I3495" i="14"/>
  <c r="H3496" i="14" s="1"/>
  <c r="J3495" i="14"/>
  <c r="K3495" i="14"/>
  <c r="H3506" i="14"/>
  <c r="I3506" i="14"/>
  <c r="J3506" i="14"/>
  <c r="H3507" i="14" s="1"/>
  <c r="K3506" i="14"/>
  <c r="H3517" i="14"/>
  <c r="I3517" i="14"/>
  <c r="H3518" i="14" s="1"/>
  <c r="J3517" i="14"/>
  <c r="K3517" i="14"/>
  <c r="H3528" i="14"/>
  <c r="I3528" i="14"/>
  <c r="J3528" i="14"/>
  <c r="K3528" i="14"/>
  <c r="H3529" i="14"/>
  <c r="H3539" i="14"/>
  <c r="I3539" i="14"/>
  <c r="H3540" i="14" s="1"/>
  <c r="J3539" i="14"/>
  <c r="K3539" i="14"/>
  <c r="H3550" i="14"/>
  <c r="I3550" i="14"/>
  <c r="J3550" i="14"/>
  <c r="H3551" i="14" s="1"/>
  <c r="K3550" i="14"/>
  <c r="H3561" i="14"/>
  <c r="I3561" i="14"/>
  <c r="H3562" i="14" s="1"/>
  <c r="J3561" i="14"/>
  <c r="K3561" i="14"/>
  <c r="H3572" i="14"/>
  <c r="I3572" i="14"/>
  <c r="J3572" i="14"/>
  <c r="K3572" i="14"/>
  <c r="H3573" i="14"/>
  <c r="H3583" i="14"/>
  <c r="I3583" i="14"/>
  <c r="H3584" i="14" s="1"/>
  <c r="J3583" i="14"/>
  <c r="K3583" i="14"/>
  <c r="H3594" i="14"/>
  <c r="I3594" i="14"/>
  <c r="J3594" i="14"/>
  <c r="H3595" i="14" s="1"/>
  <c r="K3594" i="14"/>
  <c r="H3605" i="14"/>
  <c r="I3605" i="14"/>
  <c r="H3606" i="14" s="1"/>
  <c r="J3605" i="14"/>
  <c r="K3605" i="14"/>
  <c r="H3616" i="14"/>
  <c r="I3616" i="14"/>
  <c r="J3616" i="14"/>
  <c r="K3616" i="14"/>
  <c r="H3617" i="14"/>
  <c r="H3627" i="14"/>
  <c r="I3627" i="14"/>
  <c r="H3628" i="14" s="1"/>
  <c r="J3627" i="14"/>
  <c r="K3627" i="14"/>
  <c r="H3638" i="14"/>
  <c r="I3638" i="14"/>
  <c r="J3638" i="14"/>
  <c r="H3639" i="14" s="1"/>
  <c r="K3638" i="14"/>
  <c r="H3649" i="14"/>
  <c r="I3649" i="14"/>
  <c r="H3650" i="14" s="1"/>
  <c r="J3649" i="14"/>
  <c r="K3649" i="14"/>
  <c r="H3660" i="14"/>
  <c r="H3661" i="14" s="1"/>
  <c r="I3660" i="14"/>
  <c r="J3660" i="14"/>
  <c r="K3660" i="14"/>
  <c r="H3671" i="14"/>
  <c r="I3671" i="14"/>
  <c r="H3672" i="14" s="1"/>
  <c r="J3671" i="14"/>
  <c r="K3671" i="14"/>
  <c r="H3682" i="14"/>
  <c r="I3682" i="14"/>
  <c r="J3682" i="14"/>
  <c r="H3683" i="14" s="1"/>
  <c r="K3682" i="14"/>
  <c r="H3693" i="14"/>
  <c r="I3693" i="14"/>
  <c r="H3694" i="14" s="1"/>
  <c r="J3693" i="14"/>
  <c r="K3693" i="14"/>
  <c r="H3704" i="14"/>
  <c r="H3705" i="14" s="1"/>
  <c r="I3704" i="14"/>
  <c r="J3704" i="14"/>
  <c r="K3704" i="14"/>
  <c r="H3715" i="14"/>
  <c r="I3715" i="14"/>
  <c r="H3716" i="14" s="1"/>
  <c r="J3715" i="14"/>
  <c r="K3715" i="14"/>
  <c r="B3407" i="14"/>
  <c r="C3407" i="14"/>
  <c r="B3408" i="14" s="1"/>
  <c r="D3407" i="14"/>
  <c r="E3407" i="14"/>
  <c r="B3418" i="14"/>
  <c r="C3418" i="14"/>
  <c r="D3418" i="14"/>
  <c r="B3419" i="14" s="1"/>
  <c r="E3418" i="14"/>
  <c r="B3429" i="14"/>
  <c r="C3429" i="14"/>
  <c r="B3430" i="14" s="1"/>
  <c r="D3429" i="14"/>
  <c r="E3429" i="14"/>
  <c r="B3440" i="14"/>
  <c r="C3440" i="14"/>
  <c r="D3440" i="14"/>
  <c r="E3440" i="14"/>
  <c r="B3441" i="14"/>
  <c r="B3451" i="14"/>
  <c r="C3451" i="14"/>
  <c r="B3452" i="14" s="1"/>
  <c r="D3451" i="14"/>
  <c r="E3451" i="14"/>
  <c r="B3462" i="14"/>
  <c r="C3462" i="14"/>
  <c r="D3462" i="14"/>
  <c r="B3463" i="14" s="1"/>
  <c r="E3462" i="14"/>
  <c r="B3473" i="14"/>
  <c r="C3473" i="14"/>
  <c r="B3474" i="14" s="1"/>
  <c r="D3473" i="14"/>
  <c r="E3473" i="14"/>
  <c r="B3484" i="14"/>
  <c r="C3484" i="14"/>
  <c r="D3484" i="14"/>
  <c r="E3484" i="14"/>
  <c r="B3485" i="14"/>
  <c r="B3495" i="14"/>
  <c r="C3495" i="14"/>
  <c r="B3496" i="14" s="1"/>
  <c r="D3495" i="14"/>
  <c r="E3495" i="14"/>
  <c r="B3506" i="14"/>
  <c r="C3506" i="14"/>
  <c r="D3506" i="14"/>
  <c r="B3507" i="14" s="1"/>
  <c r="E3506" i="14"/>
  <c r="B3517" i="14"/>
  <c r="C3517" i="14"/>
  <c r="B3518" i="14" s="1"/>
  <c r="D3517" i="14"/>
  <c r="E3517" i="14"/>
  <c r="B3528" i="14"/>
  <c r="C3528" i="14"/>
  <c r="D3528" i="14"/>
  <c r="E3528" i="14"/>
  <c r="B3529" i="14"/>
  <c r="B3539" i="14"/>
  <c r="C3539" i="14"/>
  <c r="B3540" i="14" s="1"/>
  <c r="D3539" i="14"/>
  <c r="E3539" i="14"/>
  <c r="B3550" i="14"/>
  <c r="C3550" i="14"/>
  <c r="D3550" i="14"/>
  <c r="B3551" i="14" s="1"/>
  <c r="E3550" i="14"/>
  <c r="B3561" i="14"/>
  <c r="C3561" i="14"/>
  <c r="B3562" i="14" s="1"/>
  <c r="D3561" i="14"/>
  <c r="E3561" i="14"/>
  <c r="B3572" i="14"/>
  <c r="C3572" i="14"/>
  <c r="D3572" i="14"/>
  <c r="E3572" i="14"/>
  <c r="B3573" i="14"/>
  <c r="B3583" i="14"/>
  <c r="C3583" i="14"/>
  <c r="B3584" i="14" s="1"/>
  <c r="D3583" i="14"/>
  <c r="E3583" i="14"/>
  <c r="B3594" i="14"/>
  <c r="C3594" i="14"/>
  <c r="D3594" i="14"/>
  <c r="B3595" i="14" s="1"/>
  <c r="E3594" i="14"/>
  <c r="B3605" i="14"/>
  <c r="C3605" i="14"/>
  <c r="B3606" i="14" s="1"/>
  <c r="D3605" i="14"/>
  <c r="E3605" i="14"/>
  <c r="B3616" i="14"/>
  <c r="C3616" i="14"/>
  <c r="D3616" i="14"/>
  <c r="E3616" i="14"/>
  <c r="B3617" i="14"/>
  <c r="B3627" i="14"/>
  <c r="C3627" i="14"/>
  <c r="B3628" i="14" s="1"/>
  <c r="D3627" i="14"/>
  <c r="E3627" i="14"/>
  <c r="B3638" i="14"/>
  <c r="C3638" i="14"/>
  <c r="D3638" i="14"/>
  <c r="B3639" i="14" s="1"/>
  <c r="E3638" i="14"/>
  <c r="B3649" i="14"/>
  <c r="C3649" i="14"/>
  <c r="B3650" i="14" s="1"/>
  <c r="D3649" i="14"/>
  <c r="E3649" i="14"/>
  <c r="B3660" i="14"/>
  <c r="C3660" i="14"/>
  <c r="D3660" i="14"/>
  <c r="E3660" i="14"/>
  <c r="B3661" i="14"/>
  <c r="B3671" i="14"/>
  <c r="C3671" i="14"/>
  <c r="B3672" i="14" s="1"/>
  <c r="D3671" i="14"/>
  <c r="E3671" i="14"/>
  <c r="B3682" i="14"/>
  <c r="C3682" i="14"/>
  <c r="D3682" i="14"/>
  <c r="B3683" i="14" s="1"/>
  <c r="E3682" i="14"/>
  <c r="B3693" i="14"/>
  <c r="C3693" i="14"/>
  <c r="B3694" i="14" s="1"/>
  <c r="D3693" i="14"/>
  <c r="E3693" i="14"/>
  <c r="B3704" i="14"/>
  <c r="C3704" i="14"/>
  <c r="D3704" i="14"/>
  <c r="E3704" i="14"/>
  <c r="B3705" i="14"/>
  <c r="B3715" i="14"/>
  <c r="C3715" i="14"/>
  <c r="B3716" i="14" s="1"/>
  <c r="D3715" i="14"/>
  <c r="E3715" i="14"/>
  <c r="K3396" i="14"/>
  <c r="J3396" i="14"/>
  <c r="I3396" i="14"/>
  <c r="H3396" i="14"/>
  <c r="H3397" i="14" s="1"/>
  <c r="E3396" i="14"/>
  <c r="D3396" i="14"/>
  <c r="C3396" i="14"/>
  <c r="B3396" i="14"/>
  <c r="B3397" i="14" s="1"/>
  <c r="H3062" i="14"/>
  <c r="I3062" i="14"/>
  <c r="J3062" i="14"/>
  <c r="K3062" i="14"/>
  <c r="H3063" i="14" s="1"/>
  <c r="H3073" i="14"/>
  <c r="I3073" i="14"/>
  <c r="J3073" i="14"/>
  <c r="H3074" i="14" s="1"/>
  <c r="K3073" i="14"/>
  <c r="H3084" i="14"/>
  <c r="I3084" i="14"/>
  <c r="H3085" i="14" s="1"/>
  <c r="J3084" i="14"/>
  <c r="K3084" i="14"/>
  <c r="H3095" i="14"/>
  <c r="I3095" i="14"/>
  <c r="J3095" i="14"/>
  <c r="K3095" i="14"/>
  <c r="H3096" i="14"/>
  <c r="H3106" i="14"/>
  <c r="I3106" i="14"/>
  <c r="J3106" i="14"/>
  <c r="K3106" i="14"/>
  <c r="H3107" i="14" s="1"/>
  <c r="H3117" i="14"/>
  <c r="I3117" i="14"/>
  <c r="J3117" i="14"/>
  <c r="H3118" i="14" s="1"/>
  <c r="K3117" i="14"/>
  <c r="H3128" i="14"/>
  <c r="I3128" i="14"/>
  <c r="J3128" i="14"/>
  <c r="K3128" i="14"/>
  <c r="H3139" i="14"/>
  <c r="I3139" i="14"/>
  <c r="J3139" i="14"/>
  <c r="K3139" i="14"/>
  <c r="H3140" i="14"/>
  <c r="H3150" i="14"/>
  <c r="I3150" i="14"/>
  <c r="J3150" i="14"/>
  <c r="K3150" i="14"/>
  <c r="H3151" i="14" s="1"/>
  <c r="H3161" i="14"/>
  <c r="I3161" i="14"/>
  <c r="J3161" i="14"/>
  <c r="H3162" i="14" s="1"/>
  <c r="K3161" i="14"/>
  <c r="H3172" i="14"/>
  <c r="I3172" i="14"/>
  <c r="H3173" i="14" s="1"/>
  <c r="J3172" i="14"/>
  <c r="K3172" i="14"/>
  <c r="H3183" i="14"/>
  <c r="I3183" i="14"/>
  <c r="J3183" i="14"/>
  <c r="K3183" i="14"/>
  <c r="H3184" i="14"/>
  <c r="H3194" i="14"/>
  <c r="I3194" i="14"/>
  <c r="J3194" i="14"/>
  <c r="K3194" i="14"/>
  <c r="H3195" i="14" s="1"/>
  <c r="H3205" i="14"/>
  <c r="I3205" i="14"/>
  <c r="J3205" i="14"/>
  <c r="H3206" i="14" s="1"/>
  <c r="K3205" i="14"/>
  <c r="H3216" i="14"/>
  <c r="I3216" i="14"/>
  <c r="H3217" i="14" s="1"/>
  <c r="J3216" i="14"/>
  <c r="K3216" i="14"/>
  <c r="H3227" i="14"/>
  <c r="H3228" i="14" s="1"/>
  <c r="I3227" i="14"/>
  <c r="J3227" i="14"/>
  <c r="K3227" i="14"/>
  <c r="H3238" i="14"/>
  <c r="I3238" i="14"/>
  <c r="J3238" i="14"/>
  <c r="K3238" i="14"/>
  <c r="H3249" i="14"/>
  <c r="I3249" i="14"/>
  <c r="J3249" i="14"/>
  <c r="H3250" i="14" s="1"/>
  <c r="K3249" i="14"/>
  <c r="H3260" i="14"/>
  <c r="I3260" i="14"/>
  <c r="H3261" i="14" s="1"/>
  <c r="J3260" i="14"/>
  <c r="K3260" i="14"/>
  <c r="H3271" i="14"/>
  <c r="H3272" i="14" s="1"/>
  <c r="I3271" i="14"/>
  <c r="J3271" i="14"/>
  <c r="K3271" i="14"/>
  <c r="H3282" i="14"/>
  <c r="I3282" i="14"/>
  <c r="J3282" i="14"/>
  <c r="K3282" i="14"/>
  <c r="H3283" i="14" s="1"/>
  <c r="H3293" i="14"/>
  <c r="I3293" i="14"/>
  <c r="J3293" i="14"/>
  <c r="H3294" i="14" s="1"/>
  <c r="K3293" i="14"/>
  <c r="H3304" i="14"/>
  <c r="I3304" i="14"/>
  <c r="H3305" i="14" s="1"/>
  <c r="J3304" i="14"/>
  <c r="K3304" i="14"/>
  <c r="H3315" i="14"/>
  <c r="H3316" i="14" s="1"/>
  <c r="I3315" i="14"/>
  <c r="J3315" i="14"/>
  <c r="K3315" i="14"/>
  <c r="H3326" i="14"/>
  <c r="I3326" i="14"/>
  <c r="J3326" i="14"/>
  <c r="K3326" i="14"/>
  <c r="H3327" i="14" s="1"/>
  <c r="H3337" i="14"/>
  <c r="I3337" i="14"/>
  <c r="J3337" i="14"/>
  <c r="H3338" i="14" s="1"/>
  <c r="K3337" i="14"/>
  <c r="H3348" i="14"/>
  <c r="I3348" i="14"/>
  <c r="H3349" i="14" s="1"/>
  <c r="J3348" i="14"/>
  <c r="K3348" i="14"/>
  <c r="H3359" i="14"/>
  <c r="I3359" i="14"/>
  <c r="J3359" i="14"/>
  <c r="K3359" i="14"/>
  <c r="H3360" i="14"/>
  <c r="H3370" i="14"/>
  <c r="I3370" i="14"/>
  <c r="J3370" i="14"/>
  <c r="K3370" i="14"/>
  <c r="H3371" i="14" s="1"/>
  <c r="H3381" i="14"/>
  <c r="I3381" i="14"/>
  <c r="J3381" i="14"/>
  <c r="H3382" i="14" s="1"/>
  <c r="K3381" i="14"/>
  <c r="B3062" i="14"/>
  <c r="C3062" i="14"/>
  <c r="D3062" i="14"/>
  <c r="E3062" i="14"/>
  <c r="B3073" i="14"/>
  <c r="C3073" i="14"/>
  <c r="D3073" i="14"/>
  <c r="E3073" i="14"/>
  <c r="B3084" i="14"/>
  <c r="C3084" i="14"/>
  <c r="D3084" i="14"/>
  <c r="E3084" i="14"/>
  <c r="B3095" i="14"/>
  <c r="C3095" i="14"/>
  <c r="D3095" i="14"/>
  <c r="E3095" i="14"/>
  <c r="B3106" i="14"/>
  <c r="C3106" i="14"/>
  <c r="D3106" i="14"/>
  <c r="E3106" i="14"/>
  <c r="B3117" i="14"/>
  <c r="C3117" i="14"/>
  <c r="D3117" i="14"/>
  <c r="E3117" i="14"/>
  <c r="B3128" i="14"/>
  <c r="C3128" i="14"/>
  <c r="D3128" i="14"/>
  <c r="E3128" i="14"/>
  <c r="B3139" i="14"/>
  <c r="C3139" i="14"/>
  <c r="B3140" i="14" s="1"/>
  <c r="D3139" i="14"/>
  <c r="E3139" i="14"/>
  <c r="B3150" i="14"/>
  <c r="C3150" i="14"/>
  <c r="B3151" i="14" s="1"/>
  <c r="D3150" i="14"/>
  <c r="E3150" i="14"/>
  <c r="B3161" i="14"/>
  <c r="C3161" i="14"/>
  <c r="D3161" i="14"/>
  <c r="E3161" i="14"/>
  <c r="B3172" i="14"/>
  <c r="C3172" i="14"/>
  <c r="B3173" i="14" s="1"/>
  <c r="D3172" i="14"/>
  <c r="E3172" i="14"/>
  <c r="B3183" i="14"/>
  <c r="B3184" i="14" s="1"/>
  <c r="C3183" i="14"/>
  <c r="D3183" i="14"/>
  <c r="E3183" i="14"/>
  <c r="B3194" i="14"/>
  <c r="C3194" i="14"/>
  <c r="D3194" i="14"/>
  <c r="E3194" i="14"/>
  <c r="B3205" i="14"/>
  <c r="C3205" i="14"/>
  <c r="D3205" i="14"/>
  <c r="E3205" i="14"/>
  <c r="B3216" i="14"/>
  <c r="C3216" i="14"/>
  <c r="D3216" i="14"/>
  <c r="E3216" i="14"/>
  <c r="B3227" i="14"/>
  <c r="B3228" i="14" s="1"/>
  <c r="C3227" i="14"/>
  <c r="D3227" i="14"/>
  <c r="E3227" i="14"/>
  <c r="B3238" i="14"/>
  <c r="C3238" i="14"/>
  <c r="D3238" i="14"/>
  <c r="E3238" i="14"/>
  <c r="B3249" i="14"/>
  <c r="C3249" i="14"/>
  <c r="D3249" i="14"/>
  <c r="E3249" i="14"/>
  <c r="B3260" i="14"/>
  <c r="C3260" i="14"/>
  <c r="D3260" i="14"/>
  <c r="E3260" i="14"/>
  <c r="B3271" i="14"/>
  <c r="C3271" i="14"/>
  <c r="D3271" i="14"/>
  <c r="E3271" i="14"/>
  <c r="B3272" i="14"/>
  <c r="B3282" i="14"/>
  <c r="C3282" i="14"/>
  <c r="D3282" i="14"/>
  <c r="E3282" i="14"/>
  <c r="B3293" i="14"/>
  <c r="C3293" i="14"/>
  <c r="D3293" i="14"/>
  <c r="E3293" i="14"/>
  <c r="B3304" i="14"/>
  <c r="C3304" i="14"/>
  <c r="D3304" i="14"/>
  <c r="E3304" i="14"/>
  <c r="B3315" i="14"/>
  <c r="C3315" i="14"/>
  <c r="B3316" i="14" s="1"/>
  <c r="D3315" i="14"/>
  <c r="E3315" i="14"/>
  <c r="B3326" i="14"/>
  <c r="C3326" i="14"/>
  <c r="D3326" i="14"/>
  <c r="E3326" i="14"/>
  <c r="B3337" i="14"/>
  <c r="C3337" i="14"/>
  <c r="D3337" i="14"/>
  <c r="B3338" i="14" s="1"/>
  <c r="E3337" i="14"/>
  <c r="B3348" i="14"/>
  <c r="C3348" i="14"/>
  <c r="D3348" i="14"/>
  <c r="E3348" i="14"/>
  <c r="B3359" i="14"/>
  <c r="C3359" i="14"/>
  <c r="D3359" i="14"/>
  <c r="E3359" i="14"/>
  <c r="B3370" i="14"/>
  <c r="C3370" i="14"/>
  <c r="D3370" i="14"/>
  <c r="E3370" i="14"/>
  <c r="B3381" i="14"/>
  <c r="C3381" i="14"/>
  <c r="D3381" i="14"/>
  <c r="B3382" i="14" s="1"/>
  <c r="E3381" i="14"/>
  <c r="K3051" i="14"/>
  <c r="J3051" i="14"/>
  <c r="I3051" i="14"/>
  <c r="H3051" i="14"/>
  <c r="E3051" i="14"/>
  <c r="D3051" i="14"/>
  <c r="C3051" i="14"/>
  <c r="B3051" i="14"/>
  <c r="K3035" i="14"/>
  <c r="J3035" i="14"/>
  <c r="I3035" i="14"/>
  <c r="H3035" i="14"/>
  <c r="E3035" i="14"/>
  <c r="D3035" i="14"/>
  <c r="C3035" i="14"/>
  <c r="B3035" i="14"/>
  <c r="H2727" i="14"/>
  <c r="I2727" i="14"/>
  <c r="J2727" i="14"/>
  <c r="K2727" i="14"/>
  <c r="H2738" i="14"/>
  <c r="I2738" i="14"/>
  <c r="J2738" i="14"/>
  <c r="K2738" i="14"/>
  <c r="H2749" i="14"/>
  <c r="I2749" i="14"/>
  <c r="J2749" i="14"/>
  <c r="K2749" i="14"/>
  <c r="H2760" i="14"/>
  <c r="I2760" i="14"/>
  <c r="J2760" i="14"/>
  <c r="K2760" i="14"/>
  <c r="H2771" i="14"/>
  <c r="I2771" i="14"/>
  <c r="J2771" i="14"/>
  <c r="K2771" i="14"/>
  <c r="H2782" i="14"/>
  <c r="I2782" i="14"/>
  <c r="J2782" i="14"/>
  <c r="K2782" i="14"/>
  <c r="H2793" i="14"/>
  <c r="I2793" i="14"/>
  <c r="J2793" i="14"/>
  <c r="K2793" i="14"/>
  <c r="H2804" i="14"/>
  <c r="I2804" i="14"/>
  <c r="J2804" i="14"/>
  <c r="K2804" i="14"/>
  <c r="H2815" i="14"/>
  <c r="I2815" i="14"/>
  <c r="J2815" i="14"/>
  <c r="K2815" i="14"/>
  <c r="H2826" i="14"/>
  <c r="I2826" i="14"/>
  <c r="J2826" i="14"/>
  <c r="K2826" i="14"/>
  <c r="H2837" i="14"/>
  <c r="I2837" i="14"/>
  <c r="J2837" i="14"/>
  <c r="K2837" i="14"/>
  <c r="H2848" i="14"/>
  <c r="I2848" i="14"/>
  <c r="J2848" i="14"/>
  <c r="K2848" i="14"/>
  <c r="H2859" i="14"/>
  <c r="I2859" i="14"/>
  <c r="J2859" i="14"/>
  <c r="K2859" i="14"/>
  <c r="H2870" i="14"/>
  <c r="I2870" i="14"/>
  <c r="J2870" i="14"/>
  <c r="K2870" i="14"/>
  <c r="H2881" i="14"/>
  <c r="I2881" i="14"/>
  <c r="J2881" i="14"/>
  <c r="K2881" i="14"/>
  <c r="H2892" i="14"/>
  <c r="I2892" i="14"/>
  <c r="J2892" i="14"/>
  <c r="K2892" i="14"/>
  <c r="H2903" i="14"/>
  <c r="I2903" i="14"/>
  <c r="J2903" i="14"/>
  <c r="K2903" i="14"/>
  <c r="H2914" i="14"/>
  <c r="I2914" i="14"/>
  <c r="J2914" i="14"/>
  <c r="K2914" i="14"/>
  <c r="H2925" i="14"/>
  <c r="I2925" i="14"/>
  <c r="J2925" i="14"/>
  <c r="K2925" i="14"/>
  <c r="H2936" i="14"/>
  <c r="I2936" i="14"/>
  <c r="J2936" i="14"/>
  <c r="K2936" i="14"/>
  <c r="H2947" i="14"/>
  <c r="I2947" i="14"/>
  <c r="J2947" i="14"/>
  <c r="K2947" i="14"/>
  <c r="H2958" i="14"/>
  <c r="I2958" i="14"/>
  <c r="J2958" i="14"/>
  <c r="K2958" i="14"/>
  <c r="H2969" i="14"/>
  <c r="I2969" i="14"/>
  <c r="J2969" i="14"/>
  <c r="K2969" i="14"/>
  <c r="H2980" i="14"/>
  <c r="I2980" i="14"/>
  <c r="J2980" i="14"/>
  <c r="K2980" i="14"/>
  <c r="H2991" i="14"/>
  <c r="I2991" i="14"/>
  <c r="J2991" i="14"/>
  <c r="K2991" i="14"/>
  <c r="H3002" i="14"/>
  <c r="I3002" i="14"/>
  <c r="J3002" i="14"/>
  <c r="K3002" i="14"/>
  <c r="H3013" i="14"/>
  <c r="I3013" i="14"/>
  <c r="J3013" i="14"/>
  <c r="K3013" i="14"/>
  <c r="H3024" i="14"/>
  <c r="I3024" i="14"/>
  <c r="J3024" i="14"/>
  <c r="K3024" i="14"/>
  <c r="B2727" i="14"/>
  <c r="C2727" i="14"/>
  <c r="D2727" i="14"/>
  <c r="E2727" i="14"/>
  <c r="B2738" i="14"/>
  <c r="C2738" i="14"/>
  <c r="D2738" i="14"/>
  <c r="E2738" i="14"/>
  <c r="B2749" i="14"/>
  <c r="C2749" i="14"/>
  <c r="D2749" i="14"/>
  <c r="E2749" i="14"/>
  <c r="B2760" i="14"/>
  <c r="C2760" i="14"/>
  <c r="D2760" i="14"/>
  <c r="E2760" i="14"/>
  <c r="B2771" i="14"/>
  <c r="C2771" i="14"/>
  <c r="D2771" i="14"/>
  <c r="E2771" i="14"/>
  <c r="B2782" i="14"/>
  <c r="C2782" i="14"/>
  <c r="D2782" i="14"/>
  <c r="E2782" i="14"/>
  <c r="B2793" i="14"/>
  <c r="C2793" i="14"/>
  <c r="D2793" i="14"/>
  <c r="E2793" i="14"/>
  <c r="B2804" i="14"/>
  <c r="C2804" i="14"/>
  <c r="D2804" i="14"/>
  <c r="E2804" i="14"/>
  <c r="B2815" i="14"/>
  <c r="C2815" i="14"/>
  <c r="D2815" i="14"/>
  <c r="E2815" i="14"/>
  <c r="B2826" i="14"/>
  <c r="C2826" i="14"/>
  <c r="D2826" i="14"/>
  <c r="E2826" i="14"/>
  <c r="B2837" i="14"/>
  <c r="C2837" i="14"/>
  <c r="D2837" i="14"/>
  <c r="E2837" i="14"/>
  <c r="B2848" i="14"/>
  <c r="C2848" i="14"/>
  <c r="D2848" i="14"/>
  <c r="E2848" i="14"/>
  <c r="B2859" i="14"/>
  <c r="C2859" i="14"/>
  <c r="D2859" i="14"/>
  <c r="E2859" i="14"/>
  <c r="B2870" i="14"/>
  <c r="C2870" i="14"/>
  <c r="D2870" i="14"/>
  <c r="E2870" i="14"/>
  <c r="B2881" i="14"/>
  <c r="C2881" i="14"/>
  <c r="D2881" i="14"/>
  <c r="E2881" i="14"/>
  <c r="B2892" i="14"/>
  <c r="C2892" i="14"/>
  <c r="D2892" i="14"/>
  <c r="E2892" i="14"/>
  <c r="B2903" i="14"/>
  <c r="C2903" i="14"/>
  <c r="D2903" i="14"/>
  <c r="E2903" i="14"/>
  <c r="B2914" i="14"/>
  <c r="C2914" i="14"/>
  <c r="D2914" i="14"/>
  <c r="E2914" i="14"/>
  <c r="B2925" i="14"/>
  <c r="C2925" i="14"/>
  <c r="D2925" i="14"/>
  <c r="E2925" i="14"/>
  <c r="B2936" i="14"/>
  <c r="C2936" i="14"/>
  <c r="D2936" i="14"/>
  <c r="E2936" i="14"/>
  <c r="B2947" i="14"/>
  <c r="C2947" i="14"/>
  <c r="D2947" i="14"/>
  <c r="E2947" i="14"/>
  <c r="B2958" i="14"/>
  <c r="C2958" i="14"/>
  <c r="D2958" i="14"/>
  <c r="E2958" i="14"/>
  <c r="B2969" i="14"/>
  <c r="C2969" i="14"/>
  <c r="D2969" i="14"/>
  <c r="E2969" i="14"/>
  <c r="B2980" i="14"/>
  <c r="C2980" i="14"/>
  <c r="D2980" i="14"/>
  <c r="E2980" i="14"/>
  <c r="B2991" i="14"/>
  <c r="C2991" i="14"/>
  <c r="D2991" i="14"/>
  <c r="E2991" i="14"/>
  <c r="B3002" i="14"/>
  <c r="C3002" i="14"/>
  <c r="D3002" i="14"/>
  <c r="E3002" i="14"/>
  <c r="B3013" i="14"/>
  <c r="C3013" i="14"/>
  <c r="D3013" i="14"/>
  <c r="E3013" i="14"/>
  <c r="B3024" i="14"/>
  <c r="C3024" i="14"/>
  <c r="D3024" i="14"/>
  <c r="E3024" i="14"/>
  <c r="K2716" i="14"/>
  <c r="J2716" i="14"/>
  <c r="I2716" i="14"/>
  <c r="H2716" i="14"/>
  <c r="E2716" i="14"/>
  <c r="D2716" i="14"/>
  <c r="C2716" i="14"/>
  <c r="B2716" i="14"/>
  <c r="H2382" i="14"/>
  <c r="I2382" i="14"/>
  <c r="J2382" i="14"/>
  <c r="K2382" i="14"/>
  <c r="H2393" i="14"/>
  <c r="I2393" i="14"/>
  <c r="J2393" i="14"/>
  <c r="K2393" i="14"/>
  <c r="H2404" i="14"/>
  <c r="I2404" i="14"/>
  <c r="J2404" i="14"/>
  <c r="K2404" i="14"/>
  <c r="H2415" i="14"/>
  <c r="I2415" i="14"/>
  <c r="J2415" i="14"/>
  <c r="K2415" i="14"/>
  <c r="H2426" i="14"/>
  <c r="I2426" i="14"/>
  <c r="J2426" i="14"/>
  <c r="K2426" i="14"/>
  <c r="H2437" i="14"/>
  <c r="I2437" i="14"/>
  <c r="J2437" i="14"/>
  <c r="K2437" i="14"/>
  <c r="H2448" i="14"/>
  <c r="I2448" i="14"/>
  <c r="J2448" i="14"/>
  <c r="K2448" i="14"/>
  <c r="H2459" i="14"/>
  <c r="I2459" i="14"/>
  <c r="J2459" i="14"/>
  <c r="K2459" i="14"/>
  <c r="H2470" i="14"/>
  <c r="I2470" i="14"/>
  <c r="J2470" i="14"/>
  <c r="K2470" i="14"/>
  <c r="H2481" i="14"/>
  <c r="I2481" i="14"/>
  <c r="J2481" i="14"/>
  <c r="K2481" i="14"/>
  <c r="H2492" i="14"/>
  <c r="I2492" i="14"/>
  <c r="J2492" i="14"/>
  <c r="K2492" i="14"/>
  <c r="H2503" i="14"/>
  <c r="I2503" i="14"/>
  <c r="J2503" i="14"/>
  <c r="K2503" i="14"/>
  <c r="H2514" i="14"/>
  <c r="I2514" i="14"/>
  <c r="J2514" i="14"/>
  <c r="K2514" i="14"/>
  <c r="H2525" i="14"/>
  <c r="I2525" i="14"/>
  <c r="J2525" i="14"/>
  <c r="K2525" i="14"/>
  <c r="H2536" i="14"/>
  <c r="I2536" i="14"/>
  <c r="J2536" i="14"/>
  <c r="K2536" i="14"/>
  <c r="H2547" i="14"/>
  <c r="I2547" i="14"/>
  <c r="J2547" i="14"/>
  <c r="K2547" i="14"/>
  <c r="H2558" i="14"/>
  <c r="I2558" i="14"/>
  <c r="J2558" i="14"/>
  <c r="K2558" i="14"/>
  <c r="H2569" i="14"/>
  <c r="I2569" i="14"/>
  <c r="J2569" i="14"/>
  <c r="K2569" i="14"/>
  <c r="H2580" i="14"/>
  <c r="I2580" i="14"/>
  <c r="J2580" i="14"/>
  <c r="K2580" i="14"/>
  <c r="H2591" i="14"/>
  <c r="I2591" i="14"/>
  <c r="J2591" i="14"/>
  <c r="K2591" i="14"/>
  <c r="H2602" i="14"/>
  <c r="I2602" i="14"/>
  <c r="J2602" i="14"/>
  <c r="K2602" i="14"/>
  <c r="H2613" i="14"/>
  <c r="I2613" i="14"/>
  <c r="J2613" i="14"/>
  <c r="K2613" i="14"/>
  <c r="H2624" i="14"/>
  <c r="I2624" i="14"/>
  <c r="J2624" i="14"/>
  <c r="K2624" i="14"/>
  <c r="H2635" i="14"/>
  <c r="I2635" i="14"/>
  <c r="J2635" i="14"/>
  <c r="K2635" i="14"/>
  <c r="H2646" i="14"/>
  <c r="I2646" i="14"/>
  <c r="J2646" i="14"/>
  <c r="K2646" i="14"/>
  <c r="H2657" i="14"/>
  <c r="I2657" i="14"/>
  <c r="J2657" i="14"/>
  <c r="K2657" i="14"/>
  <c r="H2668" i="14"/>
  <c r="I2668" i="14"/>
  <c r="J2668" i="14"/>
  <c r="K2668" i="14"/>
  <c r="H2679" i="14"/>
  <c r="I2679" i="14"/>
  <c r="J2679" i="14"/>
  <c r="K2679" i="14"/>
  <c r="H2690" i="14"/>
  <c r="I2690" i="14"/>
  <c r="J2690" i="14"/>
  <c r="K2690" i="14"/>
  <c r="H2701" i="14"/>
  <c r="I2701" i="14"/>
  <c r="J2701" i="14"/>
  <c r="K2701" i="14"/>
  <c r="B2382" i="14"/>
  <c r="C2382" i="14"/>
  <c r="D2382" i="14"/>
  <c r="E2382" i="14"/>
  <c r="B2393" i="14"/>
  <c r="C2393" i="14"/>
  <c r="D2393" i="14"/>
  <c r="E2393" i="14"/>
  <c r="B2404" i="14"/>
  <c r="C2404" i="14"/>
  <c r="D2404" i="14"/>
  <c r="E2404" i="14"/>
  <c r="B2415" i="14"/>
  <c r="C2415" i="14"/>
  <c r="D2415" i="14"/>
  <c r="E2415" i="14"/>
  <c r="B2426" i="14"/>
  <c r="C2426" i="14"/>
  <c r="D2426" i="14"/>
  <c r="E2426" i="14"/>
  <c r="B2437" i="14"/>
  <c r="C2437" i="14"/>
  <c r="D2437" i="14"/>
  <c r="E2437" i="14"/>
  <c r="B2448" i="14"/>
  <c r="C2448" i="14"/>
  <c r="D2448" i="14"/>
  <c r="E2448" i="14"/>
  <c r="B2459" i="14"/>
  <c r="C2459" i="14"/>
  <c r="D2459" i="14"/>
  <c r="E2459" i="14"/>
  <c r="B2470" i="14"/>
  <c r="C2470" i="14"/>
  <c r="D2470" i="14"/>
  <c r="E2470" i="14"/>
  <c r="B2481" i="14"/>
  <c r="C2481" i="14"/>
  <c r="D2481" i="14"/>
  <c r="E2481" i="14"/>
  <c r="B2492" i="14"/>
  <c r="C2492" i="14"/>
  <c r="D2492" i="14"/>
  <c r="E2492" i="14"/>
  <c r="B2503" i="14"/>
  <c r="C2503" i="14"/>
  <c r="D2503" i="14"/>
  <c r="E2503" i="14"/>
  <c r="B2514" i="14"/>
  <c r="C2514" i="14"/>
  <c r="D2514" i="14"/>
  <c r="E2514" i="14"/>
  <c r="B2525" i="14"/>
  <c r="C2525" i="14"/>
  <c r="D2525" i="14"/>
  <c r="E2525" i="14"/>
  <c r="B2536" i="14"/>
  <c r="C2536" i="14"/>
  <c r="D2536" i="14"/>
  <c r="E2536" i="14"/>
  <c r="B2547" i="14"/>
  <c r="C2547" i="14"/>
  <c r="D2547" i="14"/>
  <c r="E2547" i="14"/>
  <c r="B2558" i="14"/>
  <c r="C2558" i="14"/>
  <c r="D2558" i="14"/>
  <c r="E2558" i="14"/>
  <c r="B2569" i="14"/>
  <c r="C2569" i="14"/>
  <c r="D2569" i="14"/>
  <c r="E2569" i="14"/>
  <c r="B2580" i="14"/>
  <c r="C2580" i="14"/>
  <c r="D2580" i="14"/>
  <c r="E2580" i="14"/>
  <c r="B2591" i="14"/>
  <c r="C2591" i="14"/>
  <c r="D2591" i="14"/>
  <c r="E2591" i="14"/>
  <c r="B2602" i="14"/>
  <c r="C2602" i="14"/>
  <c r="D2602" i="14"/>
  <c r="E2602" i="14"/>
  <c r="B2613" i="14"/>
  <c r="C2613" i="14"/>
  <c r="D2613" i="14"/>
  <c r="E2613" i="14"/>
  <c r="B2624" i="14"/>
  <c r="C2624" i="14"/>
  <c r="D2624" i="14"/>
  <c r="E2624" i="14"/>
  <c r="B2635" i="14"/>
  <c r="C2635" i="14"/>
  <c r="D2635" i="14"/>
  <c r="E2635" i="14"/>
  <c r="B2646" i="14"/>
  <c r="C2646" i="14"/>
  <c r="D2646" i="14"/>
  <c r="E2646" i="14"/>
  <c r="B2657" i="14"/>
  <c r="C2657" i="14"/>
  <c r="D2657" i="14"/>
  <c r="E2657" i="14"/>
  <c r="B2668" i="14"/>
  <c r="C2668" i="14"/>
  <c r="D2668" i="14"/>
  <c r="E2668" i="14"/>
  <c r="B2679" i="14"/>
  <c r="C2679" i="14"/>
  <c r="D2679" i="14"/>
  <c r="E2679" i="14"/>
  <c r="B2690" i="14"/>
  <c r="C2690" i="14"/>
  <c r="D2690" i="14"/>
  <c r="E2690" i="14"/>
  <c r="B2701" i="14"/>
  <c r="C2701" i="14"/>
  <c r="D2701" i="14"/>
  <c r="E2701" i="14"/>
  <c r="K2371" i="14"/>
  <c r="J2371" i="14"/>
  <c r="I2371" i="14"/>
  <c r="H2371" i="14"/>
  <c r="E2371" i="14"/>
  <c r="D2371" i="14"/>
  <c r="C2371" i="14"/>
  <c r="B2371" i="14"/>
  <c r="H2038" i="14"/>
  <c r="I2038" i="14"/>
  <c r="J2038" i="14"/>
  <c r="K2038" i="14"/>
  <c r="H2049" i="14"/>
  <c r="I2049" i="14"/>
  <c r="J2049" i="14"/>
  <c r="K2049" i="14"/>
  <c r="H2060" i="14"/>
  <c r="I2060" i="14"/>
  <c r="J2060" i="14"/>
  <c r="K2060" i="14"/>
  <c r="H2071" i="14"/>
  <c r="I2071" i="14"/>
  <c r="J2071" i="14"/>
  <c r="K2071" i="14"/>
  <c r="H2082" i="14"/>
  <c r="I2082" i="14"/>
  <c r="J2082" i="14"/>
  <c r="K2082" i="14"/>
  <c r="H2093" i="14"/>
  <c r="I2093" i="14"/>
  <c r="J2093" i="14"/>
  <c r="K2093" i="14"/>
  <c r="H2104" i="14"/>
  <c r="I2104" i="14"/>
  <c r="J2104" i="14"/>
  <c r="K2104" i="14"/>
  <c r="H2115" i="14"/>
  <c r="I2115" i="14"/>
  <c r="J2115" i="14"/>
  <c r="K2115" i="14"/>
  <c r="H2126" i="14"/>
  <c r="I2126" i="14"/>
  <c r="J2126" i="14"/>
  <c r="K2126" i="14"/>
  <c r="H2137" i="14"/>
  <c r="I2137" i="14"/>
  <c r="J2137" i="14"/>
  <c r="K2137" i="14"/>
  <c r="H2148" i="14"/>
  <c r="I2148" i="14"/>
  <c r="J2148" i="14"/>
  <c r="K2148" i="14"/>
  <c r="H2159" i="14"/>
  <c r="I2159" i="14"/>
  <c r="J2159" i="14"/>
  <c r="K2159" i="14"/>
  <c r="H2170" i="14"/>
  <c r="I2170" i="14"/>
  <c r="J2170" i="14"/>
  <c r="K2170" i="14"/>
  <c r="H2181" i="14"/>
  <c r="I2181" i="14"/>
  <c r="J2181" i="14"/>
  <c r="K2181" i="14"/>
  <c r="H2192" i="14"/>
  <c r="I2192" i="14"/>
  <c r="J2192" i="14"/>
  <c r="K2192" i="14"/>
  <c r="H2203" i="14"/>
  <c r="I2203" i="14"/>
  <c r="J2203" i="14"/>
  <c r="K2203" i="14"/>
  <c r="H2214" i="14"/>
  <c r="I2214" i="14"/>
  <c r="J2214" i="14"/>
  <c r="K2214" i="14"/>
  <c r="H2225" i="14"/>
  <c r="I2225" i="14"/>
  <c r="J2225" i="14"/>
  <c r="K2225" i="14"/>
  <c r="H2236" i="14"/>
  <c r="I2236" i="14"/>
  <c r="J2236" i="14"/>
  <c r="K2236" i="14"/>
  <c r="H2247" i="14"/>
  <c r="I2247" i="14"/>
  <c r="J2247" i="14"/>
  <c r="K2247" i="14"/>
  <c r="H2258" i="14"/>
  <c r="I2258" i="14"/>
  <c r="J2258" i="14"/>
  <c r="K2258" i="14"/>
  <c r="H2269" i="14"/>
  <c r="I2269" i="14"/>
  <c r="J2269" i="14"/>
  <c r="K2269" i="14"/>
  <c r="H2280" i="14"/>
  <c r="I2280" i="14"/>
  <c r="J2280" i="14"/>
  <c r="K2280" i="14"/>
  <c r="H2291" i="14"/>
  <c r="I2291" i="14"/>
  <c r="J2291" i="14"/>
  <c r="K2291" i="14"/>
  <c r="H2302" i="14"/>
  <c r="I2302" i="14"/>
  <c r="J2302" i="14"/>
  <c r="K2302" i="14"/>
  <c r="H2313" i="14"/>
  <c r="I2313" i="14"/>
  <c r="J2313" i="14"/>
  <c r="K2313" i="14"/>
  <c r="H2324" i="14"/>
  <c r="I2324" i="14"/>
  <c r="J2324" i="14"/>
  <c r="K2324" i="14"/>
  <c r="H2335" i="14"/>
  <c r="I2335" i="14"/>
  <c r="J2335" i="14"/>
  <c r="K2335" i="14"/>
  <c r="H2346" i="14"/>
  <c r="I2346" i="14"/>
  <c r="J2346" i="14"/>
  <c r="K2346" i="14"/>
  <c r="H2357" i="14"/>
  <c r="I2357" i="14"/>
  <c r="J2357" i="14"/>
  <c r="K2357" i="14"/>
  <c r="B2038" i="14"/>
  <c r="C2038" i="14"/>
  <c r="D2038" i="14"/>
  <c r="E2038" i="14"/>
  <c r="B2049" i="14"/>
  <c r="C2049" i="14"/>
  <c r="D2049" i="14"/>
  <c r="E2049" i="14"/>
  <c r="B2060" i="14"/>
  <c r="C2060" i="14"/>
  <c r="D2060" i="14"/>
  <c r="E2060" i="14"/>
  <c r="B2071" i="14"/>
  <c r="C2071" i="14"/>
  <c r="D2071" i="14"/>
  <c r="E2071" i="14"/>
  <c r="B2082" i="14"/>
  <c r="C2082" i="14"/>
  <c r="D2082" i="14"/>
  <c r="E2082" i="14"/>
  <c r="B2093" i="14"/>
  <c r="C2093" i="14"/>
  <c r="D2093" i="14"/>
  <c r="E2093" i="14"/>
  <c r="B2104" i="14"/>
  <c r="C2104" i="14"/>
  <c r="D2104" i="14"/>
  <c r="E2104" i="14"/>
  <c r="B2115" i="14"/>
  <c r="C2115" i="14"/>
  <c r="D2115" i="14"/>
  <c r="E2115" i="14"/>
  <c r="B2126" i="14"/>
  <c r="C2126" i="14"/>
  <c r="D2126" i="14"/>
  <c r="E2126" i="14"/>
  <c r="B2137" i="14"/>
  <c r="C2137" i="14"/>
  <c r="D2137" i="14"/>
  <c r="E2137" i="14"/>
  <c r="B2148" i="14"/>
  <c r="C2148" i="14"/>
  <c r="D2148" i="14"/>
  <c r="E2148" i="14"/>
  <c r="B2159" i="14"/>
  <c r="C2159" i="14"/>
  <c r="D2159" i="14"/>
  <c r="E2159" i="14"/>
  <c r="B2170" i="14"/>
  <c r="C2170" i="14"/>
  <c r="D2170" i="14"/>
  <c r="E2170" i="14"/>
  <c r="B2181" i="14"/>
  <c r="C2181" i="14"/>
  <c r="D2181" i="14"/>
  <c r="E2181" i="14"/>
  <c r="B2192" i="14"/>
  <c r="C2192" i="14"/>
  <c r="D2192" i="14"/>
  <c r="E2192" i="14"/>
  <c r="B2203" i="14"/>
  <c r="C2203" i="14"/>
  <c r="D2203" i="14"/>
  <c r="E2203" i="14"/>
  <c r="B2214" i="14"/>
  <c r="C2214" i="14"/>
  <c r="D2214" i="14"/>
  <c r="E2214" i="14"/>
  <c r="B2225" i="14"/>
  <c r="C2225" i="14"/>
  <c r="D2225" i="14"/>
  <c r="E2225" i="14"/>
  <c r="B2236" i="14"/>
  <c r="C2236" i="14"/>
  <c r="D2236" i="14"/>
  <c r="E2236" i="14"/>
  <c r="B2247" i="14"/>
  <c r="C2247" i="14"/>
  <c r="D2247" i="14"/>
  <c r="E2247" i="14"/>
  <c r="B2258" i="14"/>
  <c r="C2258" i="14"/>
  <c r="D2258" i="14"/>
  <c r="E2258" i="14"/>
  <c r="B2269" i="14"/>
  <c r="C2269" i="14"/>
  <c r="D2269" i="14"/>
  <c r="E2269" i="14"/>
  <c r="B2280" i="14"/>
  <c r="C2280" i="14"/>
  <c r="D2280" i="14"/>
  <c r="E2280" i="14"/>
  <c r="B2291" i="14"/>
  <c r="C2291" i="14"/>
  <c r="D2291" i="14"/>
  <c r="E2291" i="14"/>
  <c r="B2302" i="14"/>
  <c r="C2302" i="14"/>
  <c r="D2302" i="14"/>
  <c r="E2302" i="14"/>
  <c r="B2313" i="14"/>
  <c r="C2313" i="14"/>
  <c r="D2313" i="14"/>
  <c r="E2313" i="14"/>
  <c r="B2324" i="14"/>
  <c r="C2324" i="14"/>
  <c r="D2324" i="14"/>
  <c r="E2324" i="14"/>
  <c r="B2335" i="14"/>
  <c r="C2335" i="14"/>
  <c r="D2335" i="14"/>
  <c r="E2335" i="14"/>
  <c r="B2346" i="14"/>
  <c r="C2346" i="14"/>
  <c r="D2346" i="14"/>
  <c r="E2346" i="14"/>
  <c r="B2357" i="14"/>
  <c r="C2357" i="14"/>
  <c r="D2357" i="14"/>
  <c r="E2357" i="14"/>
  <c r="K2027" i="14"/>
  <c r="J2027" i="14"/>
  <c r="I2027" i="14"/>
  <c r="H2027" i="14"/>
  <c r="E2027" i="14"/>
  <c r="D2027" i="14"/>
  <c r="C2027" i="14"/>
  <c r="B2027" i="14"/>
  <c r="H1704" i="14"/>
  <c r="I1704" i="14"/>
  <c r="J1704" i="14"/>
  <c r="K1704" i="14"/>
  <c r="H1715" i="14"/>
  <c r="I1715" i="14"/>
  <c r="J1715" i="14"/>
  <c r="K1715" i="14"/>
  <c r="H1726" i="14"/>
  <c r="I1726" i="14"/>
  <c r="J1726" i="14"/>
  <c r="K1726" i="14"/>
  <c r="H1737" i="14"/>
  <c r="I1737" i="14"/>
  <c r="J1737" i="14"/>
  <c r="K1737" i="14"/>
  <c r="H1748" i="14"/>
  <c r="I1748" i="14"/>
  <c r="J1748" i="14"/>
  <c r="K1748" i="14"/>
  <c r="H1759" i="14"/>
  <c r="I1759" i="14"/>
  <c r="J1759" i="14"/>
  <c r="K1759" i="14"/>
  <c r="H1770" i="14"/>
  <c r="I1770" i="14"/>
  <c r="J1770" i="14"/>
  <c r="K1770" i="14"/>
  <c r="H1781" i="14"/>
  <c r="I1781" i="14"/>
  <c r="J1781" i="14"/>
  <c r="K1781" i="14"/>
  <c r="H1792" i="14"/>
  <c r="I1792" i="14"/>
  <c r="J1792" i="14"/>
  <c r="K1792" i="14"/>
  <c r="H1803" i="14"/>
  <c r="I1803" i="14"/>
  <c r="J1803" i="14"/>
  <c r="K1803" i="14"/>
  <c r="H1814" i="14"/>
  <c r="I1814" i="14"/>
  <c r="J1814" i="14"/>
  <c r="K1814" i="14"/>
  <c r="H1825" i="14"/>
  <c r="I1825" i="14"/>
  <c r="J1825" i="14"/>
  <c r="K1825" i="14"/>
  <c r="H1836" i="14"/>
  <c r="I1836" i="14"/>
  <c r="J1836" i="14"/>
  <c r="K1836" i="14"/>
  <c r="H1847" i="14"/>
  <c r="I1847" i="14"/>
  <c r="J1847" i="14"/>
  <c r="K1847" i="14"/>
  <c r="H1858" i="14"/>
  <c r="I1858" i="14"/>
  <c r="J1858" i="14"/>
  <c r="K1858" i="14"/>
  <c r="H1869" i="14"/>
  <c r="I1869" i="14"/>
  <c r="J1869" i="14"/>
  <c r="K1869" i="14"/>
  <c r="H1880" i="14"/>
  <c r="I1880" i="14"/>
  <c r="J1880" i="14"/>
  <c r="K1880" i="14"/>
  <c r="H1891" i="14"/>
  <c r="I1891" i="14"/>
  <c r="J1891" i="14"/>
  <c r="K1891" i="14"/>
  <c r="H1902" i="14"/>
  <c r="I1902" i="14"/>
  <c r="J1902" i="14"/>
  <c r="K1902" i="14"/>
  <c r="H1913" i="14"/>
  <c r="I1913" i="14"/>
  <c r="J1913" i="14"/>
  <c r="K1913" i="14"/>
  <c r="H1924" i="14"/>
  <c r="I1924" i="14"/>
  <c r="J1924" i="14"/>
  <c r="K1924" i="14"/>
  <c r="H1935" i="14"/>
  <c r="I1935" i="14"/>
  <c r="J1935" i="14"/>
  <c r="K1935" i="14"/>
  <c r="H1946" i="14"/>
  <c r="I1946" i="14"/>
  <c r="J1946" i="14"/>
  <c r="K1946" i="14"/>
  <c r="H1957" i="14"/>
  <c r="I1957" i="14"/>
  <c r="J1957" i="14"/>
  <c r="K1957" i="14"/>
  <c r="H1968" i="14"/>
  <c r="I1968" i="14"/>
  <c r="J1968" i="14"/>
  <c r="K1968" i="14"/>
  <c r="H1979" i="14"/>
  <c r="I1979" i="14"/>
  <c r="J1979" i="14"/>
  <c r="K1979" i="14"/>
  <c r="H1990" i="14"/>
  <c r="I1990" i="14"/>
  <c r="J1990" i="14"/>
  <c r="K1990" i="14"/>
  <c r="H2001" i="14"/>
  <c r="I2001" i="14"/>
  <c r="J2001" i="14"/>
  <c r="K2001" i="14"/>
  <c r="H2012" i="14"/>
  <c r="I2012" i="14"/>
  <c r="J2012" i="14"/>
  <c r="K2012" i="14"/>
  <c r="B1704" i="14"/>
  <c r="C1704" i="14"/>
  <c r="D1704" i="14"/>
  <c r="E1704" i="14"/>
  <c r="B1715" i="14"/>
  <c r="C1715" i="14"/>
  <c r="D1715" i="14"/>
  <c r="E1715" i="14"/>
  <c r="B1726" i="14"/>
  <c r="C1726" i="14"/>
  <c r="D1726" i="14"/>
  <c r="E1726" i="14"/>
  <c r="B1737" i="14"/>
  <c r="C1737" i="14"/>
  <c r="D1737" i="14"/>
  <c r="E1737" i="14"/>
  <c r="B1748" i="14"/>
  <c r="C1748" i="14"/>
  <c r="D1748" i="14"/>
  <c r="E1748" i="14"/>
  <c r="B1759" i="14"/>
  <c r="C1759" i="14"/>
  <c r="D1759" i="14"/>
  <c r="E1759" i="14"/>
  <c r="B1770" i="14"/>
  <c r="C1770" i="14"/>
  <c r="D1770" i="14"/>
  <c r="E1770" i="14"/>
  <c r="B1781" i="14"/>
  <c r="C1781" i="14"/>
  <c r="D1781" i="14"/>
  <c r="E1781" i="14"/>
  <c r="B1792" i="14"/>
  <c r="C1792" i="14"/>
  <c r="D1792" i="14"/>
  <c r="E1792" i="14"/>
  <c r="B1803" i="14"/>
  <c r="C1803" i="14"/>
  <c r="D1803" i="14"/>
  <c r="E1803" i="14"/>
  <c r="B1814" i="14"/>
  <c r="C1814" i="14"/>
  <c r="D1814" i="14"/>
  <c r="E1814" i="14"/>
  <c r="B1825" i="14"/>
  <c r="C1825" i="14"/>
  <c r="D1825" i="14"/>
  <c r="E1825" i="14"/>
  <c r="B1836" i="14"/>
  <c r="C1836" i="14"/>
  <c r="D1836" i="14"/>
  <c r="E1836" i="14"/>
  <c r="B1847" i="14"/>
  <c r="C1847" i="14"/>
  <c r="D1847" i="14"/>
  <c r="E1847" i="14"/>
  <c r="B1858" i="14"/>
  <c r="C1858" i="14"/>
  <c r="D1858" i="14"/>
  <c r="E1858" i="14"/>
  <c r="B1869" i="14"/>
  <c r="C1869" i="14"/>
  <c r="D1869" i="14"/>
  <c r="E1869" i="14"/>
  <c r="B1880" i="14"/>
  <c r="C1880" i="14"/>
  <c r="D1880" i="14"/>
  <c r="E1880" i="14"/>
  <c r="B1891" i="14"/>
  <c r="C1891" i="14"/>
  <c r="D1891" i="14"/>
  <c r="E1891" i="14"/>
  <c r="B1902" i="14"/>
  <c r="C1902" i="14"/>
  <c r="D1902" i="14"/>
  <c r="E1902" i="14"/>
  <c r="B1913" i="14"/>
  <c r="C1913" i="14"/>
  <c r="D1913" i="14"/>
  <c r="E1913" i="14"/>
  <c r="B1924" i="14"/>
  <c r="C1924" i="14"/>
  <c r="D1924" i="14"/>
  <c r="E1924" i="14"/>
  <c r="B1935" i="14"/>
  <c r="C1935" i="14"/>
  <c r="D1935" i="14"/>
  <c r="E1935" i="14"/>
  <c r="B1946" i="14"/>
  <c r="C1946" i="14"/>
  <c r="D1946" i="14"/>
  <c r="E1946" i="14"/>
  <c r="B1957" i="14"/>
  <c r="C1957" i="14"/>
  <c r="D1957" i="14"/>
  <c r="E1957" i="14"/>
  <c r="B1968" i="14"/>
  <c r="C1968" i="14"/>
  <c r="D1968" i="14"/>
  <c r="E1968" i="14"/>
  <c r="B1979" i="14"/>
  <c r="C1979" i="14"/>
  <c r="D1979" i="14"/>
  <c r="E1979" i="14"/>
  <c r="B1990" i="14"/>
  <c r="C1990" i="14"/>
  <c r="D1990" i="14"/>
  <c r="E1990" i="14"/>
  <c r="B2001" i="14"/>
  <c r="C2001" i="14"/>
  <c r="D2001" i="14"/>
  <c r="E2001" i="14"/>
  <c r="B2012" i="14"/>
  <c r="C2012" i="14"/>
  <c r="D2012" i="14"/>
  <c r="E2012" i="14"/>
  <c r="K1693" i="14"/>
  <c r="J1693" i="14"/>
  <c r="I1693" i="14"/>
  <c r="H1693" i="14"/>
  <c r="E1693" i="14"/>
  <c r="D1693" i="14"/>
  <c r="C1693" i="14"/>
  <c r="B1693" i="14"/>
  <c r="H1359" i="14"/>
  <c r="I1359" i="14"/>
  <c r="J1359" i="14"/>
  <c r="K1359" i="14"/>
  <c r="H1370" i="14"/>
  <c r="I1370" i="14"/>
  <c r="J1370" i="14"/>
  <c r="K1370" i="14"/>
  <c r="H1381" i="14"/>
  <c r="I1381" i="14"/>
  <c r="J1381" i="14"/>
  <c r="K1381" i="14"/>
  <c r="H1392" i="14"/>
  <c r="I1392" i="14"/>
  <c r="J1392" i="14"/>
  <c r="K1392" i="14"/>
  <c r="H1403" i="14"/>
  <c r="I1403" i="14"/>
  <c r="J1403" i="14"/>
  <c r="K1403" i="14"/>
  <c r="H1414" i="14"/>
  <c r="I1414" i="14"/>
  <c r="J1414" i="14"/>
  <c r="K1414" i="14"/>
  <c r="H1425" i="14"/>
  <c r="I1425" i="14"/>
  <c r="J1425" i="14"/>
  <c r="K1425" i="14"/>
  <c r="H1436" i="14"/>
  <c r="I1436" i="14"/>
  <c r="J1436" i="14"/>
  <c r="K1436" i="14"/>
  <c r="H1447" i="14"/>
  <c r="I1447" i="14"/>
  <c r="J1447" i="14"/>
  <c r="K1447" i="14"/>
  <c r="H1458" i="14"/>
  <c r="I1458" i="14"/>
  <c r="J1458" i="14"/>
  <c r="K1458" i="14"/>
  <c r="H1469" i="14"/>
  <c r="I1469" i="14"/>
  <c r="J1469" i="14"/>
  <c r="K1469" i="14"/>
  <c r="H1480" i="14"/>
  <c r="I1480" i="14"/>
  <c r="J1480" i="14"/>
  <c r="K1480" i="14"/>
  <c r="H1491" i="14"/>
  <c r="I1491" i="14"/>
  <c r="J1491" i="14"/>
  <c r="K1491" i="14"/>
  <c r="H1502" i="14"/>
  <c r="I1502" i="14"/>
  <c r="J1502" i="14"/>
  <c r="K1502" i="14"/>
  <c r="H1513" i="14"/>
  <c r="I1513" i="14"/>
  <c r="J1513" i="14"/>
  <c r="K1513" i="14"/>
  <c r="H1524" i="14"/>
  <c r="I1524" i="14"/>
  <c r="J1524" i="14"/>
  <c r="K1524" i="14"/>
  <c r="H1535" i="14"/>
  <c r="I1535" i="14"/>
  <c r="J1535" i="14"/>
  <c r="K1535" i="14"/>
  <c r="H1546" i="14"/>
  <c r="I1546" i="14"/>
  <c r="J1546" i="14"/>
  <c r="K1546" i="14"/>
  <c r="H1557" i="14"/>
  <c r="I1557" i="14"/>
  <c r="J1557" i="14"/>
  <c r="K1557" i="14"/>
  <c r="H1568" i="14"/>
  <c r="I1568" i="14"/>
  <c r="J1568" i="14"/>
  <c r="K1568" i="14"/>
  <c r="H1579" i="14"/>
  <c r="I1579" i="14"/>
  <c r="J1579" i="14"/>
  <c r="K1579" i="14"/>
  <c r="H1590" i="14"/>
  <c r="I1590" i="14"/>
  <c r="J1590" i="14"/>
  <c r="K1590" i="14"/>
  <c r="H1601" i="14"/>
  <c r="I1601" i="14"/>
  <c r="J1601" i="14"/>
  <c r="K1601" i="14"/>
  <c r="H1612" i="14"/>
  <c r="I1612" i="14"/>
  <c r="J1612" i="14"/>
  <c r="K1612" i="14"/>
  <c r="H1623" i="14"/>
  <c r="I1623" i="14"/>
  <c r="J1623" i="14"/>
  <c r="K1623" i="14"/>
  <c r="H1634" i="14"/>
  <c r="I1634" i="14"/>
  <c r="J1634" i="14"/>
  <c r="K1634" i="14"/>
  <c r="H1645" i="14"/>
  <c r="I1645" i="14"/>
  <c r="J1645" i="14"/>
  <c r="K1645" i="14"/>
  <c r="H1656" i="14"/>
  <c r="I1656" i="14"/>
  <c r="J1656" i="14"/>
  <c r="K1656" i="14"/>
  <c r="H1667" i="14"/>
  <c r="I1667" i="14"/>
  <c r="J1667" i="14"/>
  <c r="K1667" i="14"/>
  <c r="H1678" i="14"/>
  <c r="I1678" i="14"/>
  <c r="J1678" i="14"/>
  <c r="K1678" i="14"/>
  <c r="B1359" i="14"/>
  <c r="C1359" i="14"/>
  <c r="D1359" i="14"/>
  <c r="E1359" i="14"/>
  <c r="B1370" i="14"/>
  <c r="C1370" i="14"/>
  <c r="D1370" i="14"/>
  <c r="E1370" i="14"/>
  <c r="B1381" i="14"/>
  <c r="C1381" i="14"/>
  <c r="D1381" i="14"/>
  <c r="E1381" i="14"/>
  <c r="B1392" i="14"/>
  <c r="C1392" i="14"/>
  <c r="D1392" i="14"/>
  <c r="E1392" i="14"/>
  <c r="B1403" i="14"/>
  <c r="C1403" i="14"/>
  <c r="D1403" i="14"/>
  <c r="E1403" i="14"/>
  <c r="B1414" i="14"/>
  <c r="C1414" i="14"/>
  <c r="D1414" i="14"/>
  <c r="E1414" i="14"/>
  <c r="B1425" i="14"/>
  <c r="C1425" i="14"/>
  <c r="D1425" i="14"/>
  <c r="E1425" i="14"/>
  <c r="B1436" i="14"/>
  <c r="C1436" i="14"/>
  <c r="D1436" i="14"/>
  <c r="E1436" i="14"/>
  <c r="B1447" i="14"/>
  <c r="C1447" i="14"/>
  <c r="D1447" i="14"/>
  <c r="E1447" i="14"/>
  <c r="B1458" i="14"/>
  <c r="C1458" i="14"/>
  <c r="D1458" i="14"/>
  <c r="E1458" i="14"/>
  <c r="B1469" i="14"/>
  <c r="C1469" i="14"/>
  <c r="D1469" i="14"/>
  <c r="E1469" i="14"/>
  <c r="B1480" i="14"/>
  <c r="C1480" i="14"/>
  <c r="D1480" i="14"/>
  <c r="E1480" i="14"/>
  <c r="B1491" i="14"/>
  <c r="C1491" i="14"/>
  <c r="D1491" i="14"/>
  <c r="E1491" i="14"/>
  <c r="B1502" i="14"/>
  <c r="C1502" i="14"/>
  <c r="D1502" i="14"/>
  <c r="E1502" i="14"/>
  <c r="B1513" i="14"/>
  <c r="C1513" i="14"/>
  <c r="D1513" i="14"/>
  <c r="E1513" i="14"/>
  <c r="B1524" i="14"/>
  <c r="C1524" i="14"/>
  <c r="D1524" i="14"/>
  <c r="E1524" i="14"/>
  <c r="B1535" i="14"/>
  <c r="C1535" i="14"/>
  <c r="D1535" i="14"/>
  <c r="E1535" i="14"/>
  <c r="B1546" i="14"/>
  <c r="C1546" i="14"/>
  <c r="D1546" i="14"/>
  <c r="E1546" i="14"/>
  <c r="B1557" i="14"/>
  <c r="C1557" i="14"/>
  <c r="D1557" i="14"/>
  <c r="E1557" i="14"/>
  <c r="B1568" i="14"/>
  <c r="C1568" i="14"/>
  <c r="D1568" i="14"/>
  <c r="E1568" i="14"/>
  <c r="B1579" i="14"/>
  <c r="C1579" i="14"/>
  <c r="D1579" i="14"/>
  <c r="E1579" i="14"/>
  <c r="B1590" i="14"/>
  <c r="C1590" i="14"/>
  <c r="D1590" i="14"/>
  <c r="E1590" i="14"/>
  <c r="B1601" i="14"/>
  <c r="C1601" i="14"/>
  <c r="D1601" i="14"/>
  <c r="E1601" i="14"/>
  <c r="B1612" i="14"/>
  <c r="C1612" i="14"/>
  <c r="D1612" i="14"/>
  <c r="E1612" i="14"/>
  <c r="B1623" i="14"/>
  <c r="C1623" i="14"/>
  <c r="D1623" i="14"/>
  <c r="E1623" i="14"/>
  <c r="B1634" i="14"/>
  <c r="C1634" i="14"/>
  <c r="D1634" i="14"/>
  <c r="E1634" i="14"/>
  <c r="B1645" i="14"/>
  <c r="C1645" i="14"/>
  <c r="D1645" i="14"/>
  <c r="E1645" i="14"/>
  <c r="B1656" i="14"/>
  <c r="C1656" i="14"/>
  <c r="D1656" i="14"/>
  <c r="E1656" i="14"/>
  <c r="B1667" i="14"/>
  <c r="C1667" i="14"/>
  <c r="D1667" i="14"/>
  <c r="E1667" i="14"/>
  <c r="B1678" i="14"/>
  <c r="C1678" i="14"/>
  <c r="D1678" i="14"/>
  <c r="E1678" i="14"/>
  <c r="K1348" i="14"/>
  <c r="J1348" i="14"/>
  <c r="I1348" i="14"/>
  <c r="H1348" i="14"/>
  <c r="E1348" i="14"/>
  <c r="D1348" i="14"/>
  <c r="C1348" i="14"/>
  <c r="B1348" i="14"/>
  <c r="H1024" i="14"/>
  <c r="I1024" i="14"/>
  <c r="J1024" i="14"/>
  <c r="K1024" i="14"/>
  <c r="H1035" i="14"/>
  <c r="I1035" i="14"/>
  <c r="J1035" i="14"/>
  <c r="K1035" i="14"/>
  <c r="H1046" i="14"/>
  <c r="I1046" i="14"/>
  <c r="J1046" i="14"/>
  <c r="K1046" i="14"/>
  <c r="H1057" i="14"/>
  <c r="I1057" i="14"/>
  <c r="J1057" i="14"/>
  <c r="K1057" i="14"/>
  <c r="H1068" i="14"/>
  <c r="I1068" i="14"/>
  <c r="J1068" i="14"/>
  <c r="K1068" i="14"/>
  <c r="H1079" i="14"/>
  <c r="I1079" i="14"/>
  <c r="J1079" i="14"/>
  <c r="K1079" i="14"/>
  <c r="H1090" i="14"/>
  <c r="I1090" i="14"/>
  <c r="J1090" i="14"/>
  <c r="K1090" i="14"/>
  <c r="H1101" i="14"/>
  <c r="I1101" i="14"/>
  <c r="J1101" i="14"/>
  <c r="K1101" i="14"/>
  <c r="H1112" i="14"/>
  <c r="I1112" i="14"/>
  <c r="J1112" i="14"/>
  <c r="K1112" i="14"/>
  <c r="H1123" i="14"/>
  <c r="I1123" i="14"/>
  <c r="J1123" i="14"/>
  <c r="K1123" i="14"/>
  <c r="H1134" i="14"/>
  <c r="I1134" i="14"/>
  <c r="J1134" i="14"/>
  <c r="K1134" i="14"/>
  <c r="H1145" i="14"/>
  <c r="I1145" i="14"/>
  <c r="J1145" i="14"/>
  <c r="K1145" i="14"/>
  <c r="H1156" i="14"/>
  <c r="I1156" i="14"/>
  <c r="J1156" i="14"/>
  <c r="K1156" i="14"/>
  <c r="H1167" i="14"/>
  <c r="I1167" i="14"/>
  <c r="J1167" i="14"/>
  <c r="K1167" i="14"/>
  <c r="H1178" i="14"/>
  <c r="I1178" i="14"/>
  <c r="J1178" i="14"/>
  <c r="K1178" i="14"/>
  <c r="H1189" i="14"/>
  <c r="I1189" i="14"/>
  <c r="J1189" i="14"/>
  <c r="K1189" i="14"/>
  <c r="H1200" i="14"/>
  <c r="I1200" i="14"/>
  <c r="J1200" i="14"/>
  <c r="K1200" i="14"/>
  <c r="H1211" i="14"/>
  <c r="I1211" i="14"/>
  <c r="J1211" i="14"/>
  <c r="K1211" i="14"/>
  <c r="H1222" i="14"/>
  <c r="I1222" i="14"/>
  <c r="J1222" i="14"/>
  <c r="K1222" i="14"/>
  <c r="H1233" i="14"/>
  <c r="I1233" i="14"/>
  <c r="J1233" i="14"/>
  <c r="K1233" i="14"/>
  <c r="H1244" i="14"/>
  <c r="I1244" i="14"/>
  <c r="J1244" i="14"/>
  <c r="K1244" i="14"/>
  <c r="H1255" i="14"/>
  <c r="I1255" i="14"/>
  <c r="J1255" i="14"/>
  <c r="K1255" i="14"/>
  <c r="H1266" i="14"/>
  <c r="I1266" i="14"/>
  <c r="J1266" i="14"/>
  <c r="K1266" i="14"/>
  <c r="H1277" i="14"/>
  <c r="I1277" i="14"/>
  <c r="J1277" i="14"/>
  <c r="K1277" i="14"/>
  <c r="H1288" i="14"/>
  <c r="I1288" i="14"/>
  <c r="J1288" i="14"/>
  <c r="K1288" i="14"/>
  <c r="H1299" i="14"/>
  <c r="I1299" i="14"/>
  <c r="J1299" i="14"/>
  <c r="K1299" i="14"/>
  <c r="H1310" i="14"/>
  <c r="I1310" i="14"/>
  <c r="J1310" i="14"/>
  <c r="K1310" i="14"/>
  <c r="H1321" i="14"/>
  <c r="I1321" i="14"/>
  <c r="J1321" i="14"/>
  <c r="K1321" i="14"/>
  <c r="H1332" i="14"/>
  <c r="I1332" i="14"/>
  <c r="J1332" i="14"/>
  <c r="K1332" i="14"/>
  <c r="B1024" i="14"/>
  <c r="C1024" i="14"/>
  <c r="D1024" i="14"/>
  <c r="E1024" i="14"/>
  <c r="B1035" i="14"/>
  <c r="C1035" i="14"/>
  <c r="D1035" i="14"/>
  <c r="E1035" i="14"/>
  <c r="B1046" i="14"/>
  <c r="C1046" i="14"/>
  <c r="D1046" i="14"/>
  <c r="E1046" i="14"/>
  <c r="B1057" i="14"/>
  <c r="C1057" i="14"/>
  <c r="D1057" i="14"/>
  <c r="E1057" i="14"/>
  <c r="B1068" i="14"/>
  <c r="C1068" i="14"/>
  <c r="D1068" i="14"/>
  <c r="E1068" i="14"/>
  <c r="B1079" i="14"/>
  <c r="C1079" i="14"/>
  <c r="D1079" i="14"/>
  <c r="E1079" i="14"/>
  <c r="B1090" i="14"/>
  <c r="C1090" i="14"/>
  <c r="D1090" i="14"/>
  <c r="E1090" i="14"/>
  <c r="B1101" i="14"/>
  <c r="C1101" i="14"/>
  <c r="D1101" i="14"/>
  <c r="E1101" i="14"/>
  <c r="B1112" i="14"/>
  <c r="C1112" i="14"/>
  <c r="D1112" i="14"/>
  <c r="E1112" i="14"/>
  <c r="B1123" i="14"/>
  <c r="C1123" i="14"/>
  <c r="D1123" i="14"/>
  <c r="E1123" i="14"/>
  <c r="B1134" i="14"/>
  <c r="C1134" i="14"/>
  <c r="D1134" i="14"/>
  <c r="E1134" i="14"/>
  <c r="B1145" i="14"/>
  <c r="C1145" i="14"/>
  <c r="D1145" i="14"/>
  <c r="E1145" i="14"/>
  <c r="B1156" i="14"/>
  <c r="C1156" i="14"/>
  <c r="D1156" i="14"/>
  <c r="E1156" i="14"/>
  <c r="B1167" i="14"/>
  <c r="C1167" i="14"/>
  <c r="D1167" i="14"/>
  <c r="E1167" i="14"/>
  <c r="B1178" i="14"/>
  <c r="C1178" i="14"/>
  <c r="D1178" i="14"/>
  <c r="E1178" i="14"/>
  <c r="B1189" i="14"/>
  <c r="C1189" i="14"/>
  <c r="D1189" i="14"/>
  <c r="E1189" i="14"/>
  <c r="B1200" i="14"/>
  <c r="C1200" i="14"/>
  <c r="D1200" i="14"/>
  <c r="E1200" i="14"/>
  <c r="B1211" i="14"/>
  <c r="C1211" i="14"/>
  <c r="D1211" i="14"/>
  <c r="E1211" i="14"/>
  <c r="B1222" i="14"/>
  <c r="C1222" i="14"/>
  <c r="D1222" i="14"/>
  <c r="E1222" i="14"/>
  <c r="B1233" i="14"/>
  <c r="C1233" i="14"/>
  <c r="D1233" i="14"/>
  <c r="E1233" i="14"/>
  <c r="B1244" i="14"/>
  <c r="C1244" i="14"/>
  <c r="D1244" i="14"/>
  <c r="E1244" i="14"/>
  <c r="B1255" i="14"/>
  <c r="C1255" i="14"/>
  <c r="D1255" i="14"/>
  <c r="E1255" i="14"/>
  <c r="B1266" i="14"/>
  <c r="C1266" i="14"/>
  <c r="D1266" i="14"/>
  <c r="E1266" i="14"/>
  <c r="B1277" i="14"/>
  <c r="C1277" i="14"/>
  <c r="D1277" i="14"/>
  <c r="E1277" i="14"/>
  <c r="B1288" i="14"/>
  <c r="C1288" i="14"/>
  <c r="D1288" i="14"/>
  <c r="E1288" i="14"/>
  <c r="B1299" i="14"/>
  <c r="C1299" i="14"/>
  <c r="D1299" i="14"/>
  <c r="E1299" i="14"/>
  <c r="B1310" i="14"/>
  <c r="C1310" i="14"/>
  <c r="D1310" i="14"/>
  <c r="E1310" i="14"/>
  <c r="B1321" i="14"/>
  <c r="C1321" i="14"/>
  <c r="D1321" i="14"/>
  <c r="E1321" i="14"/>
  <c r="B1332" i="14"/>
  <c r="C1332" i="14"/>
  <c r="D1332" i="14"/>
  <c r="E1332" i="14"/>
  <c r="K1013" i="14"/>
  <c r="J1013" i="14"/>
  <c r="I1013" i="14"/>
  <c r="H1013" i="14"/>
  <c r="E1013" i="14"/>
  <c r="D1013" i="14"/>
  <c r="C1013" i="14"/>
  <c r="B1013" i="14"/>
  <c r="H678" i="14"/>
  <c r="I678" i="14"/>
  <c r="J678" i="14"/>
  <c r="K678" i="14"/>
  <c r="H689" i="14"/>
  <c r="I689" i="14"/>
  <c r="J689" i="14"/>
  <c r="K689" i="14"/>
  <c r="H700" i="14"/>
  <c r="I700" i="14"/>
  <c r="J700" i="14"/>
  <c r="K700" i="14"/>
  <c r="H711" i="14"/>
  <c r="I711" i="14"/>
  <c r="J711" i="14"/>
  <c r="K711" i="14"/>
  <c r="H722" i="14"/>
  <c r="I722" i="14"/>
  <c r="J722" i="14"/>
  <c r="K722" i="14"/>
  <c r="H733" i="14"/>
  <c r="I733" i="14"/>
  <c r="J733" i="14"/>
  <c r="K733" i="14"/>
  <c r="H744" i="14"/>
  <c r="I744" i="14"/>
  <c r="J744" i="14"/>
  <c r="K744" i="14"/>
  <c r="H755" i="14"/>
  <c r="I755" i="14"/>
  <c r="J755" i="14"/>
  <c r="K755" i="14"/>
  <c r="H766" i="14"/>
  <c r="I766" i="14"/>
  <c r="J766" i="14"/>
  <c r="K766" i="14"/>
  <c r="H777" i="14"/>
  <c r="I777" i="14"/>
  <c r="J777" i="14"/>
  <c r="K777" i="14"/>
  <c r="H788" i="14"/>
  <c r="I788" i="14"/>
  <c r="J788" i="14"/>
  <c r="K788" i="14"/>
  <c r="H799" i="14"/>
  <c r="I799" i="14"/>
  <c r="J799" i="14"/>
  <c r="K799" i="14"/>
  <c r="H810" i="14"/>
  <c r="I810" i="14"/>
  <c r="J810" i="14"/>
  <c r="K810" i="14"/>
  <c r="H821" i="14"/>
  <c r="I821" i="14"/>
  <c r="J821" i="14"/>
  <c r="K821" i="14"/>
  <c r="H832" i="14"/>
  <c r="I832" i="14"/>
  <c r="J832" i="14"/>
  <c r="K832" i="14"/>
  <c r="H843" i="14"/>
  <c r="I843" i="14"/>
  <c r="J843" i="14"/>
  <c r="K843" i="14"/>
  <c r="H854" i="14"/>
  <c r="I854" i="14"/>
  <c r="J854" i="14"/>
  <c r="K854" i="14"/>
  <c r="H865" i="14"/>
  <c r="I865" i="14"/>
  <c r="J865" i="14"/>
  <c r="K865" i="14"/>
  <c r="H876" i="14"/>
  <c r="I876" i="14"/>
  <c r="J876" i="14"/>
  <c r="K876" i="14"/>
  <c r="H887" i="14"/>
  <c r="I887" i="14"/>
  <c r="J887" i="14"/>
  <c r="K887" i="14"/>
  <c r="H898" i="14"/>
  <c r="I898" i="14"/>
  <c r="J898" i="14"/>
  <c r="K898" i="14"/>
  <c r="H909" i="14"/>
  <c r="I909" i="14"/>
  <c r="J909" i="14"/>
  <c r="K909" i="14"/>
  <c r="H920" i="14"/>
  <c r="I920" i="14"/>
  <c r="J920" i="14"/>
  <c r="K920" i="14"/>
  <c r="H931" i="14"/>
  <c r="I931" i="14"/>
  <c r="J931" i="14"/>
  <c r="K931" i="14"/>
  <c r="H942" i="14"/>
  <c r="I942" i="14"/>
  <c r="J942" i="14"/>
  <c r="K942" i="14"/>
  <c r="H953" i="14"/>
  <c r="I953" i="14"/>
  <c r="J953" i="14"/>
  <c r="K953" i="14"/>
  <c r="H964" i="14"/>
  <c r="I964" i="14"/>
  <c r="J964" i="14"/>
  <c r="K964" i="14"/>
  <c r="H975" i="14"/>
  <c r="I975" i="14"/>
  <c r="J975" i="14"/>
  <c r="K975" i="14"/>
  <c r="H986" i="14"/>
  <c r="I986" i="14"/>
  <c r="J986" i="14"/>
  <c r="K986" i="14"/>
  <c r="H997" i="14"/>
  <c r="I997" i="14"/>
  <c r="J997" i="14"/>
  <c r="K997" i="14"/>
  <c r="B678" i="14"/>
  <c r="C678" i="14"/>
  <c r="D678" i="14"/>
  <c r="E678" i="14"/>
  <c r="B689" i="14"/>
  <c r="C689" i="14"/>
  <c r="D689" i="14"/>
  <c r="E689" i="14"/>
  <c r="B700" i="14"/>
  <c r="C700" i="14"/>
  <c r="D700" i="14"/>
  <c r="E700" i="14"/>
  <c r="B711" i="14"/>
  <c r="C711" i="14"/>
  <c r="D711" i="14"/>
  <c r="E711" i="14"/>
  <c r="B722" i="14"/>
  <c r="C722" i="14"/>
  <c r="D722" i="14"/>
  <c r="E722" i="14"/>
  <c r="B733" i="14"/>
  <c r="C733" i="14"/>
  <c r="D733" i="14"/>
  <c r="E733" i="14"/>
  <c r="B744" i="14"/>
  <c r="C744" i="14"/>
  <c r="D744" i="14"/>
  <c r="E744" i="14"/>
  <c r="B755" i="14"/>
  <c r="C755" i="14"/>
  <c r="D755" i="14"/>
  <c r="E755" i="14"/>
  <c r="B766" i="14"/>
  <c r="C766" i="14"/>
  <c r="D766" i="14"/>
  <c r="E766" i="14"/>
  <c r="B777" i="14"/>
  <c r="C777" i="14"/>
  <c r="D777" i="14"/>
  <c r="E777" i="14"/>
  <c r="B788" i="14"/>
  <c r="C788" i="14"/>
  <c r="D788" i="14"/>
  <c r="E788" i="14"/>
  <c r="B799" i="14"/>
  <c r="C799" i="14"/>
  <c r="D799" i="14"/>
  <c r="E799" i="14"/>
  <c r="B810" i="14"/>
  <c r="C810" i="14"/>
  <c r="D810" i="14"/>
  <c r="E810" i="14"/>
  <c r="B821" i="14"/>
  <c r="C821" i="14"/>
  <c r="D821" i="14"/>
  <c r="E821" i="14"/>
  <c r="B832" i="14"/>
  <c r="C832" i="14"/>
  <c r="D832" i="14"/>
  <c r="E832" i="14"/>
  <c r="B843" i="14"/>
  <c r="C843" i="14"/>
  <c r="D843" i="14"/>
  <c r="E843" i="14"/>
  <c r="B854" i="14"/>
  <c r="C854" i="14"/>
  <c r="D854" i="14"/>
  <c r="E854" i="14"/>
  <c r="B865" i="14"/>
  <c r="C865" i="14"/>
  <c r="D865" i="14"/>
  <c r="E865" i="14"/>
  <c r="B876" i="14"/>
  <c r="C876" i="14"/>
  <c r="D876" i="14"/>
  <c r="E876" i="14"/>
  <c r="B887" i="14"/>
  <c r="C887" i="14"/>
  <c r="D887" i="14"/>
  <c r="E887" i="14"/>
  <c r="B898" i="14"/>
  <c r="C898" i="14"/>
  <c r="D898" i="14"/>
  <c r="E898" i="14"/>
  <c r="B909" i="14"/>
  <c r="C909" i="14"/>
  <c r="D909" i="14"/>
  <c r="E909" i="14"/>
  <c r="B920" i="14"/>
  <c r="C920" i="14"/>
  <c r="D920" i="14"/>
  <c r="E920" i="14"/>
  <c r="B931" i="14"/>
  <c r="C931" i="14"/>
  <c r="D931" i="14"/>
  <c r="E931" i="14"/>
  <c r="B942" i="14"/>
  <c r="C942" i="14"/>
  <c r="D942" i="14"/>
  <c r="E942" i="14"/>
  <c r="B953" i="14"/>
  <c r="C953" i="14"/>
  <c r="D953" i="14"/>
  <c r="E953" i="14"/>
  <c r="B964" i="14"/>
  <c r="C964" i="14"/>
  <c r="D964" i="14"/>
  <c r="E964" i="14"/>
  <c r="B975" i="14"/>
  <c r="C975" i="14"/>
  <c r="D975" i="14"/>
  <c r="E975" i="14"/>
  <c r="B986" i="14"/>
  <c r="C986" i="14"/>
  <c r="D986" i="14"/>
  <c r="E986" i="14"/>
  <c r="B997" i="14"/>
  <c r="C997" i="14"/>
  <c r="D997" i="14"/>
  <c r="E997" i="14"/>
  <c r="K667" i="14"/>
  <c r="J667" i="14"/>
  <c r="I667" i="14"/>
  <c r="H667" i="14"/>
  <c r="E667" i="14"/>
  <c r="D667" i="14"/>
  <c r="C667" i="14"/>
  <c r="B667" i="14"/>
  <c r="H366" i="14"/>
  <c r="I366" i="14"/>
  <c r="J366" i="14"/>
  <c r="K366" i="14"/>
  <c r="H377" i="14"/>
  <c r="I377" i="14"/>
  <c r="J377" i="14"/>
  <c r="K377" i="14"/>
  <c r="H388" i="14"/>
  <c r="I388" i="14"/>
  <c r="J388" i="14"/>
  <c r="K388" i="14"/>
  <c r="H399" i="14"/>
  <c r="I399" i="14"/>
  <c r="J399" i="14"/>
  <c r="K399" i="14"/>
  <c r="H410" i="14"/>
  <c r="I410" i="14"/>
  <c r="J410" i="14"/>
  <c r="K410" i="14"/>
  <c r="H421" i="14"/>
  <c r="I421" i="14"/>
  <c r="J421" i="14"/>
  <c r="K421" i="14"/>
  <c r="H432" i="14"/>
  <c r="I432" i="14"/>
  <c r="J432" i="14"/>
  <c r="K432" i="14"/>
  <c r="H443" i="14"/>
  <c r="I443" i="14"/>
  <c r="J443" i="14"/>
  <c r="K443" i="14"/>
  <c r="H454" i="14"/>
  <c r="I454" i="14"/>
  <c r="J454" i="14"/>
  <c r="K454" i="14"/>
  <c r="H465" i="14"/>
  <c r="I465" i="14"/>
  <c r="J465" i="14"/>
  <c r="K465" i="14"/>
  <c r="H476" i="14"/>
  <c r="I476" i="14"/>
  <c r="J476" i="14"/>
  <c r="K476" i="14"/>
  <c r="H487" i="14"/>
  <c r="I487" i="14"/>
  <c r="J487" i="14"/>
  <c r="K487" i="14"/>
  <c r="H498" i="14"/>
  <c r="I498" i="14"/>
  <c r="J498" i="14"/>
  <c r="K498" i="14"/>
  <c r="H509" i="14"/>
  <c r="I509" i="14"/>
  <c r="J509" i="14"/>
  <c r="K509" i="14"/>
  <c r="H520" i="14"/>
  <c r="I520" i="14"/>
  <c r="J520" i="14"/>
  <c r="K520" i="14"/>
  <c r="H531" i="14"/>
  <c r="I531" i="14"/>
  <c r="J531" i="14"/>
  <c r="K531" i="14"/>
  <c r="H542" i="14"/>
  <c r="I542" i="14"/>
  <c r="J542" i="14"/>
  <c r="K542" i="14"/>
  <c r="H553" i="14"/>
  <c r="I553" i="14"/>
  <c r="J553" i="14"/>
  <c r="K553" i="14"/>
  <c r="H564" i="14"/>
  <c r="I564" i="14"/>
  <c r="J564" i="14"/>
  <c r="K564" i="14"/>
  <c r="H575" i="14"/>
  <c r="I575" i="14"/>
  <c r="J575" i="14"/>
  <c r="K575" i="14"/>
  <c r="H586" i="14"/>
  <c r="I586" i="14"/>
  <c r="J586" i="14"/>
  <c r="K586" i="14"/>
  <c r="H597" i="14"/>
  <c r="I597" i="14"/>
  <c r="J597" i="14"/>
  <c r="K597" i="14"/>
  <c r="H608" i="14"/>
  <c r="I608" i="14"/>
  <c r="J608" i="14"/>
  <c r="K608" i="14"/>
  <c r="H619" i="14"/>
  <c r="I619" i="14"/>
  <c r="J619" i="14"/>
  <c r="K619" i="14"/>
  <c r="H630" i="14"/>
  <c r="I630" i="14"/>
  <c r="J630" i="14"/>
  <c r="K630" i="14"/>
  <c r="H641" i="14"/>
  <c r="I641" i="14"/>
  <c r="J641" i="14"/>
  <c r="K641" i="14"/>
  <c r="H652" i="14"/>
  <c r="I652" i="14"/>
  <c r="J652" i="14"/>
  <c r="K652" i="14"/>
  <c r="B366" i="14"/>
  <c r="C366" i="14"/>
  <c r="D366" i="14"/>
  <c r="E366" i="14"/>
  <c r="B377" i="14"/>
  <c r="C377" i="14"/>
  <c r="D377" i="14"/>
  <c r="E377" i="14"/>
  <c r="B388" i="14"/>
  <c r="C388" i="14"/>
  <c r="D388" i="14"/>
  <c r="E388" i="14"/>
  <c r="B399" i="14"/>
  <c r="C399" i="14"/>
  <c r="D399" i="14"/>
  <c r="E399" i="14"/>
  <c r="B410" i="14"/>
  <c r="C410" i="14"/>
  <c r="D410" i="14"/>
  <c r="E410" i="14"/>
  <c r="B421" i="14"/>
  <c r="C421" i="14"/>
  <c r="D421" i="14"/>
  <c r="E421" i="14"/>
  <c r="B432" i="14"/>
  <c r="C432" i="14"/>
  <c r="D432" i="14"/>
  <c r="E432" i="14"/>
  <c r="B443" i="14"/>
  <c r="C443" i="14"/>
  <c r="D443" i="14"/>
  <c r="E443" i="14"/>
  <c r="B454" i="14"/>
  <c r="C454" i="14"/>
  <c r="D454" i="14"/>
  <c r="E454" i="14"/>
  <c r="B465" i="14"/>
  <c r="C465" i="14"/>
  <c r="D465" i="14"/>
  <c r="E465" i="14"/>
  <c r="B476" i="14"/>
  <c r="C476" i="14"/>
  <c r="D476" i="14"/>
  <c r="E476" i="14"/>
  <c r="B487" i="14"/>
  <c r="C487" i="14"/>
  <c r="D487" i="14"/>
  <c r="E487" i="14"/>
  <c r="B498" i="14"/>
  <c r="C498" i="14"/>
  <c r="D498" i="14"/>
  <c r="E498" i="14"/>
  <c r="B509" i="14"/>
  <c r="C509" i="14"/>
  <c r="D509" i="14"/>
  <c r="E509" i="14"/>
  <c r="B520" i="14"/>
  <c r="C520" i="14"/>
  <c r="D520" i="14"/>
  <c r="E520" i="14"/>
  <c r="B531" i="14"/>
  <c r="C531" i="14"/>
  <c r="D531" i="14"/>
  <c r="E531" i="14"/>
  <c r="B542" i="14"/>
  <c r="C542" i="14"/>
  <c r="D542" i="14"/>
  <c r="E542" i="14"/>
  <c r="B553" i="14"/>
  <c r="C553" i="14"/>
  <c r="D553" i="14"/>
  <c r="E553" i="14"/>
  <c r="B564" i="14"/>
  <c r="C564" i="14"/>
  <c r="D564" i="14"/>
  <c r="E564" i="14"/>
  <c r="B575" i="14"/>
  <c r="C575" i="14"/>
  <c r="D575" i="14"/>
  <c r="E575" i="14"/>
  <c r="B586" i="14"/>
  <c r="C586" i="14"/>
  <c r="D586" i="14"/>
  <c r="E586" i="14"/>
  <c r="B597" i="14"/>
  <c r="C597" i="14"/>
  <c r="D597" i="14"/>
  <c r="E597" i="14"/>
  <c r="B608" i="14"/>
  <c r="C608" i="14"/>
  <c r="D608" i="14"/>
  <c r="E608" i="14"/>
  <c r="B619" i="14"/>
  <c r="C619" i="14"/>
  <c r="D619" i="14"/>
  <c r="E619" i="14"/>
  <c r="B630" i="14"/>
  <c r="C630" i="14"/>
  <c r="D630" i="14"/>
  <c r="E630" i="14"/>
  <c r="B641" i="14"/>
  <c r="C641" i="14"/>
  <c r="D641" i="14"/>
  <c r="E641" i="14"/>
  <c r="B652" i="14"/>
  <c r="C652" i="14"/>
  <c r="D652" i="14"/>
  <c r="E652" i="14"/>
  <c r="K355" i="14"/>
  <c r="J355" i="14"/>
  <c r="I355" i="14"/>
  <c r="H355" i="14"/>
  <c r="B355" i="14"/>
  <c r="C355" i="14"/>
  <c r="D355" i="14"/>
  <c r="E355" i="14"/>
  <c r="K10" i="14"/>
  <c r="J10" i="14"/>
  <c r="I10" i="14"/>
  <c r="H10" i="14"/>
  <c r="E10" i="14"/>
  <c r="D10" i="14"/>
  <c r="C10" i="14"/>
  <c r="B10" i="14"/>
  <c r="H3411" i="13"/>
  <c r="I3411" i="13"/>
  <c r="J3411" i="13"/>
  <c r="K3411" i="13"/>
  <c r="H3421" i="13"/>
  <c r="I3421" i="13"/>
  <c r="J3421" i="13"/>
  <c r="K3421" i="13"/>
  <c r="H3431" i="13"/>
  <c r="I3431" i="13"/>
  <c r="J3431" i="13"/>
  <c r="K3431" i="13"/>
  <c r="H3441" i="13"/>
  <c r="H3442" i="13" s="1"/>
  <c r="I3441" i="13"/>
  <c r="J3441" i="13"/>
  <c r="K3441" i="13"/>
  <c r="H3451" i="13"/>
  <c r="I3451" i="13"/>
  <c r="J3451" i="13"/>
  <c r="K3451" i="13"/>
  <c r="H3461" i="13"/>
  <c r="I3461" i="13"/>
  <c r="J3461" i="13"/>
  <c r="K3461" i="13"/>
  <c r="H3471" i="13"/>
  <c r="I3471" i="13"/>
  <c r="J3471" i="13"/>
  <c r="K3471" i="13"/>
  <c r="H3481" i="13"/>
  <c r="I3481" i="13"/>
  <c r="J3481" i="13"/>
  <c r="K3481" i="13"/>
  <c r="H3482" i="13"/>
  <c r="H3491" i="13"/>
  <c r="I3491" i="13"/>
  <c r="J3491" i="13"/>
  <c r="K3491" i="13"/>
  <c r="H3492" i="13" s="1"/>
  <c r="H3501" i="13"/>
  <c r="I3501" i="13"/>
  <c r="J3501" i="13"/>
  <c r="K3501" i="13"/>
  <c r="H3511" i="13"/>
  <c r="I3511" i="13"/>
  <c r="J3511" i="13"/>
  <c r="K3511" i="13"/>
  <c r="H3521" i="13"/>
  <c r="I3521" i="13"/>
  <c r="J3521" i="13"/>
  <c r="K3521" i="13"/>
  <c r="H3531" i="13"/>
  <c r="I3531" i="13"/>
  <c r="J3531" i="13"/>
  <c r="K3531" i="13"/>
  <c r="H3541" i="13"/>
  <c r="I3541" i="13"/>
  <c r="J3541" i="13"/>
  <c r="K3541" i="13"/>
  <c r="H3551" i="13"/>
  <c r="I3551" i="13"/>
  <c r="J3551" i="13"/>
  <c r="K3551" i="13"/>
  <c r="H3561" i="13"/>
  <c r="I3561" i="13"/>
  <c r="J3561" i="13"/>
  <c r="K3561" i="13"/>
  <c r="H3571" i="13"/>
  <c r="I3571" i="13"/>
  <c r="J3571" i="13"/>
  <c r="K3571" i="13"/>
  <c r="H3581" i="13"/>
  <c r="I3581" i="13"/>
  <c r="J3581" i="13"/>
  <c r="K3581" i="13"/>
  <c r="H3591" i="13"/>
  <c r="I3591" i="13"/>
  <c r="J3591" i="13"/>
  <c r="K3591" i="13"/>
  <c r="H3601" i="13"/>
  <c r="I3601" i="13"/>
  <c r="J3601" i="13"/>
  <c r="K3601" i="13"/>
  <c r="H3611" i="13"/>
  <c r="I3611" i="13"/>
  <c r="J3611" i="13"/>
  <c r="K3611" i="13"/>
  <c r="H3621" i="13"/>
  <c r="I3621" i="13"/>
  <c r="J3621" i="13"/>
  <c r="K3621" i="13"/>
  <c r="H3631" i="13"/>
  <c r="I3631" i="13"/>
  <c r="J3631" i="13"/>
  <c r="K3631" i="13"/>
  <c r="H3641" i="13"/>
  <c r="I3641" i="13"/>
  <c r="J3641" i="13"/>
  <c r="K3641" i="13"/>
  <c r="H3651" i="13"/>
  <c r="I3651" i="13"/>
  <c r="J3651" i="13"/>
  <c r="K3651" i="13"/>
  <c r="H3661" i="13"/>
  <c r="I3661" i="13"/>
  <c r="J3661" i="13"/>
  <c r="K3661" i="13"/>
  <c r="H3671" i="13"/>
  <c r="I3671" i="13"/>
  <c r="J3671" i="13"/>
  <c r="K3671" i="13"/>
  <c r="H3681" i="13"/>
  <c r="I3681" i="13"/>
  <c r="J3681" i="13"/>
  <c r="K3681" i="13"/>
  <c r="H3691" i="13"/>
  <c r="I3691" i="13"/>
  <c r="J3691" i="13"/>
  <c r="K3691" i="13"/>
  <c r="H3701" i="13"/>
  <c r="I3701" i="13"/>
  <c r="J3701" i="13"/>
  <c r="K3701" i="13"/>
  <c r="B3411" i="13"/>
  <c r="C3411" i="13"/>
  <c r="D3411" i="13"/>
  <c r="E3411" i="13"/>
  <c r="B3421" i="13"/>
  <c r="C3421" i="13"/>
  <c r="D3421" i="13"/>
  <c r="E3421" i="13"/>
  <c r="B3431" i="13"/>
  <c r="C3431" i="13"/>
  <c r="D3431" i="13"/>
  <c r="E3431" i="13"/>
  <c r="B3441" i="13"/>
  <c r="C3441" i="13"/>
  <c r="D3441" i="13"/>
  <c r="E3441" i="13"/>
  <c r="B3451" i="13"/>
  <c r="C3451" i="13"/>
  <c r="D3451" i="13"/>
  <c r="E3451" i="13"/>
  <c r="B3461" i="13"/>
  <c r="C3461" i="13"/>
  <c r="D3461" i="13"/>
  <c r="E3461" i="13"/>
  <c r="B3471" i="13"/>
  <c r="C3471" i="13"/>
  <c r="D3471" i="13"/>
  <c r="E3471" i="13"/>
  <c r="B3481" i="13"/>
  <c r="C3481" i="13"/>
  <c r="D3481" i="13"/>
  <c r="E3481" i="13"/>
  <c r="B3491" i="13"/>
  <c r="C3491" i="13"/>
  <c r="D3491" i="13"/>
  <c r="E3491" i="13"/>
  <c r="B3501" i="13"/>
  <c r="C3501" i="13"/>
  <c r="D3501" i="13"/>
  <c r="E3501" i="13"/>
  <c r="B3511" i="13"/>
  <c r="C3511" i="13"/>
  <c r="D3511" i="13"/>
  <c r="E3511" i="13"/>
  <c r="B3521" i="13"/>
  <c r="C3521" i="13"/>
  <c r="D3521" i="13"/>
  <c r="E3521" i="13"/>
  <c r="B3531" i="13"/>
  <c r="C3531" i="13"/>
  <c r="D3531" i="13"/>
  <c r="E3531" i="13"/>
  <c r="B3541" i="13"/>
  <c r="C3541" i="13"/>
  <c r="D3541" i="13"/>
  <c r="E3541" i="13"/>
  <c r="B3551" i="13"/>
  <c r="C3551" i="13"/>
  <c r="D3551" i="13"/>
  <c r="E3551" i="13"/>
  <c r="B3561" i="13"/>
  <c r="C3561" i="13"/>
  <c r="D3561" i="13"/>
  <c r="E3561" i="13"/>
  <c r="B3571" i="13"/>
  <c r="C3571" i="13"/>
  <c r="D3571" i="13"/>
  <c r="E3571" i="13"/>
  <c r="B3581" i="13"/>
  <c r="C3581" i="13"/>
  <c r="D3581" i="13"/>
  <c r="E3581" i="13"/>
  <c r="B3591" i="13"/>
  <c r="C3591" i="13"/>
  <c r="D3591" i="13"/>
  <c r="E3591" i="13"/>
  <c r="B3601" i="13"/>
  <c r="C3601" i="13"/>
  <c r="D3601" i="13"/>
  <c r="E3601" i="13"/>
  <c r="B3611" i="13"/>
  <c r="C3611" i="13"/>
  <c r="D3611" i="13"/>
  <c r="E3611" i="13"/>
  <c r="B3621" i="13"/>
  <c r="C3621" i="13"/>
  <c r="D3621" i="13"/>
  <c r="E3621" i="13"/>
  <c r="B3631" i="13"/>
  <c r="C3631" i="13"/>
  <c r="D3631" i="13"/>
  <c r="E3631" i="13"/>
  <c r="B3641" i="13"/>
  <c r="C3641" i="13"/>
  <c r="D3641" i="13"/>
  <c r="E3641" i="13"/>
  <c r="B3651" i="13"/>
  <c r="C3651" i="13"/>
  <c r="D3651" i="13"/>
  <c r="E3651" i="13"/>
  <c r="B3661" i="13"/>
  <c r="C3661" i="13"/>
  <c r="D3661" i="13"/>
  <c r="E3661" i="13"/>
  <c r="B3671" i="13"/>
  <c r="C3671" i="13"/>
  <c r="D3671" i="13"/>
  <c r="E3671" i="13"/>
  <c r="B3681" i="13"/>
  <c r="C3681" i="13"/>
  <c r="D3681" i="13"/>
  <c r="E3681" i="13"/>
  <c r="B3691" i="13"/>
  <c r="C3691" i="13"/>
  <c r="D3691" i="13"/>
  <c r="E3691" i="13"/>
  <c r="B3701" i="13"/>
  <c r="C3701" i="13"/>
  <c r="D3701" i="13"/>
  <c r="E3701" i="13"/>
  <c r="K3401" i="13"/>
  <c r="J3401" i="13"/>
  <c r="I3401" i="13"/>
  <c r="H3401" i="13"/>
  <c r="E3401" i="13"/>
  <c r="D3401" i="13"/>
  <c r="C3401" i="13"/>
  <c r="B3401" i="13"/>
  <c r="H3108" i="13"/>
  <c r="I3108" i="13"/>
  <c r="J3108" i="13"/>
  <c r="K3108" i="13"/>
  <c r="H3118" i="13"/>
  <c r="I3118" i="13"/>
  <c r="J3118" i="13"/>
  <c r="K3118" i="13"/>
  <c r="H3128" i="13"/>
  <c r="I3128" i="13"/>
  <c r="J3128" i="13"/>
  <c r="K3128" i="13"/>
  <c r="H3138" i="13"/>
  <c r="I3138" i="13"/>
  <c r="J3138" i="13"/>
  <c r="H3139" i="13" s="1"/>
  <c r="K3138" i="13"/>
  <c r="H3148" i="13"/>
  <c r="I3148" i="13"/>
  <c r="J3148" i="13"/>
  <c r="K3148" i="13"/>
  <c r="H3158" i="13"/>
  <c r="I3158" i="13"/>
  <c r="J3158" i="13"/>
  <c r="K3158" i="13"/>
  <c r="H3168" i="13"/>
  <c r="I3168" i="13"/>
  <c r="J3168" i="13"/>
  <c r="K3168" i="13"/>
  <c r="H3178" i="13"/>
  <c r="I3178" i="13"/>
  <c r="J3178" i="13"/>
  <c r="K3178" i="13"/>
  <c r="H3188" i="13"/>
  <c r="I3188" i="13"/>
  <c r="J3188" i="13"/>
  <c r="K3188" i="13"/>
  <c r="H3198" i="13"/>
  <c r="I3198" i="13"/>
  <c r="J3198" i="13"/>
  <c r="K3198" i="13"/>
  <c r="H3208" i="13"/>
  <c r="I3208" i="13"/>
  <c r="J3208" i="13"/>
  <c r="K3208" i="13"/>
  <c r="H3218" i="13"/>
  <c r="I3218" i="13"/>
  <c r="J3218" i="13"/>
  <c r="K3218" i="13"/>
  <c r="H3228" i="13"/>
  <c r="I3228" i="13"/>
  <c r="J3228" i="13"/>
  <c r="K3228" i="13"/>
  <c r="H3238" i="13"/>
  <c r="I3238" i="13"/>
  <c r="J3238" i="13"/>
  <c r="K3238" i="13"/>
  <c r="H3248" i="13"/>
  <c r="I3248" i="13"/>
  <c r="J3248" i="13"/>
  <c r="K3248" i="13"/>
  <c r="H3258" i="13"/>
  <c r="I3258" i="13"/>
  <c r="J3258" i="13"/>
  <c r="K3258" i="13"/>
  <c r="H3268" i="13"/>
  <c r="I3268" i="13"/>
  <c r="J3268" i="13"/>
  <c r="K3268" i="13"/>
  <c r="H3278" i="13"/>
  <c r="I3278" i="13"/>
  <c r="J3278" i="13"/>
  <c r="K3278" i="13"/>
  <c r="H3288" i="13"/>
  <c r="I3288" i="13"/>
  <c r="J3288" i="13"/>
  <c r="K3288" i="13"/>
  <c r="H3298" i="13"/>
  <c r="I3298" i="13"/>
  <c r="J3298" i="13"/>
  <c r="K3298" i="13"/>
  <c r="H3308" i="13"/>
  <c r="I3308" i="13"/>
  <c r="J3308" i="13"/>
  <c r="K3308" i="13"/>
  <c r="H3318" i="13"/>
  <c r="I3318" i="13"/>
  <c r="J3318" i="13"/>
  <c r="K3318" i="13"/>
  <c r="H3328" i="13"/>
  <c r="I3328" i="13"/>
  <c r="J3328" i="13"/>
  <c r="K3328" i="13"/>
  <c r="H3338" i="13"/>
  <c r="I3338" i="13"/>
  <c r="J3338" i="13"/>
  <c r="K3338" i="13"/>
  <c r="H3348" i="13"/>
  <c r="I3348" i="13"/>
  <c r="J3348" i="13"/>
  <c r="K3348" i="13"/>
  <c r="H3358" i="13"/>
  <c r="I3358" i="13"/>
  <c r="J3358" i="13"/>
  <c r="K3358" i="13"/>
  <c r="H3368" i="13"/>
  <c r="I3368" i="13"/>
  <c r="J3368" i="13"/>
  <c r="K3368" i="13"/>
  <c r="H3378" i="13"/>
  <c r="I3378" i="13"/>
  <c r="J3378" i="13"/>
  <c r="K3378" i="13"/>
  <c r="H3388" i="13"/>
  <c r="I3388" i="13"/>
  <c r="J3388" i="13"/>
  <c r="K3388" i="13"/>
  <c r="B3108" i="13"/>
  <c r="C3108" i="13"/>
  <c r="D3108" i="13"/>
  <c r="E3108" i="13"/>
  <c r="B3118" i="13"/>
  <c r="C3118" i="13"/>
  <c r="D3118" i="13"/>
  <c r="B3119" i="13" s="1"/>
  <c r="E3118" i="13"/>
  <c r="B3128" i="13"/>
  <c r="C3128" i="13"/>
  <c r="D3128" i="13"/>
  <c r="E3128" i="13"/>
  <c r="B3138" i="13"/>
  <c r="C3138" i="13"/>
  <c r="D3138" i="13"/>
  <c r="B3139" i="13" s="1"/>
  <c r="E3138" i="13"/>
  <c r="B3148" i="13"/>
  <c r="C3148" i="13"/>
  <c r="D3148" i="13"/>
  <c r="E3148" i="13"/>
  <c r="B3158" i="13"/>
  <c r="C3158" i="13"/>
  <c r="D3158" i="13"/>
  <c r="E3158" i="13"/>
  <c r="B3168" i="13"/>
  <c r="C3168" i="13"/>
  <c r="D3168" i="13"/>
  <c r="E3168" i="13"/>
  <c r="B3178" i="13"/>
  <c r="C3178" i="13"/>
  <c r="D3178" i="13"/>
  <c r="E3178" i="13"/>
  <c r="B3188" i="13"/>
  <c r="C3188" i="13"/>
  <c r="D3188" i="13"/>
  <c r="E3188" i="13"/>
  <c r="B3198" i="13"/>
  <c r="C3198" i="13"/>
  <c r="D3198" i="13"/>
  <c r="E3198" i="13"/>
  <c r="B3208" i="13"/>
  <c r="C3208" i="13"/>
  <c r="D3208" i="13"/>
  <c r="E3208" i="13"/>
  <c r="B3218" i="13"/>
  <c r="C3218" i="13"/>
  <c r="D3218" i="13"/>
  <c r="E3218" i="13"/>
  <c r="B3228" i="13"/>
  <c r="C3228" i="13"/>
  <c r="D3228" i="13"/>
  <c r="E3228" i="13"/>
  <c r="B3238" i="13"/>
  <c r="C3238" i="13"/>
  <c r="D3238" i="13"/>
  <c r="E3238" i="13"/>
  <c r="B3248" i="13"/>
  <c r="C3248" i="13"/>
  <c r="D3248" i="13"/>
  <c r="E3248" i="13"/>
  <c r="B3258" i="13"/>
  <c r="C3258" i="13"/>
  <c r="D3258" i="13"/>
  <c r="E3258" i="13"/>
  <c r="B3268" i="13"/>
  <c r="C3268" i="13"/>
  <c r="D3268" i="13"/>
  <c r="E3268" i="13"/>
  <c r="B3278" i="13"/>
  <c r="C3278" i="13"/>
  <c r="D3278" i="13"/>
  <c r="E3278" i="13"/>
  <c r="B3288" i="13"/>
  <c r="C3288" i="13"/>
  <c r="D3288" i="13"/>
  <c r="E3288" i="13"/>
  <c r="B3298" i="13"/>
  <c r="C3298" i="13"/>
  <c r="D3298" i="13"/>
  <c r="E3298" i="13"/>
  <c r="B3308" i="13"/>
  <c r="C3308" i="13"/>
  <c r="D3308" i="13"/>
  <c r="E3308" i="13"/>
  <c r="B3318" i="13"/>
  <c r="C3318" i="13"/>
  <c r="D3318" i="13"/>
  <c r="E3318" i="13"/>
  <c r="B3328" i="13"/>
  <c r="C3328" i="13"/>
  <c r="D3328" i="13"/>
  <c r="E3328" i="13"/>
  <c r="B3338" i="13"/>
  <c r="C3338" i="13"/>
  <c r="D3338" i="13"/>
  <c r="E3338" i="13"/>
  <c r="B3348" i="13"/>
  <c r="C3348" i="13"/>
  <c r="D3348" i="13"/>
  <c r="E3348" i="13"/>
  <c r="B3358" i="13"/>
  <c r="C3358" i="13"/>
  <c r="D3358" i="13"/>
  <c r="E3358" i="13"/>
  <c r="B3368" i="13"/>
  <c r="C3368" i="13"/>
  <c r="D3368" i="13"/>
  <c r="E3368" i="13"/>
  <c r="B3378" i="13"/>
  <c r="C3378" i="13"/>
  <c r="D3378" i="13"/>
  <c r="E3378" i="13"/>
  <c r="B3388" i="13"/>
  <c r="C3388" i="13"/>
  <c r="D3388" i="13"/>
  <c r="E3388" i="13"/>
  <c r="K3098" i="13"/>
  <c r="J3098" i="13"/>
  <c r="I3098" i="13"/>
  <c r="H3098" i="13"/>
  <c r="E3098" i="13"/>
  <c r="D3098" i="13"/>
  <c r="C3098" i="13"/>
  <c r="B3098" i="13"/>
  <c r="H2795" i="13"/>
  <c r="I2795" i="13"/>
  <c r="J2795" i="13"/>
  <c r="K2795" i="13"/>
  <c r="H2805" i="13"/>
  <c r="I2805" i="13"/>
  <c r="J2805" i="13"/>
  <c r="K2805" i="13"/>
  <c r="H2815" i="13"/>
  <c r="I2815" i="13"/>
  <c r="J2815" i="13"/>
  <c r="K2815" i="13"/>
  <c r="H2825" i="13"/>
  <c r="I2825" i="13"/>
  <c r="J2825" i="13"/>
  <c r="K2825" i="13"/>
  <c r="H2835" i="13"/>
  <c r="I2835" i="13"/>
  <c r="J2835" i="13"/>
  <c r="K2835" i="13"/>
  <c r="H2845" i="13"/>
  <c r="I2845" i="13"/>
  <c r="J2845" i="13"/>
  <c r="K2845" i="13"/>
  <c r="H2855" i="13"/>
  <c r="I2855" i="13"/>
  <c r="J2855" i="13"/>
  <c r="K2855" i="13"/>
  <c r="H2865" i="13"/>
  <c r="I2865" i="13"/>
  <c r="J2865" i="13"/>
  <c r="K2865" i="13"/>
  <c r="H2875" i="13"/>
  <c r="I2875" i="13"/>
  <c r="J2875" i="13"/>
  <c r="K2875" i="13"/>
  <c r="H2885" i="13"/>
  <c r="I2885" i="13"/>
  <c r="J2885" i="13"/>
  <c r="H2886" i="13" s="1"/>
  <c r="K2885" i="13"/>
  <c r="H2895" i="13"/>
  <c r="I2895" i="13"/>
  <c r="J2895" i="13"/>
  <c r="K2895" i="13"/>
  <c r="H2905" i="13"/>
  <c r="I2905" i="13"/>
  <c r="J2905" i="13"/>
  <c r="H2906" i="13" s="1"/>
  <c r="K2905" i="13"/>
  <c r="H2915" i="13"/>
  <c r="I2915" i="13"/>
  <c r="J2915" i="13"/>
  <c r="K2915" i="13"/>
  <c r="H2925" i="13"/>
  <c r="I2925" i="13"/>
  <c r="J2925" i="13"/>
  <c r="K2925" i="13"/>
  <c r="H2935" i="13"/>
  <c r="I2935" i="13"/>
  <c r="J2935" i="13"/>
  <c r="K2935" i="13"/>
  <c r="H2945" i="13"/>
  <c r="I2945" i="13"/>
  <c r="J2945" i="13"/>
  <c r="K2945" i="13"/>
  <c r="H2955" i="13"/>
  <c r="I2955" i="13"/>
  <c r="J2955" i="13"/>
  <c r="K2955" i="13"/>
  <c r="H2965" i="13"/>
  <c r="I2965" i="13"/>
  <c r="J2965" i="13"/>
  <c r="K2965" i="13"/>
  <c r="H2975" i="13"/>
  <c r="I2975" i="13"/>
  <c r="J2975" i="13"/>
  <c r="K2975" i="13"/>
  <c r="H2985" i="13"/>
  <c r="I2985" i="13"/>
  <c r="J2985" i="13"/>
  <c r="K2985" i="13"/>
  <c r="H2995" i="13"/>
  <c r="I2995" i="13"/>
  <c r="J2995" i="13"/>
  <c r="K2995" i="13"/>
  <c r="H3005" i="13"/>
  <c r="I3005" i="13"/>
  <c r="J3005" i="13"/>
  <c r="K3005" i="13"/>
  <c r="H3015" i="13"/>
  <c r="I3015" i="13"/>
  <c r="J3015" i="13"/>
  <c r="K3015" i="13"/>
  <c r="H3025" i="13"/>
  <c r="I3025" i="13"/>
  <c r="J3025" i="13"/>
  <c r="K3025" i="13"/>
  <c r="H3035" i="13"/>
  <c r="I3035" i="13"/>
  <c r="J3035" i="13"/>
  <c r="K3035" i="13"/>
  <c r="H3045" i="13"/>
  <c r="I3045" i="13"/>
  <c r="J3045" i="13"/>
  <c r="K3045" i="13"/>
  <c r="H3055" i="13"/>
  <c r="I3055" i="13"/>
  <c r="J3055" i="13"/>
  <c r="K3055" i="13"/>
  <c r="H3065" i="13"/>
  <c r="I3065" i="13"/>
  <c r="J3065" i="13"/>
  <c r="K3065" i="13"/>
  <c r="H3075" i="13"/>
  <c r="I3075" i="13"/>
  <c r="J3075" i="13"/>
  <c r="K3075" i="13"/>
  <c r="H3085" i="13"/>
  <c r="I3085" i="13"/>
  <c r="J3085" i="13"/>
  <c r="K3085" i="13"/>
  <c r="B2795" i="13"/>
  <c r="C2795" i="13"/>
  <c r="D2795" i="13"/>
  <c r="E2795" i="13"/>
  <c r="B2805" i="13"/>
  <c r="C2805" i="13"/>
  <c r="D2805" i="13"/>
  <c r="E2805" i="13"/>
  <c r="B2815" i="13"/>
  <c r="C2815" i="13"/>
  <c r="D2815" i="13"/>
  <c r="E2815" i="13"/>
  <c r="B2825" i="13"/>
  <c r="C2825" i="13"/>
  <c r="D2825" i="13"/>
  <c r="E2825" i="13"/>
  <c r="B2835" i="13"/>
  <c r="C2835" i="13"/>
  <c r="D2835" i="13"/>
  <c r="E2835" i="13"/>
  <c r="B2845" i="13"/>
  <c r="C2845" i="13"/>
  <c r="D2845" i="13"/>
  <c r="E2845" i="13"/>
  <c r="C2855" i="13"/>
  <c r="D2855" i="13"/>
  <c r="E2855" i="13"/>
  <c r="B2865" i="13"/>
  <c r="C2865" i="13"/>
  <c r="D2865" i="13"/>
  <c r="E2865" i="13"/>
  <c r="B2875" i="13"/>
  <c r="C2875" i="13"/>
  <c r="D2875" i="13"/>
  <c r="E2875" i="13"/>
  <c r="B2885" i="13"/>
  <c r="C2885" i="13"/>
  <c r="D2885" i="13"/>
  <c r="E2885" i="13"/>
  <c r="B2895" i="13"/>
  <c r="C2895" i="13"/>
  <c r="D2895" i="13"/>
  <c r="E2895" i="13"/>
  <c r="B2905" i="13"/>
  <c r="C2905" i="13"/>
  <c r="D2905" i="13"/>
  <c r="E2905" i="13"/>
  <c r="B2915" i="13"/>
  <c r="C2915" i="13"/>
  <c r="D2915" i="13"/>
  <c r="E2915" i="13"/>
  <c r="B2925" i="13"/>
  <c r="C2925" i="13"/>
  <c r="D2925" i="13"/>
  <c r="E2925" i="13"/>
  <c r="B2935" i="13"/>
  <c r="C2935" i="13"/>
  <c r="D2935" i="13"/>
  <c r="E2935" i="13"/>
  <c r="B2945" i="13"/>
  <c r="C2945" i="13"/>
  <c r="D2945" i="13"/>
  <c r="E2945" i="13"/>
  <c r="B2955" i="13"/>
  <c r="C2955" i="13"/>
  <c r="D2955" i="13"/>
  <c r="E2955" i="13"/>
  <c r="B2965" i="13"/>
  <c r="C2965" i="13"/>
  <c r="D2965" i="13"/>
  <c r="E2965" i="13"/>
  <c r="B2975" i="13"/>
  <c r="C2975" i="13"/>
  <c r="D2975" i="13"/>
  <c r="E2975" i="13"/>
  <c r="B2985" i="13"/>
  <c r="C2985" i="13"/>
  <c r="B2986" i="13" s="1"/>
  <c r="D2985" i="13"/>
  <c r="E2985" i="13"/>
  <c r="B2995" i="13"/>
  <c r="C2995" i="13"/>
  <c r="D2995" i="13"/>
  <c r="E2995" i="13"/>
  <c r="B3005" i="13"/>
  <c r="C3005" i="13"/>
  <c r="D3005" i="13"/>
  <c r="E3005" i="13"/>
  <c r="B3015" i="13"/>
  <c r="C3015" i="13"/>
  <c r="D3015" i="13"/>
  <c r="E3015" i="13"/>
  <c r="B3025" i="13"/>
  <c r="C3025" i="13"/>
  <c r="D3025" i="13"/>
  <c r="E3025" i="13"/>
  <c r="B3035" i="13"/>
  <c r="C3035" i="13"/>
  <c r="D3035" i="13"/>
  <c r="E3035" i="13"/>
  <c r="B3045" i="13"/>
  <c r="C3045" i="13"/>
  <c r="D3045" i="13"/>
  <c r="E3045" i="13"/>
  <c r="B3055" i="13"/>
  <c r="C3055" i="13"/>
  <c r="D3055" i="13"/>
  <c r="E3055" i="13"/>
  <c r="B3065" i="13"/>
  <c r="C3065" i="13"/>
  <c r="D3065" i="13"/>
  <c r="E3065" i="13"/>
  <c r="B3075" i="13"/>
  <c r="C3075" i="13"/>
  <c r="D3075" i="13"/>
  <c r="E3075" i="13"/>
  <c r="B3085" i="13"/>
  <c r="C3085" i="13"/>
  <c r="D3085" i="13"/>
  <c r="E3085" i="13"/>
  <c r="K2785" i="13"/>
  <c r="J2785" i="13"/>
  <c r="I2785" i="13"/>
  <c r="H2785" i="13"/>
  <c r="E2785" i="13"/>
  <c r="D2785" i="13"/>
  <c r="C2785" i="13"/>
  <c r="B2785" i="13"/>
  <c r="K2480" i="13"/>
  <c r="J2480" i="13"/>
  <c r="I2480" i="13"/>
  <c r="H2480" i="13"/>
  <c r="E2480" i="13"/>
  <c r="D2480" i="13"/>
  <c r="C2480" i="13"/>
  <c r="B2480" i="13"/>
  <c r="H1864" i="13"/>
  <c r="I1864" i="13"/>
  <c r="J1864" i="13"/>
  <c r="K1864" i="13"/>
  <c r="H1874" i="13"/>
  <c r="I1874" i="13"/>
  <c r="J1874" i="13"/>
  <c r="K1874" i="13"/>
  <c r="H1884" i="13"/>
  <c r="I1884" i="13"/>
  <c r="J1884" i="13"/>
  <c r="K1884" i="13"/>
  <c r="H1894" i="13"/>
  <c r="I1894" i="13"/>
  <c r="J1894" i="13"/>
  <c r="K1894" i="13"/>
  <c r="H1904" i="13"/>
  <c r="I1904" i="13"/>
  <c r="J1904" i="13"/>
  <c r="K1904" i="13"/>
  <c r="H1914" i="13"/>
  <c r="I1914" i="13"/>
  <c r="J1914" i="13"/>
  <c r="K1914" i="13"/>
  <c r="H1924" i="13"/>
  <c r="I1924" i="13"/>
  <c r="J1924" i="13"/>
  <c r="K1924" i="13"/>
  <c r="H1934" i="13"/>
  <c r="I1934" i="13"/>
  <c r="H1935" i="13" s="1"/>
  <c r="J1934" i="13"/>
  <c r="K1934" i="13"/>
  <c r="H1944" i="13"/>
  <c r="I1944" i="13"/>
  <c r="H1945" i="13" s="1"/>
  <c r="J1944" i="13"/>
  <c r="K1944" i="13"/>
  <c r="H1954" i="13"/>
  <c r="I1954" i="13"/>
  <c r="J1954" i="13"/>
  <c r="K1954" i="13"/>
  <c r="H1964" i="13"/>
  <c r="I1964" i="13"/>
  <c r="J1964" i="13"/>
  <c r="K1964" i="13"/>
  <c r="H1974" i="13"/>
  <c r="I1974" i="13"/>
  <c r="J1974" i="13"/>
  <c r="K1974" i="13"/>
  <c r="H1984" i="13"/>
  <c r="I1984" i="13"/>
  <c r="J1984" i="13"/>
  <c r="K1984" i="13"/>
  <c r="H1994" i="13"/>
  <c r="I1994" i="13"/>
  <c r="J1994" i="13"/>
  <c r="K1994" i="13"/>
  <c r="H2004" i="13"/>
  <c r="I2004" i="13"/>
  <c r="J2004" i="13"/>
  <c r="K2004" i="13"/>
  <c r="H2014" i="13"/>
  <c r="I2014" i="13"/>
  <c r="J2014" i="13"/>
  <c r="K2014" i="13"/>
  <c r="H2024" i="13"/>
  <c r="I2024" i="13"/>
  <c r="J2024" i="13"/>
  <c r="K2024" i="13"/>
  <c r="H2034" i="13"/>
  <c r="I2034" i="13"/>
  <c r="J2034" i="13"/>
  <c r="K2034" i="13"/>
  <c r="H2044" i="13"/>
  <c r="I2044" i="13"/>
  <c r="J2044" i="13"/>
  <c r="K2044" i="13"/>
  <c r="H2054" i="13"/>
  <c r="I2054" i="13"/>
  <c r="J2054" i="13"/>
  <c r="K2054" i="13"/>
  <c r="H2064" i="13"/>
  <c r="I2064" i="13"/>
  <c r="J2064" i="13"/>
  <c r="K2064" i="13"/>
  <c r="H2074" i="13"/>
  <c r="I2074" i="13"/>
  <c r="J2074" i="13"/>
  <c r="K2074" i="13"/>
  <c r="H2084" i="13"/>
  <c r="I2084" i="13"/>
  <c r="J2084" i="13"/>
  <c r="K2084" i="13"/>
  <c r="H2094" i="13"/>
  <c r="I2094" i="13"/>
  <c r="J2094" i="13"/>
  <c r="K2094" i="13"/>
  <c r="H2104" i="13"/>
  <c r="I2104" i="13"/>
  <c r="J2104" i="13"/>
  <c r="K2104" i="13"/>
  <c r="H2114" i="13"/>
  <c r="I2114" i="13"/>
  <c r="J2114" i="13"/>
  <c r="K2114" i="13"/>
  <c r="H2124" i="13"/>
  <c r="I2124" i="13"/>
  <c r="J2124" i="13"/>
  <c r="K2124" i="13"/>
  <c r="H2134" i="13"/>
  <c r="I2134" i="13"/>
  <c r="J2134" i="13"/>
  <c r="K2134" i="13"/>
  <c r="H2144" i="13"/>
  <c r="I2144" i="13"/>
  <c r="J2144" i="13"/>
  <c r="K2144" i="13"/>
  <c r="H2154" i="13"/>
  <c r="I2154" i="13"/>
  <c r="J2154" i="13"/>
  <c r="K2154" i="13"/>
  <c r="B1864" i="13"/>
  <c r="C1864" i="13"/>
  <c r="D1864" i="13"/>
  <c r="E1864" i="13"/>
  <c r="B1874" i="13"/>
  <c r="C1874" i="13"/>
  <c r="D1874" i="13"/>
  <c r="E1874" i="13"/>
  <c r="B1884" i="13"/>
  <c r="C1884" i="13"/>
  <c r="D1884" i="13"/>
  <c r="E1884" i="13"/>
  <c r="B1894" i="13"/>
  <c r="C1894" i="13"/>
  <c r="B1895" i="13" s="1"/>
  <c r="D1894" i="13"/>
  <c r="E1894" i="13"/>
  <c r="B1904" i="13"/>
  <c r="C1904" i="13"/>
  <c r="D1904" i="13"/>
  <c r="E1904" i="13"/>
  <c r="B1914" i="13"/>
  <c r="C1914" i="13"/>
  <c r="D1914" i="13"/>
  <c r="E1914" i="13"/>
  <c r="B1924" i="13"/>
  <c r="C1924" i="13"/>
  <c r="D1924" i="13"/>
  <c r="E1924" i="13"/>
  <c r="B1934" i="13"/>
  <c r="C1934" i="13"/>
  <c r="D1934" i="13"/>
  <c r="E1934" i="13"/>
  <c r="B1944" i="13"/>
  <c r="C1944" i="13"/>
  <c r="D1944" i="13"/>
  <c r="E1944" i="13"/>
  <c r="B1954" i="13"/>
  <c r="C1954" i="13"/>
  <c r="D1954" i="13"/>
  <c r="E1954" i="13"/>
  <c r="B1964" i="13"/>
  <c r="C1964" i="13"/>
  <c r="D1964" i="13"/>
  <c r="E1964" i="13"/>
  <c r="B1974" i="13"/>
  <c r="C1974" i="13"/>
  <c r="D1974" i="13"/>
  <c r="E1974" i="13"/>
  <c r="B1984" i="13"/>
  <c r="C1984" i="13"/>
  <c r="D1984" i="13"/>
  <c r="E1984" i="13"/>
  <c r="B1994" i="13"/>
  <c r="C1994" i="13"/>
  <c r="D1994" i="13"/>
  <c r="E1994" i="13"/>
  <c r="B2004" i="13"/>
  <c r="C2004" i="13"/>
  <c r="D2004" i="13"/>
  <c r="E2004" i="13"/>
  <c r="B2014" i="13"/>
  <c r="C2014" i="13"/>
  <c r="D2014" i="13"/>
  <c r="E2014" i="13"/>
  <c r="B2024" i="13"/>
  <c r="C2024" i="13"/>
  <c r="D2024" i="13"/>
  <c r="E2024" i="13"/>
  <c r="B2034" i="13"/>
  <c r="C2034" i="13"/>
  <c r="D2034" i="13"/>
  <c r="E2034" i="13"/>
  <c r="B2044" i="13"/>
  <c r="C2044" i="13"/>
  <c r="D2044" i="13"/>
  <c r="E2044" i="13"/>
  <c r="B2054" i="13"/>
  <c r="C2054" i="13"/>
  <c r="D2054" i="13"/>
  <c r="E2054" i="13"/>
  <c r="B2064" i="13"/>
  <c r="C2064" i="13"/>
  <c r="D2064" i="13"/>
  <c r="E2064" i="13"/>
  <c r="B2074" i="13"/>
  <c r="C2074" i="13"/>
  <c r="D2074" i="13"/>
  <c r="E2074" i="13"/>
  <c r="B2084" i="13"/>
  <c r="C2084" i="13"/>
  <c r="D2084" i="13"/>
  <c r="E2084" i="13"/>
  <c r="B2094" i="13"/>
  <c r="C2094" i="13"/>
  <c r="B2095" i="13" s="1"/>
  <c r="D2094" i="13"/>
  <c r="E2094" i="13"/>
  <c r="B2104" i="13"/>
  <c r="C2104" i="13"/>
  <c r="D2104" i="13"/>
  <c r="E2104" i="13"/>
  <c r="B2114" i="13"/>
  <c r="C2114" i="13"/>
  <c r="D2114" i="13"/>
  <c r="E2114" i="13"/>
  <c r="B2124" i="13"/>
  <c r="C2124" i="13"/>
  <c r="D2124" i="13"/>
  <c r="E2124" i="13"/>
  <c r="B2134" i="13"/>
  <c r="C2134" i="13"/>
  <c r="D2134" i="13"/>
  <c r="E2134" i="13"/>
  <c r="B2144" i="13"/>
  <c r="C2144" i="13"/>
  <c r="D2144" i="13"/>
  <c r="E2144" i="13"/>
  <c r="B2154" i="13"/>
  <c r="C2154" i="13"/>
  <c r="D2154" i="13"/>
  <c r="E2154" i="13"/>
  <c r="K1854" i="13"/>
  <c r="J1854" i="13"/>
  <c r="I1854" i="13"/>
  <c r="H1854" i="13"/>
  <c r="E1854" i="13"/>
  <c r="D1854" i="13"/>
  <c r="C1854" i="13"/>
  <c r="B1854" i="13"/>
  <c r="H1561" i="13"/>
  <c r="I1561" i="13"/>
  <c r="J1561" i="13"/>
  <c r="K1561" i="13"/>
  <c r="H1571" i="13"/>
  <c r="I1571" i="13"/>
  <c r="J1571" i="13"/>
  <c r="K1571" i="13"/>
  <c r="H1581" i="13"/>
  <c r="I1581" i="13"/>
  <c r="J1581" i="13"/>
  <c r="K1581" i="13"/>
  <c r="H1591" i="13"/>
  <c r="I1591" i="13"/>
  <c r="J1591" i="13"/>
  <c r="K1591" i="13"/>
  <c r="H1601" i="13"/>
  <c r="I1601" i="13"/>
  <c r="J1601" i="13"/>
  <c r="K1601" i="13"/>
  <c r="H1611" i="13"/>
  <c r="I1611" i="13"/>
  <c r="J1611" i="13"/>
  <c r="K1611" i="13"/>
  <c r="H1621" i="13"/>
  <c r="I1621" i="13"/>
  <c r="J1621" i="13"/>
  <c r="K1621" i="13"/>
  <c r="H1631" i="13"/>
  <c r="I1631" i="13"/>
  <c r="J1631" i="13"/>
  <c r="K1631" i="13"/>
  <c r="H1641" i="13"/>
  <c r="I1641" i="13"/>
  <c r="J1641" i="13"/>
  <c r="K1641" i="13"/>
  <c r="H1651" i="13"/>
  <c r="I1651" i="13"/>
  <c r="J1651" i="13"/>
  <c r="K1651" i="13"/>
  <c r="H1661" i="13"/>
  <c r="I1661" i="13"/>
  <c r="J1661" i="13"/>
  <c r="K1661" i="13"/>
  <c r="H1671" i="13"/>
  <c r="I1671" i="13"/>
  <c r="J1671" i="13"/>
  <c r="K1671" i="13"/>
  <c r="H1681" i="13"/>
  <c r="I1681" i="13"/>
  <c r="J1681" i="13"/>
  <c r="K1681" i="13"/>
  <c r="H1691" i="13"/>
  <c r="I1691" i="13"/>
  <c r="J1691" i="13"/>
  <c r="K1691" i="13"/>
  <c r="H1701" i="13"/>
  <c r="I1701" i="13"/>
  <c r="J1701" i="13"/>
  <c r="K1701" i="13"/>
  <c r="H1711" i="13"/>
  <c r="I1711" i="13"/>
  <c r="J1711" i="13"/>
  <c r="K1711" i="13"/>
  <c r="H1721" i="13"/>
  <c r="I1721" i="13"/>
  <c r="J1721" i="13"/>
  <c r="K1721" i="13"/>
  <c r="H1731" i="13"/>
  <c r="I1731" i="13"/>
  <c r="J1731" i="13"/>
  <c r="K1731" i="13"/>
  <c r="H1741" i="13"/>
  <c r="I1741" i="13"/>
  <c r="J1741" i="13"/>
  <c r="K1741" i="13"/>
  <c r="H1751" i="13"/>
  <c r="I1751" i="13"/>
  <c r="J1751" i="13"/>
  <c r="K1751" i="13"/>
  <c r="H1761" i="13"/>
  <c r="I1761" i="13"/>
  <c r="J1761" i="13"/>
  <c r="K1761" i="13"/>
  <c r="H1771" i="13"/>
  <c r="I1771" i="13"/>
  <c r="J1771" i="13"/>
  <c r="K1771" i="13"/>
  <c r="H1781" i="13"/>
  <c r="I1781" i="13"/>
  <c r="J1781" i="13"/>
  <c r="K1781" i="13"/>
  <c r="H1791" i="13"/>
  <c r="I1791" i="13"/>
  <c r="J1791" i="13"/>
  <c r="K1791" i="13"/>
  <c r="H1801" i="13"/>
  <c r="I1801" i="13"/>
  <c r="J1801" i="13"/>
  <c r="K1801" i="13"/>
  <c r="H1811" i="13"/>
  <c r="I1811" i="13"/>
  <c r="J1811" i="13"/>
  <c r="K1811" i="13"/>
  <c r="H1821" i="13"/>
  <c r="I1821" i="13"/>
  <c r="J1821" i="13"/>
  <c r="K1821" i="13"/>
  <c r="H1831" i="13"/>
  <c r="I1831" i="13"/>
  <c r="J1831" i="13"/>
  <c r="K1831" i="13"/>
  <c r="H1841" i="13"/>
  <c r="I1841" i="13"/>
  <c r="J1841" i="13"/>
  <c r="K1841" i="13"/>
  <c r="B1561" i="13"/>
  <c r="C1561" i="13"/>
  <c r="D1561" i="13"/>
  <c r="E1561" i="13"/>
  <c r="B1571" i="13"/>
  <c r="C1571" i="13"/>
  <c r="D1571" i="13"/>
  <c r="E1571" i="13"/>
  <c r="B1581" i="13"/>
  <c r="C1581" i="13"/>
  <c r="D1581" i="13"/>
  <c r="E1581" i="13"/>
  <c r="B1591" i="13"/>
  <c r="C1591" i="13"/>
  <c r="D1591" i="13"/>
  <c r="E1591" i="13"/>
  <c r="B1601" i="13"/>
  <c r="C1601" i="13"/>
  <c r="D1601" i="13"/>
  <c r="E1601" i="13"/>
  <c r="B1611" i="13"/>
  <c r="C1611" i="13"/>
  <c r="D1611" i="13"/>
  <c r="E1611" i="13"/>
  <c r="B1621" i="13"/>
  <c r="C1621" i="13"/>
  <c r="D1621" i="13"/>
  <c r="E1621" i="13"/>
  <c r="B1631" i="13"/>
  <c r="C1631" i="13"/>
  <c r="D1631" i="13"/>
  <c r="E1631" i="13"/>
  <c r="B1641" i="13"/>
  <c r="C1641" i="13"/>
  <c r="D1641" i="13"/>
  <c r="E1641" i="13"/>
  <c r="B1651" i="13"/>
  <c r="C1651" i="13"/>
  <c r="D1651" i="13"/>
  <c r="E1651" i="13"/>
  <c r="B1661" i="13"/>
  <c r="C1661" i="13"/>
  <c r="D1661" i="13"/>
  <c r="E1661" i="13"/>
  <c r="B1671" i="13"/>
  <c r="C1671" i="13"/>
  <c r="D1671" i="13"/>
  <c r="E1671" i="13"/>
  <c r="B1681" i="13"/>
  <c r="C1681" i="13"/>
  <c r="D1681" i="13"/>
  <c r="E1681" i="13"/>
  <c r="B1691" i="13"/>
  <c r="C1691" i="13"/>
  <c r="D1691" i="13"/>
  <c r="E1691" i="13"/>
  <c r="B1701" i="13"/>
  <c r="C1701" i="13"/>
  <c r="D1701" i="13"/>
  <c r="E1701" i="13"/>
  <c r="B1711" i="13"/>
  <c r="C1711" i="13"/>
  <c r="D1711" i="13"/>
  <c r="E1711" i="13"/>
  <c r="B1721" i="13"/>
  <c r="C1721" i="13"/>
  <c r="D1721" i="13"/>
  <c r="E1721" i="13"/>
  <c r="B1731" i="13"/>
  <c r="C1731" i="13"/>
  <c r="D1731" i="13"/>
  <c r="E1731" i="13"/>
  <c r="B1741" i="13"/>
  <c r="C1741" i="13"/>
  <c r="D1741" i="13"/>
  <c r="E1741" i="13"/>
  <c r="B1751" i="13"/>
  <c r="C1751" i="13"/>
  <c r="D1751" i="13"/>
  <c r="E1751" i="13"/>
  <c r="B1761" i="13"/>
  <c r="C1761" i="13"/>
  <c r="D1761" i="13"/>
  <c r="E1761" i="13"/>
  <c r="B1771" i="13"/>
  <c r="C1771" i="13"/>
  <c r="D1771" i="13"/>
  <c r="E1771" i="13"/>
  <c r="B1781" i="13"/>
  <c r="C1781" i="13"/>
  <c r="D1781" i="13"/>
  <c r="E1781" i="13"/>
  <c r="B1791" i="13"/>
  <c r="C1791" i="13"/>
  <c r="D1791" i="13"/>
  <c r="E1791" i="13"/>
  <c r="B1801" i="13"/>
  <c r="C1801" i="13"/>
  <c r="D1801" i="13"/>
  <c r="E1801" i="13"/>
  <c r="B1811" i="13"/>
  <c r="C1811" i="13"/>
  <c r="D1811" i="13"/>
  <c r="E1811" i="13"/>
  <c r="B1821" i="13"/>
  <c r="C1821" i="13"/>
  <c r="D1821" i="13"/>
  <c r="E1821" i="13"/>
  <c r="B1831" i="13"/>
  <c r="C1831" i="13"/>
  <c r="D1831" i="13"/>
  <c r="E1831" i="13"/>
  <c r="B1841" i="13"/>
  <c r="C1841" i="13"/>
  <c r="D1841" i="13"/>
  <c r="E1841" i="13"/>
  <c r="K1551" i="13"/>
  <c r="J1551" i="13"/>
  <c r="I1551" i="13"/>
  <c r="H1551" i="13"/>
  <c r="E1551" i="13"/>
  <c r="D1551" i="13"/>
  <c r="C1551" i="13"/>
  <c r="B1551" i="13"/>
  <c r="H1247" i="13"/>
  <c r="I1247" i="13"/>
  <c r="J1247" i="13"/>
  <c r="K1247" i="13"/>
  <c r="H1257" i="13"/>
  <c r="I1257" i="13"/>
  <c r="J1257" i="13"/>
  <c r="K1257" i="13"/>
  <c r="H1267" i="13"/>
  <c r="I1267" i="13"/>
  <c r="J1267" i="13"/>
  <c r="K1267" i="13"/>
  <c r="H1277" i="13"/>
  <c r="I1277" i="13"/>
  <c r="J1277" i="13"/>
  <c r="K1277" i="13"/>
  <c r="H1287" i="13"/>
  <c r="I1287" i="13"/>
  <c r="J1287" i="13"/>
  <c r="K1287" i="13"/>
  <c r="H1297" i="13"/>
  <c r="I1297" i="13"/>
  <c r="J1297" i="13"/>
  <c r="K1297" i="13"/>
  <c r="H1307" i="13"/>
  <c r="I1307" i="13"/>
  <c r="J1307" i="13"/>
  <c r="K1307" i="13"/>
  <c r="H1317" i="13"/>
  <c r="I1317" i="13"/>
  <c r="J1317" i="13"/>
  <c r="K1317" i="13"/>
  <c r="H1327" i="13"/>
  <c r="I1327" i="13"/>
  <c r="J1327" i="13"/>
  <c r="K1327" i="13"/>
  <c r="H1337" i="13"/>
  <c r="I1337" i="13"/>
  <c r="J1337" i="13"/>
  <c r="K1337" i="13"/>
  <c r="H1347" i="13"/>
  <c r="I1347" i="13"/>
  <c r="J1347" i="13"/>
  <c r="K1347" i="13"/>
  <c r="H1357" i="13"/>
  <c r="I1357" i="13"/>
  <c r="J1357" i="13"/>
  <c r="K1357" i="13"/>
  <c r="H1367" i="13"/>
  <c r="I1367" i="13"/>
  <c r="J1367" i="13"/>
  <c r="K1367" i="13"/>
  <c r="H1377" i="13"/>
  <c r="I1377" i="13"/>
  <c r="J1377" i="13"/>
  <c r="K1377" i="13"/>
  <c r="H1387" i="13"/>
  <c r="I1387" i="13"/>
  <c r="J1387" i="13"/>
  <c r="K1387" i="13"/>
  <c r="H1397" i="13"/>
  <c r="I1397" i="13"/>
  <c r="J1397" i="13"/>
  <c r="K1397" i="13"/>
  <c r="H1407" i="13"/>
  <c r="I1407" i="13"/>
  <c r="J1407" i="13"/>
  <c r="K1407" i="13"/>
  <c r="H1417" i="13"/>
  <c r="I1417" i="13"/>
  <c r="J1417" i="13"/>
  <c r="K1417" i="13"/>
  <c r="H1427" i="13"/>
  <c r="I1427" i="13"/>
  <c r="J1427" i="13"/>
  <c r="K1427" i="13"/>
  <c r="H1437" i="13"/>
  <c r="I1437" i="13"/>
  <c r="J1437" i="13"/>
  <c r="K1437" i="13"/>
  <c r="H1447" i="13"/>
  <c r="I1447" i="13"/>
  <c r="J1447" i="13"/>
  <c r="K1447" i="13"/>
  <c r="H1457" i="13"/>
  <c r="I1457" i="13"/>
  <c r="J1457" i="13"/>
  <c r="K1457" i="13"/>
  <c r="H1467" i="13"/>
  <c r="I1467" i="13"/>
  <c r="J1467" i="13"/>
  <c r="K1467" i="13"/>
  <c r="H1477" i="13"/>
  <c r="I1477" i="13"/>
  <c r="J1477" i="13"/>
  <c r="K1477" i="13"/>
  <c r="H1487" i="13"/>
  <c r="I1487" i="13"/>
  <c r="J1487" i="13"/>
  <c r="K1487" i="13"/>
  <c r="H1497" i="13"/>
  <c r="I1497" i="13"/>
  <c r="J1497" i="13"/>
  <c r="K1497" i="13"/>
  <c r="H1507" i="13"/>
  <c r="I1507" i="13"/>
  <c r="J1507" i="13"/>
  <c r="K1507" i="13"/>
  <c r="H1517" i="13"/>
  <c r="I1517" i="13"/>
  <c r="J1517" i="13"/>
  <c r="K1517" i="13"/>
  <c r="H1527" i="13"/>
  <c r="I1527" i="13"/>
  <c r="J1527" i="13"/>
  <c r="K1527" i="13"/>
  <c r="H1537" i="13"/>
  <c r="I1537" i="13"/>
  <c r="J1537" i="13"/>
  <c r="K1537" i="13"/>
  <c r="B1247" i="13"/>
  <c r="C1247" i="13"/>
  <c r="D1247" i="13"/>
  <c r="E1247" i="13"/>
  <c r="B1257" i="13"/>
  <c r="C1257" i="13"/>
  <c r="D1257" i="13"/>
  <c r="E1257" i="13"/>
  <c r="B1267" i="13"/>
  <c r="C1267" i="13"/>
  <c r="D1267" i="13"/>
  <c r="E1267" i="13"/>
  <c r="B1277" i="13"/>
  <c r="C1277" i="13"/>
  <c r="D1277" i="13"/>
  <c r="E1277" i="13"/>
  <c r="B1287" i="13"/>
  <c r="C1287" i="13"/>
  <c r="D1287" i="13"/>
  <c r="E1287" i="13"/>
  <c r="B1297" i="13"/>
  <c r="C1297" i="13"/>
  <c r="D1297" i="13"/>
  <c r="E1297" i="13"/>
  <c r="B1307" i="13"/>
  <c r="C1307" i="13"/>
  <c r="D1307" i="13"/>
  <c r="E1307" i="13"/>
  <c r="B1317" i="13"/>
  <c r="C1317" i="13"/>
  <c r="D1317" i="13"/>
  <c r="E1317" i="13"/>
  <c r="B1327" i="13"/>
  <c r="C1327" i="13"/>
  <c r="D1327" i="13"/>
  <c r="E1327" i="13"/>
  <c r="B1337" i="13"/>
  <c r="C1337" i="13"/>
  <c r="D1337" i="13"/>
  <c r="E1337" i="13"/>
  <c r="B1347" i="13"/>
  <c r="C1347" i="13"/>
  <c r="D1347" i="13"/>
  <c r="E1347" i="13"/>
  <c r="B1357" i="13"/>
  <c r="C1357" i="13"/>
  <c r="D1357" i="13"/>
  <c r="E1357" i="13"/>
  <c r="B1367" i="13"/>
  <c r="C1367" i="13"/>
  <c r="D1367" i="13"/>
  <c r="E1367" i="13"/>
  <c r="B1377" i="13"/>
  <c r="C1377" i="13"/>
  <c r="D1377" i="13"/>
  <c r="E1377" i="13"/>
  <c r="B1387" i="13"/>
  <c r="C1387" i="13"/>
  <c r="D1387" i="13"/>
  <c r="E1387" i="13"/>
  <c r="B1397" i="13"/>
  <c r="C1397" i="13"/>
  <c r="D1397" i="13"/>
  <c r="E1397" i="13"/>
  <c r="B1407" i="13"/>
  <c r="C1407" i="13"/>
  <c r="D1407" i="13"/>
  <c r="E1407" i="13"/>
  <c r="B1417" i="13"/>
  <c r="C1417" i="13"/>
  <c r="D1417" i="13"/>
  <c r="E1417" i="13"/>
  <c r="B1427" i="13"/>
  <c r="C1427" i="13"/>
  <c r="D1427" i="13"/>
  <c r="E1427" i="13"/>
  <c r="B1437" i="13"/>
  <c r="C1437" i="13"/>
  <c r="D1437" i="13"/>
  <c r="E1437" i="13"/>
  <c r="B1447" i="13"/>
  <c r="C1447" i="13"/>
  <c r="D1447" i="13"/>
  <c r="E1447" i="13"/>
  <c r="B1457" i="13"/>
  <c r="C1457" i="13"/>
  <c r="D1457" i="13"/>
  <c r="E1457" i="13"/>
  <c r="B1467" i="13"/>
  <c r="C1467" i="13"/>
  <c r="D1467" i="13"/>
  <c r="E1467" i="13"/>
  <c r="B1477" i="13"/>
  <c r="C1477" i="13"/>
  <c r="D1477" i="13"/>
  <c r="E1477" i="13"/>
  <c r="B1487" i="13"/>
  <c r="C1487" i="13"/>
  <c r="D1487" i="13"/>
  <c r="E1487" i="13"/>
  <c r="B1497" i="13"/>
  <c r="C1497" i="13"/>
  <c r="D1497" i="13"/>
  <c r="E1497" i="13"/>
  <c r="B1507" i="13"/>
  <c r="C1507" i="13"/>
  <c r="D1507" i="13"/>
  <c r="E1507" i="13"/>
  <c r="B1517" i="13"/>
  <c r="C1517" i="13"/>
  <c r="D1517" i="13"/>
  <c r="E1517" i="13"/>
  <c r="B1527" i="13"/>
  <c r="C1527" i="13"/>
  <c r="D1527" i="13"/>
  <c r="E1527" i="13"/>
  <c r="B1537" i="13"/>
  <c r="C1537" i="13"/>
  <c r="D1537" i="13"/>
  <c r="E1537" i="13"/>
  <c r="K1237" i="13"/>
  <c r="J1237" i="13"/>
  <c r="I1237" i="13"/>
  <c r="H1237" i="13"/>
  <c r="E1237" i="13"/>
  <c r="D1237" i="13"/>
  <c r="C1237" i="13"/>
  <c r="B1237" i="13"/>
  <c r="H942" i="13"/>
  <c r="I942" i="13"/>
  <c r="J942" i="13"/>
  <c r="K942" i="13"/>
  <c r="H952" i="13"/>
  <c r="I952" i="13"/>
  <c r="J952" i="13"/>
  <c r="K952" i="13"/>
  <c r="H962" i="13"/>
  <c r="I962" i="13"/>
  <c r="J962" i="13"/>
  <c r="K962" i="13"/>
  <c r="H972" i="13"/>
  <c r="I972" i="13"/>
  <c r="J972" i="13"/>
  <c r="K972" i="13"/>
  <c r="H982" i="13"/>
  <c r="I982" i="13"/>
  <c r="J982" i="13"/>
  <c r="K982" i="13"/>
  <c r="H992" i="13"/>
  <c r="I992" i="13"/>
  <c r="J992" i="13"/>
  <c r="K992" i="13"/>
  <c r="H1002" i="13"/>
  <c r="I1002" i="13"/>
  <c r="J1002" i="13"/>
  <c r="K1002" i="13"/>
  <c r="H1012" i="13"/>
  <c r="I1012" i="13"/>
  <c r="J1012" i="13"/>
  <c r="K1012" i="13"/>
  <c r="H1022" i="13"/>
  <c r="I1022" i="13"/>
  <c r="J1022" i="13"/>
  <c r="K1022" i="13"/>
  <c r="H1032" i="13"/>
  <c r="I1032" i="13"/>
  <c r="J1032" i="13"/>
  <c r="K1032" i="13"/>
  <c r="H1042" i="13"/>
  <c r="I1042" i="13"/>
  <c r="J1042" i="13"/>
  <c r="K1042" i="13"/>
  <c r="H1052" i="13"/>
  <c r="I1052" i="13"/>
  <c r="J1052" i="13"/>
  <c r="K1052" i="13"/>
  <c r="H1062" i="13"/>
  <c r="I1062" i="13"/>
  <c r="J1062" i="13"/>
  <c r="K1062" i="13"/>
  <c r="H1072" i="13"/>
  <c r="I1072" i="13"/>
  <c r="J1072" i="13"/>
  <c r="K1072" i="13"/>
  <c r="H1082" i="13"/>
  <c r="I1082" i="13"/>
  <c r="J1082" i="13"/>
  <c r="K1082" i="13"/>
  <c r="H1092" i="13"/>
  <c r="I1092" i="13"/>
  <c r="J1092" i="13"/>
  <c r="K1092" i="13"/>
  <c r="H1102" i="13"/>
  <c r="I1102" i="13"/>
  <c r="J1102" i="13"/>
  <c r="K1102" i="13"/>
  <c r="H1112" i="13"/>
  <c r="I1112" i="13"/>
  <c r="J1112" i="13"/>
  <c r="K1112" i="13"/>
  <c r="H1122" i="13"/>
  <c r="I1122" i="13"/>
  <c r="J1122" i="13"/>
  <c r="K1122" i="13"/>
  <c r="H1132" i="13"/>
  <c r="I1132" i="13"/>
  <c r="J1132" i="13"/>
  <c r="K1132" i="13"/>
  <c r="H1142" i="13"/>
  <c r="I1142" i="13"/>
  <c r="J1142" i="13"/>
  <c r="K1142" i="13"/>
  <c r="H1152" i="13"/>
  <c r="I1152" i="13"/>
  <c r="J1152" i="13"/>
  <c r="K1152" i="13"/>
  <c r="H1162" i="13"/>
  <c r="I1162" i="13"/>
  <c r="J1162" i="13"/>
  <c r="K1162" i="13"/>
  <c r="H1172" i="13"/>
  <c r="I1172" i="13"/>
  <c r="J1172" i="13"/>
  <c r="K1172" i="13"/>
  <c r="H1182" i="13"/>
  <c r="I1182" i="13"/>
  <c r="J1182" i="13"/>
  <c r="K1182" i="13"/>
  <c r="H1192" i="13"/>
  <c r="I1192" i="13"/>
  <c r="J1192" i="13"/>
  <c r="K1192" i="13"/>
  <c r="H1202" i="13"/>
  <c r="I1202" i="13"/>
  <c r="J1202" i="13"/>
  <c r="K1202" i="13"/>
  <c r="H1212" i="13"/>
  <c r="I1212" i="13"/>
  <c r="J1212" i="13"/>
  <c r="K1212" i="13"/>
  <c r="H1222" i="13"/>
  <c r="I1222" i="13"/>
  <c r="J1222" i="13"/>
  <c r="K1222" i="13"/>
  <c r="B942" i="13"/>
  <c r="C942" i="13"/>
  <c r="D942" i="13"/>
  <c r="E942" i="13"/>
  <c r="B952" i="13"/>
  <c r="C952" i="13"/>
  <c r="D952" i="13"/>
  <c r="E952" i="13"/>
  <c r="B962" i="13"/>
  <c r="C962" i="13"/>
  <c r="D962" i="13"/>
  <c r="E962" i="13"/>
  <c r="B972" i="13"/>
  <c r="C972" i="13"/>
  <c r="D972" i="13"/>
  <c r="E972" i="13"/>
  <c r="B982" i="13"/>
  <c r="C982" i="13"/>
  <c r="D982" i="13"/>
  <c r="E982" i="13"/>
  <c r="B992" i="13"/>
  <c r="C992" i="13"/>
  <c r="D992" i="13"/>
  <c r="E992" i="13"/>
  <c r="B1002" i="13"/>
  <c r="C1002" i="13"/>
  <c r="D1002" i="13"/>
  <c r="E1002" i="13"/>
  <c r="B1012" i="13"/>
  <c r="C1012" i="13"/>
  <c r="D1012" i="13"/>
  <c r="E1012" i="13"/>
  <c r="B1022" i="13"/>
  <c r="C1022" i="13"/>
  <c r="D1022" i="13"/>
  <c r="E1022" i="13"/>
  <c r="B1032" i="13"/>
  <c r="C1032" i="13"/>
  <c r="D1032" i="13"/>
  <c r="E1032" i="13"/>
  <c r="B1042" i="13"/>
  <c r="C1042" i="13"/>
  <c r="D1042" i="13"/>
  <c r="E1042" i="13"/>
  <c r="B1052" i="13"/>
  <c r="C1052" i="13"/>
  <c r="D1052" i="13"/>
  <c r="E1052" i="13"/>
  <c r="B1062" i="13"/>
  <c r="C1062" i="13"/>
  <c r="D1062" i="13"/>
  <c r="E1062" i="13"/>
  <c r="B1072" i="13"/>
  <c r="C1072" i="13"/>
  <c r="D1072" i="13"/>
  <c r="E1072" i="13"/>
  <c r="B1082" i="13"/>
  <c r="C1082" i="13"/>
  <c r="D1082" i="13"/>
  <c r="E1082" i="13"/>
  <c r="B1092" i="13"/>
  <c r="C1092" i="13"/>
  <c r="D1092" i="13"/>
  <c r="E1092" i="13"/>
  <c r="B1102" i="13"/>
  <c r="C1102" i="13"/>
  <c r="D1102" i="13"/>
  <c r="E1102" i="13"/>
  <c r="B1112" i="13"/>
  <c r="C1112" i="13"/>
  <c r="D1112" i="13"/>
  <c r="E1112" i="13"/>
  <c r="B1122" i="13"/>
  <c r="C1122" i="13"/>
  <c r="D1122" i="13"/>
  <c r="E1122" i="13"/>
  <c r="B1132" i="13"/>
  <c r="C1132" i="13"/>
  <c r="D1132" i="13"/>
  <c r="E1132" i="13"/>
  <c r="B1142" i="13"/>
  <c r="C1142" i="13"/>
  <c r="D1142" i="13"/>
  <c r="E1142" i="13"/>
  <c r="B1152" i="13"/>
  <c r="C1152" i="13"/>
  <c r="D1152" i="13"/>
  <c r="E1152" i="13"/>
  <c r="B1162" i="13"/>
  <c r="C1162" i="13"/>
  <c r="D1162" i="13"/>
  <c r="E1162" i="13"/>
  <c r="B1172" i="13"/>
  <c r="C1172" i="13"/>
  <c r="D1172" i="13"/>
  <c r="E1172" i="13"/>
  <c r="B1182" i="13"/>
  <c r="C1182" i="13"/>
  <c r="D1182" i="13"/>
  <c r="E1182" i="13"/>
  <c r="B1192" i="13"/>
  <c r="C1192" i="13"/>
  <c r="D1192" i="13"/>
  <c r="E1192" i="13"/>
  <c r="B1202" i="13"/>
  <c r="C1202" i="13"/>
  <c r="D1202" i="13"/>
  <c r="E1202" i="13"/>
  <c r="B1212" i="13"/>
  <c r="C1212" i="13"/>
  <c r="D1212" i="13"/>
  <c r="E1212" i="13"/>
  <c r="B1222" i="13"/>
  <c r="C1222" i="13"/>
  <c r="D1222" i="13"/>
  <c r="E1222" i="13"/>
  <c r="K932" i="13"/>
  <c r="J932" i="13"/>
  <c r="I932" i="13"/>
  <c r="H932" i="13"/>
  <c r="E932" i="13"/>
  <c r="D932" i="13"/>
  <c r="C932" i="13"/>
  <c r="B932" i="13"/>
  <c r="H628" i="13"/>
  <c r="I628" i="13"/>
  <c r="J628" i="13"/>
  <c r="K628" i="13"/>
  <c r="H638" i="13"/>
  <c r="I638" i="13"/>
  <c r="J638" i="13"/>
  <c r="K638" i="13"/>
  <c r="H648" i="13"/>
  <c r="I648" i="13"/>
  <c r="J648" i="13"/>
  <c r="K648" i="13"/>
  <c r="H658" i="13"/>
  <c r="I658" i="13"/>
  <c r="J658" i="13"/>
  <c r="K658" i="13"/>
  <c r="H668" i="13"/>
  <c r="I668" i="13"/>
  <c r="J668" i="13"/>
  <c r="K668" i="13"/>
  <c r="H678" i="13"/>
  <c r="I678" i="13"/>
  <c r="J678" i="13"/>
  <c r="K678" i="13"/>
  <c r="H688" i="13"/>
  <c r="I688" i="13"/>
  <c r="J688" i="13"/>
  <c r="K688" i="13"/>
  <c r="H698" i="13"/>
  <c r="I698" i="13"/>
  <c r="J698" i="13"/>
  <c r="K698" i="13"/>
  <c r="H708" i="13"/>
  <c r="I708" i="13"/>
  <c r="J708" i="13"/>
  <c r="K708" i="13"/>
  <c r="H718" i="13"/>
  <c r="I718" i="13"/>
  <c r="J718" i="13"/>
  <c r="K718" i="13"/>
  <c r="H728" i="13"/>
  <c r="I728" i="13"/>
  <c r="J728" i="13"/>
  <c r="K728" i="13"/>
  <c r="H738" i="13"/>
  <c r="I738" i="13"/>
  <c r="J738" i="13"/>
  <c r="K738" i="13"/>
  <c r="H748" i="13"/>
  <c r="I748" i="13"/>
  <c r="J748" i="13"/>
  <c r="K748" i="13"/>
  <c r="H758" i="13"/>
  <c r="I758" i="13"/>
  <c r="J758" i="13"/>
  <c r="K758" i="13"/>
  <c r="H768" i="13"/>
  <c r="I768" i="13"/>
  <c r="J768" i="13"/>
  <c r="K768" i="13"/>
  <c r="H778" i="13"/>
  <c r="I778" i="13"/>
  <c r="J778" i="13"/>
  <c r="K778" i="13"/>
  <c r="H788" i="13"/>
  <c r="I788" i="13"/>
  <c r="J788" i="13"/>
  <c r="K788" i="13"/>
  <c r="H798" i="13"/>
  <c r="I798" i="13"/>
  <c r="J798" i="13"/>
  <c r="K798" i="13"/>
  <c r="H808" i="13"/>
  <c r="I808" i="13"/>
  <c r="J808" i="13"/>
  <c r="K808" i="13"/>
  <c r="H818" i="13"/>
  <c r="I818" i="13"/>
  <c r="J818" i="13"/>
  <c r="K818" i="13"/>
  <c r="H828" i="13"/>
  <c r="I828" i="13"/>
  <c r="J828" i="13"/>
  <c r="K828" i="13"/>
  <c r="H838" i="13"/>
  <c r="I838" i="13"/>
  <c r="J838" i="13"/>
  <c r="K838" i="13"/>
  <c r="H848" i="13"/>
  <c r="I848" i="13"/>
  <c r="J848" i="13"/>
  <c r="K848" i="13"/>
  <c r="H858" i="13"/>
  <c r="I858" i="13"/>
  <c r="J858" i="13"/>
  <c r="K858" i="13"/>
  <c r="H868" i="13"/>
  <c r="I868" i="13"/>
  <c r="J868" i="13"/>
  <c r="K868" i="13"/>
  <c r="H878" i="13"/>
  <c r="I878" i="13"/>
  <c r="J878" i="13"/>
  <c r="K878" i="13"/>
  <c r="H888" i="13"/>
  <c r="I888" i="13"/>
  <c r="J888" i="13"/>
  <c r="K888" i="13"/>
  <c r="H898" i="13"/>
  <c r="I898" i="13"/>
  <c r="J898" i="13"/>
  <c r="K898" i="13"/>
  <c r="H908" i="13"/>
  <c r="I908" i="13"/>
  <c r="J908" i="13"/>
  <c r="K908" i="13"/>
  <c r="H918" i="13"/>
  <c r="I918" i="13"/>
  <c r="J918" i="13"/>
  <c r="K918" i="13"/>
  <c r="B628" i="13"/>
  <c r="C628" i="13"/>
  <c r="D628" i="13"/>
  <c r="E628" i="13"/>
  <c r="B638" i="13"/>
  <c r="C638" i="13"/>
  <c r="D638" i="13"/>
  <c r="E638" i="13"/>
  <c r="B648" i="13"/>
  <c r="C648" i="13"/>
  <c r="D648" i="13"/>
  <c r="E648" i="13"/>
  <c r="B658" i="13"/>
  <c r="C658" i="13"/>
  <c r="D658" i="13"/>
  <c r="E658" i="13"/>
  <c r="B668" i="13"/>
  <c r="C668" i="13"/>
  <c r="D668" i="13"/>
  <c r="E668" i="13"/>
  <c r="B678" i="13"/>
  <c r="C678" i="13"/>
  <c r="D678" i="13"/>
  <c r="E678" i="13"/>
  <c r="B688" i="13"/>
  <c r="C688" i="13"/>
  <c r="D688" i="13"/>
  <c r="E688" i="13"/>
  <c r="B698" i="13"/>
  <c r="C698" i="13"/>
  <c r="D698" i="13"/>
  <c r="E698" i="13"/>
  <c r="B708" i="13"/>
  <c r="C708" i="13"/>
  <c r="D708" i="13"/>
  <c r="E708" i="13"/>
  <c r="B718" i="13"/>
  <c r="C718" i="13"/>
  <c r="D718" i="13"/>
  <c r="E718" i="13"/>
  <c r="B728" i="13"/>
  <c r="C728" i="13"/>
  <c r="D728" i="13"/>
  <c r="E728" i="13"/>
  <c r="B738" i="13"/>
  <c r="C738" i="13"/>
  <c r="D738" i="13"/>
  <c r="E738" i="13"/>
  <c r="B748" i="13"/>
  <c r="C748" i="13"/>
  <c r="D748" i="13"/>
  <c r="E748" i="13"/>
  <c r="B758" i="13"/>
  <c r="C758" i="13"/>
  <c r="D758" i="13"/>
  <c r="E758" i="13"/>
  <c r="B768" i="13"/>
  <c r="C768" i="13"/>
  <c r="D768" i="13"/>
  <c r="E768" i="13"/>
  <c r="B778" i="13"/>
  <c r="C778" i="13"/>
  <c r="D778" i="13"/>
  <c r="E778" i="13"/>
  <c r="B788" i="13"/>
  <c r="C788" i="13"/>
  <c r="D788" i="13"/>
  <c r="E788" i="13"/>
  <c r="B798" i="13"/>
  <c r="C798" i="13"/>
  <c r="D798" i="13"/>
  <c r="E798" i="13"/>
  <c r="B808" i="13"/>
  <c r="C808" i="13"/>
  <c r="D808" i="13"/>
  <c r="E808" i="13"/>
  <c r="B818" i="13"/>
  <c r="C818" i="13"/>
  <c r="D818" i="13"/>
  <c r="E818" i="13"/>
  <c r="B828" i="13"/>
  <c r="C828" i="13"/>
  <c r="D828" i="13"/>
  <c r="E828" i="13"/>
  <c r="B838" i="13"/>
  <c r="C838" i="13"/>
  <c r="D838" i="13"/>
  <c r="E838" i="13"/>
  <c r="B848" i="13"/>
  <c r="C848" i="13"/>
  <c r="D848" i="13"/>
  <c r="E848" i="13"/>
  <c r="B858" i="13"/>
  <c r="C858" i="13"/>
  <c r="D858" i="13"/>
  <c r="E858" i="13"/>
  <c r="B868" i="13"/>
  <c r="C868" i="13"/>
  <c r="D868" i="13"/>
  <c r="E868" i="13"/>
  <c r="B878" i="13"/>
  <c r="C878" i="13"/>
  <c r="D878" i="13"/>
  <c r="E878" i="13"/>
  <c r="B888" i="13"/>
  <c r="C888" i="13"/>
  <c r="D888" i="13"/>
  <c r="E888" i="13"/>
  <c r="B898" i="13"/>
  <c r="C898" i="13"/>
  <c r="D898" i="13"/>
  <c r="E898" i="13"/>
  <c r="B908" i="13"/>
  <c r="C908" i="13"/>
  <c r="D908" i="13"/>
  <c r="E908" i="13"/>
  <c r="B918" i="13"/>
  <c r="C918" i="13"/>
  <c r="D918" i="13"/>
  <c r="E918" i="13"/>
  <c r="K618" i="13"/>
  <c r="J618" i="13"/>
  <c r="I618" i="13"/>
  <c r="H618" i="13"/>
  <c r="E618" i="13"/>
  <c r="D618" i="13"/>
  <c r="C618" i="13"/>
  <c r="B618" i="13"/>
  <c r="H333" i="13"/>
  <c r="I333" i="13"/>
  <c r="J333" i="13"/>
  <c r="K333" i="13"/>
  <c r="H343" i="13"/>
  <c r="I343" i="13"/>
  <c r="J343" i="13"/>
  <c r="K343" i="13"/>
  <c r="H353" i="13"/>
  <c r="I353" i="13"/>
  <c r="J353" i="13"/>
  <c r="K353" i="13"/>
  <c r="H363" i="13"/>
  <c r="I363" i="13"/>
  <c r="J363" i="13"/>
  <c r="K363" i="13"/>
  <c r="H373" i="13"/>
  <c r="I373" i="13"/>
  <c r="J373" i="13"/>
  <c r="K373" i="13"/>
  <c r="H383" i="13"/>
  <c r="I383" i="13"/>
  <c r="J383" i="13"/>
  <c r="K383" i="13"/>
  <c r="H393" i="13"/>
  <c r="I393" i="13"/>
  <c r="J393" i="13"/>
  <c r="K393" i="13"/>
  <c r="H403" i="13"/>
  <c r="I403" i="13"/>
  <c r="J403" i="13"/>
  <c r="K403" i="13"/>
  <c r="H413" i="13"/>
  <c r="I413" i="13"/>
  <c r="J413" i="13"/>
  <c r="K413" i="13"/>
  <c r="H423" i="13"/>
  <c r="I423" i="13"/>
  <c r="J423" i="13"/>
  <c r="K423" i="13"/>
  <c r="H433" i="13"/>
  <c r="I433" i="13"/>
  <c r="J433" i="13"/>
  <c r="K433" i="13"/>
  <c r="H443" i="13"/>
  <c r="I443" i="13"/>
  <c r="J443" i="13"/>
  <c r="K443" i="13"/>
  <c r="H453" i="13"/>
  <c r="I453" i="13"/>
  <c r="J453" i="13"/>
  <c r="K453" i="13"/>
  <c r="H463" i="13"/>
  <c r="I463" i="13"/>
  <c r="J463" i="13"/>
  <c r="K463" i="13"/>
  <c r="H473" i="13"/>
  <c r="I473" i="13"/>
  <c r="J473" i="13"/>
  <c r="K473" i="13"/>
  <c r="H483" i="13"/>
  <c r="I483" i="13"/>
  <c r="J483" i="13"/>
  <c r="K483" i="13"/>
  <c r="H493" i="13"/>
  <c r="I493" i="13"/>
  <c r="J493" i="13"/>
  <c r="K493" i="13"/>
  <c r="H503" i="13"/>
  <c r="I503" i="13"/>
  <c r="J503" i="13"/>
  <c r="K503" i="13"/>
  <c r="H513" i="13"/>
  <c r="I513" i="13"/>
  <c r="J513" i="13"/>
  <c r="K513" i="13"/>
  <c r="H523" i="13"/>
  <c r="I523" i="13"/>
  <c r="J523" i="13"/>
  <c r="K523" i="13"/>
  <c r="H533" i="13"/>
  <c r="I533" i="13"/>
  <c r="J533" i="13"/>
  <c r="K533" i="13"/>
  <c r="H543" i="13"/>
  <c r="I543" i="13"/>
  <c r="J543" i="13"/>
  <c r="K543" i="13"/>
  <c r="H553" i="13"/>
  <c r="I553" i="13"/>
  <c r="J553" i="13"/>
  <c r="K553" i="13"/>
  <c r="H563" i="13"/>
  <c r="I563" i="13"/>
  <c r="J563" i="13"/>
  <c r="K563" i="13"/>
  <c r="H573" i="13"/>
  <c r="I573" i="13"/>
  <c r="J573" i="13"/>
  <c r="K573" i="13"/>
  <c r="H583" i="13"/>
  <c r="I583" i="13"/>
  <c r="J583" i="13"/>
  <c r="K583" i="13"/>
  <c r="H593" i="13"/>
  <c r="I593" i="13"/>
  <c r="J593" i="13"/>
  <c r="K593" i="13"/>
  <c r="H603" i="13"/>
  <c r="I603" i="13"/>
  <c r="J603" i="13"/>
  <c r="K603" i="13"/>
  <c r="B333" i="13"/>
  <c r="C333" i="13"/>
  <c r="D333" i="13"/>
  <c r="E333" i="13"/>
  <c r="B343" i="13"/>
  <c r="C343" i="13"/>
  <c r="D343" i="13"/>
  <c r="E343" i="13"/>
  <c r="B353" i="13"/>
  <c r="C353" i="13"/>
  <c r="D353" i="13"/>
  <c r="E353" i="13"/>
  <c r="B363" i="13"/>
  <c r="C363" i="13"/>
  <c r="D363" i="13"/>
  <c r="E363" i="13"/>
  <c r="B373" i="13"/>
  <c r="C373" i="13"/>
  <c r="D373" i="13"/>
  <c r="E373" i="13"/>
  <c r="B383" i="13"/>
  <c r="C383" i="13"/>
  <c r="D383" i="13"/>
  <c r="E383" i="13"/>
  <c r="B393" i="13"/>
  <c r="C393" i="13"/>
  <c r="D393" i="13"/>
  <c r="E393" i="13"/>
  <c r="B403" i="13"/>
  <c r="C403" i="13"/>
  <c r="D403" i="13"/>
  <c r="E403" i="13"/>
  <c r="B413" i="13"/>
  <c r="C413" i="13"/>
  <c r="D413" i="13"/>
  <c r="E413" i="13"/>
  <c r="B423" i="13"/>
  <c r="C423" i="13"/>
  <c r="D423" i="13"/>
  <c r="E423" i="13"/>
  <c r="B433" i="13"/>
  <c r="C433" i="13"/>
  <c r="D433" i="13"/>
  <c r="E433" i="13"/>
  <c r="B443" i="13"/>
  <c r="C443" i="13"/>
  <c r="D443" i="13"/>
  <c r="E443" i="13"/>
  <c r="B453" i="13"/>
  <c r="C453" i="13"/>
  <c r="D453" i="13"/>
  <c r="E453" i="13"/>
  <c r="B463" i="13"/>
  <c r="C463" i="13"/>
  <c r="D463" i="13"/>
  <c r="E463" i="13"/>
  <c r="B473" i="13"/>
  <c r="C473" i="13"/>
  <c r="D473" i="13"/>
  <c r="E473" i="13"/>
  <c r="B483" i="13"/>
  <c r="C483" i="13"/>
  <c r="D483" i="13"/>
  <c r="E483" i="13"/>
  <c r="B493" i="13"/>
  <c r="C493" i="13"/>
  <c r="D493" i="13"/>
  <c r="E493" i="13"/>
  <c r="B503" i="13"/>
  <c r="C503" i="13"/>
  <c r="D503" i="13"/>
  <c r="E503" i="13"/>
  <c r="B513" i="13"/>
  <c r="C513" i="13"/>
  <c r="D513" i="13"/>
  <c r="E513" i="13"/>
  <c r="B523" i="13"/>
  <c r="C523" i="13"/>
  <c r="D523" i="13"/>
  <c r="E523" i="13"/>
  <c r="B533" i="13"/>
  <c r="C533" i="13"/>
  <c r="D533" i="13"/>
  <c r="E533" i="13"/>
  <c r="B543" i="13"/>
  <c r="C543" i="13"/>
  <c r="D543" i="13"/>
  <c r="E543" i="13"/>
  <c r="B553" i="13"/>
  <c r="C553" i="13"/>
  <c r="D553" i="13"/>
  <c r="E553" i="13"/>
  <c r="B563" i="13"/>
  <c r="C563" i="13"/>
  <c r="D563" i="13"/>
  <c r="E563" i="13"/>
  <c r="B573" i="13"/>
  <c r="C573" i="13"/>
  <c r="D573" i="13"/>
  <c r="E573" i="13"/>
  <c r="B583" i="13"/>
  <c r="C583" i="13"/>
  <c r="D583" i="13"/>
  <c r="E583" i="13"/>
  <c r="B593" i="13"/>
  <c r="C593" i="13"/>
  <c r="D593" i="13"/>
  <c r="E593" i="13"/>
  <c r="B603" i="13"/>
  <c r="C603" i="13"/>
  <c r="D603" i="13"/>
  <c r="E603" i="13"/>
  <c r="K323" i="13"/>
  <c r="J323" i="13"/>
  <c r="I323" i="13"/>
  <c r="H323" i="13"/>
  <c r="E323" i="13"/>
  <c r="D323" i="13"/>
  <c r="C323" i="13"/>
  <c r="B323" i="13"/>
  <c r="H19" i="13"/>
  <c r="I19" i="13"/>
  <c r="J19" i="13"/>
  <c r="K19" i="13"/>
  <c r="H29" i="13"/>
  <c r="I29" i="13"/>
  <c r="J29" i="13"/>
  <c r="K29" i="13"/>
  <c r="H39" i="13"/>
  <c r="I39" i="13"/>
  <c r="J39" i="13"/>
  <c r="K39" i="13"/>
  <c r="H49" i="13"/>
  <c r="I49" i="13"/>
  <c r="J49" i="13"/>
  <c r="K49" i="13"/>
  <c r="H59" i="13"/>
  <c r="I59" i="13"/>
  <c r="J59" i="13"/>
  <c r="K59" i="13"/>
  <c r="H69" i="13"/>
  <c r="I69" i="13"/>
  <c r="J69" i="13"/>
  <c r="K69" i="13"/>
  <c r="H79" i="13"/>
  <c r="I79" i="13"/>
  <c r="J79" i="13"/>
  <c r="K79" i="13"/>
  <c r="H89" i="13"/>
  <c r="I89" i="13"/>
  <c r="J89" i="13"/>
  <c r="K89" i="13"/>
  <c r="H99" i="13"/>
  <c r="I99" i="13"/>
  <c r="J99" i="13"/>
  <c r="K99" i="13"/>
  <c r="H109" i="13"/>
  <c r="I109" i="13"/>
  <c r="J109" i="13"/>
  <c r="K109" i="13"/>
  <c r="H119" i="13"/>
  <c r="I119" i="13"/>
  <c r="J119" i="13"/>
  <c r="K119" i="13"/>
  <c r="H129" i="13"/>
  <c r="I129" i="13"/>
  <c r="J129" i="13"/>
  <c r="K129" i="13"/>
  <c r="H139" i="13"/>
  <c r="I139" i="13"/>
  <c r="J139" i="13"/>
  <c r="K139" i="13"/>
  <c r="H149" i="13"/>
  <c r="I149" i="13"/>
  <c r="J149" i="13"/>
  <c r="K149" i="13"/>
  <c r="H159" i="13"/>
  <c r="I159" i="13"/>
  <c r="J159" i="13"/>
  <c r="K159" i="13"/>
  <c r="H169" i="13"/>
  <c r="I169" i="13"/>
  <c r="J169" i="13"/>
  <c r="K169" i="13"/>
  <c r="H179" i="13"/>
  <c r="I179" i="13"/>
  <c r="J179" i="13"/>
  <c r="K179" i="13"/>
  <c r="H189" i="13"/>
  <c r="I189" i="13"/>
  <c r="J189" i="13"/>
  <c r="K189" i="13"/>
  <c r="H199" i="13"/>
  <c r="I199" i="13"/>
  <c r="J199" i="13"/>
  <c r="K199" i="13"/>
  <c r="H209" i="13"/>
  <c r="I209" i="13"/>
  <c r="J209" i="13"/>
  <c r="K209" i="13"/>
  <c r="H219" i="13"/>
  <c r="I219" i="13"/>
  <c r="J219" i="13"/>
  <c r="K219" i="13"/>
  <c r="H229" i="13"/>
  <c r="I229" i="13"/>
  <c r="J229" i="13"/>
  <c r="K229" i="13"/>
  <c r="H239" i="13"/>
  <c r="I239" i="13"/>
  <c r="J239" i="13"/>
  <c r="K239" i="13"/>
  <c r="H249" i="13"/>
  <c r="I249" i="13"/>
  <c r="J249" i="13"/>
  <c r="K249" i="13"/>
  <c r="H259" i="13"/>
  <c r="I259" i="13"/>
  <c r="J259" i="13"/>
  <c r="K259" i="13"/>
  <c r="H269" i="13"/>
  <c r="I269" i="13"/>
  <c r="J269" i="13"/>
  <c r="K269" i="13"/>
  <c r="H279" i="13"/>
  <c r="I279" i="13"/>
  <c r="J279" i="13"/>
  <c r="K279" i="13"/>
  <c r="H289" i="13"/>
  <c r="I289" i="13"/>
  <c r="J289" i="13"/>
  <c r="K289" i="13"/>
  <c r="H299" i="13"/>
  <c r="I299" i="13"/>
  <c r="J299" i="13"/>
  <c r="K299" i="13"/>
  <c r="H309" i="13"/>
  <c r="I309" i="13"/>
  <c r="J309" i="13"/>
  <c r="K309" i="13"/>
  <c r="B19" i="13"/>
  <c r="C19" i="13"/>
  <c r="D19" i="13"/>
  <c r="E19" i="13"/>
  <c r="B29" i="13"/>
  <c r="C29" i="13"/>
  <c r="D29" i="13"/>
  <c r="E29" i="13"/>
  <c r="B39" i="13"/>
  <c r="C39" i="13"/>
  <c r="D39" i="13"/>
  <c r="E39" i="13"/>
  <c r="B49" i="13"/>
  <c r="C49" i="13"/>
  <c r="D49" i="13"/>
  <c r="E49" i="13"/>
  <c r="B59" i="13"/>
  <c r="C59" i="13"/>
  <c r="D59" i="13"/>
  <c r="E59" i="13"/>
  <c r="B69" i="13"/>
  <c r="C69" i="13"/>
  <c r="D69" i="13"/>
  <c r="E69" i="13"/>
  <c r="B79" i="13"/>
  <c r="C79" i="13"/>
  <c r="D79" i="13"/>
  <c r="E79" i="13"/>
  <c r="B89" i="13"/>
  <c r="C89" i="13"/>
  <c r="D89" i="13"/>
  <c r="E89" i="13"/>
  <c r="B99" i="13"/>
  <c r="C99" i="13"/>
  <c r="D99" i="13"/>
  <c r="E99" i="13"/>
  <c r="B109" i="13"/>
  <c r="C109" i="13"/>
  <c r="D109" i="13"/>
  <c r="E109" i="13"/>
  <c r="B119" i="13"/>
  <c r="C119" i="13"/>
  <c r="D119" i="13"/>
  <c r="E119" i="13"/>
  <c r="B129" i="13"/>
  <c r="C129" i="13"/>
  <c r="D129" i="13"/>
  <c r="E129" i="13"/>
  <c r="B139" i="13"/>
  <c r="C139" i="13"/>
  <c r="D139" i="13"/>
  <c r="E139" i="13"/>
  <c r="B149" i="13"/>
  <c r="C149" i="13"/>
  <c r="D149" i="13"/>
  <c r="E149" i="13"/>
  <c r="B159" i="13"/>
  <c r="C159" i="13"/>
  <c r="D159" i="13"/>
  <c r="E159" i="13"/>
  <c r="B169" i="13"/>
  <c r="C169" i="13"/>
  <c r="D169" i="13"/>
  <c r="E169" i="13"/>
  <c r="B179" i="13"/>
  <c r="C179" i="13"/>
  <c r="D179" i="13"/>
  <c r="E179" i="13"/>
  <c r="B189" i="13"/>
  <c r="C189" i="13"/>
  <c r="D189" i="13"/>
  <c r="E189" i="13"/>
  <c r="B199" i="13"/>
  <c r="C199" i="13"/>
  <c r="D199" i="13"/>
  <c r="E199" i="13"/>
  <c r="B209" i="13"/>
  <c r="C209" i="13"/>
  <c r="D209" i="13"/>
  <c r="E209" i="13"/>
  <c r="B219" i="13"/>
  <c r="C219" i="13"/>
  <c r="D219" i="13"/>
  <c r="E219" i="13"/>
  <c r="B229" i="13"/>
  <c r="C229" i="13"/>
  <c r="D229" i="13"/>
  <c r="E229" i="13"/>
  <c r="B239" i="13"/>
  <c r="C239" i="13"/>
  <c r="D239" i="13"/>
  <c r="E239" i="13"/>
  <c r="B249" i="13"/>
  <c r="C249" i="13"/>
  <c r="D249" i="13"/>
  <c r="E249" i="13"/>
  <c r="B259" i="13"/>
  <c r="C259" i="13"/>
  <c r="D259" i="13"/>
  <c r="E259" i="13"/>
  <c r="B269" i="13"/>
  <c r="C269" i="13"/>
  <c r="D269" i="13"/>
  <c r="E269" i="13"/>
  <c r="B279" i="13"/>
  <c r="C279" i="13"/>
  <c r="D279" i="13"/>
  <c r="E279" i="13"/>
  <c r="B289" i="13"/>
  <c r="C289" i="13"/>
  <c r="D289" i="13"/>
  <c r="E289" i="13"/>
  <c r="B299" i="13"/>
  <c r="C299" i="13"/>
  <c r="D299" i="13"/>
  <c r="E299" i="13"/>
  <c r="B309" i="13"/>
  <c r="C309" i="13"/>
  <c r="D309" i="13"/>
  <c r="E309" i="13"/>
  <c r="K9" i="13"/>
  <c r="J9" i="13"/>
  <c r="I9" i="13"/>
  <c r="H9" i="13"/>
  <c r="E9" i="13"/>
  <c r="D9" i="13"/>
  <c r="C9" i="13"/>
  <c r="B9" i="13"/>
  <c r="J201" i="6"/>
  <c r="J200" i="6"/>
  <c r="J199" i="6"/>
  <c r="J193" i="6"/>
  <c r="J183" i="6"/>
  <c r="J181" i="6"/>
  <c r="J179" i="6"/>
  <c r="J178" i="6"/>
  <c r="J84" i="6"/>
  <c r="J83" i="6"/>
  <c r="J82" i="6"/>
  <c r="J81" i="6"/>
  <c r="J76" i="6"/>
  <c r="J75" i="6"/>
  <c r="J74" i="6"/>
  <c r="J73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3" i="6"/>
  <c r="J52" i="6"/>
  <c r="J51" i="6"/>
  <c r="J49" i="6"/>
  <c r="J48" i="6"/>
  <c r="J47" i="6"/>
  <c r="J46" i="6"/>
  <c r="J45" i="6"/>
  <c r="J44" i="6"/>
  <c r="J42" i="6"/>
  <c r="O600" i="5"/>
  <c r="P599" i="5"/>
  <c r="O599" i="5"/>
  <c r="P598" i="5"/>
  <c r="O598" i="5"/>
  <c r="P597" i="5"/>
  <c r="O597" i="5"/>
  <c r="P596" i="5"/>
  <c r="O596" i="5"/>
  <c r="P595" i="5"/>
  <c r="O595" i="5"/>
  <c r="P594" i="5"/>
  <c r="O594" i="5"/>
  <c r="P593" i="5"/>
  <c r="O593" i="5"/>
  <c r="P592" i="5"/>
  <c r="O592" i="5"/>
  <c r="P591" i="5"/>
  <c r="O591" i="5"/>
  <c r="P590" i="5"/>
  <c r="O590" i="5"/>
  <c r="P589" i="5"/>
  <c r="O589" i="5"/>
  <c r="P588" i="5"/>
  <c r="O588" i="5"/>
  <c r="P587" i="5"/>
  <c r="O587" i="5"/>
  <c r="P586" i="5"/>
  <c r="O586" i="5"/>
  <c r="P585" i="5"/>
  <c r="O585" i="5"/>
  <c r="P584" i="5"/>
  <c r="O584" i="5"/>
  <c r="P583" i="5"/>
  <c r="O583" i="5"/>
  <c r="P582" i="5"/>
  <c r="O582" i="5"/>
  <c r="P581" i="5"/>
  <c r="O581" i="5"/>
  <c r="P580" i="5"/>
  <c r="O580" i="5"/>
  <c r="P579" i="5"/>
  <c r="O579" i="5"/>
  <c r="P578" i="5"/>
  <c r="O578" i="5"/>
  <c r="P577" i="5"/>
  <c r="O577" i="5"/>
  <c r="P576" i="5"/>
  <c r="O576" i="5"/>
  <c r="P575" i="5"/>
  <c r="O575" i="5"/>
  <c r="P574" i="5"/>
  <c r="O574" i="5"/>
  <c r="P573" i="5"/>
  <c r="O573" i="5"/>
  <c r="P572" i="5"/>
  <c r="O572" i="5"/>
  <c r="P571" i="5"/>
  <c r="O571" i="5"/>
  <c r="P570" i="5"/>
  <c r="O570" i="5"/>
  <c r="P569" i="5"/>
  <c r="O569" i="5"/>
  <c r="P568" i="5"/>
  <c r="O568" i="5"/>
  <c r="P567" i="5"/>
  <c r="O567" i="5"/>
  <c r="P566" i="5"/>
  <c r="O566" i="5"/>
  <c r="P565" i="5"/>
  <c r="O565" i="5"/>
  <c r="P564" i="5"/>
  <c r="O564" i="5"/>
  <c r="P563" i="5"/>
  <c r="O563" i="5"/>
  <c r="P562" i="5"/>
  <c r="O562" i="5"/>
  <c r="P561" i="5"/>
  <c r="O561" i="5"/>
  <c r="P560" i="5"/>
  <c r="O560" i="5"/>
  <c r="P559" i="5"/>
  <c r="O559" i="5"/>
  <c r="P558" i="5"/>
  <c r="O558" i="5"/>
  <c r="P557" i="5"/>
  <c r="O557" i="5"/>
  <c r="P556" i="5"/>
  <c r="O556" i="5"/>
  <c r="P555" i="5"/>
  <c r="O555" i="5"/>
  <c r="P554" i="5"/>
  <c r="O554" i="5"/>
  <c r="P553" i="5"/>
  <c r="O553" i="5"/>
  <c r="P552" i="5"/>
  <c r="O552" i="5"/>
  <c r="P551" i="5"/>
  <c r="O551" i="5"/>
  <c r="P550" i="5"/>
  <c r="O550" i="5"/>
  <c r="P549" i="5"/>
  <c r="O549" i="5"/>
  <c r="P548" i="5"/>
  <c r="O548" i="5"/>
  <c r="P547" i="5"/>
  <c r="O547" i="5"/>
  <c r="P546" i="5"/>
  <c r="O546" i="5"/>
  <c r="P545" i="5"/>
  <c r="O545" i="5"/>
  <c r="P544" i="5"/>
  <c r="O544" i="5"/>
  <c r="P543" i="5"/>
  <c r="O543" i="5"/>
  <c r="P542" i="5"/>
  <c r="O542" i="5"/>
  <c r="P541" i="5"/>
  <c r="O541" i="5"/>
  <c r="P540" i="5"/>
  <c r="O540" i="5"/>
  <c r="P539" i="5"/>
  <c r="O539" i="5"/>
  <c r="P538" i="5"/>
  <c r="O538" i="5"/>
  <c r="P537" i="5"/>
  <c r="O537" i="5"/>
  <c r="P536" i="5"/>
  <c r="O536" i="5"/>
  <c r="P535" i="5"/>
  <c r="O535" i="5"/>
  <c r="P534" i="5"/>
  <c r="O534" i="5"/>
  <c r="P533" i="5"/>
  <c r="O533" i="5"/>
  <c r="P532" i="5"/>
  <c r="O532" i="5"/>
  <c r="P531" i="5"/>
  <c r="O531" i="5"/>
  <c r="P530" i="5"/>
  <c r="O530" i="5"/>
  <c r="P529" i="5"/>
  <c r="O529" i="5"/>
  <c r="P528" i="5"/>
  <c r="O528" i="5"/>
  <c r="P527" i="5"/>
  <c r="O527" i="5"/>
  <c r="P526" i="5"/>
  <c r="O526" i="5"/>
  <c r="P525" i="5"/>
  <c r="O525" i="5"/>
  <c r="P524" i="5"/>
  <c r="O524" i="5"/>
  <c r="P523" i="5"/>
  <c r="O523" i="5"/>
  <c r="P522" i="5"/>
  <c r="O522" i="5"/>
  <c r="P521" i="5"/>
  <c r="O521" i="5"/>
  <c r="P520" i="5"/>
  <c r="O520" i="5"/>
  <c r="P519" i="5"/>
  <c r="O519" i="5"/>
  <c r="P518" i="5"/>
  <c r="O518" i="5"/>
  <c r="P517" i="5"/>
  <c r="O517" i="5"/>
  <c r="P516" i="5"/>
  <c r="O516" i="5"/>
  <c r="P515" i="5"/>
  <c r="O515" i="5"/>
  <c r="P514" i="5"/>
  <c r="O514" i="5"/>
  <c r="P513" i="5"/>
  <c r="O513" i="5"/>
  <c r="P512" i="5"/>
  <c r="O512" i="5"/>
  <c r="P511" i="5"/>
  <c r="O511" i="5"/>
  <c r="P510" i="5"/>
  <c r="O510" i="5"/>
  <c r="P509" i="5"/>
  <c r="O509" i="5"/>
  <c r="P508" i="5"/>
  <c r="O508" i="5"/>
  <c r="P507" i="5"/>
  <c r="O507" i="5"/>
  <c r="P506" i="5"/>
  <c r="O506" i="5"/>
  <c r="P505" i="5"/>
  <c r="O505" i="5"/>
  <c r="P504" i="5"/>
  <c r="O504" i="5"/>
  <c r="P503" i="5"/>
  <c r="O503" i="5"/>
  <c r="P502" i="5"/>
  <c r="O502" i="5"/>
  <c r="P501" i="5"/>
  <c r="O501" i="5"/>
  <c r="P500" i="5"/>
  <c r="O500" i="5"/>
  <c r="P499" i="5"/>
  <c r="O499" i="5"/>
  <c r="P498" i="5"/>
  <c r="O498" i="5"/>
  <c r="P497" i="5"/>
  <c r="O497" i="5"/>
  <c r="P496" i="5"/>
  <c r="O496" i="5"/>
  <c r="P495" i="5"/>
  <c r="O495" i="5"/>
  <c r="P494" i="5"/>
  <c r="O494" i="5"/>
  <c r="P493" i="5"/>
  <c r="O493" i="5"/>
  <c r="P492" i="5"/>
  <c r="O492" i="5"/>
  <c r="P491" i="5"/>
  <c r="O491" i="5"/>
  <c r="P490" i="5"/>
  <c r="O490" i="5"/>
  <c r="P489" i="5"/>
  <c r="O489" i="5"/>
  <c r="P488" i="5"/>
  <c r="O488" i="5"/>
  <c r="P487" i="5"/>
  <c r="O487" i="5"/>
  <c r="P486" i="5"/>
  <c r="O486" i="5"/>
  <c r="P485" i="5"/>
  <c r="O485" i="5"/>
  <c r="P484" i="5"/>
  <c r="O484" i="5"/>
  <c r="P483" i="5"/>
  <c r="O483" i="5"/>
  <c r="P482" i="5"/>
  <c r="O482" i="5"/>
  <c r="P481" i="5"/>
  <c r="O481" i="5"/>
  <c r="P480" i="5"/>
  <c r="O480" i="5"/>
  <c r="P479" i="5"/>
  <c r="O479" i="5"/>
  <c r="P478" i="5"/>
  <c r="O478" i="5"/>
  <c r="P477" i="5"/>
  <c r="O477" i="5"/>
  <c r="P476" i="5"/>
  <c r="O476" i="5"/>
  <c r="P475" i="5"/>
  <c r="O475" i="5"/>
  <c r="P474" i="5"/>
  <c r="O474" i="5"/>
  <c r="P473" i="5"/>
  <c r="O473" i="5"/>
  <c r="P472" i="5"/>
  <c r="O472" i="5"/>
  <c r="P471" i="5"/>
  <c r="O471" i="5"/>
  <c r="P470" i="5"/>
  <c r="O470" i="5"/>
  <c r="P469" i="5"/>
  <c r="O469" i="5"/>
  <c r="P468" i="5"/>
  <c r="O468" i="5"/>
  <c r="P467" i="5"/>
  <c r="O467" i="5"/>
  <c r="P466" i="5"/>
  <c r="O466" i="5"/>
  <c r="P465" i="5"/>
  <c r="O465" i="5"/>
  <c r="P464" i="5"/>
  <c r="O464" i="5"/>
  <c r="P463" i="5"/>
  <c r="O463" i="5"/>
  <c r="P462" i="5"/>
  <c r="O462" i="5"/>
  <c r="P461" i="5"/>
  <c r="O461" i="5"/>
  <c r="P460" i="5"/>
  <c r="O460" i="5"/>
  <c r="P459" i="5"/>
  <c r="O459" i="5"/>
  <c r="P458" i="5"/>
  <c r="O458" i="5"/>
  <c r="P457" i="5"/>
  <c r="O457" i="5"/>
  <c r="P456" i="5"/>
  <c r="O456" i="5"/>
  <c r="P455" i="5"/>
  <c r="O455" i="5"/>
  <c r="P454" i="5"/>
  <c r="O454" i="5"/>
  <c r="P453" i="5"/>
  <c r="O453" i="5"/>
  <c r="P452" i="5"/>
  <c r="O452" i="5"/>
  <c r="P451" i="5"/>
  <c r="O451" i="5"/>
  <c r="P450" i="5"/>
  <c r="O450" i="5"/>
  <c r="P449" i="5"/>
  <c r="O449" i="5"/>
  <c r="P448" i="5"/>
  <c r="O448" i="5"/>
  <c r="P447" i="5"/>
  <c r="O447" i="5"/>
  <c r="P446" i="5"/>
  <c r="O446" i="5"/>
  <c r="P445" i="5"/>
  <c r="O445" i="5"/>
  <c r="P444" i="5"/>
  <c r="O444" i="5"/>
  <c r="P443" i="5"/>
  <c r="O443" i="5"/>
  <c r="P442" i="5"/>
  <c r="O442" i="5"/>
  <c r="P441" i="5"/>
  <c r="O441" i="5"/>
  <c r="P440" i="5"/>
  <c r="O440" i="5"/>
  <c r="P439" i="5"/>
  <c r="O439" i="5"/>
  <c r="P438" i="5"/>
  <c r="O438" i="5"/>
  <c r="P437" i="5"/>
  <c r="O437" i="5"/>
  <c r="P436" i="5"/>
  <c r="O436" i="5"/>
  <c r="P435" i="5"/>
  <c r="O435" i="5"/>
  <c r="P434" i="5"/>
  <c r="O434" i="5"/>
  <c r="P433" i="5"/>
  <c r="O433" i="5"/>
  <c r="P432" i="5"/>
  <c r="O432" i="5"/>
  <c r="P431" i="5"/>
  <c r="O431" i="5"/>
  <c r="P430" i="5"/>
  <c r="O430" i="5"/>
  <c r="P429" i="5"/>
  <c r="O429" i="5"/>
  <c r="P428" i="5"/>
  <c r="O428" i="5"/>
  <c r="P427" i="5"/>
  <c r="O427" i="5"/>
  <c r="P426" i="5"/>
  <c r="O426" i="5"/>
  <c r="P425" i="5"/>
  <c r="O425" i="5"/>
  <c r="P424" i="5"/>
  <c r="O424" i="5"/>
  <c r="P423" i="5"/>
  <c r="O423" i="5"/>
  <c r="P422" i="5"/>
  <c r="O422" i="5"/>
  <c r="P421" i="5"/>
  <c r="O421" i="5"/>
  <c r="P420" i="5"/>
  <c r="O420" i="5"/>
  <c r="P419" i="5"/>
  <c r="O419" i="5"/>
  <c r="P418" i="5"/>
  <c r="O418" i="5"/>
  <c r="P417" i="5"/>
  <c r="O417" i="5"/>
  <c r="P416" i="5"/>
  <c r="O416" i="5"/>
  <c r="P415" i="5"/>
  <c r="O415" i="5"/>
  <c r="P414" i="5"/>
  <c r="O414" i="5"/>
  <c r="P413" i="5"/>
  <c r="O413" i="5"/>
  <c r="P412" i="5"/>
  <c r="O412" i="5"/>
  <c r="P411" i="5"/>
  <c r="O411" i="5"/>
  <c r="P410" i="5"/>
  <c r="O410" i="5"/>
  <c r="P409" i="5"/>
  <c r="O409" i="5"/>
  <c r="P408" i="5"/>
  <c r="O408" i="5"/>
  <c r="P407" i="5"/>
  <c r="O407" i="5"/>
  <c r="P406" i="5"/>
  <c r="O406" i="5"/>
  <c r="P405" i="5"/>
  <c r="O405" i="5"/>
  <c r="P404" i="5"/>
  <c r="O404" i="5"/>
  <c r="P403" i="5"/>
  <c r="O403" i="5"/>
  <c r="P402" i="5"/>
  <c r="O402" i="5"/>
  <c r="P401" i="5"/>
  <c r="O401" i="5"/>
  <c r="P400" i="5"/>
  <c r="O400" i="5"/>
  <c r="P399" i="5"/>
  <c r="O399" i="5"/>
  <c r="P398" i="5"/>
  <c r="O398" i="5"/>
  <c r="P397" i="5"/>
  <c r="O397" i="5"/>
  <c r="P396" i="5"/>
  <c r="O396" i="5"/>
  <c r="P395" i="5"/>
  <c r="O395" i="5"/>
  <c r="P394" i="5"/>
  <c r="O394" i="5"/>
  <c r="P393" i="5"/>
  <c r="O393" i="5"/>
  <c r="P392" i="5"/>
  <c r="O392" i="5"/>
  <c r="P391" i="5"/>
  <c r="O391" i="5"/>
  <c r="P390" i="5"/>
  <c r="O390" i="5"/>
  <c r="P389" i="5"/>
  <c r="O389" i="5"/>
  <c r="P388" i="5"/>
  <c r="O388" i="5"/>
  <c r="P387" i="5"/>
  <c r="O387" i="5"/>
  <c r="P386" i="5"/>
  <c r="O386" i="5"/>
  <c r="P385" i="5"/>
  <c r="O385" i="5"/>
  <c r="P384" i="5"/>
  <c r="O384" i="5"/>
  <c r="P383" i="5"/>
  <c r="O383" i="5"/>
  <c r="P382" i="5"/>
  <c r="O382" i="5"/>
  <c r="P381" i="5"/>
  <c r="O381" i="5"/>
  <c r="P380" i="5"/>
  <c r="O380" i="5"/>
  <c r="P379" i="5"/>
  <c r="O379" i="5"/>
  <c r="P378" i="5"/>
  <c r="O378" i="5"/>
  <c r="P377" i="5"/>
  <c r="O377" i="5"/>
  <c r="P376" i="5"/>
  <c r="O376" i="5"/>
  <c r="P375" i="5"/>
  <c r="O375" i="5"/>
  <c r="P374" i="5"/>
  <c r="O374" i="5"/>
  <c r="P373" i="5"/>
  <c r="O373" i="5"/>
  <c r="P372" i="5"/>
  <c r="O372" i="5"/>
  <c r="P371" i="5"/>
  <c r="O371" i="5"/>
  <c r="P370" i="5"/>
  <c r="O370" i="5"/>
  <c r="P369" i="5"/>
  <c r="O369" i="5"/>
  <c r="P368" i="5"/>
  <c r="O368" i="5"/>
  <c r="P367" i="5"/>
  <c r="O367" i="5"/>
  <c r="P366" i="5"/>
  <c r="O366" i="5"/>
  <c r="P365" i="5"/>
  <c r="O365" i="5"/>
  <c r="P364" i="5"/>
  <c r="O364" i="5"/>
  <c r="P363" i="5"/>
  <c r="O363" i="5"/>
  <c r="P362" i="5"/>
  <c r="O362" i="5"/>
  <c r="P361" i="5"/>
  <c r="O361" i="5"/>
  <c r="P360" i="5"/>
  <c r="O360" i="5"/>
  <c r="P359" i="5"/>
  <c r="O359" i="5"/>
  <c r="P358" i="5"/>
  <c r="O358" i="5"/>
  <c r="P357" i="5"/>
  <c r="O357" i="5"/>
  <c r="P356" i="5"/>
  <c r="O356" i="5"/>
  <c r="P355" i="5"/>
  <c r="O355" i="5"/>
  <c r="P354" i="5"/>
  <c r="O354" i="5"/>
  <c r="P353" i="5"/>
  <c r="O353" i="5"/>
  <c r="P352" i="5"/>
  <c r="O352" i="5"/>
  <c r="P351" i="5"/>
  <c r="O351" i="5"/>
  <c r="P350" i="5"/>
  <c r="O350" i="5"/>
  <c r="P349" i="5"/>
  <c r="O349" i="5"/>
  <c r="P348" i="5"/>
  <c r="O348" i="5"/>
  <c r="P347" i="5"/>
  <c r="O347" i="5"/>
  <c r="P346" i="5"/>
  <c r="O346" i="5"/>
  <c r="P345" i="5"/>
  <c r="O345" i="5"/>
  <c r="P344" i="5"/>
  <c r="O344" i="5"/>
  <c r="P343" i="5"/>
  <c r="O343" i="5"/>
  <c r="P342" i="5"/>
  <c r="O342" i="5"/>
  <c r="P341" i="5"/>
  <c r="O341" i="5"/>
  <c r="P340" i="5"/>
  <c r="O340" i="5"/>
  <c r="P339" i="5"/>
  <c r="O339" i="5"/>
  <c r="P338" i="5"/>
  <c r="O338" i="5"/>
  <c r="P337" i="5"/>
  <c r="O337" i="5"/>
  <c r="P336" i="5"/>
  <c r="O336" i="5"/>
  <c r="P335" i="5"/>
  <c r="O335" i="5"/>
  <c r="P334" i="5"/>
  <c r="O334" i="5"/>
  <c r="P333" i="5"/>
  <c r="O333" i="5"/>
  <c r="P332" i="5"/>
  <c r="O332" i="5"/>
  <c r="P331" i="5"/>
  <c r="O331" i="5"/>
  <c r="P330" i="5"/>
  <c r="O330" i="5"/>
  <c r="P329" i="5"/>
  <c r="O329" i="5"/>
  <c r="P328" i="5"/>
  <c r="O328" i="5"/>
  <c r="P327" i="5"/>
  <c r="O327" i="5"/>
  <c r="P326" i="5"/>
  <c r="O326" i="5"/>
  <c r="P325" i="5"/>
  <c r="O325" i="5"/>
  <c r="P324" i="5"/>
  <c r="O324" i="5"/>
  <c r="P323" i="5"/>
  <c r="O323" i="5"/>
  <c r="P322" i="5"/>
  <c r="O322" i="5"/>
  <c r="P321" i="5"/>
  <c r="O321" i="5"/>
  <c r="P320" i="5"/>
  <c r="O320" i="5"/>
  <c r="P319" i="5"/>
  <c r="O319" i="5"/>
  <c r="P318" i="5"/>
  <c r="O318" i="5"/>
  <c r="P317" i="5"/>
  <c r="O317" i="5"/>
  <c r="P316" i="5"/>
  <c r="O316" i="5"/>
  <c r="P315" i="5"/>
  <c r="O315" i="5"/>
  <c r="P314" i="5"/>
  <c r="O314" i="5"/>
  <c r="P313" i="5"/>
  <c r="O313" i="5"/>
  <c r="P312" i="5"/>
  <c r="O312" i="5"/>
  <c r="P311" i="5"/>
  <c r="O311" i="5"/>
  <c r="P310" i="5"/>
  <c r="O310" i="5"/>
  <c r="P309" i="5"/>
  <c r="O309" i="5"/>
  <c r="P308" i="5"/>
  <c r="O308" i="5"/>
  <c r="P307" i="5"/>
  <c r="O307" i="5"/>
  <c r="P306" i="5"/>
  <c r="O306" i="5"/>
  <c r="P305" i="5"/>
  <c r="O305" i="5"/>
  <c r="P304" i="5"/>
  <c r="O304" i="5"/>
  <c r="P303" i="5"/>
  <c r="O303" i="5"/>
  <c r="P302" i="5"/>
  <c r="O302" i="5"/>
  <c r="P301" i="5"/>
  <c r="O301" i="5"/>
  <c r="P300" i="5"/>
  <c r="O300" i="5"/>
  <c r="P299" i="5"/>
  <c r="O299" i="5"/>
  <c r="P298" i="5"/>
  <c r="O298" i="5"/>
  <c r="P297" i="5"/>
  <c r="O297" i="5"/>
  <c r="P296" i="5"/>
  <c r="O296" i="5"/>
  <c r="P295" i="5"/>
  <c r="O295" i="5"/>
  <c r="P294" i="5"/>
  <c r="O294" i="5"/>
  <c r="P293" i="5"/>
  <c r="O293" i="5"/>
  <c r="P292" i="5"/>
  <c r="O292" i="5"/>
  <c r="P291" i="5"/>
  <c r="O291" i="5"/>
  <c r="P290" i="5"/>
  <c r="O290" i="5"/>
  <c r="P289" i="5"/>
  <c r="O289" i="5"/>
  <c r="P288" i="5"/>
  <c r="O288" i="5"/>
  <c r="P287" i="5"/>
  <c r="O287" i="5"/>
  <c r="P286" i="5"/>
  <c r="O286" i="5"/>
  <c r="P285" i="5"/>
  <c r="O285" i="5"/>
  <c r="P284" i="5"/>
  <c r="O284" i="5"/>
  <c r="P283" i="5"/>
  <c r="O283" i="5"/>
  <c r="P282" i="5"/>
  <c r="O282" i="5"/>
  <c r="P281" i="5"/>
  <c r="O281" i="5"/>
  <c r="P280" i="5"/>
  <c r="O280" i="5"/>
  <c r="P279" i="5"/>
  <c r="O279" i="5"/>
  <c r="P278" i="5"/>
  <c r="O278" i="5"/>
  <c r="P277" i="5"/>
  <c r="O277" i="5"/>
  <c r="P276" i="5"/>
  <c r="O276" i="5"/>
  <c r="P275" i="5"/>
  <c r="O275" i="5"/>
  <c r="P274" i="5"/>
  <c r="O274" i="5"/>
  <c r="P273" i="5"/>
  <c r="O273" i="5"/>
  <c r="P272" i="5"/>
  <c r="O272" i="5"/>
  <c r="P271" i="5"/>
  <c r="O271" i="5"/>
  <c r="P270" i="5"/>
  <c r="O270" i="5"/>
  <c r="P269" i="5"/>
  <c r="O269" i="5"/>
  <c r="P268" i="5"/>
  <c r="O268" i="5"/>
  <c r="P267" i="5"/>
  <c r="O267" i="5"/>
  <c r="P266" i="5"/>
  <c r="O266" i="5"/>
  <c r="P265" i="5"/>
  <c r="O265" i="5"/>
  <c r="P264" i="5"/>
  <c r="O264" i="5"/>
  <c r="P263" i="5"/>
  <c r="O263" i="5"/>
  <c r="P262" i="5"/>
  <c r="O262" i="5"/>
  <c r="P261" i="5"/>
  <c r="O261" i="5"/>
  <c r="P260" i="5"/>
  <c r="O260" i="5"/>
  <c r="P259" i="5"/>
  <c r="O259" i="5"/>
  <c r="P258" i="5"/>
  <c r="O258" i="5"/>
  <c r="P257" i="5"/>
  <c r="O257" i="5"/>
  <c r="P256" i="5"/>
  <c r="O256" i="5"/>
  <c r="P255" i="5"/>
  <c r="O255" i="5"/>
  <c r="P254" i="5"/>
  <c r="O254" i="5"/>
  <c r="P253" i="5"/>
  <c r="O253" i="5"/>
  <c r="P252" i="5"/>
  <c r="O252" i="5"/>
  <c r="P251" i="5"/>
  <c r="O251" i="5"/>
  <c r="P250" i="5"/>
  <c r="O250" i="5"/>
  <c r="P249" i="5"/>
  <c r="O249" i="5"/>
  <c r="P248" i="5"/>
  <c r="O248" i="5"/>
  <c r="P247" i="5"/>
  <c r="O247" i="5"/>
  <c r="P246" i="5"/>
  <c r="O246" i="5"/>
  <c r="P245" i="5"/>
  <c r="O245" i="5"/>
  <c r="P244" i="5"/>
  <c r="O244" i="5"/>
  <c r="P243" i="5"/>
  <c r="O243" i="5"/>
  <c r="P242" i="5"/>
  <c r="O242" i="5"/>
  <c r="P241" i="5"/>
  <c r="O241" i="5"/>
  <c r="P240" i="5"/>
  <c r="O240" i="5"/>
  <c r="P239" i="5"/>
  <c r="O239" i="5"/>
  <c r="P238" i="5"/>
  <c r="O238" i="5"/>
  <c r="P237" i="5"/>
  <c r="O237" i="5"/>
  <c r="P236" i="5"/>
  <c r="O236" i="5"/>
  <c r="P235" i="5"/>
  <c r="O235" i="5"/>
  <c r="P234" i="5"/>
  <c r="O234" i="5"/>
  <c r="P233" i="5"/>
  <c r="O233" i="5"/>
  <c r="P232" i="5"/>
  <c r="O232" i="5"/>
  <c r="P231" i="5"/>
  <c r="O231" i="5"/>
  <c r="P230" i="5"/>
  <c r="O230" i="5"/>
  <c r="P229" i="5"/>
  <c r="O229" i="5"/>
  <c r="P228" i="5"/>
  <c r="O228" i="5"/>
  <c r="P227" i="5"/>
  <c r="O227" i="5"/>
  <c r="P226" i="5"/>
  <c r="O226" i="5"/>
  <c r="P225" i="5"/>
  <c r="O225" i="5"/>
  <c r="P224" i="5"/>
  <c r="O224" i="5"/>
  <c r="P223" i="5"/>
  <c r="O223" i="5"/>
  <c r="P222" i="5"/>
  <c r="O222" i="5"/>
  <c r="P221" i="5"/>
  <c r="O221" i="5"/>
  <c r="P220" i="5"/>
  <c r="O220" i="5"/>
  <c r="P219" i="5"/>
  <c r="O219" i="5"/>
  <c r="P218" i="5"/>
  <c r="O218" i="5"/>
  <c r="P217" i="5"/>
  <c r="O217" i="5"/>
  <c r="P216" i="5"/>
  <c r="O216" i="5"/>
  <c r="P215" i="5"/>
  <c r="O215" i="5"/>
  <c r="P214" i="5"/>
  <c r="O214" i="5"/>
  <c r="P213" i="5"/>
  <c r="O213" i="5"/>
  <c r="P212" i="5"/>
  <c r="O212" i="5"/>
  <c r="P211" i="5"/>
  <c r="O211" i="5"/>
  <c r="P210" i="5"/>
  <c r="O210" i="5"/>
  <c r="P209" i="5"/>
  <c r="O209" i="5"/>
  <c r="P208" i="5"/>
  <c r="O208" i="5"/>
  <c r="P207" i="5"/>
  <c r="O207" i="5"/>
  <c r="P206" i="5"/>
  <c r="O206" i="5"/>
  <c r="P205" i="5"/>
  <c r="O205" i="5"/>
  <c r="P204" i="5"/>
  <c r="O204" i="5"/>
  <c r="P203" i="5"/>
  <c r="O203" i="5"/>
  <c r="P202" i="5"/>
  <c r="O202" i="5"/>
  <c r="P201" i="5"/>
  <c r="O201" i="5"/>
  <c r="P200" i="5"/>
  <c r="O200" i="5"/>
  <c r="P199" i="5"/>
  <c r="O199" i="5"/>
  <c r="P198" i="5"/>
  <c r="O198" i="5"/>
  <c r="P197" i="5"/>
  <c r="O197" i="5"/>
  <c r="P196" i="5"/>
  <c r="O196" i="5"/>
  <c r="P195" i="5"/>
  <c r="O195" i="5"/>
  <c r="P194" i="5"/>
  <c r="O194" i="5"/>
  <c r="P193" i="5"/>
  <c r="O193" i="5"/>
  <c r="P192" i="5"/>
  <c r="O192" i="5"/>
  <c r="P191" i="5"/>
  <c r="O191" i="5"/>
  <c r="P190" i="5"/>
  <c r="O190" i="5"/>
  <c r="P189" i="5"/>
  <c r="O189" i="5"/>
  <c r="P188" i="5"/>
  <c r="O188" i="5"/>
  <c r="P187" i="5"/>
  <c r="O187" i="5"/>
  <c r="P186" i="5"/>
  <c r="O186" i="5"/>
  <c r="P185" i="5"/>
  <c r="O185" i="5"/>
  <c r="P184" i="5"/>
  <c r="O184" i="5"/>
  <c r="P183" i="5"/>
  <c r="O183" i="5"/>
  <c r="P182" i="5"/>
  <c r="O182" i="5"/>
  <c r="P181" i="5"/>
  <c r="O181" i="5"/>
  <c r="P180" i="5"/>
  <c r="O180" i="5"/>
  <c r="P179" i="5"/>
  <c r="O179" i="5"/>
  <c r="P178" i="5"/>
  <c r="O178" i="5"/>
  <c r="P177" i="5"/>
  <c r="O177" i="5"/>
  <c r="P176" i="5"/>
  <c r="O176" i="5"/>
  <c r="P175" i="5"/>
  <c r="O175" i="5"/>
  <c r="P174" i="5"/>
  <c r="O174" i="5"/>
  <c r="P173" i="5"/>
  <c r="O173" i="5"/>
  <c r="P172" i="5"/>
  <c r="O172" i="5"/>
  <c r="P171" i="5"/>
  <c r="O171" i="5"/>
  <c r="P170" i="5"/>
  <c r="O170" i="5"/>
  <c r="P169" i="5"/>
  <c r="O169" i="5"/>
  <c r="P168" i="5"/>
  <c r="O168" i="5"/>
  <c r="P167" i="5"/>
  <c r="O167" i="5"/>
  <c r="P166" i="5"/>
  <c r="O166" i="5"/>
  <c r="P165" i="5"/>
  <c r="O165" i="5"/>
  <c r="P164" i="5"/>
  <c r="O164" i="5"/>
  <c r="P163" i="5"/>
  <c r="O163" i="5"/>
  <c r="P162" i="5"/>
  <c r="O162" i="5"/>
  <c r="P161" i="5"/>
  <c r="O161" i="5"/>
  <c r="P160" i="5"/>
  <c r="O160" i="5"/>
  <c r="P159" i="5"/>
  <c r="O159" i="5"/>
  <c r="P158" i="5"/>
  <c r="O158" i="5"/>
  <c r="P157" i="5"/>
  <c r="O157" i="5"/>
  <c r="P156" i="5"/>
  <c r="O156" i="5"/>
  <c r="P155" i="5"/>
  <c r="O155" i="5"/>
  <c r="P154" i="5"/>
  <c r="O154" i="5"/>
  <c r="P153" i="5"/>
  <c r="O153" i="5"/>
  <c r="P152" i="5"/>
  <c r="O152" i="5"/>
  <c r="P151" i="5"/>
  <c r="O151" i="5"/>
  <c r="P150" i="5"/>
  <c r="O150" i="5"/>
  <c r="P149" i="5"/>
  <c r="O149" i="5"/>
  <c r="P148" i="5"/>
  <c r="O148" i="5"/>
  <c r="P147" i="5"/>
  <c r="O147" i="5"/>
  <c r="P146" i="5"/>
  <c r="O146" i="5"/>
  <c r="P145" i="5"/>
  <c r="O145" i="5"/>
  <c r="P144" i="5"/>
  <c r="O144" i="5"/>
  <c r="P143" i="5"/>
  <c r="O143" i="5"/>
  <c r="P142" i="5"/>
  <c r="O142" i="5"/>
  <c r="P141" i="5"/>
  <c r="O141" i="5"/>
  <c r="P140" i="5"/>
  <c r="O140" i="5"/>
  <c r="P139" i="5"/>
  <c r="O139" i="5"/>
  <c r="P138" i="5"/>
  <c r="O138" i="5"/>
  <c r="P137" i="5"/>
  <c r="O137" i="5"/>
  <c r="P136" i="5"/>
  <c r="O136" i="5"/>
  <c r="P135" i="5"/>
  <c r="O135" i="5"/>
  <c r="P134" i="5"/>
  <c r="O134" i="5"/>
  <c r="P133" i="5"/>
  <c r="O133" i="5"/>
  <c r="P132" i="5"/>
  <c r="O132" i="5"/>
  <c r="P131" i="5"/>
  <c r="O131" i="5"/>
  <c r="P130" i="5"/>
  <c r="O130" i="5"/>
  <c r="P129" i="5"/>
  <c r="O129" i="5"/>
  <c r="P128" i="5"/>
  <c r="O128" i="5"/>
  <c r="P127" i="5"/>
  <c r="O127" i="5"/>
  <c r="P126" i="5"/>
  <c r="O126" i="5"/>
  <c r="P125" i="5"/>
  <c r="O125" i="5"/>
  <c r="P124" i="5"/>
  <c r="O124" i="5"/>
  <c r="P123" i="5"/>
  <c r="O123" i="5"/>
  <c r="P122" i="5"/>
  <c r="O122" i="5"/>
  <c r="P121" i="5"/>
  <c r="O121" i="5"/>
  <c r="P120" i="5"/>
  <c r="O120" i="5"/>
  <c r="P119" i="5"/>
  <c r="O119" i="5"/>
  <c r="P118" i="5"/>
  <c r="O118" i="5"/>
  <c r="P117" i="5"/>
  <c r="O117" i="5"/>
  <c r="P116" i="5"/>
  <c r="O116" i="5"/>
  <c r="P115" i="5"/>
  <c r="O115" i="5"/>
  <c r="P114" i="5"/>
  <c r="O114" i="5"/>
  <c r="P113" i="5"/>
  <c r="O113" i="5"/>
  <c r="P112" i="5"/>
  <c r="O112" i="5"/>
  <c r="P107" i="5"/>
  <c r="O107" i="5"/>
  <c r="P104" i="5"/>
  <c r="O104" i="5"/>
  <c r="P103" i="5"/>
  <c r="O103" i="5"/>
  <c r="P95" i="5"/>
  <c r="O95" i="5"/>
  <c r="P93" i="5"/>
  <c r="O93" i="5"/>
  <c r="P89" i="5"/>
  <c r="O89" i="5"/>
  <c r="P85" i="5"/>
  <c r="O85" i="5"/>
  <c r="P84" i="5"/>
  <c r="O84" i="5"/>
  <c r="P83" i="5"/>
  <c r="O83" i="5"/>
  <c r="P81" i="5"/>
  <c r="O81" i="5"/>
  <c r="P80" i="5"/>
  <c r="O80" i="5"/>
  <c r="P79" i="5"/>
  <c r="O79" i="5"/>
  <c r="P76" i="5"/>
  <c r="O76" i="5"/>
  <c r="P73" i="5"/>
  <c r="O73" i="5"/>
  <c r="P72" i="5"/>
  <c r="O72" i="5"/>
  <c r="P69" i="5"/>
  <c r="O69" i="5"/>
  <c r="P64" i="5"/>
  <c r="O64" i="5"/>
  <c r="P61" i="5"/>
  <c r="O61" i="5"/>
  <c r="P20" i="5"/>
  <c r="O20" i="5"/>
  <c r="P19" i="5"/>
  <c r="O19" i="5"/>
  <c r="P18" i="5"/>
  <c r="O18" i="5"/>
  <c r="P16" i="5"/>
  <c r="O16" i="5"/>
  <c r="P15" i="5"/>
  <c r="O15" i="5"/>
  <c r="P13" i="5"/>
  <c r="O13" i="5"/>
  <c r="P11" i="5"/>
  <c r="O11" i="5"/>
  <c r="P10" i="5"/>
  <c r="O10" i="5"/>
  <c r="P9" i="5"/>
  <c r="O9" i="5"/>
  <c r="P8" i="5"/>
  <c r="O8" i="5"/>
  <c r="P7" i="5"/>
  <c r="O7" i="5"/>
  <c r="P5" i="5"/>
  <c r="O5" i="5"/>
  <c r="P4" i="5"/>
  <c r="O4" i="5"/>
  <c r="P3" i="5"/>
  <c r="O3" i="5"/>
  <c r="P2" i="5"/>
  <c r="O2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07" i="5"/>
  <c r="H104" i="5"/>
  <c r="H103" i="5"/>
  <c r="H95" i="5"/>
  <c r="H93" i="5"/>
  <c r="H89" i="5"/>
  <c r="H85" i="5"/>
  <c r="H84" i="5"/>
  <c r="H83" i="5"/>
  <c r="H81" i="5"/>
  <c r="H80" i="5"/>
  <c r="H79" i="5"/>
  <c r="H76" i="5"/>
  <c r="H73" i="5"/>
  <c r="H64" i="5"/>
  <c r="H61" i="5"/>
  <c r="H60" i="5"/>
  <c r="H45" i="5"/>
  <c r="H44" i="5"/>
  <c r="H42" i="5"/>
  <c r="H41" i="5"/>
  <c r="H4" i="5"/>
  <c r="B2936" i="13" l="1"/>
  <c r="B2946" i="13"/>
  <c r="H3239" i="14"/>
  <c r="B3096" i="14"/>
  <c r="B2826" i="13"/>
  <c r="B3118" i="14"/>
  <c r="H3129" i="14"/>
  <c r="H2986" i="13"/>
  <c r="H2976" i="13"/>
  <c r="H2956" i="13"/>
  <c r="H2936" i="13"/>
  <c r="H2826" i="13"/>
  <c r="B3379" i="13"/>
  <c r="B3369" i="13"/>
  <c r="B3219" i="13"/>
  <c r="H3299" i="13"/>
  <c r="H3259" i="13"/>
  <c r="B3462" i="13"/>
  <c r="H3682" i="13"/>
  <c r="H1722" i="13"/>
  <c r="B2836" i="13"/>
  <c r="H3066" i="13"/>
  <c r="H3026" i="13"/>
  <c r="B3682" i="13"/>
  <c r="B3562" i="13"/>
  <c r="B3522" i="13"/>
  <c r="B1013" i="13"/>
  <c r="H1398" i="13"/>
  <c r="H1318" i="13"/>
  <c r="H1298" i="13"/>
  <c r="H2836" i="13"/>
  <c r="H3309" i="13"/>
  <c r="H3179" i="13"/>
  <c r="H3149" i="13"/>
  <c r="B1792" i="13"/>
  <c r="B1602" i="13"/>
  <c r="H1562" i="13"/>
  <c r="B1855" i="13"/>
  <c r="H1855" i="13"/>
  <c r="B2055" i="13"/>
  <c r="B2996" i="13"/>
  <c r="H2866" i="13"/>
  <c r="B3339" i="13"/>
  <c r="B3319" i="13"/>
  <c r="B3279" i="13"/>
  <c r="B3672" i="13"/>
  <c r="B3066" i="13"/>
  <c r="H3359" i="13"/>
  <c r="B3512" i="13"/>
  <c r="H3562" i="13"/>
  <c r="H3542" i="13"/>
  <c r="B1358" i="13"/>
  <c r="B1318" i="13"/>
  <c r="B1308" i="13"/>
  <c r="B1288" i="13"/>
  <c r="B1268" i="13"/>
  <c r="B1248" i="13"/>
  <c r="H1508" i="13"/>
  <c r="H1438" i="13"/>
  <c r="B3086" i="13"/>
  <c r="B2906" i="13"/>
  <c r="B3179" i="13"/>
  <c r="B3169" i="13"/>
  <c r="H3219" i="13"/>
  <c r="H3199" i="13"/>
  <c r="B3602" i="13"/>
  <c r="H3602" i="13"/>
  <c r="H3592" i="13"/>
  <c r="B1173" i="13"/>
  <c r="H1133" i="13"/>
  <c r="H973" i="13"/>
  <c r="B1518" i="13"/>
  <c r="B2926" i="13"/>
  <c r="B3259" i="13"/>
  <c r="B3229" i="13"/>
  <c r="H3249" i="13"/>
  <c r="B3642" i="13"/>
  <c r="B3622" i="13"/>
  <c r="B3412" i="13"/>
  <c r="H3642" i="13"/>
  <c r="B899" i="13"/>
  <c r="B889" i="13"/>
  <c r="B879" i="13"/>
  <c r="B739" i="13"/>
  <c r="B729" i="13"/>
  <c r="B719" i="13"/>
  <c r="B699" i="13"/>
  <c r="B659" i="13"/>
  <c r="H739" i="13"/>
  <c r="H729" i="13"/>
  <c r="B3482" i="13"/>
  <c r="B3442" i="13"/>
  <c r="H3522" i="13"/>
  <c r="B779" i="13"/>
  <c r="H779" i="13"/>
  <c r="B3026" i="13"/>
  <c r="H3339" i="13"/>
  <c r="H829" i="13"/>
  <c r="B2866" i="13"/>
  <c r="B1398" i="13"/>
  <c r="H1358" i="13"/>
  <c r="H1348" i="13"/>
  <c r="B1642" i="13"/>
  <c r="H1632" i="13"/>
  <c r="H1612" i="13"/>
  <c r="H2015" i="13"/>
  <c r="B3056" i="13"/>
  <c r="B3046" i="13"/>
  <c r="B2956" i="13"/>
  <c r="B2896" i="13"/>
  <c r="B2886" i="13"/>
  <c r="B2796" i="13"/>
  <c r="H3076" i="13"/>
  <c r="H3036" i="13"/>
  <c r="H2996" i="13"/>
  <c r="H2946" i="13"/>
  <c r="H2896" i="13"/>
  <c r="H2846" i="13"/>
  <c r="H2796" i="13"/>
  <c r="B3099" i="13"/>
  <c r="H3099" i="13"/>
  <c r="B3389" i="13"/>
  <c r="B3329" i="13"/>
  <c r="B3289" i="13"/>
  <c r="B3239" i="13"/>
  <c r="B3189" i="13"/>
  <c r="B3129" i="13"/>
  <c r="H3369" i="13"/>
  <c r="H3319" i="13"/>
  <c r="H3269" i="13"/>
  <c r="H3209" i="13"/>
  <c r="H3159" i="13"/>
  <c r="H3109" i="13"/>
  <c r="B3402" i="13"/>
  <c r="H3402" i="13"/>
  <c r="B3632" i="13"/>
  <c r="B3572" i="13"/>
  <c r="B3472" i="13"/>
  <c r="B3422" i="13"/>
  <c r="H3692" i="13"/>
  <c r="H3612" i="13"/>
  <c r="H3552" i="13"/>
  <c r="H3532" i="13"/>
  <c r="H3502" i="13"/>
  <c r="H3452" i="13"/>
  <c r="H3412" i="13"/>
  <c r="B1103" i="13"/>
  <c r="H1193" i="13"/>
  <c r="B1418" i="13"/>
  <c r="H1408" i="13"/>
  <c r="H1662" i="13"/>
  <c r="H1592" i="13"/>
  <c r="B2481" i="13"/>
  <c r="H2481" i="13"/>
  <c r="B2786" i="13"/>
  <c r="H2786" i="13"/>
  <c r="B3076" i="13"/>
  <c r="B3016" i="13"/>
  <c r="B3006" i="13"/>
  <c r="B2916" i="13"/>
  <c r="B2856" i="13"/>
  <c r="B2846" i="13"/>
  <c r="H3086" i="13"/>
  <c r="H3046" i="13"/>
  <c r="H3006" i="13"/>
  <c r="H2916" i="13"/>
  <c r="H2856" i="13"/>
  <c r="H2806" i="13"/>
  <c r="B3349" i="13"/>
  <c r="B3299" i="13"/>
  <c r="B3249" i="13"/>
  <c r="B3199" i="13"/>
  <c r="B3149" i="13"/>
  <c r="H3379" i="13"/>
  <c r="H3329" i="13"/>
  <c r="H3279" i="13"/>
  <c r="H3229" i="13"/>
  <c r="H3169" i="13"/>
  <c r="H3119" i="13"/>
  <c r="B3692" i="13"/>
  <c r="B3652" i="13"/>
  <c r="B3592" i="13"/>
  <c r="B3582" i="13"/>
  <c r="B3532" i="13"/>
  <c r="B3432" i="13"/>
  <c r="H3702" i="13"/>
  <c r="H3652" i="13"/>
  <c r="H3622" i="13"/>
  <c r="H3572" i="13"/>
  <c r="H3512" i="13"/>
  <c r="H3462" i="13"/>
  <c r="H3422" i="13"/>
  <c r="B933" i="13"/>
  <c r="H933" i="13"/>
  <c r="H1093" i="13"/>
  <c r="B1478" i="13"/>
  <c r="B1468" i="13"/>
  <c r="B1448" i="13"/>
  <c r="B1438" i="13"/>
  <c r="H1478" i="13"/>
  <c r="H1458" i="13"/>
  <c r="B1552" i="13"/>
  <c r="H1552" i="13"/>
  <c r="B1842" i="13"/>
  <c r="B1802" i="13"/>
  <c r="B1592" i="13"/>
  <c r="H1712" i="13"/>
  <c r="B2015" i="13"/>
  <c r="B2005" i="13"/>
  <c r="B1985" i="13"/>
  <c r="H2095" i="13"/>
  <c r="H2075" i="13"/>
  <c r="H1915" i="13"/>
  <c r="B3036" i="13"/>
  <c r="B2976" i="13"/>
  <c r="B2966" i="13"/>
  <c r="B2876" i="13"/>
  <c r="B2816" i="13"/>
  <c r="B2806" i="13"/>
  <c r="H3056" i="13"/>
  <c r="H3016" i="13"/>
  <c r="H2966" i="13"/>
  <c r="H2926" i="13"/>
  <c r="H2876" i="13"/>
  <c r="H2816" i="13"/>
  <c r="B3359" i="13"/>
  <c r="B3309" i="13"/>
  <c r="B3269" i="13"/>
  <c r="B3209" i="13"/>
  <c r="B3159" i="13"/>
  <c r="B3109" i="13"/>
  <c r="H3389" i="13"/>
  <c r="H3349" i="13"/>
  <c r="H3289" i="13"/>
  <c r="H3239" i="13"/>
  <c r="H3189" i="13"/>
  <c r="H3129" i="13"/>
  <c r="B3702" i="13"/>
  <c r="B3662" i="13"/>
  <c r="B3612" i="13"/>
  <c r="B3552" i="13"/>
  <c r="B3542" i="13"/>
  <c r="B3502" i="13"/>
  <c r="B3492" i="13"/>
  <c r="B3452" i="13"/>
  <c r="H3672" i="13"/>
  <c r="H3662" i="13"/>
  <c r="H3632" i="13"/>
  <c r="H3582" i="13"/>
  <c r="H3472" i="13"/>
  <c r="H3432" i="13"/>
  <c r="H2125" i="13"/>
  <c r="H2135" i="13"/>
  <c r="H2105" i="13"/>
  <c r="H2055" i="13"/>
  <c r="B1935" i="13"/>
  <c r="B1955" i="13"/>
  <c r="H1965" i="13"/>
  <c r="H1975" i="13"/>
  <c r="H1895" i="13"/>
  <c r="H1822" i="13"/>
  <c r="H1832" i="13"/>
  <c r="H1792" i="13"/>
  <c r="H1772" i="13"/>
  <c r="B1742" i="13"/>
  <c r="H1752" i="13"/>
  <c r="B1752" i="13"/>
  <c r="B1692" i="13"/>
  <c r="B1652" i="13"/>
  <c r="H1672" i="13"/>
  <c r="H1248" i="13"/>
  <c r="H1223" i="13"/>
  <c r="B1073" i="13"/>
  <c r="H1083" i="13"/>
  <c r="B1093" i="13"/>
  <c r="B1123" i="13"/>
  <c r="B1133" i="13"/>
  <c r="H1053" i="13"/>
  <c r="B1053" i="13"/>
  <c r="H1063" i="13"/>
  <c r="H1033" i="13"/>
  <c r="B973" i="13"/>
  <c r="B963" i="13"/>
  <c r="B943" i="13"/>
  <c r="B669" i="13"/>
  <c r="H659" i="13"/>
  <c r="H629" i="13"/>
  <c r="B829" i="13"/>
  <c r="H879" i="13"/>
  <c r="H859" i="13"/>
  <c r="B859" i="13"/>
  <c r="H679" i="13"/>
  <c r="H699" i="13"/>
  <c r="H789" i="13"/>
  <c r="B819" i="13"/>
  <c r="B3129" i="14"/>
  <c r="B3107" i="14"/>
  <c r="B3074" i="14"/>
  <c r="B3371" i="14"/>
  <c r="B3327" i="14"/>
  <c r="B3294" i="14"/>
  <c r="B3360" i="14"/>
  <c r="B3305" i="14"/>
  <c r="B3283" i="14"/>
  <c r="B3250" i="14"/>
  <c r="B3206" i="14"/>
  <c r="B3085" i="14"/>
  <c r="B3063" i="14"/>
  <c r="B3349" i="14"/>
  <c r="B3036" i="14"/>
  <c r="H3036" i="14"/>
  <c r="B3052" i="14"/>
  <c r="H3052" i="14"/>
  <c r="B3261" i="14"/>
  <c r="B3239" i="14"/>
  <c r="B3217" i="14"/>
  <c r="B3195" i="14"/>
  <c r="B3162" i="14"/>
  <c r="H712" i="14"/>
  <c r="H1958" i="14"/>
  <c r="H2248" i="14"/>
  <c r="H2160" i="14"/>
  <c r="H2138" i="14"/>
  <c r="B1481" i="14"/>
  <c r="H1613" i="14"/>
  <c r="H1569" i="14"/>
  <c r="H1558" i="14"/>
  <c r="H1536" i="14"/>
  <c r="B1826" i="14"/>
  <c r="B2504" i="14"/>
  <c r="H723" i="14"/>
  <c r="B1322" i="14"/>
  <c r="H976" i="14"/>
  <c r="H954" i="14"/>
  <c r="B1492" i="14"/>
  <c r="H1738" i="14"/>
  <c r="B2292" i="14"/>
  <c r="B2281" i="14"/>
  <c r="B2116" i="14"/>
  <c r="B2105" i="14"/>
  <c r="H2981" i="14"/>
  <c r="H2948" i="14"/>
  <c r="B932" i="14"/>
  <c r="B888" i="14"/>
  <c r="B877" i="14"/>
  <c r="B855" i="14"/>
  <c r="B756" i="14"/>
  <c r="H888" i="14"/>
  <c r="H1146" i="14"/>
  <c r="H1969" i="14"/>
  <c r="H1914" i="14"/>
  <c r="B2981" i="14"/>
  <c r="B2937" i="14"/>
  <c r="B2926" i="14"/>
  <c r="B2805" i="14"/>
  <c r="B2761" i="14"/>
  <c r="H2893" i="14"/>
  <c r="B1102" i="14"/>
  <c r="B1058" i="14"/>
  <c r="B1047" i="14"/>
  <c r="B1025" i="14"/>
  <c r="H1311" i="14"/>
  <c r="H1300" i="14"/>
  <c r="H1234" i="14"/>
  <c r="H1058" i="14"/>
  <c r="H1393" i="14"/>
  <c r="B1914" i="14"/>
  <c r="B1881" i="14"/>
  <c r="H2072" i="14"/>
  <c r="H2592" i="14"/>
  <c r="H2548" i="14"/>
  <c r="B976" i="14"/>
  <c r="B712" i="14"/>
  <c r="B701" i="14"/>
  <c r="B679" i="14"/>
  <c r="H800" i="14"/>
  <c r="H778" i="14"/>
  <c r="B1569" i="14"/>
  <c r="B1547" i="14"/>
  <c r="B1958" i="14"/>
  <c r="B1947" i="14"/>
  <c r="B1936" i="14"/>
  <c r="B1870" i="14"/>
  <c r="B1738" i="14"/>
  <c r="B1716" i="14"/>
  <c r="H1749" i="14"/>
  <c r="B2336" i="14"/>
  <c r="B2160" i="14"/>
  <c r="H2204" i="14"/>
  <c r="H2193" i="14"/>
  <c r="H2116" i="14"/>
  <c r="B2592" i="14"/>
  <c r="B2570" i="14"/>
  <c r="H2647" i="14"/>
  <c r="H2603" i="14"/>
  <c r="H3025" i="14"/>
  <c r="H3014" i="14"/>
  <c r="H3003" i="14"/>
  <c r="H2805" i="14"/>
  <c r="H2772" i="14"/>
  <c r="B998" i="14"/>
  <c r="B800" i="14"/>
  <c r="H844" i="14"/>
  <c r="H833" i="14"/>
  <c r="H756" i="14"/>
  <c r="B1234" i="14"/>
  <c r="B1212" i="14"/>
  <c r="B1168" i="14"/>
  <c r="B1657" i="14"/>
  <c r="B1646" i="14"/>
  <c r="B1602" i="14"/>
  <c r="B1525" i="14"/>
  <c r="B1393" i="14"/>
  <c r="B1371" i="14"/>
  <c r="H1679" i="14"/>
  <c r="H1404" i="14"/>
  <c r="B2002" i="14"/>
  <c r="B1782" i="14"/>
  <c r="B1771" i="14"/>
  <c r="H2002" i="14"/>
  <c r="H1826" i="14"/>
  <c r="H1804" i="14"/>
  <c r="B2171" i="14"/>
  <c r="H2259" i="14"/>
  <c r="B2636" i="14"/>
  <c r="B2625" i="14"/>
  <c r="B2603" i="14"/>
  <c r="B2548" i="14"/>
  <c r="B2416" i="14"/>
  <c r="B2394" i="14"/>
  <c r="H2702" i="14"/>
  <c r="H2460" i="14"/>
  <c r="H2438" i="14"/>
  <c r="H2394" i="14"/>
  <c r="B2772" i="14"/>
  <c r="H2849" i="14"/>
  <c r="H2838" i="14"/>
  <c r="H2827" i="14"/>
  <c r="B444" i="14"/>
  <c r="B400" i="14"/>
  <c r="B389" i="14"/>
  <c r="B367" i="14"/>
  <c r="H653" i="14"/>
  <c r="H642" i="14"/>
  <c r="H631" i="14"/>
  <c r="H620" i="14"/>
  <c r="H532" i="14"/>
  <c r="B844" i="14"/>
  <c r="B822" i="14"/>
  <c r="H932" i="14"/>
  <c r="H899" i="14"/>
  <c r="B1278" i="14"/>
  <c r="B1267" i="14"/>
  <c r="B1245" i="14"/>
  <c r="B1146" i="14"/>
  <c r="H1278" i="14"/>
  <c r="H1245" i="14"/>
  <c r="B1437" i="14"/>
  <c r="B1426" i="14"/>
  <c r="H1525" i="14"/>
  <c r="H1503" i="14"/>
  <c r="H1459" i="14"/>
  <c r="H1870" i="14"/>
  <c r="H1859" i="14"/>
  <c r="B2248" i="14"/>
  <c r="B2226" i="14"/>
  <c r="B2072" i="14"/>
  <c r="B2050" i="14"/>
  <c r="H2358" i="14"/>
  <c r="H2314" i="14"/>
  <c r="H2083" i="14"/>
  <c r="B2680" i="14"/>
  <c r="B2460" i="14"/>
  <c r="B2449" i="14"/>
  <c r="B2427" i="14"/>
  <c r="H2504" i="14"/>
  <c r="H2493" i="14"/>
  <c r="B2893" i="14"/>
  <c r="B2871" i="14"/>
  <c r="B2827" i="14"/>
  <c r="B488" i="14"/>
  <c r="H488" i="14"/>
  <c r="H466" i="14"/>
  <c r="H455" i="14"/>
  <c r="H444" i="14"/>
  <c r="B987" i="14"/>
  <c r="B954" i="14"/>
  <c r="B833" i="14"/>
  <c r="B811" i="14"/>
  <c r="B778" i="14"/>
  <c r="H965" i="14"/>
  <c r="H910" i="14"/>
  <c r="H855" i="14"/>
  <c r="H789" i="14"/>
  <c r="H679" i="14"/>
  <c r="B1014" i="14"/>
  <c r="B1223" i="14"/>
  <c r="B1201" i="14"/>
  <c r="B1179" i="14"/>
  <c r="B1157" i="14"/>
  <c r="B1124" i="14"/>
  <c r="H1322" i="14"/>
  <c r="H1267" i="14"/>
  <c r="H1256" i="14"/>
  <c r="H1201" i="14"/>
  <c r="H1657" i="14"/>
  <c r="H1782" i="14"/>
  <c r="H2937" i="14"/>
  <c r="B554" i="14"/>
  <c r="B510" i="14"/>
  <c r="H576" i="14"/>
  <c r="B965" i="14"/>
  <c r="B943" i="14"/>
  <c r="B910" i="14"/>
  <c r="B789" i="14"/>
  <c r="B767" i="14"/>
  <c r="B734" i="14"/>
  <c r="H987" i="14"/>
  <c r="H921" i="14"/>
  <c r="H866" i="14"/>
  <c r="H811" i="14"/>
  <c r="H745" i="14"/>
  <c r="H734" i="14"/>
  <c r="H1014" i="14"/>
  <c r="B1300" i="14"/>
  <c r="B1190" i="14"/>
  <c r="B1135" i="14"/>
  <c r="B1113" i="14"/>
  <c r="B1080" i="14"/>
  <c r="H1223" i="14"/>
  <c r="H1212" i="14"/>
  <c r="H1190" i="14"/>
  <c r="H1179" i="14"/>
  <c r="H1168" i="14"/>
  <c r="H1113" i="14"/>
  <c r="H1437" i="14"/>
  <c r="B2204" i="14"/>
  <c r="H2680" i="14"/>
  <c r="H2761" i="14"/>
  <c r="B620" i="14"/>
  <c r="B609" i="14"/>
  <c r="B576" i="14"/>
  <c r="B668" i="14"/>
  <c r="H668" i="14"/>
  <c r="B921" i="14"/>
  <c r="B899" i="14"/>
  <c r="B866" i="14"/>
  <c r="B745" i="14"/>
  <c r="B723" i="14"/>
  <c r="B690" i="14"/>
  <c r="H998" i="14"/>
  <c r="H943" i="14"/>
  <c r="H877" i="14"/>
  <c r="H822" i="14"/>
  <c r="H767" i="14"/>
  <c r="H701" i="14"/>
  <c r="H690" i="14"/>
  <c r="B1333" i="14"/>
  <c r="B1311" i="14"/>
  <c r="B1289" i="14"/>
  <c r="B1256" i="14"/>
  <c r="B1091" i="14"/>
  <c r="B1069" i="14"/>
  <c r="B1036" i="14"/>
  <c r="H1333" i="14"/>
  <c r="H1289" i="14"/>
  <c r="H1102" i="14"/>
  <c r="H2292" i="14"/>
  <c r="B3025" i="14"/>
  <c r="H1135" i="14"/>
  <c r="H1124" i="14"/>
  <c r="H1069" i="14"/>
  <c r="B1349" i="14"/>
  <c r="H1349" i="14"/>
  <c r="B1668" i="14"/>
  <c r="B1613" i="14"/>
  <c r="B1558" i="14"/>
  <c r="B1503" i="14"/>
  <c r="B1448" i="14"/>
  <c r="B1382" i="14"/>
  <c r="H1668" i="14"/>
  <c r="H1635" i="14"/>
  <c r="H1514" i="14"/>
  <c r="H1492" i="14"/>
  <c r="H1470" i="14"/>
  <c r="H1415" i="14"/>
  <c r="H1360" i="14"/>
  <c r="B1694" i="14"/>
  <c r="H1694" i="14"/>
  <c r="B2013" i="14"/>
  <c r="B1903" i="14"/>
  <c r="B1892" i="14"/>
  <c r="B1837" i="14"/>
  <c r="B1793" i="14"/>
  <c r="B1727" i="14"/>
  <c r="H1980" i="14"/>
  <c r="H1925" i="14"/>
  <c r="H1881" i="14"/>
  <c r="H1815" i="14"/>
  <c r="H1760" i="14"/>
  <c r="H1705" i="14"/>
  <c r="B2028" i="14"/>
  <c r="B2347" i="14"/>
  <c r="B2303" i="14"/>
  <c r="B2237" i="14"/>
  <c r="B2182" i="14"/>
  <c r="B2127" i="14"/>
  <c r="B2061" i="14"/>
  <c r="H2347" i="14"/>
  <c r="H2325" i="14"/>
  <c r="H2270" i="14"/>
  <c r="H2215" i="14"/>
  <c r="H2149" i="14"/>
  <c r="H2127" i="14"/>
  <c r="H2094" i="14"/>
  <c r="H2039" i="14"/>
  <c r="B2372" i="14"/>
  <c r="H2372" i="14"/>
  <c r="B2581" i="14"/>
  <c r="B2559" i="14"/>
  <c r="B2526" i="14"/>
  <c r="B2405" i="14"/>
  <c r="B2383" i="14"/>
  <c r="H2559" i="14"/>
  <c r="H2515" i="14"/>
  <c r="H2449" i="14"/>
  <c r="H2405" i="14"/>
  <c r="B3003" i="14"/>
  <c r="B2882" i="14"/>
  <c r="B2838" i="14"/>
  <c r="B2783" i="14"/>
  <c r="B2728" i="14"/>
  <c r="H2970" i="14"/>
  <c r="H2959" i="14"/>
  <c r="H2904" i="14"/>
  <c r="H2794" i="14"/>
  <c r="H2783" i="14"/>
  <c r="H2728" i="14"/>
  <c r="H1091" i="14"/>
  <c r="H1080" i="14"/>
  <c r="H1025" i="14"/>
  <c r="B1679" i="14"/>
  <c r="B1624" i="14"/>
  <c r="B1580" i="14"/>
  <c r="B1514" i="14"/>
  <c r="B1459" i="14"/>
  <c r="B1404" i="14"/>
  <c r="H1646" i="14"/>
  <c r="H1624" i="14"/>
  <c r="H1591" i="14"/>
  <c r="H1481" i="14"/>
  <c r="H1426" i="14"/>
  <c r="H1371" i="14"/>
  <c r="B1969" i="14"/>
  <c r="B1859" i="14"/>
  <c r="B1848" i="14"/>
  <c r="B1804" i="14"/>
  <c r="B1749" i="14"/>
  <c r="H1991" i="14"/>
  <c r="H1936" i="14"/>
  <c r="H1892" i="14"/>
  <c r="H1837" i="14"/>
  <c r="H1771" i="14"/>
  <c r="H1716" i="14"/>
  <c r="H2028" i="14"/>
  <c r="B2358" i="14"/>
  <c r="B2314" i="14"/>
  <c r="B2259" i="14"/>
  <c r="B2193" i="14"/>
  <c r="B2138" i="14"/>
  <c r="B2083" i="14"/>
  <c r="H2336" i="14"/>
  <c r="H2281" i="14"/>
  <c r="H2226" i="14"/>
  <c r="H2171" i="14"/>
  <c r="H2105" i="14"/>
  <c r="H2050" i="14"/>
  <c r="B2702" i="14"/>
  <c r="B2658" i="14"/>
  <c r="B2537" i="14"/>
  <c r="B2515" i="14"/>
  <c r="B2482" i="14"/>
  <c r="H2669" i="14"/>
  <c r="H2658" i="14"/>
  <c r="H2625" i="14"/>
  <c r="H2614" i="14"/>
  <c r="H2570" i="14"/>
  <c r="H2526" i="14"/>
  <c r="H2471" i="14"/>
  <c r="H2416" i="14"/>
  <c r="B3014" i="14"/>
  <c r="B2992" i="14"/>
  <c r="B2959" i="14"/>
  <c r="B2948" i="14"/>
  <c r="B2904" i="14"/>
  <c r="B2849" i="14"/>
  <c r="B2794" i="14"/>
  <c r="B2739" i="14"/>
  <c r="H2926" i="14"/>
  <c r="H2915" i="14"/>
  <c r="H2860" i="14"/>
  <c r="H2750" i="14"/>
  <c r="H2739" i="14"/>
  <c r="H1157" i="14"/>
  <c r="H1047" i="14"/>
  <c r="H1036" i="14"/>
  <c r="B1635" i="14"/>
  <c r="B1591" i="14"/>
  <c r="B1536" i="14"/>
  <c r="B1470" i="14"/>
  <c r="B1415" i="14"/>
  <c r="B1360" i="14"/>
  <c r="H1602" i="14"/>
  <c r="H1580" i="14"/>
  <c r="H1547" i="14"/>
  <c r="H1448" i="14"/>
  <c r="H1382" i="14"/>
  <c r="B1991" i="14"/>
  <c r="B1980" i="14"/>
  <c r="B1925" i="14"/>
  <c r="B1815" i="14"/>
  <c r="B1760" i="14"/>
  <c r="B1705" i="14"/>
  <c r="H2013" i="14"/>
  <c r="H1947" i="14"/>
  <c r="H1903" i="14"/>
  <c r="H1848" i="14"/>
  <c r="H1793" i="14"/>
  <c r="H1727" i="14"/>
  <c r="B2325" i="14"/>
  <c r="B2270" i="14"/>
  <c r="B2215" i="14"/>
  <c r="B2149" i="14"/>
  <c r="B2094" i="14"/>
  <c r="B2039" i="14"/>
  <c r="H2303" i="14"/>
  <c r="H2237" i="14"/>
  <c r="H2182" i="14"/>
  <c r="H2061" i="14"/>
  <c r="B2691" i="14"/>
  <c r="B2669" i="14"/>
  <c r="B2647" i="14"/>
  <c r="B2614" i="14"/>
  <c r="B2493" i="14"/>
  <c r="B2471" i="14"/>
  <c r="B2438" i="14"/>
  <c r="H2691" i="14"/>
  <c r="H2636" i="14"/>
  <c r="H2581" i="14"/>
  <c r="H2537" i="14"/>
  <c r="H2482" i="14"/>
  <c r="H2427" i="14"/>
  <c r="H2383" i="14"/>
  <c r="B2717" i="14"/>
  <c r="H2717" i="14"/>
  <c r="B2970" i="14"/>
  <c r="B2915" i="14"/>
  <c r="B2860" i="14"/>
  <c r="B2816" i="14"/>
  <c r="B2750" i="14"/>
  <c r="H2992" i="14"/>
  <c r="H2882" i="14"/>
  <c r="H2871" i="14"/>
  <c r="H2816" i="14"/>
  <c r="H356" i="14"/>
  <c r="B631" i="14"/>
  <c r="B565" i="14"/>
  <c r="B521" i="14"/>
  <c r="B466" i="14"/>
  <c r="H609" i="14"/>
  <c r="H598" i="14"/>
  <c r="H587" i="14"/>
  <c r="H477" i="14"/>
  <c r="H433" i="14"/>
  <c r="H422" i="14"/>
  <c r="H411" i="14"/>
  <c r="H389" i="14"/>
  <c r="H378" i="14"/>
  <c r="H367" i="14"/>
  <c r="B642" i="14"/>
  <c r="B587" i="14"/>
  <c r="B532" i="14"/>
  <c r="B477" i="14"/>
  <c r="B455" i="14"/>
  <c r="B422" i="14"/>
  <c r="H565" i="14"/>
  <c r="H554" i="14"/>
  <c r="H543" i="14"/>
  <c r="H400" i="14"/>
  <c r="B11" i="14"/>
  <c r="H11" i="14"/>
  <c r="B653" i="14"/>
  <c r="B598" i="14"/>
  <c r="B543" i="14"/>
  <c r="B499" i="14"/>
  <c r="B433" i="14"/>
  <c r="B411" i="14"/>
  <c r="B378" i="14"/>
  <c r="H521" i="14"/>
  <c r="H510" i="14"/>
  <c r="H499" i="14"/>
  <c r="B356" i="14"/>
  <c r="H584" i="13"/>
  <c r="H564" i="13"/>
  <c r="B619" i="13"/>
  <c r="H619" i="13"/>
  <c r="B849" i="13"/>
  <c r="B839" i="13"/>
  <c r="B789" i="13"/>
  <c r="B689" i="13"/>
  <c r="B679" i="13"/>
  <c r="B629" i="13"/>
  <c r="H919" i="13"/>
  <c r="H899" i="13"/>
  <c r="H1213" i="13"/>
  <c r="H1173" i="13"/>
  <c r="H1278" i="13"/>
  <c r="B1632" i="13"/>
  <c r="B1975" i="13"/>
  <c r="H504" i="13"/>
  <c r="B909" i="13"/>
  <c r="B809" i="13"/>
  <c r="B799" i="13"/>
  <c r="B749" i="13"/>
  <c r="B649" i="13"/>
  <c r="B639" i="13"/>
  <c r="H1013" i="13"/>
  <c r="B1712" i="13"/>
  <c r="B919" i="13"/>
  <c r="B869" i="13"/>
  <c r="B769" i="13"/>
  <c r="B759" i="13"/>
  <c r="B709" i="13"/>
  <c r="H889" i="13"/>
  <c r="H839" i="13"/>
  <c r="H799" i="13"/>
  <c r="H749" i="13"/>
  <c r="H689" i="13"/>
  <c r="H639" i="13"/>
  <c r="B1193" i="13"/>
  <c r="B1083" i="13"/>
  <c r="B1063" i="13"/>
  <c r="B1033" i="13"/>
  <c r="H1203" i="13"/>
  <c r="H1183" i="13"/>
  <c r="H1153" i="13"/>
  <c r="H1043" i="13"/>
  <c r="H1023" i="13"/>
  <c r="H993" i="13"/>
  <c r="B1238" i="13"/>
  <c r="H1238" i="13"/>
  <c r="B1428" i="13"/>
  <c r="B1408" i="13"/>
  <c r="B1378" i="13"/>
  <c r="B1278" i="13"/>
  <c r="H1518" i="13"/>
  <c r="H1468" i="13"/>
  <c r="H1418" i="13"/>
  <c r="H1368" i="13"/>
  <c r="H1308" i="13"/>
  <c r="H1258" i="13"/>
  <c r="B1812" i="13"/>
  <c r="B1762" i="13"/>
  <c r="B1702" i="13"/>
  <c r="B1662" i="13"/>
  <c r="B1612" i="13"/>
  <c r="B1562" i="13"/>
  <c r="H1842" i="13"/>
  <c r="H1782" i="13"/>
  <c r="H1732" i="13"/>
  <c r="H1682" i="13"/>
  <c r="H1622" i="13"/>
  <c r="B2155" i="13"/>
  <c r="B2115" i="13"/>
  <c r="B1965" i="13"/>
  <c r="B1945" i="13"/>
  <c r="B1915" i="13"/>
  <c r="H2085" i="13"/>
  <c r="H2065" i="13"/>
  <c r="H2035" i="13"/>
  <c r="H1925" i="13"/>
  <c r="H1905" i="13"/>
  <c r="H1875" i="13"/>
  <c r="H909" i="13"/>
  <c r="H849" i="13"/>
  <c r="H809" i="13"/>
  <c r="H759" i="13"/>
  <c r="H709" i="13"/>
  <c r="H649" i="13"/>
  <c r="B1223" i="13"/>
  <c r="B1203" i="13"/>
  <c r="B1183" i="13"/>
  <c r="B1153" i="13"/>
  <c r="B1043" i="13"/>
  <c r="B1023" i="13"/>
  <c r="B993" i="13"/>
  <c r="H1163" i="13"/>
  <c r="H1143" i="13"/>
  <c r="H1113" i="13"/>
  <c r="H1003" i="13"/>
  <c r="H983" i="13"/>
  <c r="H953" i="13"/>
  <c r="B1538" i="13"/>
  <c r="B1498" i="13"/>
  <c r="B1388" i="13"/>
  <c r="B1368" i="13"/>
  <c r="B1338" i="13"/>
  <c r="H1528" i="13"/>
  <c r="H1488" i="13"/>
  <c r="H1428" i="13"/>
  <c r="H1378" i="13"/>
  <c r="H1328" i="13"/>
  <c r="H1268" i="13"/>
  <c r="B1822" i="13"/>
  <c r="B1772" i="13"/>
  <c r="B1722" i="13"/>
  <c r="B1672" i="13"/>
  <c r="B1622" i="13"/>
  <c r="B1572" i="13"/>
  <c r="H1802" i="13"/>
  <c r="H1742" i="13"/>
  <c r="H1692" i="13"/>
  <c r="H1642" i="13"/>
  <c r="H1582" i="13"/>
  <c r="H1572" i="13"/>
  <c r="B2145" i="13"/>
  <c r="B2125" i="13"/>
  <c r="B2105" i="13"/>
  <c r="B2075" i="13"/>
  <c r="B2035" i="13"/>
  <c r="B1925" i="13"/>
  <c r="B1905" i="13"/>
  <c r="B1875" i="13"/>
  <c r="H2155" i="13"/>
  <c r="H2045" i="13"/>
  <c r="H2025" i="13"/>
  <c r="H1995" i="13"/>
  <c r="H1885" i="13"/>
  <c r="H1865" i="13"/>
  <c r="H869" i="13"/>
  <c r="H819" i="13"/>
  <c r="H769" i="13"/>
  <c r="H719" i="13"/>
  <c r="H669" i="13"/>
  <c r="B1213" i="13"/>
  <c r="B1163" i="13"/>
  <c r="B1143" i="13"/>
  <c r="B1113" i="13"/>
  <c r="B1003" i="13"/>
  <c r="B983" i="13"/>
  <c r="B953" i="13"/>
  <c r="H1123" i="13"/>
  <c r="H1103" i="13"/>
  <c r="H1073" i="13"/>
  <c r="H963" i="13"/>
  <c r="H943" i="13"/>
  <c r="B1528" i="13"/>
  <c r="B1508" i="13"/>
  <c r="B1488" i="13"/>
  <c r="B1458" i="13"/>
  <c r="B1348" i="13"/>
  <c r="B1328" i="13"/>
  <c r="B1298" i="13"/>
  <c r="B1258" i="13"/>
  <c r="H1538" i="13"/>
  <c r="H1498" i="13"/>
  <c r="H1448" i="13"/>
  <c r="H1388" i="13"/>
  <c r="H1338" i="13"/>
  <c r="H1288" i="13"/>
  <c r="B1832" i="13"/>
  <c r="B1782" i="13"/>
  <c r="B1732" i="13"/>
  <c r="B1682" i="13"/>
  <c r="B1582" i="13"/>
  <c r="H1812" i="13"/>
  <c r="H1762" i="13"/>
  <c r="H1702" i="13"/>
  <c r="H1652" i="13"/>
  <c r="H1602" i="13"/>
  <c r="B2135" i="13"/>
  <c r="B2085" i="13"/>
  <c r="B2065" i="13"/>
  <c r="B2045" i="13"/>
  <c r="B2025" i="13"/>
  <c r="B1995" i="13"/>
  <c r="B1885" i="13"/>
  <c r="B1865" i="13"/>
  <c r="H2145" i="13"/>
  <c r="H2115" i="13"/>
  <c r="H2005" i="13"/>
  <c r="H1985" i="13"/>
  <c r="H1955" i="13"/>
  <c r="B604" i="13"/>
  <c r="H594" i="13"/>
  <c r="H544" i="13"/>
  <c r="H424" i="13"/>
  <c r="H404" i="13"/>
  <c r="H464" i="13"/>
  <c r="H454" i="13"/>
  <c r="H434" i="13"/>
  <c r="H384" i="13"/>
  <c r="H574" i="13"/>
  <c r="H554" i="13"/>
  <c r="H524" i="13"/>
  <c r="H414" i="13"/>
  <c r="H394" i="13"/>
  <c r="H364" i="13"/>
  <c r="B414" i="13"/>
  <c r="B374" i="13"/>
  <c r="B334" i="13"/>
  <c r="H534" i="13"/>
  <c r="H514" i="13"/>
  <c r="H484" i="13"/>
  <c r="H374" i="13"/>
  <c r="H354" i="13"/>
  <c r="H334" i="13"/>
  <c r="H604" i="13"/>
  <c r="H494" i="13"/>
  <c r="H474" i="13"/>
  <c r="H444" i="13"/>
  <c r="H344" i="13"/>
  <c r="B464" i="13"/>
  <c r="B444" i="13"/>
  <c r="B524" i="13"/>
  <c r="B514" i="13"/>
  <c r="B484" i="13"/>
  <c r="B564" i="13"/>
  <c r="B574" i="13"/>
  <c r="B534" i="13"/>
  <c r="B474" i="13"/>
  <c r="B424" i="13"/>
  <c r="B384" i="13"/>
  <c r="B344" i="13"/>
  <c r="B584" i="13"/>
  <c r="B544" i="13"/>
  <c r="B494" i="13"/>
  <c r="B434" i="13"/>
  <c r="B394" i="13"/>
  <c r="B354" i="13"/>
  <c r="B594" i="13"/>
  <c r="B554" i="13"/>
  <c r="B504" i="13"/>
  <c r="B454" i="13"/>
  <c r="B404" i="13"/>
  <c r="B364" i="13"/>
  <c r="B110" i="13"/>
  <c r="H170" i="13"/>
  <c r="B50" i="13"/>
  <c r="B300" i="13"/>
  <c r="B210" i="13"/>
  <c r="H210" i="13"/>
  <c r="H180" i="13"/>
  <c r="B170" i="13"/>
  <c r="B130" i="13"/>
  <c r="H230" i="13"/>
  <c r="H50" i="13"/>
  <c r="H20" i="13"/>
  <c r="B260" i="13"/>
  <c r="B220" i="13"/>
  <c r="H290" i="13"/>
  <c r="H280" i="13"/>
  <c r="H250" i="13"/>
  <c r="H70" i="13"/>
  <c r="B160" i="13"/>
  <c r="B270" i="13"/>
  <c r="B90" i="13"/>
  <c r="B60" i="13"/>
  <c r="H130" i="13"/>
  <c r="H120" i="13"/>
  <c r="H90" i="13"/>
  <c r="B290" i="13"/>
  <c r="B280" i="13"/>
  <c r="B230" i="13"/>
  <c r="B180" i="13"/>
  <c r="B120" i="13"/>
  <c r="B70" i="13"/>
  <c r="B20" i="13"/>
  <c r="H300" i="13"/>
  <c r="H240" i="13"/>
  <c r="H190" i="13"/>
  <c r="H140" i="13"/>
  <c r="H80" i="13"/>
  <c r="H30" i="13"/>
  <c r="B324" i="13"/>
  <c r="H324" i="13"/>
  <c r="B10" i="13"/>
  <c r="H10" i="13"/>
  <c r="B240" i="13"/>
  <c r="B190" i="13"/>
  <c r="B140" i="13"/>
  <c r="B80" i="13"/>
  <c r="B30" i="13"/>
  <c r="H310" i="13"/>
  <c r="H260" i="13"/>
  <c r="H200" i="13"/>
  <c r="H150" i="13"/>
  <c r="H100" i="13"/>
  <c r="H40" i="13"/>
  <c r="B310" i="13"/>
  <c r="B250" i="13"/>
  <c r="B200" i="13"/>
  <c r="B150" i="13"/>
  <c r="B100" i="13"/>
  <c r="B40" i="13"/>
  <c r="H270" i="13"/>
  <c r="H220" i="13"/>
  <c r="H160" i="13"/>
  <c r="H110" i="13"/>
  <c r="H60" i="13"/>
  <c r="K151" i="5"/>
  <c r="G607" i="13" l="1"/>
  <c r="G344" i="14"/>
  <c r="G656" i="14"/>
  <c r="G313" i="13"/>
  <c r="K150" i="5"/>
  <c r="K149" i="5"/>
  <c r="K148" i="5"/>
  <c r="K130" i="5"/>
  <c r="K128" i="5"/>
  <c r="K126" i="5"/>
  <c r="K123" i="5"/>
  <c r="N123" i="5" s="1"/>
  <c r="K110" i="5" l="1"/>
  <c r="K109" i="5"/>
  <c r="K108" i="5"/>
  <c r="K101" i="5" l="1"/>
  <c r="K100" i="5"/>
  <c r="K70" i="5"/>
  <c r="K69" i="5"/>
  <c r="L193" i="6"/>
  <c r="M193" i="6" s="1"/>
  <c r="L191" i="6"/>
  <c r="M191" i="6" s="1"/>
  <c r="L190" i="6"/>
  <c r="M190" i="6" s="1"/>
  <c r="L187" i="6"/>
  <c r="M187" i="6" s="1"/>
  <c r="L183" i="6"/>
  <c r="M183" i="6" s="1"/>
  <c r="L181" i="6"/>
  <c r="M181" i="6" s="1"/>
  <c r="L179" i="6"/>
  <c r="M179" i="6" s="1"/>
  <c r="L178" i="6"/>
  <c r="M178" i="6" s="1"/>
  <c r="L174" i="6"/>
  <c r="M174" i="6" s="1"/>
  <c r="L171" i="6"/>
  <c r="M171" i="6" s="1"/>
  <c r="L170" i="6"/>
  <c r="M170" i="6" s="1"/>
  <c r="L169" i="6"/>
  <c r="M169" i="6" s="1"/>
  <c r="L168" i="6"/>
  <c r="M168" i="6" s="1"/>
  <c r="L162" i="6"/>
  <c r="M162" i="6" s="1"/>
  <c r="L161" i="6"/>
  <c r="M161" i="6" s="1"/>
  <c r="L158" i="6"/>
  <c r="M158" i="6" s="1"/>
  <c r="L157" i="6"/>
  <c r="M157" i="6" s="1"/>
  <c r="L156" i="6"/>
  <c r="M156" i="6" s="1"/>
  <c r="L155" i="6"/>
  <c r="M155" i="6" s="1"/>
  <c r="L154" i="6"/>
  <c r="M154" i="6" s="1"/>
  <c r="L151" i="6"/>
  <c r="M151" i="6" s="1"/>
  <c r="L149" i="6"/>
  <c r="M149" i="6" s="1"/>
  <c r="L148" i="6"/>
  <c r="M148" i="6" s="1"/>
  <c r="L147" i="6"/>
  <c r="M147" i="6" s="1"/>
  <c r="L146" i="6"/>
  <c r="M146" i="6" s="1"/>
  <c r="L145" i="6"/>
  <c r="M145" i="6" s="1"/>
  <c r="L144" i="6"/>
  <c r="M144" i="6" s="1"/>
  <c r="L142" i="6"/>
  <c r="M142" i="6" s="1"/>
  <c r="L141" i="6"/>
  <c r="M141" i="6" s="1"/>
  <c r="L140" i="6"/>
  <c r="M140" i="6" s="1"/>
  <c r="L139" i="6"/>
  <c r="M139" i="6" s="1"/>
  <c r="L138" i="6"/>
  <c r="M138" i="6" s="1"/>
  <c r="L137" i="6"/>
  <c r="M137" i="6" s="1"/>
  <c r="L136" i="6"/>
  <c r="M136" i="6" s="1"/>
  <c r="L133" i="6"/>
  <c r="M133" i="6" s="1"/>
  <c r="L132" i="6"/>
  <c r="M132" i="6" s="1"/>
  <c r="L131" i="6"/>
  <c r="M131" i="6" s="1"/>
  <c r="L126" i="6"/>
  <c r="M126" i="6" s="1"/>
  <c r="L125" i="6"/>
  <c r="M125" i="6" s="1"/>
  <c r="L124" i="6"/>
  <c r="M124" i="6" s="1"/>
  <c r="L119" i="6"/>
  <c r="M119" i="6" s="1"/>
  <c r="L118" i="6"/>
  <c r="M118" i="6" s="1"/>
  <c r="L117" i="6"/>
  <c r="M117" i="6" s="1"/>
  <c r="H48" i="5" l="1"/>
  <c r="L153" i="6" l="1"/>
  <c r="M153" i="6" s="1"/>
  <c r="N174" i="6"/>
  <c r="Q174" i="6" s="1"/>
  <c r="R174" i="6" s="1"/>
  <c r="N193" i="6"/>
  <c r="Q193" i="6" s="1"/>
  <c r="N191" i="6"/>
  <c r="Q191" i="6" s="1"/>
  <c r="N190" i="6"/>
  <c r="Q190" i="6" s="1"/>
  <c r="N187" i="6"/>
  <c r="Q187" i="6" s="1"/>
  <c r="N183" i="6"/>
  <c r="Q183" i="6" s="1"/>
  <c r="N181" i="6"/>
  <c r="Q181" i="6" s="1"/>
  <c r="N179" i="6"/>
  <c r="Q179" i="6" s="1"/>
  <c r="N178" i="6"/>
  <c r="Q178" i="6" s="1"/>
  <c r="N171" i="6"/>
  <c r="Q171" i="6" s="1"/>
  <c r="N170" i="6"/>
  <c r="Q170" i="6" s="1"/>
  <c r="N169" i="6"/>
  <c r="Q169" i="6" s="1"/>
  <c r="N168" i="6"/>
  <c r="Q168" i="6" s="1"/>
  <c r="N162" i="6"/>
  <c r="Q162" i="6" s="1"/>
  <c r="N161" i="6"/>
  <c r="Q161" i="6" s="1"/>
  <c r="N158" i="6"/>
  <c r="Q158" i="6" s="1"/>
  <c r="N157" i="6"/>
  <c r="Q157" i="6" s="1"/>
  <c r="N156" i="6"/>
  <c r="Q156" i="6" s="1"/>
  <c r="N155" i="6"/>
  <c r="Q155" i="6" s="1"/>
  <c r="N154" i="6"/>
  <c r="Q154" i="6" s="1"/>
  <c r="N153" i="6"/>
  <c r="Q153" i="6" s="1"/>
  <c r="N151" i="6"/>
  <c r="Q151" i="6" s="1"/>
  <c r="N149" i="6"/>
  <c r="Q149" i="6" s="1"/>
  <c r="N148" i="6"/>
  <c r="Q148" i="6" s="1"/>
  <c r="N147" i="6"/>
  <c r="Q147" i="6" s="1"/>
  <c r="N146" i="6"/>
  <c r="Q146" i="6" s="1"/>
  <c r="N145" i="6"/>
  <c r="Q145" i="6" s="1"/>
  <c r="N144" i="6"/>
  <c r="Q144" i="6" s="1"/>
  <c r="N142" i="6"/>
  <c r="Q142" i="6" s="1"/>
  <c r="N141" i="6"/>
  <c r="Q141" i="6" s="1"/>
  <c r="N140" i="6"/>
  <c r="Q140" i="6" s="1"/>
  <c r="N139" i="6"/>
  <c r="Q139" i="6" s="1"/>
  <c r="N138" i="6"/>
  <c r="Q138" i="6" s="1"/>
  <c r="N137" i="6"/>
  <c r="Q137" i="6" s="1"/>
  <c r="N136" i="6"/>
  <c r="Q136" i="6" s="1"/>
  <c r="N133" i="6"/>
  <c r="Q133" i="6" s="1"/>
  <c r="N132" i="6"/>
  <c r="Q132" i="6" s="1"/>
  <c r="N131" i="6"/>
  <c r="Q131" i="6" s="1"/>
  <c r="N126" i="6"/>
  <c r="Q126" i="6" s="1"/>
  <c r="N125" i="6"/>
  <c r="Q125" i="6" s="1"/>
  <c r="N124" i="6"/>
  <c r="Q124" i="6" s="1"/>
  <c r="N119" i="6"/>
  <c r="Q119" i="6" s="1"/>
  <c r="N118" i="6"/>
  <c r="Q118" i="6" s="1"/>
  <c r="N117" i="6"/>
  <c r="Q117" i="6" s="1"/>
  <c r="A133" i="6"/>
  <c r="B133" i="6" s="1"/>
  <c r="A132" i="6"/>
  <c r="B132" i="6" s="1"/>
  <c r="A131" i="6"/>
  <c r="B131" i="6" s="1"/>
  <c r="A126" i="6"/>
  <c r="B126" i="6" s="1"/>
  <c r="A125" i="6"/>
  <c r="B125" i="6" s="1"/>
  <c r="A124" i="6"/>
  <c r="B124" i="6" s="1"/>
  <c r="A119" i="6"/>
  <c r="B119" i="6" s="1"/>
  <c r="A118" i="6"/>
  <c r="B118" i="6" s="1"/>
  <c r="A117" i="6"/>
  <c r="B117" i="6" s="1"/>
  <c r="D18" i="3"/>
  <c r="C11" i="3"/>
  <c r="N600" i="5"/>
  <c r="A600" i="5"/>
  <c r="B600" i="5" s="1"/>
  <c r="I600" i="5" s="1"/>
  <c r="N599" i="5"/>
  <c r="A599" i="5"/>
  <c r="B599" i="5" s="1"/>
  <c r="I599" i="5" s="1"/>
  <c r="N598" i="5"/>
  <c r="A598" i="5"/>
  <c r="B598" i="5" s="1"/>
  <c r="I598" i="5" s="1"/>
  <c r="N597" i="5"/>
  <c r="A597" i="5"/>
  <c r="B597" i="5" s="1"/>
  <c r="I597" i="5" s="1"/>
  <c r="N596" i="5"/>
  <c r="A596" i="5"/>
  <c r="B596" i="5" s="1"/>
  <c r="I596" i="5" s="1"/>
  <c r="N595" i="5"/>
  <c r="A595" i="5"/>
  <c r="B595" i="5" s="1"/>
  <c r="I595" i="5" s="1"/>
  <c r="N594" i="5"/>
  <c r="A594" i="5"/>
  <c r="B594" i="5" s="1"/>
  <c r="I594" i="5" s="1"/>
  <c r="N593" i="5"/>
  <c r="A593" i="5"/>
  <c r="B593" i="5" s="1"/>
  <c r="I593" i="5" s="1"/>
  <c r="N592" i="5"/>
  <c r="A592" i="5"/>
  <c r="B592" i="5" s="1"/>
  <c r="I592" i="5" s="1"/>
  <c r="N591" i="5"/>
  <c r="A591" i="5"/>
  <c r="B591" i="5" s="1"/>
  <c r="I591" i="5" s="1"/>
  <c r="N590" i="5"/>
  <c r="A590" i="5"/>
  <c r="B590" i="5" s="1"/>
  <c r="I590" i="5" s="1"/>
  <c r="N589" i="5"/>
  <c r="A589" i="5"/>
  <c r="B589" i="5" s="1"/>
  <c r="I589" i="5" s="1"/>
  <c r="N588" i="5"/>
  <c r="A588" i="5"/>
  <c r="B588" i="5" s="1"/>
  <c r="I588" i="5" s="1"/>
  <c r="N587" i="5"/>
  <c r="A587" i="5"/>
  <c r="B587" i="5" s="1"/>
  <c r="I587" i="5" s="1"/>
  <c r="N586" i="5"/>
  <c r="A586" i="5"/>
  <c r="B586" i="5" s="1"/>
  <c r="I586" i="5" s="1"/>
  <c r="N585" i="5"/>
  <c r="A585" i="5"/>
  <c r="B585" i="5" s="1"/>
  <c r="I585" i="5" s="1"/>
  <c r="N584" i="5"/>
  <c r="A584" i="5"/>
  <c r="B584" i="5" s="1"/>
  <c r="I584" i="5" s="1"/>
  <c r="N583" i="5"/>
  <c r="A583" i="5"/>
  <c r="B583" i="5" s="1"/>
  <c r="I583" i="5" s="1"/>
  <c r="N582" i="5"/>
  <c r="A582" i="5"/>
  <c r="B582" i="5" s="1"/>
  <c r="I582" i="5" s="1"/>
  <c r="N581" i="5"/>
  <c r="A581" i="5"/>
  <c r="B581" i="5" s="1"/>
  <c r="I581" i="5" s="1"/>
  <c r="N580" i="5"/>
  <c r="A580" i="5"/>
  <c r="B580" i="5" s="1"/>
  <c r="I580" i="5" s="1"/>
  <c r="N579" i="5"/>
  <c r="A579" i="5"/>
  <c r="B579" i="5" s="1"/>
  <c r="I579" i="5" s="1"/>
  <c r="N578" i="5"/>
  <c r="A578" i="5"/>
  <c r="B578" i="5" s="1"/>
  <c r="I578" i="5" s="1"/>
  <c r="N577" i="5"/>
  <c r="A577" i="5"/>
  <c r="B577" i="5" s="1"/>
  <c r="I577" i="5" s="1"/>
  <c r="N576" i="5"/>
  <c r="A576" i="5"/>
  <c r="B576" i="5" s="1"/>
  <c r="I576" i="5" s="1"/>
  <c r="N575" i="5"/>
  <c r="A575" i="5"/>
  <c r="B575" i="5" s="1"/>
  <c r="I575" i="5" s="1"/>
  <c r="N574" i="5"/>
  <c r="A574" i="5"/>
  <c r="B574" i="5" s="1"/>
  <c r="I574" i="5" s="1"/>
  <c r="N573" i="5"/>
  <c r="A573" i="5"/>
  <c r="B573" i="5" s="1"/>
  <c r="I573" i="5" s="1"/>
  <c r="N572" i="5"/>
  <c r="A572" i="5"/>
  <c r="B572" i="5" s="1"/>
  <c r="I572" i="5" s="1"/>
  <c r="N571" i="5"/>
  <c r="A571" i="5"/>
  <c r="B571" i="5" s="1"/>
  <c r="I571" i="5" s="1"/>
  <c r="N570" i="5"/>
  <c r="A570" i="5"/>
  <c r="B570" i="5" s="1"/>
  <c r="I570" i="5" s="1"/>
  <c r="N569" i="5"/>
  <c r="A569" i="5"/>
  <c r="B569" i="5" s="1"/>
  <c r="I569" i="5" s="1"/>
  <c r="N568" i="5"/>
  <c r="A568" i="5"/>
  <c r="B568" i="5" s="1"/>
  <c r="I568" i="5" s="1"/>
  <c r="N567" i="5"/>
  <c r="A567" i="5"/>
  <c r="B567" i="5" s="1"/>
  <c r="I567" i="5" s="1"/>
  <c r="N566" i="5"/>
  <c r="A566" i="5"/>
  <c r="B566" i="5" s="1"/>
  <c r="I566" i="5" s="1"/>
  <c r="N565" i="5"/>
  <c r="A565" i="5"/>
  <c r="B565" i="5" s="1"/>
  <c r="I565" i="5" s="1"/>
  <c r="N564" i="5"/>
  <c r="A564" i="5"/>
  <c r="B564" i="5" s="1"/>
  <c r="I564" i="5" s="1"/>
  <c r="N563" i="5"/>
  <c r="A563" i="5"/>
  <c r="B563" i="5" s="1"/>
  <c r="I563" i="5" s="1"/>
  <c r="N562" i="5"/>
  <c r="A562" i="5"/>
  <c r="B562" i="5" s="1"/>
  <c r="I562" i="5" s="1"/>
  <c r="N561" i="5"/>
  <c r="A561" i="5"/>
  <c r="B561" i="5" s="1"/>
  <c r="I561" i="5" s="1"/>
  <c r="N560" i="5"/>
  <c r="A560" i="5"/>
  <c r="B560" i="5" s="1"/>
  <c r="I560" i="5" s="1"/>
  <c r="N559" i="5"/>
  <c r="A559" i="5"/>
  <c r="B559" i="5" s="1"/>
  <c r="I559" i="5" s="1"/>
  <c r="N558" i="5"/>
  <c r="A558" i="5"/>
  <c r="B558" i="5" s="1"/>
  <c r="I558" i="5" s="1"/>
  <c r="N557" i="5"/>
  <c r="A557" i="5"/>
  <c r="B557" i="5" s="1"/>
  <c r="I557" i="5" s="1"/>
  <c r="N556" i="5"/>
  <c r="A556" i="5"/>
  <c r="B556" i="5" s="1"/>
  <c r="I556" i="5" s="1"/>
  <c r="N555" i="5"/>
  <c r="A555" i="5"/>
  <c r="B555" i="5" s="1"/>
  <c r="I555" i="5" s="1"/>
  <c r="N554" i="5"/>
  <c r="A554" i="5"/>
  <c r="B554" i="5" s="1"/>
  <c r="I554" i="5" s="1"/>
  <c r="N553" i="5"/>
  <c r="A553" i="5"/>
  <c r="B553" i="5" s="1"/>
  <c r="I553" i="5" s="1"/>
  <c r="N552" i="5"/>
  <c r="A552" i="5"/>
  <c r="B552" i="5" s="1"/>
  <c r="I552" i="5" s="1"/>
  <c r="N551" i="5"/>
  <c r="A551" i="5"/>
  <c r="B551" i="5" s="1"/>
  <c r="I551" i="5" s="1"/>
  <c r="N550" i="5"/>
  <c r="A550" i="5"/>
  <c r="B550" i="5" s="1"/>
  <c r="I550" i="5" s="1"/>
  <c r="N549" i="5"/>
  <c r="A549" i="5"/>
  <c r="B549" i="5" s="1"/>
  <c r="I549" i="5" s="1"/>
  <c r="N548" i="5"/>
  <c r="A548" i="5"/>
  <c r="B548" i="5" s="1"/>
  <c r="I548" i="5" s="1"/>
  <c r="N547" i="5"/>
  <c r="A547" i="5"/>
  <c r="B547" i="5" s="1"/>
  <c r="I547" i="5" s="1"/>
  <c r="N546" i="5"/>
  <c r="A546" i="5"/>
  <c r="B546" i="5" s="1"/>
  <c r="I546" i="5" s="1"/>
  <c r="N545" i="5"/>
  <c r="A545" i="5"/>
  <c r="B545" i="5" s="1"/>
  <c r="I545" i="5" s="1"/>
  <c r="N544" i="5"/>
  <c r="A544" i="5"/>
  <c r="B544" i="5" s="1"/>
  <c r="I544" i="5" s="1"/>
  <c r="N543" i="5"/>
  <c r="A543" i="5"/>
  <c r="B543" i="5" s="1"/>
  <c r="I543" i="5" s="1"/>
  <c r="N542" i="5"/>
  <c r="A542" i="5"/>
  <c r="B542" i="5" s="1"/>
  <c r="I542" i="5" s="1"/>
  <c r="N541" i="5"/>
  <c r="A541" i="5"/>
  <c r="B541" i="5" s="1"/>
  <c r="I541" i="5" s="1"/>
  <c r="N540" i="5"/>
  <c r="A540" i="5"/>
  <c r="B540" i="5" s="1"/>
  <c r="I540" i="5" s="1"/>
  <c r="N539" i="5"/>
  <c r="A539" i="5"/>
  <c r="B539" i="5" s="1"/>
  <c r="I539" i="5" s="1"/>
  <c r="N538" i="5"/>
  <c r="A538" i="5"/>
  <c r="B538" i="5" s="1"/>
  <c r="I538" i="5" s="1"/>
  <c r="N537" i="5"/>
  <c r="A537" i="5"/>
  <c r="B537" i="5" s="1"/>
  <c r="I537" i="5" s="1"/>
  <c r="N536" i="5"/>
  <c r="A536" i="5"/>
  <c r="B536" i="5" s="1"/>
  <c r="I536" i="5" s="1"/>
  <c r="N535" i="5"/>
  <c r="A535" i="5"/>
  <c r="B535" i="5" s="1"/>
  <c r="I535" i="5" s="1"/>
  <c r="N534" i="5"/>
  <c r="A534" i="5"/>
  <c r="B534" i="5" s="1"/>
  <c r="I534" i="5" s="1"/>
  <c r="N533" i="5"/>
  <c r="A533" i="5"/>
  <c r="B533" i="5" s="1"/>
  <c r="I533" i="5" s="1"/>
  <c r="N532" i="5"/>
  <c r="A532" i="5"/>
  <c r="B532" i="5" s="1"/>
  <c r="I532" i="5" s="1"/>
  <c r="N531" i="5"/>
  <c r="A531" i="5"/>
  <c r="B531" i="5" s="1"/>
  <c r="I531" i="5" s="1"/>
  <c r="N530" i="5"/>
  <c r="A530" i="5"/>
  <c r="B530" i="5" s="1"/>
  <c r="I530" i="5" s="1"/>
  <c r="N529" i="5"/>
  <c r="A529" i="5"/>
  <c r="B529" i="5" s="1"/>
  <c r="I529" i="5" s="1"/>
  <c r="N528" i="5"/>
  <c r="A528" i="5"/>
  <c r="B528" i="5" s="1"/>
  <c r="I528" i="5" s="1"/>
  <c r="N527" i="5"/>
  <c r="A527" i="5"/>
  <c r="B527" i="5" s="1"/>
  <c r="I527" i="5" s="1"/>
  <c r="N526" i="5"/>
  <c r="A526" i="5"/>
  <c r="B526" i="5" s="1"/>
  <c r="I526" i="5" s="1"/>
  <c r="N525" i="5"/>
  <c r="A525" i="5"/>
  <c r="B525" i="5" s="1"/>
  <c r="I525" i="5" s="1"/>
  <c r="N524" i="5"/>
  <c r="A524" i="5"/>
  <c r="B524" i="5" s="1"/>
  <c r="I524" i="5" s="1"/>
  <c r="N523" i="5"/>
  <c r="A523" i="5"/>
  <c r="B523" i="5" s="1"/>
  <c r="I523" i="5" s="1"/>
  <c r="N522" i="5"/>
  <c r="A522" i="5"/>
  <c r="B522" i="5" s="1"/>
  <c r="I522" i="5" s="1"/>
  <c r="N521" i="5"/>
  <c r="A521" i="5"/>
  <c r="B521" i="5" s="1"/>
  <c r="I521" i="5" s="1"/>
  <c r="N520" i="5"/>
  <c r="A520" i="5"/>
  <c r="B520" i="5" s="1"/>
  <c r="I520" i="5" s="1"/>
  <c r="N519" i="5"/>
  <c r="A519" i="5"/>
  <c r="B519" i="5" s="1"/>
  <c r="I519" i="5" s="1"/>
  <c r="N518" i="5"/>
  <c r="A518" i="5"/>
  <c r="B518" i="5" s="1"/>
  <c r="I518" i="5" s="1"/>
  <c r="N517" i="5"/>
  <c r="A517" i="5"/>
  <c r="B517" i="5" s="1"/>
  <c r="I517" i="5" s="1"/>
  <c r="N516" i="5"/>
  <c r="A516" i="5"/>
  <c r="B516" i="5" s="1"/>
  <c r="I516" i="5" s="1"/>
  <c r="N515" i="5"/>
  <c r="A515" i="5"/>
  <c r="B515" i="5" s="1"/>
  <c r="I515" i="5" s="1"/>
  <c r="N514" i="5"/>
  <c r="A514" i="5"/>
  <c r="B514" i="5" s="1"/>
  <c r="I514" i="5" s="1"/>
  <c r="N513" i="5"/>
  <c r="A513" i="5"/>
  <c r="B513" i="5" s="1"/>
  <c r="I513" i="5" s="1"/>
  <c r="N512" i="5"/>
  <c r="A512" i="5"/>
  <c r="B512" i="5" s="1"/>
  <c r="I512" i="5" s="1"/>
  <c r="N511" i="5"/>
  <c r="A511" i="5"/>
  <c r="B511" i="5" s="1"/>
  <c r="I511" i="5" s="1"/>
  <c r="N510" i="5"/>
  <c r="A510" i="5"/>
  <c r="B510" i="5" s="1"/>
  <c r="I510" i="5" s="1"/>
  <c r="N509" i="5"/>
  <c r="A509" i="5"/>
  <c r="B509" i="5" s="1"/>
  <c r="I509" i="5" s="1"/>
  <c r="N508" i="5"/>
  <c r="A508" i="5"/>
  <c r="B508" i="5" s="1"/>
  <c r="I508" i="5" s="1"/>
  <c r="N507" i="5"/>
  <c r="A507" i="5"/>
  <c r="B507" i="5" s="1"/>
  <c r="I507" i="5" s="1"/>
  <c r="N506" i="5"/>
  <c r="A506" i="5"/>
  <c r="B506" i="5" s="1"/>
  <c r="I506" i="5" s="1"/>
  <c r="N505" i="5"/>
  <c r="A505" i="5"/>
  <c r="B505" i="5" s="1"/>
  <c r="I505" i="5" s="1"/>
  <c r="N504" i="5"/>
  <c r="A504" i="5"/>
  <c r="B504" i="5" s="1"/>
  <c r="I504" i="5" s="1"/>
  <c r="N503" i="5"/>
  <c r="A503" i="5"/>
  <c r="B503" i="5" s="1"/>
  <c r="I503" i="5" s="1"/>
  <c r="N502" i="5"/>
  <c r="A502" i="5"/>
  <c r="B502" i="5" s="1"/>
  <c r="I502" i="5" s="1"/>
  <c r="N501" i="5"/>
  <c r="A501" i="5"/>
  <c r="B501" i="5" s="1"/>
  <c r="I501" i="5" s="1"/>
  <c r="N500" i="5"/>
  <c r="A500" i="5"/>
  <c r="B500" i="5" s="1"/>
  <c r="I500" i="5" s="1"/>
  <c r="N499" i="5"/>
  <c r="A499" i="5"/>
  <c r="B499" i="5" s="1"/>
  <c r="I499" i="5" s="1"/>
  <c r="N498" i="5"/>
  <c r="A498" i="5"/>
  <c r="B498" i="5" s="1"/>
  <c r="I498" i="5" s="1"/>
  <c r="N497" i="5"/>
  <c r="A497" i="5"/>
  <c r="B497" i="5" s="1"/>
  <c r="I497" i="5" s="1"/>
  <c r="N496" i="5"/>
  <c r="A496" i="5"/>
  <c r="B496" i="5" s="1"/>
  <c r="I496" i="5" s="1"/>
  <c r="N495" i="5"/>
  <c r="A495" i="5"/>
  <c r="B495" i="5" s="1"/>
  <c r="I495" i="5" s="1"/>
  <c r="N494" i="5"/>
  <c r="A494" i="5"/>
  <c r="B494" i="5" s="1"/>
  <c r="I494" i="5" s="1"/>
  <c r="N493" i="5"/>
  <c r="A493" i="5"/>
  <c r="B493" i="5" s="1"/>
  <c r="I493" i="5" s="1"/>
  <c r="N492" i="5"/>
  <c r="A492" i="5"/>
  <c r="B492" i="5" s="1"/>
  <c r="I492" i="5" s="1"/>
  <c r="N491" i="5"/>
  <c r="A491" i="5"/>
  <c r="B491" i="5" s="1"/>
  <c r="I491" i="5" s="1"/>
  <c r="N490" i="5"/>
  <c r="A490" i="5"/>
  <c r="B490" i="5" s="1"/>
  <c r="I490" i="5" s="1"/>
  <c r="N489" i="5"/>
  <c r="A489" i="5"/>
  <c r="B489" i="5" s="1"/>
  <c r="I489" i="5" s="1"/>
  <c r="N488" i="5"/>
  <c r="A488" i="5"/>
  <c r="B488" i="5" s="1"/>
  <c r="I488" i="5" s="1"/>
  <c r="N487" i="5"/>
  <c r="A487" i="5"/>
  <c r="B487" i="5" s="1"/>
  <c r="I487" i="5" s="1"/>
  <c r="N486" i="5"/>
  <c r="A486" i="5"/>
  <c r="B486" i="5" s="1"/>
  <c r="I486" i="5" s="1"/>
  <c r="N485" i="5"/>
  <c r="A485" i="5"/>
  <c r="B485" i="5" s="1"/>
  <c r="I485" i="5" s="1"/>
  <c r="N484" i="5"/>
  <c r="A484" i="5"/>
  <c r="B484" i="5" s="1"/>
  <c r="I484" i="5" s="1"/>
  <c r="N483" i="5"/>
  <c r="A483" i="5"/>
  <c r="B483" i="5" s="1"/>
  <c r="I483" i="5" s="1"/>
  <c r="N482" i="5"/>
  <c r="A482" i="5"/>
  <c r="B482" i="5" s="1"/>
  <c r="I482" i="5" s="1"/>
  <c r="N481" i="5"/>
  <c r="A481" i="5"/>
  <c r="B481" i="5" s="1"/>
  <c r="I481" i="5" s="1"/>
  <c r="N480" i="5"/>
  <c r="A480" i="5"/>
  <c r="B480" i="5" s="1"/>
  <c r="I480" i="5" s="1"/>
  <c r="N479" i="5"/>
  <c r="A479" i="5"/>
  <c r="B479" i="5" s="1"/>
  <c r="I479" i="5" s="1"/>
  <c r="N478" i="5"/>
  <c r="A478" i="5"/>
  <c r="B478" i="5" s="1"/>
  <c r="I478" i="5" s="1"/>
  <c r="N477" i="5"/>
  <c r="A477" i="5"/>
  <c r="B477" i="5" s="1"/>
  <c r="I477" i="5" s="1"/>
  <c r="N476" i="5"/>
  <c r="A476" i="5"/>
  <c r="B476" i="5" s="1"/>
  <c r="I476" i="5" s="1"/>
  <c r="N475" i="5"/>
  <c r="A475" i="5"/>
  <c r="B475" i="5" s="1"/>
  <c r="I475" i="5" s="1"/>
  <c r="N474" i="5"/>
  <c r="A474" i="5"/>
  <c r="B474" i="5" s="1"/>
  <c r="I474" i="5" s="1"/>
  <c r="N473" i="5"/>
  <c r="A473" i="5"/>
  <c r="B473" i="5" s="1"/>
  <c r="I473" i="5" s="1"/>
  <c r="N472" i="5"/>
  <c r="A472" i="5"/>
  <c r="B472" i="5" s="1"/>
  <c r="I472" i="5" s="1"/>
  <c r="N471" i="5"/>
  <c r="A471" i="5"/>
  <c r="B471" i="5" s="1"/>
  <c r="I471" i="5" s="1"/>
  <c r="N470" i="5"/>
  <c r="A470" i="5"/>
  <c r="B470" i="5" s="1"/>
  <c r="I470" i="5" s="1"/>
  <c r="N469" i="5"/>
  <c r="A469" i="5"/>
  <c r="B469" i="5" s="1"/>
  <c r="I469" i="5" s="1"/>
  <c r="N468" i="5"/>
  <c r="A468" i="5"/>
  <c r="B468" i="5" s="1"/>
  <c r="I468" i="5" s="1"/>
  <c r="N467" i="5"/>
  <c r="A467" i="5"/>
  <c r="B467" i="5" s="1"/>
  <c r="I467" i="5" s="1"/>
  <c r="N466" i="5"/>
  <c r="A466" i="5"/>
  <c r="B466" i="5" s="1"/>
  <c r="I466" i="5" s="1"/>
  <c r="N465" i="5"/>
  <c r="A465" i="5"/>
  <c r="B465" i="5" s="1"/>
  <c r="I465" i="5" s="1"/>
  <c r="N464" i="5"/>
  <c r="A464" i="5"/>
  <c r="B464" i="5" s="1"/>
  <c r="I464" i="5" s="1"/>
  <c r="N463" i="5"/>
  <c r="A463" i="5"/>
  <c r="B463" i="5" s="1"/>
  <c r="I463" i="5" s="1"/>
  <c r="N462" i="5"/>
  <c r="A462" i="5"/>
  <c r="B462" i="5" s="1"/>
  <c r="I462" i="5" s="1"/>
  <c r="N461" i="5"/>
  <c r="A461" i="5"/>
  <c r="B461" i="5" s="1"/>
  <c r="I461" i="5" s="1"/>
  <c r="N460" i="5"/>
  <c r="A460" i="5"/>
  <c r="B460" i="5" s="1"/>
  <c r="I460" i="5" s="1"/>
  <c r="N459" i="5"/>
  <c r="A459" i="5"/>
  <c r="B459" i="5" s="1"/>
  <c r="I459" i="5" s="1"/>
  <c r="N458" i="5"/>
  <c r="A458" i="5"/>
  <c r="B458" i="5" s="1"/>
  <c r="I458" i="5" s="1"/>
  <c r="N457" i="5"/>
  <c r="A457" i="5"/>
  <c r="B457" i="5" s="1"/>
  <c r="I457" i="5" s="1"/>
  <c r="N456" i="5"/>
  <c r="A456" i="5"/>
  <c r="B456" i="5" s="1"/>
  <c r="I456" i="5" s="1"/>
  <c r="N455" i="5"/>
  <c r="A455" i="5"/>
  <c r="B455" i="5" s="1"/>
  <c r="I455" i="5" s="1"/>
  <c r="N454" i="5"/>
  <c r="A454" i="5"/>
  <c r="B454" i="5" s="1"/>
  <c r="I454" i="5" s="1"/>
  <c r="N453" i="5"/>
  <c r="A453" i="5"/>
  <c r="B453" i="5" s="1"/>
  <c r="I453" i="5" s="1"/>
  <c r="N452" i="5"/>
  <c r="A452" i="5"/>
  <c r="B452" i="5" s="1"/>
  <c r="I452" i="5" s="1"/>
  <c r="N451" i="5"/>
  <c r="A451" i="5"/>
  <c r="B451" i="5" s="1"/>
  <c r="I451" i="5" s="1"/>
  <c r="N450" i="5"/>
  <c r="A450" i="5"/>
  <c r="B450" i="5" s="1"/>
  <c r="I450" i="5" s="1"/>
  <c r="N449" i="5"/>
  <c r="A449" i="5"/>
  <c r="B449" i="5" s="1"/>
  <c r="I449" i="5" s="1"/>
  <c r="N448" i="5"/>
  <c r="A448" i="5"/>
  <c r="B448" i="5" s="1"/>
  <c r="I448" i="5" s="1"/>
  <c r="N447" i="5"/>
  <c r="A447" i="5"/>
  <c r="B447" i="5" s="1"/>
  <c r="I447" i="5" s="1"/>
  <c r="N446" i="5"/>
  <c r="A446" i="5"/>
  <c r="B446" i="5" s="1"/>
  <c r="I446" i="5" s="1"/>
  <c r="N445" i="5"/>
  <c r="A445" i="5"/>
  <c r="B445" i="5" s="1"/>
  <c r="I445" i="5" s="1"/>
  <c r="N444" i="5"/>
  <c r="A444" i="5"/>
  <c r="B444" i="5" s="1"/>
  <c r="I444" i="5" s="1"/>
  <c r="N443" i="5"/>
  <c r="A443" i="5"/>
  <c r="B443" i="5" s="1"/>
  <c r="I443" i="5" s="1"/>
  <c r="N442" i="5"/>
  <c r="A442" i="5"/>
  <c r="B442" i="5" s="1"/>
  <c r="I442" i="5" s="1"/>
  <c r="N441" i="5"/>
  <c r="A441" i="5"/>
  <c r="B441" i="5" s="1"/>
  <c r="I441" i="5" s="1"/>
  <c r="N440" i="5"/>
  <c r="A440" i="5"/>
  <c r="B440" i="5" s="1"/>
  <c r="I440" i="5" s="1"/>
  <c r="N439" i="5"/>
  <c r="A439" i="5"/>
  <c r="B439" i="5" s="1"/>
  <c r="I439" i="5" s="1"/>
  <c r="N438" i="5"/>
  <c r="A438" i="5"/>
  <c r="B438" i="5" s="1"/>
  <c r="I438" i="5" s="1"/>
  <c r="N437" i="5"/>
  <c r="A437" i="5"/>
  <c r="B437" i="5" s="1"/>
  <c r="I437" i="5" s="1"/>
  <c r="N436" i="5"/>
  <c r="A436" i="5"/>
  <c r="B436" i="5" s="1"/>
  <c r="I436" i="5" s="1"/>
  <c r="N435" i="5"/>
  <c r="A435" i="5"/>
  <c r="B435" i="5" s="1"/>
  <c r="I435" i="5" s="1"/>
  <c r="N434" i="5"/>
  <c r="A434" i="5"/>
  <c r="B434" i="5" s="1"/>
  <c r="I434" i="5" s="1"/>
  <c r="N433" i="5"/>
  <c r="A433" i="5"/>
  <c r="B433" i="5" s="1"/>
  <c r="I433" i="5" s="1"/>
  <c r="N432" i="5"/>
  <c r="A432" i="5"/>
  <c r="B432" i="5" s="1"/>
  <c r="I432" i="5" s="1"/>
  <c r="N431" i="5"/>
  <c r="A431" i="5"/>
  <c r="B431" i="5" s="1"/>
  <c r="I431" i="5" s="1"/>
  <c r="N430" i="5"/>
  <c r="A430" i="5"/>
  <c r="B430" i="5" s="1"/>
  <c r="I430" i="5" s="1"/>
  <c r="N429" i="5"/>
  <c r="A429" i="5"/>
  <c r="B429" i="5" s="1"/>
  <c r="I429" i="5" s="1"/>
  <c r="N428" i="5"/>
  <c r="A428" i="5"/>
  <c r="B428" i="5" s="1"/>
  <c r="I428" i="5" s="1"/>
  <c r="N427" i="5"/>
  <c r="A427" i="5"/>
  <c r="B427" i="5" s="1"/>
  <c r="I427" i="5" s="1"/>
  <c r="N426" i="5"/>
  <c r="A426" i="5"/>
  <c r="B426" i="5" s="1"/>
  <c r="I426" i="5" s="1"/>
  <c r="N425" i="5"/>
  <c r="A425" i="5"/>
  <c r="B425" i="5" s="1"/>
  <c r="I425" i="5" s="1"/>
  <c r="N424" i="5"/>
  <c r="A424" i="5"/>
  <c r="B424" i="5" s="1"/>
  <c r="I424" i="5" s="1"/>
  <c r="N423" i="5"/>
  <c r="A423" i="5"/>
  <c r="B423" i="5" s="1"/>
  <c r="I423" i="5" s="1"/>
  <c r="N422" i="5"/>
  <c r="A422" i="5"/>
  <c r="B422" i="5" s="1"/>
  <c r="I422" i="5" s="1"/>
  <c r="N421" i="5"/>
  <c r="A421" i="5"/>
  <c r="B421" i="5" s="1"/>
  <c r="I421" i="5" s="1"/>
  <c r="N420" i="5"/>
  <c r="A420" i="5"/>
  <c r="B420" i="5" s="1"/>
  <c r="I420" i="5" s="1"/>
  <c r="N419" i="5"/>
  <c r="A419" i="5"/>
  <c r="B419" i="5" s="1"/>
  <c r="I419" i="5" s="1"/>
  <c r="N418" i="5"/>
  <c r="A418" i="5"/>
  <c r="B418" i="5" s="1"/>
  <c r="I418" i="5" s="1"/>
  <c r="N417" i="5"/>
  <c r="A417" i="5"/>
  <c r="B417" i="5" s="1"/>
  <c r="I417" i="5" s="1"/>
  <c r="N416" i="5"/>
  <c r="A416" i="5"/>
  <c r="B416" i="5" s="1"/>
  <c r="I416" i="5" s="1"/>
  <c r="N415" i="5"/>
  <c r="A415" i="5"/>
  <c r="B415" i="5" s="1"/>
  <c r="I415" i="5" s="1"/>
  <c r="N414" i="5"/>
  <c r="A414" i="5"/>
  <c r="B414" i="5" s="1"/>
  <c r="I414" i="5" s="1"/>
  <c r="N413" i="5"/>
  <c r="A413" i="5"/>
  <c r="B413" i="5" s="1"/>
  <c r="I413" i="5" s="1"/>
  <c r="N412" i="5"/>
  <c r="A412" i="5"/>
  <c r="B412" i="5" s="1"/>
  <c r="I412" i="5" s="1"/>
  <c r="N411" i="5"/>
  <c r="A411" i="5"/>
  <c r="B411" i="5" s="1"/>
  <c r="I411" i="5" s="1"/>
  <c r="N410" i="5"/>
  <c r="A410" i="5"/>
  <c r="B410" i="5" s="1"/>
  <c r="I410" i="5" s="1"/>
  <c r="N409" i="5"/>
  <c r="A409" i="5"/>
  <c r="B409" i="5" s="1"/>
  <c r="I409" i="5" s="1"/>
  <c r="N408" i="5"/>
  <c r="A408" i="5"/>
  <c r="B408" i="5" s="1"/>
  <c r="I408" i="5" s="1"/>
  <c r="N407" i="5"/>
  <c r="A407" i="5"/>
  <c r="B407" i="5" s="1"/>
  <c r="I407" i="5" s="1"/>
  <c r="N406" i="5"/>
  <c r="A406" i="5"/>
  <c r="B406" i="5" s="1"/>
  <c r="I406" i="5" s="1"/>
  <c r="N405" i="5"/>
  <c r="A405" i="5"/>
  <c r="B405" i="5" s="1"/>
  <c r="I405" i="5" s="1"/>
  <c r="N404" i="5"/>
  <c r="A404" i="5"/>
  <c r="B404" i="5" s="1"/>
  <c r="I404" i="5" s="1"/>
  <c r="N403" i="5"/>
  <c r="A403" i="5"/>
  <c r="B403" i="5" s="1"/>
  <c r="I403" i="5" s="1"/>
  <c r="N402" i="5"/>
  <c r="A402" i="5"/>
  <c r="B402" i="5" s="1"/>
  <c r="I402" i="5" s="1"/>
  <c r="N401" i="5"/>
  <c r="A401" i="5"/>
  <c r="B401" i="5" s="1"/>
  <c r="I401" i="5" s="1"/>
  <c r="N400" i="5"/>
  <c r="A400" i="5"/>
  <c r="B400" i="5" s="1"/>
  <c r="I400" i="5" s="1"/>
  <c r="N399" i="5"/>
  <c r="A399" i="5"/>
  <c r="B399" i="5" s="1"/>
  <c r="I399" i="5" s="1"/>
  <c r="N398" i="5"/>
  <c r="A398" i="5"/>
  <c r="B398" i="5" s="1"/>
  <c r="I398" i="5" s="1"/>
  <c r="N397" i="5"/>
  <c r="A397" i="5"/>
  <c r="B397" i="5" s="1"/>
  <c r="I397" i="5" s="1"/>
  <c r="N396" i="5"/>
  <c r="A396" i="5"/>
  <c r="B396" i="5" s="1"/>
  <c r="I396" i="5" s="1"/>
  <c r="N395" i="5"/>
  <c r="A395" i="5"/>
  <c r="B395" i="5" s="1"/>
  <c r="I395" i="5" s="1"/>
  <c r="N394" i="5"/>
  <c r="A394" i="5"/>
  <c r="B394" i="5" s="1"/>
  <c r="I394" i="5" s="1"/>
  <c r="N393" i="5"/>
  <c r="A393" i="5"/>
  <c r="B393" i="5" s="1"/>
  <c r="I393" i="5" s="1"/>
  <c r="N392" i="5"/>
  <c r="A392" i="5"/>
  <c r="B392" i="5" s="1"/>
  <c r="I392" i="5" s="1"/>
  <c r="N391" i="5"/>
  <c r="A391" i="5"/>
  <c r="B391" i="5" s="1"/>
  <c r="I391" i="5" s="1"/>
  <c r="N390" i="5"/>
  <c r="A390" i="5"/>
  <c r="B390" i="5" s="1"/>
  <c r="I390" i="5" s="1"/>
  <c r="N389" i="5"/>
  <c r="A389" i="5"/>
  <c r="B389" i="5" s="1"/>
  <c r="I389" i="5" s="1"/>
  <c r="N388" i="5"/>
  <c r="A388" i="5"/>
  <c r="B388" i="5" s="1"/>
  <c r="I388" i="5" s="1"/>
  <c r="N387" i="5"/>
  <c r="A387" i="5"/>
  <c r="B387" i="5" s="1"/>
  <c r="I387" i="5" s="1"/>
  <c r="N386" i="5"/>
  <c r="A386" i="5"/>
  <c r="B386" i="5" s="1"/>
  <c r="I386" i="5" s="1"/>
  <c r="N385" i="5"/>
  <c r="A385" i="5"/>
  <c r="B385" i="5" s="1"/>
  <c r="I385" i="5" s="1"/>
  <c r="N384" i="5"/>
  <c r="A384" i="5"/>
  <c r="B384" i="5" s="1"/>
  <c r="I384" i="5" s="1"/>
  <c r="N383" i="5"/>
  <c r="A383" i="5"/>
  <c r="B383" i="5" s="1"/>
  <c r="I383" i="5" s="1"/>
  <c r="N382" i="5"/>
  <c r="A382" i="5"/>
  <c r="B382" i="5" s="1"/>
  <c r="I382" i="5" s="1"/>
  <c r="N381" i="5"/>
  <c r="A381" i="5"/>
  <c r="B381" i="5" s="1"/>
  <c r="I381" i="5" s="1"/>
  <c r="N380" i="5"/>
  <c r="A380" i="5"/>
  <c r="B380" i="5" s="1"/>
  <c r="I380" i="5" s="1"/>
  <c r="N379" i="5"/>
  <c r="A379" i="5"/>
  <c r="B379" i="5" s="1"/>
  <c r="I379" i="5" s="1"/>
  <c r="N378" i="5"/>
  <c r="A378" i="5"/>
  <c r="B378" i="5" s="1"/>
  <c r="I378" i="5" s="1"/>
  <c r="N377" i="5"/>
  <c r="A377" i="5"/>
  <c r="B377" i="5" s="1"/>
  <c r="I377" i="5" s="1"/>
  <c r="N376" i="5"/>
  <c r="A376" i="5"/>
  <c r="B376" i="5" s="1"/>
  <c r="I376" i="5" s="1"/>
  <c r="N375" i="5"/>
  <c r="A375" i="5"/>
  <c r="B375" i="5" s="1"/>
  <c r="I375" i="5" s="1"/>
  <c r="N374" i="5"/>
  <c r="A374" i="5"/>
  <c r="B374" i="5" s="1"/>
  <c r="I374" i="5" s="1"/>
  <c r="N373" i="5"/>
  <c r="A373" i="5"/>
  <c r="B373" i="5" s="1"/>
  <c r="I373" i="5" s="1"/>
  <c r="N372" i="5"/>
  <c r="A372" i="5"/>
  <c r="B372" i="5" s="1"/>
  <c r="I372" i="5" s="1"/>
  <c r="N371" i="5"/>
  <c r="A371" i="5"/>
  <c r="B371" i="5" s="1"/>
  <c r="I371" i="5" s="1"/>
  <c r="N370" i="5"/>
  <c r="A370" i="5"/>
  <c r="B370" i="5" s="1"/>
  <c r="I370" i="5" s="1"/>
  <c r="N369" i="5"/>
  <c r="A369" i="5"/>
  <c r="B369" i="5" s="1"/>
  <c r="I369" i="5" s="1"/>
  <c r="N368" i="5"/>
  <c r="A368" i="5"/>
  <c r="B368" i="5" s="1"/>
  <c r="I368" i="5" s="1"/>
  <c r="N367" i="5"/>
  <c r="A367" i="5"/>
  <c r="B367" i="5" s="1"/>
  <c r="I367" i="5" s="1"/>
  <c r="N366" i="5"/>
  <c r="A366" i="5"/>
  <c r="B366" i="5" s="1"/>
  <c r="I366" i="5" s="1"/>
  <c r="N365" i="5"/>
  <c r="A365" i="5"/>
  <c r="B365" i="5" s="1"/>
  <c r="I365" i="5" s="1"/>
  <c r="N364" i="5"/>
  <c r="A364" i="5"/>
  <c r="B364" i="5" s="1"/>
  <c r="I364" i="5" s="1"/>
  <c r="N363" i="5"/>
  <c r="A363" i="5"/>
  <c r="B363" i="5" s="1"/>
  <c r="I363" i="5" s="1"/>
  <c r="N362" i="5"/>
  <c r="A362" i="5"/>
  <c r="B362" i="5" s="1"/>
  <c r="I362" i="5" s="1"/>
  <c r="N361" i="5"/>
  <c r="A361" i="5"/>
  <c r="B361" i="5" s="1"/>
  <c r="I361" i="5" s="1"/>
  <c r="N360" i="5"/>
  <c r="A360" i="5"/>
  <c r="B360" i="5" s="1"/>
  <c r="I360" i="5" s="1"/>
  <c r="N359" i="5"/>
  <c r="A359" i="5"/>
  <c r="B359" i="5" s="1"/>
  <c r="I359" i="5" s="1"/>
  <c r="N358" i="5"/>
  <c r="A358" i="5"/>
  <c r="B358" i="5" s="1"/>
  <c r="I358" i="5" s="1"/>
  <c r="N357" i="5"/>
  <c r="A357" i="5"/>
  <c r="B357" i="5" s="1"/>
  <c r="I357" i="5" s="1"/>
  <c r="N356" i="5"/>
  <c r="A356" i="5"/>
  <c r="B356" i="5" s="1"/>
  <c r="I356" i="5" s="1"/>
  <c r="N355" i="5"/>
  <c r="A355" i="5"/>
  <c r="B355" i="5" s="1"/>
  <c r="I355" i="5" s="1"/>
  <c r="N354" i="5"/>
  <c r="A354" i="5"/>
  <c r="B354" i="5" s="1"/>
  <c r="I354" i="5" s="1"/>
  <c r="N353" i="5"/>
  <c r="A353" i="5"/>
  <c r="B353" i="5" s="1"/>
  <c r="I353" i="5" s="1"/>
  <c r="N352" i="5"/>
  <c r="A352" i="5"/>
  <c r="B352" i="5" s="1"/>
  <c r="I352" i="5" s="1"/>
  <c r="N351" i="5"/>
  <c r="A351" i="5"/>
  <c r="B351" i="5" s="1"/>
  <c r="I351" i="5" s="1"/>
  <c r="N350" i="5"/>
  <c r="A350" i="5"/>
  <c r="B350" i="5" s="1"/>
  <c r="I350" i="5" s="1"/>
  <c r="N349" i="5"/>
  <c r="A349" i="5"/>
  <c r="B349" i="5" s="1"/>
  <c r="I349" i="5" s="1"/>
  <c r="N348" i="5"/>
  <c r="A348" i="5"/>
  <c r="B348" i="5" s="1"/>
  <c r="I348" i="5" s="1"/>
  <c r="N347" i="5"/>
  <c r="A347" i="5"/>
  <c r="B347" i="5" s="1"/>
  <c r="I347" i="5" s="1"/>
  <c r="N346" i="5"/>
  <c r="A346" i="5"/>
  <c r="B346" i="5" s="1"/>
  <c r="I346" i="5" s="1"/>
  <c r="N345" i="5"/>
  <c r="A345" i="5"/>
  <c r="B345" i="5" s="1"/>
  <c r="I345" i="5" s="1"/>
  <c r="N344" i="5"/>
  <c r="A344" i="5"/>
  <c r="B344" i="5" s="1"/>
  <c r="I344" i="5" s="1"/>
  <c r="N343" i="5"/>
  <c r="A343" i="5"/>
  <c r="B343" i="5" s="1"/>
  <c r="I343" i="5" s="1"/>
  <c r="N342" i="5"/>
  <c r="A342" i="5"/>
  <c r="B342" i="5" s="1"/>
  <c r="I342" i="5" s="1"/>
  <c r="N341" i="5"/>
  <c r="A341" i="5"/>
  <c r="B341" i="5" s="1"/>
  <c r="I341" i="5" s="1"/>
  <c r="N340" i="5"/>
  <c r="A340" i="5"/>
  <c r="B340" i="5" s="1"/>
  <c r="I340" i="5" s="1"/>
  <c r="N339" i="5"/>
  <c r="A339" i="5"/>
  <c r="B339" i="5" s="1"/>
  <c r="I339" i="5" s="1"/>
  <c r="N338" i="5"/>
  <c r="A338" i="5"/>
  <c r="B338" i="5" s="1"/>
  <c r="I338" i="5" s="1"/>
  <c r="N337" i="5"/>
  <c r="A337" i="5"/>
  <c r="B337" i="5" s="1"/>
  <c r="I337" i="5" s="1"/>
  <c r="N336" i="5"/>
  <c r="A336" i="5"/>
  <c r="B336" i="5" s="1"/>
  <c r="I336" i="5" s="1"/>
  <c r="N335" i="5"/>
  <c r="A335" i="5"/>
  <c r="B335" i="5" s="1"/>
  <c r="I335" i="5" s="1"/>
  <c r="N334" i="5"/>
  <c r="A334" i="5"/>
  <c r="B334" i="5" s="1"/>
  <c r="I334" i="5" s="1"/>
  <c r="N333" i="5"/>
  <c r="A333" i="5"/>
  <c r="B333" i="5" s="1"/>
  <c r="I333" i="5" s="1"/>
  <c r="N332" i="5"/>
  <c r="A332" i="5"/>
  <c r="B332" i="5" s="1"/>
  <c r="I332" i="5" s="1"/>
  <c r="N331" i="5"/>
  <c r="A331" i="5"/>
  <c r="B331" i="5" s="1"/>
  <c r="I331" i="5" s="1"/>
  <c r="N330" i="5"/>
  <c r="A330" i="5"/>
  <c r="B330" i="5" s="1"/>
  <c r="I330" i="5" s="1"/>
  <c r="N329" i="5"/>
  <c r="A329" i="5"/>
  <c r="B329" i="5" s="1"/>
  <c r="I329" i="5" s="1"/>
  <c r="N328" i="5"/>
  <c r="A328" i="5"/>
  <c r="B328" i="5" s="1"/>
  <c r="I328" i="5" s="1"/>
  <c r="N327" i="5"/>
  <c r="A327" i="5"/>
  <c r="B327" i="5" s="1"/>
  <c r="I327" i="5" s="1"/>
  <c r="N326" i="5"/>
  <c r="A326" i="5"/>
  <c r="B326" i="5" s="1"/>
  <c r="I326" i="5" s="1"/>
  <c r="N325" i="5"/>
  <c r="A325" i="5"/>
  <c r="B325" i="5" s="1"/>
  <c r="I325" i="5" s="1"/>
  <c r="N324" i="5"/>
  <c r="A324" i="5"/>
  <c r="B324" i="5" s="1"/>
  <c r="I324" i="5" s="1"/>
  <c r="N323" i="5"/>
  <c r="A323" i="5"/>
  <c r="B323" i="5" s="1"/>
  <c r="I323" i="5" s="1"/>
  <c r="N322" i="5"/>
  <c r="A322" i="5"/>
  <c r="B322" i="5" s="1"/>
  <c r="I322" i="5" s="1"/>
  <c r="N321" i="5"/>
  <c r="A321" i="5"/>
  <c r="B321" i="5" s="1"/>
  <c r="I321" i="5" s="1"/>
  <c r="N320" i="5"/>
  <c r="A320" i="5"/>
  <c r="B320" i="5" s="1"/>
  <c r="I320" i="5" s="1"/>
  <c r="N319" i="5"/>
  <c r="A319" i="5"/>
  <c r="B319" i="5" s="1"/>
  <c r="I319" i="5" s="1"/>
  <c r="N318" i="5"/>
  <c r="A318" i="5"/>
  <c r="B318" i="5" s="1"/>
  <c r="I318" i="5" s="1"/>
  <c r="N317" i="5"/>
  <c r="A317" i="5"/>
  <c r="B317" i="5" s="1"/>
  <c r="I317" i="5" s="1"/>
  <c r="N316" i="5"/>
  <c r="A316" i="5"/>
  <c r="B316" i="5" s="1"/>
  <c r="I316" i="5" s="1"/>
  <c r="N315" i="5"/>
  <c r="A315" i="5"/>
  <c r="B315" i="5" s="1"/>
  <c r="I315" i="5" s="1"/>
  <c r="N314" i="5"/>
  <c r="A314" i="5"/>
  <c r="B314" i="5" s="1"/>
  <c r="I314" i="5" s="1"/>
  <c r="N313" i="5"/>
  <c r="A313" i="5"/>
  <c r="B313" i="5" s="1"/>
  <c r="I313" i="5" s="1"/>
  <c r="N312" i="5"/>
  <c r="A312" i="5"/>
  <c r="B312" i="5" s="1"/>
  <c r="I312" i="5" s="1"/>
  <c r="N311" i="5"/>
  <c r="A311" i="5"/>
  <c r="B311" i="5" s="1"/>
  <c r="I311" i="5" s="1"/>
  <c r="N310" i="5"/>
  <c r="A310" i="5"/>
  <c r="B310" i="5" s="1"/>
  <c r="I310" i="5" s="1"/>
  <c r="N309" i="5"/>
  <c r="A309" i="5"/>
  <c r="B309" i="5" s="1"/>
  <c r="I309" i="5" s="1"/>
  <c r="N308" i="5"/>
  <c r="A308" i="5"/>
  <c r="B308" i="5" s="1"/>
  <c r="I308" i="5" s="1"/>
  <c r="N307" i="5"/>
  <c r="A307" i="5"/>
  <c r="B307" i="5" s="1"/>
  <c r="I307" i="5" s="1"/>
  <c r="N306" i="5"/>
  <c r="A306" i="5"/>
  <c r="B306" i="5" s="1"/>
  <c r="I306" i="5" s="1"/>
  <c r="N305" i="5"/>
  <c r="A305" i="5"/>
  <c r="B305" i="5" s="1"/>
  <c r="I305" i="5" s="1"/>
  <c r="N304" i="5"/>
  <c r="A304" i="5"/>
  <c r="B304" i="5" s="1"/>
  <c r="I304" i="5" s="1"/>
  <c r="N303" i="5"/>
  <c r="A303" i="5"/>
  <c r="B303" i="5" s="1"/>
  <c r="I303" i="5" s="1"/>
  <c r="N302" i="5"/>
  <c r="A302" i="5"/>
  <c r="B302" i="5" s="1"/>
  <c r="I302" i="5" s="1"/>
  <c r="N301" i="5"/>
  <c r="A301" i="5"/>
  <c r="B301" i="5" s="1"/>
  <c r="I301" i="5" s="1"/>
  <c r="N300" i="5"/>
  <c r="A300" i="5"/>
  <c r="B300" i="5" s="1"/>
  <c r="I300" i="5" s="1"/>
  <c r="N299" i="5"/>
  <c r="A299" i="5"/>
  <c r="B299" i="5" s="1"/>
  <c r="I299" i="5" s="1"/>
  <c r="N298" i="5"/>
  <c r="A298" i="5"/>
  <c r="B298" i="5" s="1"/>
  <c r="I298" i="5" s="1"/>
  <c r="N297" i="5"/>
  <c r="A297" i="5"/>
  <c r="B297" i="5" s="1"/>
  <c r="I297" i="5" s="1"/>
  <c r="N296" i="5"/>
  <c r="A296" i="5"/>
  <c r="B296" i="5" s="1"/>
  <c r="I296" i="5" s="1"/>
  <c r="N295" i="5"/>
  <c r="A295" i="5"/>
  <c r="B295" i="5" s="1"/>
  <c r="I295" i="5" s="1"/>
  <c r="N294" i="5"/>
  <c r="A294" i="5"/>
  <c r="B294" i="5" s="1"/>
  <c r="I294" i="5" s="1"/>
  <c r="N293" i="5"/>
  <c r="A293" i="5"/>
  <c r="B293" i="5" s="1"/>
  <c r="I293" i="5" s="1"/>
  <c r="N292" i="5"/>
  <c r="A292" i="5"/>
  <c r="B292" i="5" s="1"/>
  <c r="I292" i="5" s="1"/>
  <c r="N291" i="5"/>
  <c r="A291" i="5"/>
  <c r="B291" i="5" s="1"/>
  <c r="I291" i="5" s="1"/>
  <c r="N290" i="5"/>
  <c r="A290" i="5"/>
  <c r="B290" i="5" s="1"/>
  <c r="I290" i="5" s="1"/>
  <c r="N289" i="5"/>
  <c r="A289" i="5"/>
  <c r="B289" i="5" s="1"/>
  <c r="I289" i="5" s="1"/>
  <c r="N288" i="5"/>
  <c r="A288" i="5"/>
  <c r="B288" i="5" s="1"/>
  <c r="I288" i="5" s="1"/>
  <c r="N287" i="5"/>
  <c r="A287" i="5"/>
  <c r="B287" i="5" s="1"/>
  <c r="I287" i="5" s="1"/>
  <c r="N286" i="5"/>
  <c r="A286" i="5"/>
  <c r="B286" i="5" s="1"/>
  <c r="I286" i="5" s="1"/>
  <c r="N285" i="5"/>
  <c r="A285" i="5"/>
  <c r="B285" i="5" s="1"/>
  <c r="I285" i="5" s="1"/>
  <c r="N284" i="5"/>
  <c r="A284" i="5"/>
  <c r="B284" i="5" s="1"/>
  <c r="I284" i="5" s="1"/>
  <c r="N283" i="5"/>
  <c r="A283" i="5"/>
  <c r="B283" i="5" s="1"/>
  <c r="I283" i="5" s="1"/>
  <c r="N282" i="5"/>
  <c r="A282" i="5"/>
  <c r="B282" i="5" s="1"/>
  <c r="I282" i="5" s="1"/>
  <c r="N281" i="5"/>
  <c r="A281" i="5"/>
  <c r="B281" i="5" s="1"/>
  <c r="I281" i="5" s="1"/>
  <c r="N280" i="5"/>
  <c r="A280" i="5"/>
  <c r="B280" i="5" s="1"/>
  <c r="I280" i="5" s="1"/>
  <c r="N279" i="5"/>
  <c r="A279" i="5"/>
  <c r="B279" i="5" s="1"/>
  <c r="I279" i="5" s="1"/>
  <c r="N278" i="5"/>
  <c r="A278" i="5"/>
  <c r="B278" i="5" s="1"/>
  <c r="I278" i="5" s="1"/>
  <c r="N277" i="5"/>
  <c r="A277" i="5"/>
  <c r="B277" i="5" s="1"/>
  <c r="I277" i="5" s="1"/>
  <c r="N276" i="5"/>
  <c r="A276" i="5"/>
  <c r="B276" i="5" s="1"/>
  <c r="I276" i="5" s="1"/>
  <c r="N275" i="5"/>
  <c r="A275" i="5"/>
  <c r="B275" i="5" s="1"/>
  <c r="I275" i="5" s="1"/>
  <c r="N274" i="5"/>
  <c r="A274" i="5"/>
  <c r="B274" i="5" s="1"/>
  <c r="I274" i="5" s="1"/>
  <c r="N273" i="5"/>
  <c r="A273" i="5"/>
  <c r="B273" i="5" s="1"/>
  <c r="I273" i="5" s="1"/>
  <c r="N272" i="5"/>
  <c r="A272" i="5"/>
  <c r="B272" i="5" s="1"/>
  <c r="I272" i="5" s="1"/>
  <c r="N271" i="5"/>
  <c r="A271" i="5"/>
  <c r="B271" i="5" s="1"/>
  <c r="I271" i="5" s="1"/>
  <c r="N270" i="5"/>
  <c r="A270" i="5"/>
  <c r="B270" i="5" s="1"/>
  <c r="I270" i="5" s="1"/>
  <c r="N269" i="5"/>
  <c r="A269" i="5"/>
  <c r="B269" i="5" s="1"/>
  <c r="I269" i="5" s="1"/>
  <c r="N268" i="5"/>
  <c r="A268" i="5"/>
  <c r="B268" i="5" s="1"/>
  <c r="I268" i="5" s="1"/>
  <c r="N267" i="5"/>
  <c r="A267" i="5"/>
  <c r="B267" i="5" s="1"/>
  <c r="I267" i="5" s="1"/>
  <c r="N266" i="5"/>
  <c r="A266" i="5"/>
  <c r="B266" i="5" s="1"/>
  <c r="I266" i="5" s="1"/>
  <c r="N265" i="5"/>
  <c r="A265" i="5"/>
  <c r="B265" i="5" s="1"/>
  <c r="I265" i="5" s="1"/>
  <c r="N264" i="5"/>
  <c r="A264" i="5"/>
  <c r="B264" i="5" s="1"/>
  <c r="I264" i="5" s="1"/>
  <c r="N263" i="5"/>
  <c r="A263" i="5"/>
  <c r="B263" i="5" s="1"/>
  <c r="I263" i="5" s="1"/>
  <c r="N262" i="5"/>
  <c r="A262" i="5"/>
  <c r="B262" i="5" s="1"/>
  <c r="I262" i="5" s="1"/>
  <c r="N261" i="5"/>
  <c r="A261" i="5"/>
  <c r="B261" i="5" s="1"/>
  <c r="I261" i="5" s="1"/>
  <c r="N260" i="5"/>
  <c r="A260" i="5"/>
  <c r="B260" i="5" s="1"/>
  <c r="I260" i="5" s="1"/>
  <c r="N259" i="5"/>
  <c r="A259" i="5"/>
  <c r="B259" i="5" s="1"/>
  <c r="I259" i="5" s="1"/>
  <c r="N258" i="5"/>
  <c r="A258" i="5"/>
  <c r="B258" i="5" s="1"/>
  <c r="I258" i="5" s="1"/>
  <c r="N257" i="5"/>
  <c r="A257" i="5"/>
  <c r="B257" i="5" s="1"/>
  <c r="I257" i="5" s="1"/>
  <c r="N256" i="5"/>
  <c r="A256" i="5"/>
  <c r="B256" i="5" s="1"/>
  <c r="I256" i="5" s="1"/>
  <c r="N255" i="5"/>
  <c r="A255" i="5"/>
  <c r="B255" i="5" s="1"/>
  <c r="I255" i="5" s="1"/>
  <c r="N254" i="5"/>
  <c r="A254" i="5"/>
  <c r="B254" i="5" s="1"/>
  <c r="I254" i="5" s="1"/>
  <c r="N253" i="5"/>
  <c r="A253" i="5"/>
  <c r="B253" i="5" s="1"/>
  <c r="I253" i="5" s="1"/>
  <c r="N252" i="5"/>
  <c r="A252" i="5"/>
  <c r="B252" i="5" s="1"/>
  <c r="I252" i="5" s="1"/>
  <c r="N251" i="5"/>
  <c r="A251" i="5"/>
  <c r="B251" i="5" s="1"/>
  <c r="I251" i="5" s="1"/>
  <c r="N250" i="5"/>
  <c r="A250" i="5"/>
  <c r="B250" i="5" s="1"/>
  <c r="I250" i="5" s="1"/>
  <c r="N249" i="5"/>
  <c r="A249" i="5"/>
  <c r="B249" i="5" s="1"/>
  <c r="I249" i="5" s="1"/>
  <c r="N248" i="5"/>
  <c r="A248" i="5"/>
  <c r="B248" i="5" s="1"/>
  <c r="I248" i="5" s="1"/>
  <c r="N247" i="5"/>
  <c r="A247" i="5"/>
  <c r="B247" i="5" s="1"/>
  <c r="I247" i="5" s="1"/>
  <c r="N246" i="5"/>
  <c r="A246" i="5"/>
  <c r="B246" i="5" s="1"/>
  <c r="I246" i="5" s="1"/>
  <c r="N245" i="5"/>
  <c r="A245" i="5"/>
  <c r="B245" i="5" s="1"/>
  <c r="I245" i="5" s="1"/>
  <c r="N244" i="5"/>
  <c r="A244" i="5"/>
  <c r="B244" i="5" s="1"/>
  <c r="I244" i="5" s="1"/>
  <c r="N243" i="5"/>
  <c r="A243" i="5"/>
  <c r="B243" i="5" s="1"/>
  <c r="I243" i="5" s="1"/>
  <c r="N242" i="5"/>
  <c r="A242" i="5"/>
  <c r="B242" i="5" s="1"/>
  <c r="I242" i="5" s="1"/>
  <c r="N241" i="5"/>
  <c r="A241" i="5"/>
  <c r="B241" i="5" s="1"/>
  <c r="I241" i="5" s="1"/>
  <c r="N240" i="5"/>
  <c r="A240" i="5"/>
  <c r="B240" i="5" s="1"/>
  <c r="I240" i="5" s="1"/>
  <c r="N239" i="5"/>
  <c r="A239" i="5"/>
  <c r="B239" i="5" s="1"/>
  <c r="I239" i="5" s="1"/>
  <c r="N238" i="5"/>
  <c r="A238" i="5"/>
  <c r="B238" i="5" s="1"/>
  <c r="I238" i="5" s="1"/>
  <c r="N237" i="5"/>
  <c r="A237" i="5"/>
  <c r="B237" i="5" s="1"/>
  <c r="I237" i="5" s="1"/>
  <c r="N236" i="5"/>
  <c r="A236" i="5"/>
  <c r="B236" i="5" s="1"/>
  <c r="I236" i="5" s="1"/>
  <c r="N235" i="5"/>
  <c r="A235" i="5"/>
  <c r="B235" i="5" s="1"/>
  <c r="I235" i="5" s="1"/>
  <c r="N234" i="5"/>
  <c r="A234" i="5"/>
  <c r="B234" i="5" s="1"/>
  <c r="I234" i="5" s="1"/>
  <c r="N233" i="5"/>
  <c r="A233" i="5"/>
  <c r="B233" i="5" s="1"/>
  <c r="I233" i="5" s="1"/>
  <c r="N232" i="5"/>
  <c r="A232" i="5"/>
  <c r="B232" i="5" s="1"/>
  <c r="I232" i="5" s="1"/>
  <c r="N231" i="5"/>
  <c r="A231" i="5"/>
  <c r="B231" i="5" s="1"/>
  <c r="I231" i="5" s="1"/>
  <c r="N230" i="5"/>
  <c r="A230" i="5"/>
  <c r="B230" i="5" s="1"/>
  <c r="I230" i="5" s="1"/>
  <c r="N229" i="5"/>
  <c r="A229" i="5"/>
  <c r="B229" i="5" s="1"/>
  <c r="I229" i="5" s="1"/>
  <c r="N228" i="5"/>
  <c r="A228" i="5"/>
  <c r="B228" i="5" s="1"/>
  <c r="I228" i="5" s="1"/>
  <c r="N227" i="5"/>
  <c r="A227" i="5"/>
  <c r="B227" i="5" s="1"/>
  <c r="I227" i="5" s="1"/>
  <c r="N226" i="5"/>
  <c r="A226" i="5"/>
  <c r="B226" i="5" s="1"/>
  <c r="I226" i="5" s="1"/>
  <c r="N225" i="5"/>
  <c r="A225" i="5"/>
  <c r="B225" i="5" s="1"/>
  <c r="I225" i="5" s="1"/>
  <c r="N224" i="5"/>
  <c r="A224" i="5"/>
  <c r="B224" i="5" s="1"/>
  <c r="I224" i="5" s="1"/>
  <c r="N223" i="5"/>
  <c r="A223" i="5"/>
  <c r="B223" i="5" s="1"/>
  <c r="I223" i="5" s="1"/>
  <c r="N222" i="5"/>
  <c r="A222" i="5"/>
  <c r="B222" i="5" s="1"/>
  <c r="I222" i="5" s="1"/>
  <c r="N221" i="5"/>
  <c r="A221" i="5"/>
  <c r="B221" i="5" s="1"/>
  <c r="I221" i="5" s="1"/>
  <c r="N220" i="5"/>
  <c r="A220" i="5"/>
  <c r="B220" i="5" s="1"/>
  <c r="I220" i="5" s="1"/>
  <c r="N219" i="5"/>
  <c r="A219" i="5"/>
  <c r="B219" i="5" s="1"/>
  <c r="I219" i="5" s="1"/>
  <c r="N218" i="5"/>
  <c r="A218" i="5"/>
  <c r="B218" i="5" s="1"/>
  <c r="I218" i="5" s="1"/>
  <c r="N217" i="5"/>
  <c r="A217" i="5"/>
  <c r="B217" i="5" s="1"/>
  <c r="I217" i="5" s="1"/>
  <c r="N216" i="5"/>
  <c r="A216" i="5"/>
  <c r="B216" i="5" s="1"/>
  <c r="I216" i="5" s="1"/>
  <c r="N215" i="5"/>
  <c r="A215" i="5"/>
  <c r="B215" i="5" s="1"/>
  <c r="I215" i="5" s="1"/>
  <c r="N214" i="5"/>
  <c r="A214" i="5"/>
  <c r="B214" i="5" s="1"/>
  <c r="I214" i="5" s="1"/>
  <c r="N213" i="5"/>
  <c r="A213" i="5"/>
  <c r="B213" i="5" s="1"/>
  <c r="I213" i="5" s="1"/>
  <c r="N212" i="5"/>
  <c r="A212" i="5"/>
  <c r="B212" i="5" s="1"/>
  <c r="I212" i="5" s="1"/>
  <c r="N211" i="5"/>
  <c r="A211" i="5"/>
  <c r="B211" i="5" s="1"/>
  <c r="I211" i="5" s="1"/>
  <c r="N210" i="5"/>
  <c r="A210" i="5"/>
  <c r="B210" i="5" s="1"/>
  <c r="I210" i="5" s="1"/>
  <c r="N209" i="5"/>
  <c r="A209" i="5"/>
  <c r="B209" i="5" s="1"/>
  <c r="I209" i="5" s="1"/>
  <c r="N208" i="5"/>
  <c r="A208" i="5"/>
  <c r="B208" i="5" s="1"/>
  <c r="I208" i="5" s="1"/>
  <c r="N207" i="5"/>
  <c r="A207" i="5"/>
  <c r="B207" i="5" s="1"/>
  <c r="I207" i="5" s="1"/>
  <c r="N206" i="5"/>
  <c r="A206" i="5"/>
  <c r="B206" i="5" s="1"/>
  <c r="I206" i="5" s="1"/>
  <c r="N205" i="5"/>
  <c r="A205" i="5"/>
  <c r="B205" i="5" s="1"/>
  <c r="I205" i="5" s="1"/>
  <c r="N204" i="5"/>
  <c r="A204" i="5"/>
  <c r="B204" i="5" s="1"/>
  <c r="I204" i="5" s="1"/>
  <c r="N203" i="5"/>
  <c r="A203" i="5"/>
  <c r="B203" i="5" s="1"/>
  <c r="I203" i="5" s="1"/>
  <c r="N202" i="5"/>
  <c r="A202" i="5"/>
  <c r="B202" i="5" s="1"/>
  <c r="I202" i="5" s="1"/>
  <c r="N201" i="5"/>
  <c r="A201" i="5"/>
  <c r="B201" i="5" s="1"/>
  <c r="I201" i="5" s="1"/>
  <c r="N200" i="5"/>
  <c r="A200" i="5"/>
  <c r="B200" i="5" s="1"/>
  <c r="I200" i="5" s="1"/>
  <c r="N199" i="5"/>
  <c r="A199" i="5"/>
  <c r="B199" i="5" s="1"/>
  <c r="I199" i="5" s="1"/>
  <c r="N198" i="5"/>
  <c r="A198" i="5"/>
  <c r="B198" i="5" s="1"/>
  <c r="I198" i="5" s="1"/>
  <c r="N197" i="5"/>
  <c r="A197" i="5"/>
  <c r="B197" i="5" s="1"/>
  <c r="I197" i="5" s="1"/>
  <c r="N196" i="5"/>
  <c r="A196" i="5"/>
  <c r="B196" i="5" s="1"/>
  <c r="I196" i="5" s="1"/>
  <c r="N195" i="5"/>
  <c r="A195" i="5"/>
  <c r="B195" i="5" s="1"/>
  <c r="I195" i="5" s="1"/>
  <c r="N194" i="5"/>
  <c r="A194" i="5"/>
  <c r="B194" i="5" s="1"/>
  <c r="I194" i="5" s="1"/>
  <c r="N193" i="5"/>
  <c r="A193" i="5"/>
  <c r="B193" i="5" s="1"/>
  <c r="I193" i="5" s="1"/>
  <c r="N192" i="5"/>
  <c r="A192" i="5"/>
  <c r="B192" i="5" s="1"/>
  <c r="I192" i="5" s="1"/>
  <c r="N191" i="5"/>
  <c r="A191" i="5"/>
  <c r="B191" i="5" s="1"/>
  <c r="I191" i="5" s="1"/>
  <c r="N190" i="5"/>
  <c r="A190" i="5"/>
  <c r="B190" i="5" s="1"/>
  <c r="I190" i="5" s="1"/>
  <c r="N189" i="5"/>
  <c r="A189" i="5"/>
  <c r="B189" i="5" s="1"/>
  <c r="I189" i="5" s="1"/>
  <c r="N188" i="5"/>
  <c r="A188" i="5"/>
  <c r="B188" i="5" s="1"/>
  <c r="I188" i="5" s="1"/>
  <c r="N187" i="5"/>
  <c r="A187" i="5"/>
  <c r="B187" i="5" s="1"/>
  <c r="I187" i="5" s="1"/>
  <c r="N186" i="5"/>
  <c r="A186" i="5"/>
  <c r="B186" i="5" s="1"/>
  <c r="I186" i="5" s="1"/>
  <c r="N185" i="5"/>
  <c r="A185" i="5"/>
  <c r="B185" i="5" s="1"/>
  <c r="I185" i="5" s="1"/>
  <c r="N184" i="5"/>
  <c r="A184" i="5"/>
  <c r="B184" i="5" s="1"/>
  <c r="I184" i="5" s="1"/>
  <c r="N183" i="5"/>
  <c r="A183" i="5"/>
  <c r="B183" i="5" s="1"/>
  <c r="I183" i="5" s="1"/>
  <c r="N182" i="5"/>
  <c r="A182" i="5"/>
  <c r="B182" i="5" s="1"/>
  <c r="I182" i="5" s="1"/>
  <c r="N181" i="5"/>
  <c r="A181" i="5"/>
  <c r="B181" i="5" s="1"/>
  <c r="I181" i="5" s="1"/>
  <c r="N180" i="5"/>
  <c r="A180" i="5"/>
  <c r="B180" i="5" s="1"/>
  <c r="I180" i="5" s="1"/>
  <c r="N179" i="5"/>
  <c r="A179" i="5"/>
  <c r="B179" i="5" s="1"/>
  <c r="I179" i="5" s="1"/>
  <c r="N178" i="5"/>
  <c r="A178" i="5"/>
  <c r="B178" i="5" s="1"/>
  <c r="I178" i="5" s="1"/>
  <c r="N177" i="5"/>
  <c r="A177" i="5"/>
  <c r="B177" i="5" s="1"/>
  <c r="I177" i="5" s="1"/>
  <c r="N176" i="5"/>
  <c r="A176" i="5"/>
  <c r="B176" i="5" s="1"/>
  <c r="I176" i="5" s="1"/>
  <c r="N175" i="5"/>
  <c r="A175" i="5"/>
  <c r="B175" i="5" s="1"/>
  <c r="I175" i="5" s="1"/>
  <c r="N174" i="5"/>
  <c r="A174" i="5"/>
  <c r="B174" i="5" s="1"/>
  <c r="I174" i="5" s="1"/>
  <c r="N173" i="5"/>
  <c r="A173" i="5"/>
  <c r="B173" i="5" s="1"/>
  <c r="I173" i="5" s="1"/>
  <c r="N172" i="5"/>
  <c r="A172" i="5"/>
  <c r="B172" i="5" s="1"/>
  <c r="I172" i="5" s="1"/>
  <c r="N171" i="5"/>
  <c r="A171" i="5"/>
  <c r="B171" i="5" s="1"/>
  <c r="I171" i="5" s="1"/>
  <c r="N170" i="5"/>
  <c r="A170" i="5"/>
  <c r="B170" i="5" s="1"/>
  <c r="I170" i="5" s="1"/>
  <c r="A40" i="5"/>
  <c r="B40" i="5" s="1"/>
  <c r="I40" i="5" s="1"/>
  <c r="N150" i="6" l="1"/>
  <c r="Q150" i="6" s="1"/>
  <c r="L150" i="6"/>
  <c r="M150" i="6" s="1"/>
  <c r="N135" i="6"/>
  <c r="Q135" i="6" s="1"/>
  <c r="L135" i="6"/>
  <c r="M135" i="6" s="1"/>
  <c r="N152" i="6"/>
  <c r="Q152" i="6" s="1"/>
  <c r="L152" i="6"/>
  <c r="M152" i="6" s="1"/>
  <c r="N167" i="6"/>
  <c r="Q167" i="6" s="1"/>
  <c r="L167" i="6"/>
  <c r="M167" i="6" s="1"/>
  <c r="N256" i="6"/>
  <c r="Q256" i="6" s="1"/>
  <c r="R256" i="6" s="1"/>
  <c r="L256" i="6"/>
  <c r="M256" i="6" s="1"/>
  <c r="N200" i="6"/>
  <c r="Q200" i="6" s="1"/>
  <c r="L200" i="6"/>
  <c r="M200" i="6" s="1"/>
  <c r="N248" i="6"/>
  <c r="Q248" i="6" s="1"/>
  <c r="R248" i="6" s="1"/>
  <c r="L248" i="6"/>
  <c r="M248" i="6" s="1"/>
  <c r="N201" i="6"/>
  <c r="Q201" i="6" s="1"/>
  <c r="L201" i="6"/>
  <c r="M201" i="6" s="1"/>
  <c r="N220" i="6"/>
  <c r="Q220" i="6" s="1"/>
  <c r="L220" i="6"/>
  <c r="M220" i="6" s="1"/>
  <c r="N236" i="6"/>
  <c r="Q236" i="6" s="1"/>
  <c r="L236" i="6"/>
  <c r="M236" i="6" s="1"/>
  <c r="N251" i="6"/>
  <c r="Q251" i="6" s="1"/>
  <c r="R251" i="6" s="1"/>
  <c r="L251" i="6"/>
  <c r="M251" i="6" s="1"/>
  <c r="N239" i="6"/>
  <c r="Q239" i="6" s="1"/>
  <c r="R239" i="6" s="1"/>
  <c r="L239" i="6"/>
  <c r="M239" i="6" s="1"/>
  <c r="N199" i="6"/>
  <c r="Q199" i="6" s="1"/>
  <c r="L199" i="6"/>
  <c r="M199" i="6" s="1"/>
  <c r="N231" i="6"/>
  <c r="Q231" i="6" s="1"/>
  <c r="L231" i="6"/>
  <c r="M231" i="6" s="1"/>
  <c r="N210" i="6"/>
  <c r="Q210" i="6" s="1"/>
  <c r="L210" i="6"/>
  <c r="M210" i="6" s="1"/>
  <c r="N222" i="6"/>
  <c r="Q222" i="6" s="1"/>
  <c r="L222" i="6"/>
  <c r="M222" i="6" s="1"/>
  <c r="N232" i="6"/>
  <c r="Q232" i="6" s="1"/>
  <c r="L232" i="6"/>
  <c r="M232" i="6" s="1"/>
  <c r="N235" i="6"/>
  <c r="Q235" i="6" s="1"/>
  <c r="L235" i="6"/>
  <c r="M235" i="6" s="1"/>
  <c r="N237" i="6"/>
  <c r="Q237" i="6" s="1"/>
  <c r="L237" i="6"/>
  <c r="M237" i="6" s="1"/>
  <c r="N247" i="6"/>
  <c r="Q247" i="6" s="1"/>
  <c r="R247" i="6" s="1"/>
  <c r="L247" i="6"/>
  <c r="M247" i="6" s="1"/>
  <c r="K133" i="6"/>
  <c r="K132" i="6"/>
  <c r="K131" i="6"/>
  <c r="K126" i="6"/>
  <c r="K125" i="6"/>
  <c r="K124" i="6"/>
  <c r="K119" i="6"/>
  <c r="K118" i="6"/>
  <c r="K117" i="6"/>
  <c r="G125" i="6" l="1"/>
  <c r="I125" i="6"/>
  <c r="G118" i="6"/>
  <c r="I118" i="6"/>
  <c r="G131" i="6"/>
  <c r="I131" i="6"/>
  <c r="G133" i="6"/>
  <c r="I133" i="6"/>
  <c r="G117" i="6"/>
  <c r="I117" i="6"/>
  <c r="G119" i="6"/>
  <c r="I119" i="6"/>
  <c r="G132" i="6"/>
  <c r="I132" i="6"/>
  <c r="G124" i="6"/>
  <c r="I124" i="6"/>
  <c r="G126" i="6"/>
  <c r="I126" i="6"/>
  <c r="G3704" i="13" l="1"/>
  <c r="M3704" i="13" s="1"/>
  <c r="E14" i="12" s="1"/>
  <c r="G3391" i="13"/>
  <c r="M3391" i="13" s="1"/>
  <c r="E13" i="12" s="1"/>
  <c r="G3088" i="13"/>
  <c r="M3088" i="13" s="1"/>
  <c r="E12" i="12" s="1"/>
  <c r="G2775" i="13"/>
  <c r="M2775" i="13" s="1"/>
  <c r="E11" i="12" s="1"/>
  <c r="G2470" i="13"/>
  <c r="M2470" i="13" s="1"/>
  <c r="E10" i="12" s="1"/>
  <c r="G2157" i="13"/>
  <c r="M2157" i="13" s="1"/>
  <c r="E9" i="12" s="1"/>
  <c r="G1844" i="13"/>
  <c r="M1844" i="13" s="1"/>
  <c r="E8" i="12" s="1"/>
  <c r="P60" i="5" l="1"/>
  <c r="P58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2" i="5"/>
  <c r="P41" i="5"/>
  <c r="P40" i="5"/>
  <c r="P39" i="5"/>
  <c r="O60" i="5"/>
  <c r="O58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2" i="5"/>
  <c r="O41" i="5"/>
  <c r="O40" i="5"/>
  <c r="O39" i="5"/>
  <c r="P37" i="5" l="1"/>
  <c r="O37" i="5"/>
  <c r="P36" i="5"/>
  <c r="O36" i="5"/>
  <c r="P35" i="5"/>
  <c r="P34" i="5"/>
  <c r="P30" i="5"/>
  <c r="P29" i="5"/>
  <c r="P26" i="5"/>
  <c r="P25" i="5"/>
  <c r="P22" i="5"/>
  <c r="P21" i="5"/>
  <c r="O35" i="5"/>
  <c r="O34" i="5"/>
  <c r="O30" i="5"/>
  <c r="O29" i="5"/>
  <c r="O26" i="5"/>
  <c r="O25" i="5"/>
  <c r="O22" i="5"/>
  <c r="O21" i="5"/>
  <c r="H58" i="5"/>
  <c r="H56" i="5"/>
  <c r="H55" i="5"/>
  <c r="H54" i="5"/>
  <c r="H53" i="5"/>
  <c r="H52" i="5"/>
  <c r="H51" i="5"/>
  <c r="H50" i="5"/>
  <c r="H49" i="5"/>
  <c r="H47" i="5"/>
  <c r="H46" i="5"/>
  <c r="H40" i="5"/>
  <c r="H39" i="5"/>
  <c r="H37" i="5"/>
  <c r="H36" i="5"/>
  <c r="H35" i="5"/>
  <c r="H34" i="5"/>
  <c r="H30" i="5"/>
  <c r="H29" i="5"/>
  <c r="H26" i="5"/>
  <c r="H25" i="5"/>
  <c r="H22" i="5"/>
  <c r="H21" i="5"/>
  <c r="H20" i="5"/>
  <c r="H19" i="5"/>
  <c r="H18" i="5"/>
  <c r="H16" i="5"/>
  <c r="H3" i="5"/>
  <c r="H13" i="5"/>
  <c r="H11" i="5"/>
  <c r="H10" i="5"/>
  <c r="H9" i="5"/>
  <c r="H8" i="5"/>
  <c r="H7" i="5"/>
  <c r="H5" i="5"/>
  <c r="H15" i="5"/>
  <c r="F27" i="7"/>
  <c r="Q34" i="2"/>
  <c r="F12" i="7"/>
  <c r="D21" i="3"/>
  <c r="F18" i="3"/>
  <c r="F21" i="3" s="1"/>
  <c r="G18" i="3"/>
  <c r="G21" i="3" s="1"/>
  <c r="H18" i="3"/>
  <c r="H21" i="3" s="1"/>
  <c r="I18" i="3"/>
  <c r="I21" i="3" s="1"/>
  <c r="J18" i="3"/>
  <c r="J21" i="3" s="1"/>
  <c r="K18" i="3"/>
  <c r="K21" i="3" s="1"/>
  <c r="N18" i="3"/>
  <c r="N21" i="3" s="1"/>
  <c r="N33" i="3"/>
  <c r="M33" i="3"/>
  <c r="L33" i="3"/>
  <c r="K33" i="3"/>
  <c r="J33" i="3"/>
  <c r="I33" i="3"/>
  <c r="H33" i="3"/>
  <c r="G33" i="3"/>
  <c r="F33" i="3"/>
  <c r="E33" i="3"/>
  <c r="D33" i="3"/>
  <c r="O33" i="3" s="1"/>
  <c r="O32" i="3"/>
  <c r="N31" i="3"/>
  <c r="M31" i="3"/>
  <c r="L31" i="3"/>
  <c r="K31" i="3"/>
  <c r="J31" i="3"/>
  <c r="I31" i="3"/>
  <c r="I34" i="3" s="1"/>
  <c r="H31" i="3"/>
  <c r="G31" i="3"/>
  <c r="F31" i="3"/>
  <c r="E31" i="3"/>
  <c r="D31" i="3"/>
  <c r="C31" i="3"/>
  <c r="O31" i="3" s="1"/>
  <c r="O27" i="3"/>
  <c r="O26" i="3"/>
  <c r="O25" i="3"/>
  <c r="O20" i="3"/>
  <c r="N19" i="3"/>
  <c r="M19" i="3"/>
  <c r="L19" i="3"/>
  <c r="K19" i="3"/>
  <c r="J19" i="3"/>
  <c r="I19" i="3"/>
  <c r="H19" i="3"/>
  <c r="G19" i="3"/>
  <c r="F19" i="3"/>
  <c r="E19" i="3"/>
  <c r="D19" i="3"/>
  <c r="C19" i="3"/>
  <c r="O19" i="3" s="1"/>
  <c r="M18" i="3"/>
  <c r="L18" i="3"/>
  <c r="L21" i="3" s="1"/>
  <c r="O15" i="3"/>
  <c r="O14" i="3"/>
  <c r="O13" i="3"/>
  <c r="O12" i="3"/>
  <c r="O10" i="3"/>
  <c r="G3384" i="14" l="1"/>
  <c r="M3384" i="14" s="1"/>
  <c r="F12" i="12" s="1"/>
  <c r="G2704" i="14"/>
  <c r="M2704" i="14" s="1"/>
  <c r="F10" i="12" s="1"/>
  <c r="G3039" i="14"/>
  <c r="M3039" i="14" s="1"/>
  <c r="F11" i="12" s="1"/>
  <c r="G3718" i="14"/>
  <c r="M3718" i="14" s="1"/>
  <c r="F13" i="12" s="1"/>
  <c r="E18" i="3"/>
  <c r="E21" i="3" s="1"/>
  <c r="G2360" i="14"/>
  <c r="M2360" i="14" s="1"/>
  <c r="F9" i="12" s="1"/>
  <c r="G2015" i="14"/>
  <c r="M2015" i="14" s="1"/>
  <c r="F8" i="12" s="1"/>
  <c r="G1681" i="14"/>
  <c r="M1681" i="14" s="1"/>
  <c r="F7" i="12" s="1"/>
  <c r="M21" i="3"/>
  <c r="I37" i="3"/>
  <c r="I38" i="3"/>
  <c r="G4063" i="14" l="1"/>
  <c r="M4063" i="14" s="1"/>
  <c r="F14" i="12" s="1"/>
  <c r="G1540" i="13"/>
  <c r="M1540" i="13" s="1"/>
  <c r="E7" i="12" s="1"/>
  <c r="G922" i="13"/>
  <c r="M922" i="13" s="1"/>
  <c r="E5" i="12" s="1"/>
  <c r="G1336" i="14"/>
  <c r="M1336" i="14" s="1"/>
  <c r="F6" i="12" s="1"/>
  <c r="G1001" i="14"/>
  <c r="M1001" i="14" s="1"/>
  <c r="F5" i="12" s="1"/>
  <c r="G1226" i="13"/>
  <c r="M1226" i="13" s="1"/>
  <c r="E6" i="12" s="1"/>
  <c r="O30" i="2" l="1"/>
  <c r="C14" i="2"/>
  <c r="P12" i="2"/>
  <c r="P11" i="2"/>
  <c r="P10" i="2"/>
  <c r="N33" i="9" l="1"/>
  <c r="M33" i="9"/>
  <c r="L33" i="9"/>
  <c r="K33" i="9"/>
  <c r="J33" i="9"/>
  <c r="D36" i="8"/>
  <c r="C36" i="8"/>
  <c r="D33" i="8"/>
  <c r="E28" i="8"/>
  <c r="D28" i="8"/>
  <c r="L116" i="6"/>
  <c r="M116" i="6" s="1"/>
  <c r="A116" i="6"/>
  <c r="B116" i="6" s="1"/>
  <c r="K116" i="6" s="1"/>
  <c r="N115" i="6"/>
  <c r="A115" i="6"/>
  <c r="B115" i="6" s="1"/>
  <c r="K115" i="6" s="1"/>
  <c r="L114" i="6"/>
  <c r="M114" i="6" s="1"/>
  <c r="A114" i="6"/>
  <c r="B114" i="6" s="1"/>
  <c r="K114" i="6" s="1"/>
  <c r="N113" i="6"/>
  <c r="Q113" i="6" s="1"/>
  <c r="A113" i="6"/>
  <c r="B113" i="6" s="1"/>
  <c r="K113" i="6" s="1"/>
  <c r="L112" i="6"/>
  <c r="M112" i="6" s="1"/>
  <c r="A112" i="6"/>
  <c r="B112" i="6" s="1"/>
  <c r="K112" i="6" s="1"/>
  <c r="N111" i="6"/>
  <c r="Q111" i="6" s="1"/>
  <c r="A111" i="6"/>
  <c r="B111" i="6" s="1"/>
  <c r="K111" i="6" s="1"/>
  <c r="L110" i="6"/>
  <c r="M110" i="6" s="1"/>
  <c r="A110" i="6"/>
  <c r="B110" i="6" s="1"/>
  <c r="K110" i="6" s="1"/>
  <c r="N109" i="6"/>
  <c r="Q109" i="6" s="1"/>
  <c r="A109" i="6"/>
  <c r="B109" i="6" s="1"/>
  <c r="K109" i="6" s="1"/>
  <c r="L108" i="6"/>
  <c r="M108" i="6" s="1"/>
  <c r="A108" i="6"/>
  <c r="B108" i="6" s="1"/>
  <c r="K108" i="6" s="1"/>
  <c r="N107" i="6"/>
  <c r="A107" i="6"/>
  <c r="B107" i="6" s="1"/>
  <c r="K107" i="6" s="1"/>
  <c r="L106" i="6"/>
  <c r="M106" i="6" s="1"/>
  <c r="A106" i="6"/>
  <c r="B106" i="6" s="1"/>
  <c r="K106" i="6" s="1"/>
  <c r="L104" i="6"/>
  <c r="M104" i="6" s="1"/>
  <c r="A104" i="6"/>
  <c r="B104" i="6" s="1"/>
  <c r="K104" i="6" s="1"/>
  <c r="N103" i="6"/>
  <c r="Q103" i="6" s="1"/>
  <c r="A103" i="6"/>
  <c r="B103" i="6" s="1"/>
  <c r="K103" i="6" s="1"/>
  <c r="L102" i="6"/>
  <c r="M102" i="6" s="1"/>
  <c r="A102" i="6"/>
  <c r="B102" i="6" s="1"/>
  <c r="K102" i="6" s="1"/>
  <c r="N101" i="6"/>
  <c r="Q101" i="6" s="1"/>
  <c r="A101" i="6"/>
  <c r="B101" i="6" s="1"/>
  <c r="K101" i="6" s="1"/>
  <c r="L100" i="6"/>
  <c r="M100" i="6" s="1"/>
  <c r="A100" i="6"/>
  <c r="B100" i="6" s="1"/>
  <c r="K100" i="6" s="1"/>
  <c r="N99" i="6"/>
  <c r="Q99" i="6" s="1"/>
  <c r="A99" i="6"/>
  <c r="B99" i="6" s="1"/>
  <c r="K99" i="6" s="1"/>
  <c r="L98" i="6"/>
  <c r="M98" i="6" s="1"/>
  <c r="A98" i="6"/>
  <c r="B98" i="6" s="1"/>
  <c r="K98" i="6" s="1"/>
  <c r="N97" i="6"/>
  <c r="Q97" i="6" s="1"/>
  <c r="A97" i="6"/>
  <c r="B97" i="6" s="1"/>
  <c r="K97" i="6" s="1"/>
  <c r="L96" i="6"/>
  <c r="M96" i="6" s="1"/>
  <c r="A96" i="6"/>
  <c r="B96" i="6" s="1"/>
  <c r="K96" i="6" s="1"/>
  <c r="N95" i="6"/>
  <c r="Q95" i="6" s="1"/>
  <c r="A95" i="6"/>
  <c r="B95" i="6" s="1"/>
  <c r="K95" i="6" s="1"/>
  <c r="L94" i="6"/>
  <c r="M94" i="6" s="1"/>
  <c r="A94" i="6"/>
  <c r="B94" i="6" s="1"/>
  <c r="K94" i="6" s="1"/>
  <c r="A93" i="6"/>
  <c r="B93" i="6" s="1"/>
  <c r="K93" i="6" s="1"/>
  <c r="N91" i="6"/>
  <c r="Q91" i="6" s="1"/>
  <c r="A91" i="6"/>
  <c r="B91" i="6" s="1"/>
  <c r="K91" i="6" s="1"/>
  <c r="L90" i="6"/>
  <c r="M90" i="6" s="1"/>
  <c r="A90" i="6"/>
  <c r="B90" i="6" s="1"/>
  <c r="K90" i="6" s="1"/>
  <c r="N89" i="6"/>
  <c r="Q89" i="6" s="1"/>
  <c r="A89" i="6"/>
  <c r="B89" i="6" s="1"/>
  <c r="K89" i="6" s="1"/>
  <c r="L88" i="6"/>
  <c r="M88" i="6" s="1"/>
  <c r="A88" i="6"/>
  <c r="B88" i="6" s="1"/>
  <c r="K88" i="6" s="1"/>
  <c r="N87" i="6"/>
  <c r="Q87" i="6" s="1"/>
  <c r="A87" i="6"/>
  <c r="B87" i="6" s="1"/>
  <c r="K87" i="6" s="1"/>
  <c r="A85" i="6"/>
  <c r="B85" i="6" s="1"/>
  <c r="K85" i="6" s="1"/>
  <c r="A84" i="6"/>
  <c r="B84" i="6" s="1"/>
  <c r="K84" i="6" s="1"/>
  <c r="N83" i="6"/>
  <c r="A83" i="6"/>
  <c r="B83" i="6" s="1"/>
  <c r="K83" i="6" s="1"/>
  <c r="L82" i="6"/>
  <c r="M82" i="6" s="1"/>
  <c r="A82" i="6"/>
  <c r="B82" i="6" s="1"/>
  <c r="K82" i="6" s="1"/>
  <c r="N81" i="6"/>
  <c r="P81" i="6" s="1"/>
  <c r="Q81" i="6" s="1"/>
  <c r="A81" i="6"/>
  <c r="B81" i="6" s="1"/>
  <c r="K81" i="6" s="1"/>
  <c r="A76" i="6"/>
  <c r="B76" i="6" s="1"/>
  <c r="K76" i="6" s="1"/>
  <c r="A75" i="6"/>
  <c r="B75" i="6" s="1"/>
  <c r="K75" i="6" s="1"/>
  <c r="L74" i="6"/>
  <c r="M74" i="6" s="1"/>
  <c r="A74" i="6"/>
  <c r="B74" i="6" s="1"/>
  <c r="K74" i="6" s="1"/>
  <c r="A73" i="6"/>
  <c r="B73" i="6" s="1"/>
  <c r="K73" i="6" s="1"/>
  <c r="N71" i="6"/>
  <c r="A71" i="6"/>
  <c r="B71" i="6" s="1"/>
  <c r="K71" i="6" s="1"/>
  <c r="L70" i="6"/>
  <c r="M70" i="6" s="1"/>
  <c r="A70" i="6"/>
  <c r="B70" i="6" s="1"/>
  <c r="K70" i="6" s="1"/>
  <c r="A69" i="6"/>
  <c r="B69" i="6" s="1"/>
  <c r="K69" i="6" s="1"/>
  <c r="A68" i="6"/>
  <c r="B68" i="6" s="1"/>
  <c r="K68" i="6" s="1"/>
  <c r="N67" i="6"/>
  <c r="A67" i="6"/>
  <c r="B67" i="6" s="1"/>
  <c r="K67" i="6" s="1"/>
  <c r="N66" i="6"/>
  <c r="L66" i="6"/>
  <c r="M66" i="6" s="1"/>
  <c r="A66" i="6"/>
  <c r="B66" i="6" s="1"/>
  <c r="K66" i="6" s="1"/>
  <c r="N65" i="6"/>
  <c r="P65" i="6" s="1"/>
  <c r="Q65" i="6" s="1"/>
  <c r="A65" i="6"/>
  <c r="B65" i="6" s="1"/>
  <c r="K65" i="6" s="1"/>
  <c r="N64" i="6"/>
  <c r="L64" i="6"/>
  <c r="M64" i="6" s="1"/>
  <c r="A64" i="6"/>
  <c r="B64" i="6" s="1"/>
  <c r="K64" i="6" s="1"/>
  <c r="N63" i="6"/>
  <c r="A63" i="6"/>
  <c r="B63" i="6" s="1"/>
  <c r="K63" i="6" s="1"/>
  <c r="L62" i="6"/>
  <c r="M62" i="6" s="1"/>
  <c r="A62" i="6"/>
  <c r="B62" i="6" s="1"/>
  <c r="K62" i="6" s="1"/>
  <c r="A61" i="6"/>
  <c r="B61" i="6" s="1"/>
  <c r="K61" i="6" s="1"/>
  <c r="N60" i="6"/>
  <c r="L60" i="6"/>
  <c r="M60" i="6" s="1"/>
  <c r="A60" i="6"/>
  <c r="B60" i="6" s="1"/>
  <c r="K60" i="6" s="1"/>
  <c r="A59" i="6"/>
  <c r="B59" i="6" s="1"/>
  <c r="K59" i="6" s="1"/>
  <c r="N58" i="6"/>
  <c r="L58" i="6"/>
  <c r="M58" i="6" s="1"/>
  <c r="A58" i="6"/>
  <c r="B58" i="6" s="1"/>
  <c r="K58" i="6" s="1"/>
  <c r="A57" i="6"/>
  <c r="B57" i="6" s="1"/>
  <c r="K57" i="6" s="1"/>
  <c r="N56" i="6"/>
  <c r="A56" i="6"/>
  <c r="B56" i="6" s="1"/>
  <c r="K56" i="6" s="1"/>
  <c r="A55" i="6"/>
  <c r="B55" i="6" s="1"/>
  <c r="K55" i="6" s="1"/>
  <c r="A53" i="6"/>
  <c r="B53" i="6" s="1"/>
  <c r="K53" i="6" s="1"/>
  <c r="N52" i="6"/>
  <c r="L52" i="6"/>
  <c r="M52" i="6" s="1"/>
  <c r="A52" i="6"/>
  <c r="B52" i="6" s="1"/>
  <c r="K52" i="6" s="1"/>
  <c r="A51" i="6"/>
  <c r="B51" i="6" s="1"/>
  <c r="K51" i="6" s="1"/>
  <c r="A49" i="6"/>
  <c r="B49" i="6" s="1"/>
  <c r="K49" i="6" s="1"/>
  <c r="N48" i="6"/>
  <c r="A48" i="6"/>
  <c r="B48" i="6" s="1"/>
  <c r="K48" i="6" s="1"/>
  <c r="N47" i="6"/>
  <c r="A47" i="6"/>
  <c r="B47" i="6" s="1"/>
  <c r="K47" i="6" s="1"/>
  <c r="N46" i="6"/>
  <c r="L46" i="6"/>
  <c r="M46" i="6" s="1"/>
  <c r="A46" i="6"/>
  <c r="B46" i="6" s="1"/>
  <c r="K46" i="6" s="1"/>
  <c r="N45" i="6"/>
  <c r="P45" i="6" s="1"/>
  <c r="Q45" i="6" s="1"/>
  <c r="A45" i="6"/>
  <c r="B45" i="6" s="1"/>
  <c r="K45" i="6" s="1"/>
  <c r="N44" i="6"/>
  <c r="A44" i="6"/>
  <c r="B44" i="6" s="1"/>
  <c r="K44" i="6" s="1"/>
  <c r="N42" i="6"/>
  <c r="A42" i="6"/>
  <c r="B42" i="6" s="1"/>
  <c r="N41" i="6"/>
  <c r="P41" i="6" s="1"/>
  <c r="Q41" i="6" s="1"/>
  <c r="A41" i="6"/>
  <c r="B41" i="6" s="1"/>
  <c r="K41" i="6" s="1"/>
  <c r="N40" i="6"/>
  <c r="A40" i="6"/>
  <c r="B40" i="6" s="1"/>
  <c r="K40" i="6" s="1"/>
  <c r="N36" i="6"/>
  <c r="A36" i="6"/>
  <c r="B36" i="6" s="1"/>
  <c r="K36" i="6" s="1"/>
  <c r="N35" i="6"/>
  <c r="A35" i="6"/>
  <c r="B35" i="6" s="1"/>
  <c r="K35" i="6" s="1"/>
  <c r="N34" i="6"/>
  <c r="A34" i="6"/>
  <c r="B34" i="6" s="1"/>
  <c r="K34" i="6" s="1"/>
  <c r="N33" i="6"/>
  <c r="P33" i="6" s="1"/>
  <c r="Q33" i="6" s="1"/>
  <c r="A33" i="6"/>
  <c r="B33" i="6" s="1"/>
  <c r="K33" i="6" s="1"/>
  <c r="N32" i="6"/>
  <c r="A32" i="6"/>
  <c r="B32" i="6" s="1"/>
  <c r="K32" i="6" s="1"/>
  <c r="N31" i="6"/>
  <c r="A31" i="6"/>
  <c r="B31" i="6" s="1"/>
  <c r="K31" i="6" s="1"/>
  <c r="N30" i="6"/>
  <c r="A30" i="6"/>
  <c r="B30" i="6" s="1"/>
  <c r="K30" i="6" s="1"/>
  <c r="N29" i="6"/>
  <c r="P29" i="6" s="1"/>
  <c r="Q29" i="6" s="1"/>
  <c r="A29" i="6"/>
  <c r="B29" i="6" s="1"/>
  <c r="K29" i="6" s="1"/>
  <c r="N28" i="6"/>
  <c r="A28" i="6"/>
  <c r="B28" i="6" s="1"/>
  <c r="K28" i="6" s="1"/>
  <c r="N27" i="6"/>
  <c r="A27" i="6"/>
  <c r="B27" i="6" s="1"/>
  <c r="K27" i="6" s="1"/>
  <c r="N26" i="6"/>
  <c r="L26" i="6"/>
  <c r="M26" i="6" s="1"/>
  <c r="A26" i="6"/>
  <c r="B26" i="6" s="1"/>
  <c r="K26" i="6" s="1"/>
  <c r="N25" i="6"/>
  <c r="P25" i="6" s="1"/>
  <c r="Q25" i="6" s="1"/>
  <c r="A25" i="6"/>
  <c r="B25" i="6" s="1"/>
  <c r="K25" i="6" s="1"/>
  <c r="N24" i="6"/>
  <c r="A24" i="6"/>
  <c r="B24" i="6" s="1"/>
  <c r="K24" i="6" s="1"/>
  <c r="N23" i="6"/>
  <c r="A23" i="6"/>
  <c r="B23" i="6" s="1"/>
  <c r="K23" i="6" s="1"/>
  <c r="N22" i="6"/>
  <c r="A22" i="6"/>
  <c r="B22" i="6" s="1"/>
  <c r="K22" i="6" s="1"/>
  <c r="N21" i="6"/>
  <c r="P21" i="6" s="1"/>
  <c r="Q21" i="6" s="1"/>
  <c r="A21" i="6"/>
  <c r="B21" i="6" s="1"/>
  <c r="K21" i="6" s="1"/>
  <c r="N20" i="6"/>
  <c r="A20" i="6"/>
  <c r="B20" i="6" s="1"/>
  <c r="K20" i="6" s="1"/>
  <c r="N19" i="6"/>
  <c r="A19" i="6"/>
  <c r="B19" i="6" s="1"/>
  <c r="K19" i="6" s="1"/>
  <c r="N18" i="6"/>
  <c r="L18" i="6"/>
  <c r="M18" i="6" s="1"/>
  <c r="A18" i="6"/>
  <c r="B18" i="6" s="1"/>
  <c r="K18" i="6" s="1"/>
  <c r="N17" i="6"/>
  <c r="P17" i="6" s="1"/>
  <c r="Q17" i="6" s="1"/>
  <c r="A17" i="6"/>
  <c r="B17" i="6" s="1"/>
  <c r="K17" i="6" s="1"/>
  <c r="N16" i="6"/>
  <c r="A16" i="6"/>
  <c r="B16" i="6" s="1"/>
  <c r="K16" i="6" s="1"/>
  <c r="N15" i="6"/>
  <c r="A15" i="6"/>
  <c r="B15" i="6" s="1"/>
  <c r="K15" i="6" s="1"/>
  <c r="N14" i="6"/>
  <c r="A14" i="6"/>
  <c r="B14" i="6" s="1"/>
  <c r="K14" i="6" s="1"/>
  <c r="N13" i="6"/>
  <c r="P13" i="6" s="1"/>
  <c r="Q13" i="6" s="1"/>
  <c r="A13" i="6"/>
  <c r="B13" i="6" s="1"/>
  <c r="K13" i="6" s="1"/>
  <c r="N12" i="6"/>
  <c r="A12" i="6"/>
  <c r="B12" i="6" s="1"/>
  <c r="K12" i="6" s="1"/>
  <c r="N11" i="6"/>
  <c r="A11" i="6"/>
  <c r="B11" i="6" s="1"/>
  <c r="K11" i="6" s="1"/>
  <c r="N10" i="6"/>
  <c r="A10" i="6"/>
  <c r="B10" i="6" s="1"/>
  <c r="K10" i="6" s="1"/>
  <c r="N9" i="6"/>
  <c r="P9" i="6" s="1"/>
  <c r="Q9" i="6" s="1"/>
  <c r="A9" i="6"/>
  <c r="B9" i="6" s="1"/>
  <c r="K9" i="6" s="1"/>
  <c r="N8" i="6"/>
  <c r="A8" i="6"/>
  <c r="B8" i="6" s="1"/>
  <c r="K8" i="6" s="1"/>
  <c r="N7" i="6"/>
  <c r="A7" i="6"/>
  <c r="B7" i="6" s="1"/>
  <c r="K7" i="6" s="1"/>
  <c r="N6" i="6"/>
  <c r="A6" i="6"/>
  <c r="B6" i="6" s="1"/>
  <c r="K6" i="6" s="1"/>
  <c r="N5" i="6"/>
  <c r="P5" i="6" s="1"/>
  <c r="Q5" i="6" s="1"/>
  <c r="A5" i="6"/>
  <c r="B5" i="6" s="1"/>
  <c r="K5" i="6" s="1"/>
  <c r="N4" i="6"/>
  <c r="A4" i="6"/>
  <c r="B4" i="6" s="1"/>
  <c r="K4" i="6" s="1"/>
  <c r="N3" i="6"/>
  <c r="A3" i="6"/>
  <c r="B3" i="6" s="1"/>
  <c r="K3" i="6" s="1"/>
  <c r="N2" i="6"/>
  <c r="L2" i="6"/>
  <c r="M2" i="6" s="1"/>
  <c r="A2" i="6"/>
  <c r="N169" i="5"/>
  <c r="A169" i="5"/>
  <c r="B169" i="5" s="1"/>
  <c r="I169" i="5" s="1"/>
  <c r="N168" i="5"/>
  <c r="A168" i="5"/>
  <c r="B168" i="5" s="1"/>
  <c r="I168" i="5" s="1"/>
  <c r="N167" i="5"/>
  <c r="A167" i="5"/>
  <c r="B167" i="5" s="1"/>
  <c r="I167" i="5" s="1"/>
  <c r="N166" i="5"/>
  <c r="A166" i="5"/>
  <c r="B166" i="5" s="1"/>
  <c r="I166" i="5" s="1"/>
  <c r="N165" i="5"/>
  <c r="A165" i="5"/>
  <c r="B165" i="5" s="1"/>
  <c r="I165" i="5" s="1"/>
  <c r="N164" i="5"/>
  <c r="A164" i="5"/>
  <c r="B164" i="5" s="1"/>
  <c r="I164" i="5" s="1"/>
  <c r="N163" i="5"/>
  <c r="A163" i="5"/>
  <c r="B163" i="5" s="1"/>
  <c r="I163" i="5" s="1"/>
  <c r="N162" i="5"/>
  <c r="A162" i="5"/>
  <c r="B162" i="5" s="1"/>
  <c r="I162" i="5" s="1"/>
  <c r="N161" i="5"/>
  <c r="A161" i="5"/>
  <c r="B161" i="5" s="1"/>
  <c r="I161" i="5" s="1"/>
  <c r="N160" i="5"/>
  <c r="A160" i="5"/>
  <c r="B160" i="5" s="1"/>
  <c r="I160" i="5" s="1"/>
  <c r="N159" i="5"/>
  <c r="A159" i="5"/>
  <c r="B159" i="5" s="1"/>
  <c r="I159" i="5" s="1"/>
  <c r="N158" i="5"/>
  <c r="A158" i="5"/>
  <c r="B158" i="5" s="1"/>
  <c r="I158" i="5" s="1"/>
  <c r="N157" i="5"/>
  <c r="A157" i="5"/>
  <c r="B157" i="5" s="1"/>
  <c r="I157" i="5" s="1"/>
  <c r="N156" i="5"/>
  <c r="A156" i="5"/>
  <c r="B156" i="5" s="1"/>
  <c r="I156" i="5" s="1"/>
  <c r="N155" i="5"/>
  <c r="A155" i="5"/>
  <c r="B155" i="5" s="1"/>
  <c r="I155" i="5" s="1"/>
  <c r="N154" i="5"/>
  <c r="A154" i="5"/>
  <c r="B154" i="5" s="1"/>
  <c r="I154" i="5" s="1"/>
  <c r="N153" i="5"/>
  <c r="A153" i="5"/>
  <c r="B153" i="5" s="1"/>
  <c r="I153" i="5" s="1"/>
  <c r="N152" i="5"/>
  <c r="A152" i="5"/>
  <c r="B152" i="5" s="1"/>
  <c r="I152" i="5" s="1"/>
  <c r="N151" i="5"/>
  <c r="A151" i="5"/>
  <c r="B151" i="5" s="1"/>
  <c r="I151" i="5" s="1"/>
  <c r="N150" i="5"/>
  <c r="A150" i="5"/>
  <c r="B150" i="5" s="1"/>
  <c r="I150" i="5" s="1"/>
  <c r="N149" i="5"/>
  <c r="A149" i="5"/>
  <c r="B149" i="5" s="1"/>
  <c r="I149" i="5" s="1"/>
  <c r="N148" i="5"/>
  <c r="A148" i="5"/>
  <c r="B148" i="5" s="1"/>
  <c r="I148" i="5" s="1"/>
  <c r="N147" i="5"/>
  <c r="A147" i="5"/>
  <c r="B147" i="5" s="1"/>
  <c r="I147" i="5" s="1"/>
  <c r="N146" i="5"/>
  <c r="A146" i="5"/>
  <c r="B146" i="5" s="1"/>
  <c r="I146" i="5" s="1"/>
  <c r="N145" i="5"/>
  <c r="A145" i="5"/>
  <c r="B145" i="5" s="1"/>
  <c r="I145" i="5" s="1"/>
  <c r="N144" i="5"/>
  <c r="A144" i="5"/>
  <c r="B144" i="5" s="1"/>
  <c r="I144" i="5" s="1"/>
  <c r="N143" i="5"/>
  <c r="A143" i="5"/>
  <c r="B143" i="5" s="1"/>
  <c r="I143" i="5" s="1"/>
  <c r="N142" i="5"/>
  <c r="A142" i="5"/>
  <c r="B142" i="5" s="1"/>
  <c r="I142" i="5" s="1"/>
  <c r="N141" i="5"/>
  <c r="A141" i="5"/>
  <c r="B141" i="5" s="1"/>
  <c r="I141" i="5" s="1"/>
  <c r="N140" i="5"/>
  <c r="A140" i="5"/>
  <c r="B140" i="5" s="1"/>
  <c r="I140" i="5" s="1"/>
  <c r="N139" i="5"/>
  <c r="A139" i="5"/>
  <c r="B139" i="5" s="1"/>
  <c r="I139" i="5" s="1"/>
  <c r="N138" i="5"/>
  <c r="A138" i="5"/>
  <c r="B138" i="5" s="1"/>
  <c r="I138" i="5" s="1"/>
  <c r="N137" i="5"/>
  <c r="A137" i="5"/>
  <c r="B137" i="5" s="1"/>
  <c r="I137" i="5" s="1"/>
  <c r="N136" i="5"/>
  <c r="A136" i="5"/>
  <c r="B136" i="5" s="1"/>
  <c r="I136" i="5" s="1"/>
  <c r="N135" i="5"/>
  <c r="A135" i="5"/>
  <c r="B135" i="5" s="1"/>
  <c r="I135" i="5" s="1"/>
  <c r="N134" i="5"/>
  <c r="A134" i="5"/>
  <c r="B134" i="5" s="1"/>
  <c r="I134" i="5" s="1"/>
  <c r="N133" i="5"/>
  <c r="A133" i="5"/>
  <c r="B133" i="5" s="1"/>
  <c r="I133" i="5" s="1"/>
  <c r="N132" i="5"/>
  <c r="A132" i="5"/>
  <c r="B132" i="5" s="1"/>
  <c r="I132" i="5" s="1"/>
  <c r="N131" i="5"/>
  <c r="A131" i="5"/>
  <c r="B131" i="5" s="1"/>
  <c r="I131" i="5" s="1"/>
  <c r="N130" i="5"/>
  <c r="A130" i="5"/>
  <c r="B130" i="5" s="1"/>
  <c r="I130" i="5" s="1"/>
  <c r="N129" i="5"/>
  <c r="A129" i="5"/>
  <c r="B129" i="5" s="1"/>
  <c r="I129" i="5" s="1"/>
  <c r="N128" i="5"/>
  <c r="A128" i="5"/>
  <c r="B128" i="5" s="1"/>
  <c r="I128" i="5" s="1"/>
  <c r="N127" i="5"/>
  <c r="A127" i="5"/>
  <c r="B127" i="5" s="1"/>
  <c r="I127" i="5" s="1"/>
  <c r="N126" i="5"/>
  <c r="A126" i="5"/>
  <c r="B126" i="5" s="1"/>
  <c r="I126" i="5" s="1"/>
  <c r="N125" i="5"/>
  <c r="A125" i="5"/>
  <c r="B125" i="5" s="1"/>
  <c r="I125" i="5" s="1"/>
  <c r="N124" i="5"/>
  <c r="A124" i="5"/>
  <c r="B124" i="5" s="1"/>
  <c r="I124" i="5" s="1"/>
  <c r="A123" i="5"/>
  <c r="B123" i="5" s="1"/>
  <c r="I123" i="5" s="1"/>
  <c r="N122" i="5"/>
  <c r="A122" i="5"/>
  <c r="B122" i="5" s="1"/>
  <c r="I122" i="5" s="1"/>
  <c r="N121" i="5"/>
  <c r="A121" i="5"/>
  <c r="B121" i="5" s="1"/>
  <c r="I121" i="5" s="1"/>
  <c r="N120" i="5"/>
  <c r="A120" i="5"/>
  <c r="B120" i="5" s="1"/>
  <c r="I120" i="5" s="1"/>
  <c r="N119" i="5"/>
  <c r="A119" i="5"/>
  <c r="B119" i="5" s="1"/>
  <c r="I119" i="5" s="1"/>
  <c r="N118" i="5"/>
  <c r="A118" i="5"/>
  <c r="B118" i="5" s="1"/>
  <c r="I118" i="5" s="1"/>
  <c r="N117" i="5"/>
  <c r="A117" i="5"/>
  <c r="B117" i="5" s="1"/>
  <c r="I117" i="5" s="1"/>
  <c r="N116" i="5"/>
  <c r="A116" i="5"/>
  <c r="B116" i="5" s="1"/>
  <c r="I116" i="5" s="1"/>
  <c r="N115" i="5"/>
  <c r="A115" i="5"/>
  <c r="B115" i="5" s="1"/>
  <c r="I115" i="5" s="1"/>
  <c r="N114" i="5"/>
  <c r="A114" i="5"/>
  <c r="B114" i="5" s="1"/>
  <c r="I114" i="5" s="1"/>
  <c r="N113" i="5"/>
  <c r="A113" i="5"/>
  <c r="B113" i="5" s="1"/>
  <c r="I113" i="5" s="1"/>
  <c r="N112" i="5"/>
  <c r="A112" i="5"/>
  <c r="B112" i="5" s="1"/>
  <c r="I112" i="5" s="1"/>
  <c r="N111" i="5"/>
  <c r="A111" i="5"/>
  <c r="B111" i="5" s="1"/>
  <c r="I111" i="5" s="1"/>
  <c r="N110" i="5"/>
  <c r="A110" i="5"/>
  <c r="B110" i="5" s="1"/>
  <c r="I110" i="5" s="1"/>
  <c r="N109" i="5"/>
  <c r="A109" i="5"/>
  <c r="B109" i="5" s="1"/>
  <c r="I109" i="5" s="1"/>
  <c r="N108" i="5"/>
  <c r="A108" i="5"/>
  <c r="B108" i="5" s="1"/>
  <c r="I108" i="5" s="1"/>
  <c r="N107" i="5"/>
  <c r="A107" i="5"/>
  <c r="B107" i="5" s="1"/>
  <c r="I107" i="5" s="1"/>
  <c r="N106" i="5"/>
  <c r="A106" i="5"/>
  <c r="B106" i="5" s="1"/>
  <c r="I106" i="5" s="1"/>
  <c r="N105" i="5"/>
  <c r="A105" i="5"/>
  <c r="B105" i="5" s="1"/>
  <c r="I105" i="5" s="1"/>
  <c r="N104" i="5"/>
  <c r="A104" i="5"/>
  <c r="B104" i="5" s="1"/>
  <c r="I104" i="5" s="1"/>
  <c r="N103" i="5"/>
  <c r="A103" i="5"/>
  <c r="B103" i="5" s="1"/>
  <c r="I103" i="5" s="1"/>
  <c r="N102" i="5"/>
  <c r="A102" i="5"/>
  <c r="B102" i="5" s="1"/>
  <c r="I102" i="5" s="1"/>
  <c r="N101" i="5"/>
  <c r="A101" i="5"/>
  <c r="B101" i="5" s="1"/>
  <c r="I101" i="5" s="1"/>
  <c r="N100" i="5"/>
  <c r="A100" i="5"/>
  <c r="B100" i="5" s="1"/>
  <c r="I100" i="5" s="1"/>
  <c r="N99" i="5"/>
  <c r="A99" i="5"/>
  <c r="B99" i="5" s="1"/>
  <c r="I99" i="5" s="1"/>
  <c r="N98" i="5"/>
  <c r="A98" i="5"/>
  <c r="B98" i="5" s="1"/>
  <c r="I98" i="5" s="1"/>
  <c r="N97" i="5"/>
  <c r="A97" i="5"/>
  <c r="B97" i="5" s="1"/>
  <c r="I97" i="5" s="1"/>
  <c r="N96" i="5"/>
  <c r="A96" i="5"/>
  <c r="B96" i="5" s="1"/>
  <c r="I96" i="5" s="1"/>
  <c r="N95" i="5"/>
  <c r="A95" i="5"/>
  <c r="B95" i="5" s="1"/>
  <c r="I95" i="5" s="1"/>
  <c r="N94" i="5"/>
  <c r="A94" i="5"/>
  <c r="B94" i="5" s="1"/>
  <c r="I94" i="5" s="1"/>
  <c r="N93" i="5"/>
  <c r="A93" i="5"/>
  <c r="B93" i="5" s="1"/>
  <c r="I93" i="5" s="1"/>
  <c r="N92" i="5"/>
  <c r="A92" i="5"/>
  <c r="B92" i="5" s="1"/>
  <c r="I92" i="5" s="1"/>
  <c r="N91" i="5"/>
  <c r="A91" i="5"/>
  <c r="B91" i="5" s="1"/>
  <c r="I91" i="5" s="1"/>
  <c r="N90" i="5"/>
  <c r="A90" i="5"/>
  <c r="B90" i="5" s="1"/>
  <c r="I90" i="5" s="1"/>
  <c r="N89" i="5"/>
  <c r="A89" i="5"/>
  <c r="B89" i="5" s="1"/>
  <c r="I89" i="5" s="1"/>
  <c r="N88" i="5"/>
  <c r="A88" i="5"/>
  <c r="B88" i="5" s="1"/>
  <c r="I88" i="5" s="1"/>
  <c r="N87" i="5"/>
  <c r="A87" i="5"/>
  <c r="B87" i="5" s="1"/>
  <c r="I87" i="5" s="1"/>
  <c r="N86" i="5"/>
  <c r="A86" i="5"/>
  <c r="B86" i="5" s="1"/>
  <c r="I86" i="5" s="1"/>
  <c r="N85" i="5"/>
  <c r="A85" i="5"/>
  <c r="B85" i="5" s="1"/>
  <c r="I85" i="5" s="1"/>
  <c r="N84" i="5"/>
  <c r="A84" i="5"/>
  <c r="B84" i="5" s="1"/>
  <c r="I84" i="5" s="1"/>
  <c r="N83" i="5"/>
  <c r="A83" i="5"/>
  <c r="B83" i="5" s="1"/>
  <c r="I83" i="5" s="1"/>
  <c r="N82" i="5"/>
  <c r="A82" i="5"/>
  <c r="B82" i="5" s="1"/>
  <c r="I82" i="5" s="1"/>
  <c r="N81" i="5"/>
  <c r="A81" i="5"/>
  <c r="B81" i="5" s="1"/>
  <c r="I81" i="5" s="1"/>
  <c r="N80" i="5"/>
  <c r="A80" i="5"/>
  <c r="B80" i="5" s="1"/>
  <c r="I80" i="5" s="1"/>
  <c r="N79" i="5"/>
  <c r="A79" i="5"/>
  <c r="B79" i="5" s="1"/>
  <c r="I79" i="5" s="1"/>
  <c r="N78" i="5"/>
  <c r="A78" i="5"/>
  <c r="B78" i="5" s="1"/>
  <c r="I78" i="5" s="1"/>
  <c r="N77" i="5"/>
  <c r="A77" i="5"/>
  <c r="B77" i="5" s="1"/>
  <c r="I77" i="5" s="1"/>
  <c r="N76" i="5"/>
  <c r="A76" i="5"/>
  <c r="B76" i="5" s="1"/>
  <c r="I76" i="5" s="1"/>
  <c r="N75" i="5"/>
  <c r="A75" i="5"/>
  <c r="B75" i="5" s="1"/>
  <c r="I75" i="5" s="1"/>
  <c r="N74" i="5"/>
  <c r="A74" i="5"/>
  <c r="B74" i="5" s="1"/>
  <c r="I74" i="5" s="1"/>
  <c r="N73" i="5"/>
  <c r="A73" i="5"/>
  <c r="B73" i="5" s="1"/>
  <c r="I73" i="5" s="1"/>
  <c r="N72" i="5"/>
  <c r="A72" i="5"/>
  <c r="B72" i="5" s="1"/>
  <c r="I72" i="5" s="1"/>
  <c r="N71" i="5"/>
  <c r="A71" i="5"/>
  <c r="B71" i="5" s="1"/>
  <c r="I71" i="5" s="1"/>
  <c r="N70" i="5"/>
  <c r="A70" i="5"/>
  <c r="B70" i="5" s="1"/>
  <c r="I70" i="5" s="1"/>
  <c r="N69" i="5"/>
  <c r="A69" i="5"/>
  <c r="B69" i="5" s="1"/>
  <c r="I69" i="5" s="1"/>
  <c r="N68" i="5"/>
  <c r="A68" i="5"/>
  <c r="B68" i="5" s="1"/>
  <c r="I68" i="5" s="1"/>
  <c r="N67" i="5"/>
  <c r="A67" i="5"/>
  <c r="B67" i="5" s="1"/>
  <c r="I67" i="5" s="1"/>
  <c r="N66" i="5"/>
  <c r="A66" i="5"/>
  <c r="B66" i="5" s="1"/>
  <c r="I66" i="5" s="1"/>
  <c r="N65" i="5"/>
  <c r="A65" i="5"/>
  <c r="B65" i="5" s="1"/>
  <c r="I65" i="5" s="1"/>
  <c r="N64" i="5"/>
  <c r="A64" i="5"/>
  <c r="B64" i="5" s="1"/>
  <c r="I64" i="5" s="1"/>
  <c r="N63" i="5"/>
  <c r="A63" i="5"/>
  <c r="B63" i="5" s="1"/>
  <c r="I63" i="5" s="1"/>
  <c r="N62" i="5"/>
  <c r="A62" i="5"/>
  <c r="B62" i="5" s="1"/>
  <c r="I62" i="5" s="1"/>
  <c r="N61" i="5"/>
  <c r="A61" i="5"/>
  <c r="B61" i="5" s="1"/>
  <c r="I61" i="5" s="1"/>
  <c r="N60" i="5"/>
  <c r="A60" i="5"/>
  <c r="B60" i="5" s="1"/>
  <c r="I60" i="5" s="1"/>
  <c r="N59" i="5"/>
  <c r="A59" i="5"/>
  <c r="B59" i="5" s="1"/>
  <c r="I59" i="5" s="1"/>
  <c r="N58" i="5"/>
  <c r="A58" i="5"/>
  <c r="B58" i="5" s="1"/>
  <c r="I58" i="5" s="1"/>
  <c r="N57" i="5"/>
  <c r="A57" i="5"/>
  <c r="B57" i="5" s="1"/>
  <c r="I57" i="5" s="1"/>
  <c r="N56" i="5"/>
  <c r="A56" i="5"/>
  <c r="B56" i="5" s="1"/>
  <c r="I56" i="5" s="1"/>
  <c r="N55" i="5"/>
  <c r="A55" i="5"/>
  <c r="B55" i="5" s="1"/>
  <c r="I55" i="5" s="1"/>
  <c r="N54" i="5"/>
  <c r="A54" i="5"/>
  <c r="B54" i="5" s="1"/>
  <c r="I54" i="5" s="1"/>
  <c r="N53" i="5"/>
  <c r="A53" i="5"/>
  <c r="B53" i="5" s="1"/>
  <c r="I53" i="5" s="1"/>
  <c r="N52" i="5"/>
  <c r="A52" i="5"/>
  <c r="B52" i="5" s="1"/>
  <c r="I52" i="5" s="1"/>
  <c r="N51" i="5"/>
  <c r="A51" i="5"/>
  <c r="B51" i="5" s="1"/>
  <c r="I51" i="5" s="1"/>
  <c r="N50" i="5"/>
  <c r="A50" i="5"/>
  <c r="B50" i="5" s="1"/>
  <c r="I50" i="5" s="1"/>
  <c r="N49" i="5"/>
  <c r="A49" i="5"/>
  <c r="B49" i="5" s="1"/>
  <c r="I49" i="5" s="1"/>
  <c r="N48" i="5"/>
  <c r="A48" i="5"/>
  <c r="B48" i="5" s="1"/>
  <c r="I48" i="5" s="1"/>
  <c r="N47" i="5"/>
  <c r="A47" i="5"/>
  <c r="B47" i="5" s="1"/>
  <c r="I47" i="5" s="1"/>
  <c r="N46" i="5"/>
  <c r="A46" i="5"/>
  <c r="B46" i="5" s="1"/>
  <c r="I46" i="5" s="1"/>
  <c r="A45" i="5"/>
  <c r="B45" i="5" s="1"/>
  <c r="I45" i="5" s="1"/>
  <c r="N44" i="5"/>
  <c r="A44" i="5"/>
  <c r="B44" i="5" s="1"/>
  <c r="I44" i="5" s="1"/>
  <c r="N43" i="5"/>
  <c r="A43" i="5"/>
  <c r="B43" i="5" s="1"/>
  <c r="I43" i="5" s="1"/>
  <c r="N42" i="5"/>
  <c r="A42" i="5"/>
  <c r="B42" i="5" s="1"/>
  <c r="I42" i="5" s="1"/>
  <c r="N41" i="5"/>
  <c r="A41" i="5"/>
  <c r="B41" i="5" s="1"/>
  <c r="I41" i="5" s="1"/>
  <c r="N40" i="5"/>
  <c r="N39" i="5"/>
  <c r="A39" i="5"/>
  <c r="B39" i="5" s="1"/>
  <c r="I39" i="5" s="1"/>
  <c r="N38" i="5"/>
  <c r="A38" i="5"/>
  <c r="B38" i="5" s="1"/>
  <c r="I38" i="5" s="1"/>
  <c r="N37" i="5"/>
  <c r="A37" i="5"/>
  <c r="B37" i="5" s="1"/>
  <c r="I37" i="5" s="1"/>
  <c r="N36" i="5"/>
  <c r="A36" i="5"/>
  <c r="B36" i="5" s="1"/>
  <c r="I36" i="5" s="1"/>
  <c r="N35" i="5"/>
  <c r="A35" i="5"/>
  <c r="B35" i="5" s="1"/>
  <c r="I35" i="5" s="1"/>
  <c r="N34" i="5"/>
  <c r="A34" i="5"/>
  <c r="B34" i="5" s="1"/>
  <c r="I34" i="5" s="1"/>
  <c r="N33" i="5"/>
  <c r="A33" i="5"/>
  <c r="B33" i="5" s="1"/>
  <c r="I33" i="5" s="1"/>
  <c r="N32" i="5"/>
  <c r="A32" i="5"/>
  <c r="B32" i="5" s="1"/>
  <c r="I32" i="5" s="1"/>
  <c r="N31" i="5"/>
  <c r="A31" i="5"/>
  <c r="B31" i="5" s="1"/>
  <c r="I31" i="5" s="1"/>
  <c r="N30" i="5"/>
  <c r="A30" i="5"/>
  <c r="B30" i="5" s="1"/>
  <c r="I30" i="5" s="1"/>
  <c r="N29" i="5"/>
  <c r="A29" i="5"/>
  <c r="B29" i="5" s="1"/>
  <c r="I29" i="5" s="1"/>
  <c r="N28" i="5"/>
  <c r="A28" i="5"/>
  <c r="B28" i="5" s="1"/>
  <c r="I28" i="5" s="1"/>
  <c r="N27" i="5"/>
  <c r="A27" i="5"/>
  <c r="B27" i="5" s="1"/>
  <c r="I27" i="5" s="1"/>
  <c r="N26" i="5"/>
  <c r="A26" i="5"/>
  <c r="B26" i="5" s="1"/>
  <c r="I26" i="5" s="1"/>
  <c r="N25" i="5"/>
  <c r="A25" i="5"/>
  <c r="B25" i="5" s="1"/>
  <c r="I25" i="5" s="1"/>
  <c r="N24" i="5"/>
  <c r="A24" i="5"/>
  <c r="B24" i="5" s="1"/>
  <c r="I24" i="5" s="1"/>
  <c r="N23" i="5"/>
  <c r="A23" i="5"/>
  <c r="B23" i="5" s="1"/>
  <c r="I23" i="5" s="1"/>
  <c r="N22" i="5"/>
  <c r="A22" i="5"/>
  <c r="B22" i="5" s="1"/>
  <c r="I22" i="5" s="1"/>
  <c r="N21" i="5"/>
  <c r="A21" i="5"/>
  <c r="B21" i="5" s="1"/>
  <c r="I21" i="5" s="1"/>
  <c r="N20" i="5"/>
  <c r="A20" i="5"/>
  <c r="B20" i="5" s="1"/>
  <c r="I20" i="5" s="1"/>
  <c r="N19" i="5"/>
  <c r="A19" i="5"/>
  <c r="B19" i="5" s="1"/>
  <c r="I19" i="5" s="1"/>
  <c r="N18" i="5"/>
  <c r="A18" i="5"/>
  <c r="B18" i="5" s="1"/>
  <c r="I18" i="5" s="1"/>
  <c r="N17" i="5"/>
  <c r="A17" i="5"/>
  <c r="B17" i="5" s="1"/>
  <c r="I17" i="5" s="1"/>
  <c r="N16" i="5"/>
  <c r="A16" i="5"/>
  <c r="B16" i="5" s="1"/>
  <c r="I16" i="5" s="1"/>
  <c r="N15" i="5"/>
  <c r="A15" i="5"/>
  <c r="B15" i="5" s="1"/>
  <c r="I15" i="5" s="1"/>
  <c r="N14" i="5"/>
  <c r="A14" i="5"/>
  <c r="B14" i="5" s="1"/>
  <c r="I14" i="5" s="1"/>
  <c r="N13" i="5"/>
  <c r="A13" i="5"/>
  <c r="B13" i="5" s="1"/>
  <c r="I13" i="5" s="1"/>
  <c r="N12" i="5"/>
  <c r="A12" i="5"/>
  <c r="B12" i="5" s="1"/>
  <c r="I12" i="5" s="1"/>
  <c r="N11" i="5"/>
  <c r="A11" i="5"/>
  <c r="B11" i="5" s="1"/>
  <c r="I11" i="5" s="1"/>
  <c r="N10" i="5"/>
  <c r="A10" i="5"/>
  <c r="B10" i="5" s="1"/>
  <c r="I10" i="5" s="1"/>
  <c r="N9" i="5"/>
  <c r="A9" i="5"/>
  <c r="B9" i="5" s="1"/>
  <c r="I9" i="5" s="1"/>
  <c r="N8" i="5"/>
  <c r="A8" i="5"/>
  <c r="B8" i="5" s="1"/>
  <c r="I8" i="5" s="1"/>
  <c r="N7" i="5"/>
  <c r="A7" i="5"/>
  <c r="B7" i="5" s="1"/>
  <c r="I7" i="5" s="1"/>
  <c r="N6" i="5"/>
  <c r="A6" i="5"/>
  <c r="B6" i="5" s="1"/>
  <c r="I6" i="5" s="1"/>
  <c r="N5" i="5"/>
  <c r="A5" i="5"/>
  <c r="B5" i="5" s="1"/>
  <c r="I5" i="5" s="1"/>
  <c r="N4" i="5"/>
  <c r="A4" i="5"/>
  <c r="B4" i="5" s="1"/>
  <c r="I4" i="5" s="1"/>
  <c r="N3" i="5"/>
  <c r="A3" i="5"/>
  <c r="B3" i="5" s="1"/>
  <c r="I3" i="5" s="1"/>
  <c r="N2" i="5"/>
  <c r="A2" i="5"/>
  <c r="B2" i="5" s="1"/>
  <c r="I2" i="5" s="1"/>
  <c r="P18" i="6" l="1"/>
  <c r="Q18" i="6" s="1"/>
  <c r="P47" i="6"/>
  <c r="Q47" i="6" s="1"/>
  <c r="P67" i="6"/>
  <c r="Q67" i="6" s="1"/>
  <c r="P3" i="6"/>
  <c r="Q3" i="6" s="1"/>
  <c r="P11" i="6"/>
  <c r="Q11" i="6" s="1"/>
  <c r="P15" i="6"/>
  <c r="Q15" i="6" s="1"/>
  <c r="P30" i="6"/>
  <c r="Q30" i="6" s="1"/>
  <c r="P36" i="6"/>
  <c r="Q36" i="6" s="1"/>
  <c r="P64" i="6"/>
  <c r="Q64" i="6" s="1"/>
  <c r="P2" i="6"/>
  <c r="Q2" i="6" s="1"/>
  <c r="P4" i="6"/>
  <c r="Q4" i="6" s="1"/>
  <c r="P6" i="6"/>
  <c r="Q6" i="6" s="1"/>
  <c r="P8" i="6"/>
  <c r="Q8" i="6" s="1"/>
  <c r="P10" i="6"/>
  <c r="Q10" i="6" s="1"/>
  <c r="P12" i="6"/>
  <c r="Q12" i="6" s="1"/>
  <c r="P14" i="6"/>
  <c r="Q14" i="6" s="1"/>
  <c r="P16" i="6"/>
  <c r="Q16" i="6" s="1"/>
  <c r="P27" i="6"/>
  <c r="Q27" i="6" s="1"/>
  <c r="P31" i="6"/>
  <c r="Q31" i="6" s="1"/>
  <c r="P35" i="6"/>
  <c r="Q35" i="6" s="1"/>
  <c r="P20" i="6"/>
  <c r="Q20" i="6" s="1"/>
  <c r="P22" i="6"/>
  <c r="Q22" i="6" s="1"/>
  <c r="P24" i="6"/>
  <c r="Q24" i="6" s="1"/>
  <c r="P7" i="6"/>
  <c r="Q7" i="6" s="1"/>
  <c r="P26" i="6"/>
  <c r="Q26" i="6" s="1"/>
  <c r="P28" i="6"/>
  <c r="Q28" i="6" s="1"/>
  <c r="P32" i="6"/>
  <c r="Q32" i="6" s="1"/>
  <c r="P34" i="6"/>
  <c r="Q34" i="6" s="1"/>
  <c r="P40" i="6"/>
  <c r="Q40" i="6" s="1"/>
  <c r="P42" i="6"/>
  <c r="Q42" i="6" s="1"/>
  <c r="P44" i="6"/>
  <c r="Q44" i="6" s="1"/>
  <c r="P56" i="6"/>
  <c r="Q56" i="6" s="1"/>
  <c r="P58" i="6"/>
  <c r="Q58" i="6" s="1"/>
  <c r="P60" i="6"/>
  <c r="Q60" i="6" s="1"/>
  <c r="P19" i="6"/>
  <c r="Q19" i="6" s="1"/>
  <c r="P23" i="6"/>
  <c r="Q23" i="6" s="1"/>
  <c r="P46" i="6"/>
  <c r="Q46" i="6" s="1"/>
  <c r="P48" i="6"/>
  <c r="Q48" i="6" s="1"/>
  <c r="P52" i="6"/>
  <c r="Q52" i="6" s="1"/>
  <c r="P63" i="6"/>
  <c r="Q63" i="6" s="1"/>
  <c r="P66" i="6"/>
  <c r="Q66" i="6" s="1"/>
  <c r="P71" i="6"/>
  <c r="Q71" i="6" s="1"/>
  <c r="P83" i="6"/>
  <c r="Q83" i="6" s="1"/>
  <c r="D3" i="12"/>
  <c r="D5" i="12"/>
  <c r="E7" i="2" s="1"/>
  <c r="K42" i="6"/>
  <c r="D4" i="12"/>
  <c r="D7" i="2" s="1"/>
  <c r="D16" i="3" s="1"/>
  <c r="G26" i="6"/>
  <c r="I26" i="6"/>
  <c r="G33" i="6"/>
  <c r="I33" i="6"/>
  <c r="G35" i="6"/>
  <c r="I35" i="6"/>
  <c r="G41" i="6"/>
  <c r="I41" i="6"/>
  <c r="G45" i="6"/>
  <c r="I45" i="6"/>
  <c r="G57" i="6"/>
  <c r="I57" i="6"/>
  <c r="G59" i="6"/>
  <c r="I59" i="6"/>
  <c r="G61" i="6"/>
  <c r="I61" i="6"/>
  <c r="G63" i="6"/>
  <c r="I63" i="6"/>
  <c r="G68" i="6"/>
  <c r="I68" i="6"/>
  <c r="G71" i="6"/>
  <c r="I71" i="6"/>
  <c r="G20" i="6"/>
  <c r="I20" i="6"/>
  <c r="G5" i="6"/>
  <c r="I5" i="6"/>
  <c r="G11" i="6"/>
  <c r="I11" i="6"/>
  <c r="G13" i="6"/>
  <c r="I13" i="6"/>
  <c r="G17" i="6"/>
  <c r="I17" i="6"/>
  <c r="G28" i="6"/>
  <c r="I28" i="6"/>
  <c r="G31" i="6"/>
  <c r="I31" i="6"/>
  <c r="G47" i="6"/>
  <c r="I47" i="6"/>
  <c r="G49" i="6"/>
  <c r="I49" i="6"/>
  <c r="G51" i="6"/>
  <c r="I51" i="6"/>
  <c r="G53" i="6"/>
  <c r="I53" i="6"/>
  <c r="G55" i="6"/>
  <c r="I55" i="6"/>
  <c r="G58" i="6"/>
  <c r="I58" i="6"/>
  <c r="G60" i="6"/>
  <c r="I60" i="6"/>
  <c r="G65" i="6"/>
  <c r="I65" i="6"/>
  <c r="G69" i="6"/>
  <c r="I69" i="6"/>
  <c r="G75" i="6"/>
  <c r="I75" i="6"/>
  <c r="G81" i="6"/>
  <c r="I81" i="6"/>
  <c r="G83" i="6"/>
  <c r="I83" i="6"/>
  <c r="G85" i="6"/>
  <c r="I85" i="6"/>
  <c r="G87" i="6"/>
  <c r="I87" i="6"/>
  <c r="G89" i="6"/>
  <c r="I89" i="6"/>
  <c r="G91" i="6"/>
  <c r="I91" i="6"/>
  <c r="G93" i="6"/>
  <c r="I93" i="6"/>
  <c r="G95" i="6"/>
  <c r="I95" i="6"/>
  <c r="G97" i="6"/>
  <c r="I97" i="6"/>
  <c r="G99" i="6"/>
  <c r="I99" i="6"/>
  <c r="G101" i="6"/>
  <c r="I101" i="6"/>
  <c r="G103" i="6"/>
  <c r="I103" i="6"/>
  <c r="G107" i="6"/>
  <c r="I107" i="6"/>
  <c r="G109" i="6"/>
  <c r="I109" i="6"/>
  <c r="G111" i="6"/>
  <c r="I111" i="6"/>
  <c r="G113" i="6"/>
  <c r="I113" i="6"/>
  <c r="G115" i="6"/>
  <c r="I115" i="6"/>
  <c r="G22" i="6"/>
  <c r="I22" i="6"/>
  <c r="G9" i="6"/>
  <c r="I9" i="6"/>
  <c r="G19" i="6"/>
  <c r="I19" i="6"/>
  <c r="G25" i="6"/>
  <c r="I25" i="6"/>
  <c r="G36" i="6"/>
  <c r="I36" i="6"/>
  <c r="G40" i="6"/>
  <c r="I40" i="6"/>
  <c r="G44" i="6"/>
  <c r="I44" i="6"/>
  <c r="G52" i="6"/>
  <c r="I52" i="6"/>
  <c r="G56" i="6"/>
  <c r="I56" i="6"/>
  <c r="G62" i="6"/>
  <c r="I62" i="6"/>
  <c r="G64" i="6"/>
  <c r="I64" i="6"/>
  <c r="G67" i="6"/>
  <c r="I67" i="6"/>
  <c r="G70" i="6"/>
  <c r="I70" i="6"/>
  <c r="G24" i="6"/>
  <c r="I24" i="6"/>
  <c r="G3" i="6"/>
  <c r="I3" i="6"/>
  <c r="G7" i="6"/>
  <c r="I7" i="6"/>
  <c r="G15" i="6"/>
  <c r="I15" i="6"/>
  <c r="G21" i="6"/>
  <c r="I21" i="6"/>
  <c r="G23" i="6"/>
  <c r="I23" i="6"/>
  <c r="G34" i="6"/>
  <c r="I34" i="6"/>
  <c r="I42" i="6"/>
  <c r="G46" i="6"/>
  <c r="I46" i="6"/>
  <c r="G4" i="6"/>
  <c r="I4" i="6"/>
  <c r="G6" i="6"/>
  <c r="I6" i="6"/>
  <c r="G8" i="6"/>
  <c r="I8" i="6"/>
  <c r="G10" i="6"/>
  <c r="I10" i="6"/>
  <c r="G12" i="6"/>
  <c r="I12" i="6"/>
  <c r="G14" i="6"/>
  <c r="I14" i="6"/>
  <c r="G16" i="6"/>
  <c r="I16" i="6"/>
  <c r="G18" i="6"/>
  <c r="I18" i="6"/>
  <c r="G27" i="6"/>
  <c r="I27" i="6"/>
  <c r="G29" i="6"/>
  <c r="I29" i="6"/>
  <c r="G30" i="6"/>
  <c r="I30" i="6"/>
  <c r="G32" i="6"/>
  <c r="I32" i="6"/>
  <c r="G48" i="6"/>
  <c r="I48" i="6"/>
  <c r="G66" i="6"/>
  <c r="I66" i="6"/>
  <c r="G74" i="6"/>
  <c r="I74" i="6"/>
  <c r="G76" i="6"/>
  <c r="I76" i="6"/>
  <c r="G82" i="6"/>
  <c r="I82" i="6"/>
  <c r="G84" i="6"/>
  <c r="I84" i="6"/>
  <c r="G88" i="6"/>
  <c r="I88" i="6"/>
  <c r="G90" i="6"/>
  <c r="I90" i="6"/>
  <c r="G94" i="6"/>
  <c r="I94" i="6"/>
  <c r="G96" i="6"/>
  <c r="I96" i="6"/>
  <c r="G98" i="6"/>
  <c r="I98" i="6"/>
  <c r="G100" i="6"/>
  <c r="I100" i="6"/>
  <c r="G102" i="6"/>
  <c r="I102" i="6"/>
  <c r="G104" i="6"/>
  <c r="I104" i="6"/>
  <c r="G106" i="6"/>
  <c r="I106" i="6"/>
  <c r="G108" i="6"/>
  <c r="I108" i="6"/>
  <c r="G110" i="6"/>
  <c r="I110" i="6"/>
  <c r="G112" i="6"/>
  <c r="I112" i="6"/>
  <c r="G114" i="6"/>
  <c r="I114" i="6"/>
  <c r="G116" i="6"/>
  <c r="I116" i="6"/>
  <c r="G73" i="6"/>
  <c r="I73" i="6"/>
  <c r="L10" i="6"/>
  <c r="M10" i="6" s="1"/>
  <c r="D14" i="12"/>
  <c r="D13" i="12"/>
  <c r="D9" i="12"/>
  <c r="D12" i="12"/>
  <c r="D8" i="12"/>
  <c r="D10" i="12"/>
  <c r="D11" i="12"/>
  <c r="D7" i="12"/>
  <c r="D6" i="12"/>
  <c r="N75" i="6"/>
  <c r="N73" i="6"/>
  <c r="P73" i="6" s="1"/>
  <c r="Q73" i="6" s="1"/>
  <c r="N116" i="6"/>
  <c r="Q116" i="6" s="1"/>
  <c r="N74" i="6"/>
  <c r="L83" i="6"/>
  <c r="M83" i="6" s="1"/>
  <c r="L81" i="6"/>
  <c r="M81" i="6" s="1"/>
  <c r="N82" i="6"/>
  <c r="N100" i="6"/>
  <c r="Q100" i="6" s="1"/>
  <c r="B2" i="6"/>
  <c r="L75" i="6"/>
  <c r="M75" i="6" s="1"/>
  <c r="N108" i="6"/>
  <c r="L89" i="6"/>
  <c r="M89" i="6" s="1"/>
  <c r="L91" i="6"/>
  <c r="M91" i="6" s="1"/>
  <c r="N102" i="6"/>
  <c r="Q102" i="6" s="1"/>
  <c r="N110" i="6"/>
  <c r="Q110" i="6" s="1"/>
  <c r="N88" i="6"/>
  <c r="Q88" i="6" s="1"/>
  <c r="N90" i="6"/>
  <c r="Q90" i="6" s="1"/>
  <c r="N96" i="6"/>
  <c r="Q96" i="6" s="1"/>
  <c r="N104" i="6"/>
  <c r="Q104" i="6" s="1"/>
  <c r="N112" i="6"/>
  <c r="Q112" i="6" s="1"/>
  <c r="N98" i="6"/>
  <c r="Q98" i="6" s="1"/>
  <c r="N106" i="6"/>
  <c r="N114" i="6"/>
  <c r="Q114" i="6" s="1"/>
  <c r="L73" i="6"/>
  <c r="M73" i="6" s="1"/>
  <c r="L6" i="6"/>
  <c r="M6" i="6" s="1"/>
  <c r="L8" i="6"/>
  <c r="M8" i="6" s="1"/>
  <c r="L12" i="6"/>
  <c r="M12" i="6" s="1"/>
  <c r="L14" i="6"/>
  <c r="M14" i="6" s="1"/>
  <c r="L22" i="6"/>
  <c r="M22" i="6" s="1"/>
  <c r="L31" i="6"/>
  <c r="M31" i="6" s="1"/>
  <c r="L34" i="6"/>
  <c r="M34" i="6" s="1"/>
  <c r="L36" i="6"/>
  <c r="M36" i="6" s="1"/>
  <c r="L40" i="6"/>
  <c r="M40" i="6" s="1"/>
  <c r="L42" i="6"/>
  <c r="M42" i="6" s="1"/>
  <c r="L44" i="6"/>
  <c r="M44" i="6" s="1"/>
  <c r="L48" i="6"/>
  <c r="M48" i="6" s="1"/>
  <c r="L56" i="6"/>
  <c r="M56" i="6" s="1"/>
  <c r="L4" i="6"/>
  <c r="M4" i="6" s="1"/>
  <c r="L16" i="6"/>
  <c r="M16" i="6" s="1"/>
  <c r="L20" i="6"/>
  <c r="M20" i="6" s="1"/>
  <c r="L24" i="6"/>
  <c r="M24" i="6" s="1"/>
  <c r="L3" i="6"/>
  <c r="M3" i="6" s="1"/>
  <c r="L7" i="6"/>
  <c r="M7" i="6" s="1"/>
  <c r="L11" i="6"/>
  <c r="M11" i="6" s="1"/>
  <c r="L15" i="6"/>
  <c r="M15" i="6" s="1"/>
  <c r="L19" i="6"/>
  <c r="M19" i="6" s="1"/>
  <c r="L23" i="6"/>
  <c r="M23" i="6" s="1"/>
  <c r="L27" i="6"/>
  <c r="M27" i="6" s="1"/>
  <c r="L30" i="6"/>
  <c r="M30" i="6" s="1"/>
  <c r="L35" i="6"/>
  <c r="M35" i="6" s="1"/>
  <c r="L47" i="6"/>
  <c r="M47" i="6" s="1"/>
  <c r="L28" i="6"/>
  <c r="M28" i="6" s="1"/>
  <c r="L65" i="6"/>
  <c r="M65" i="6" s="1"/>
  <c r="L67" i="6"/>
  <c r="M67" i="6" s="1"/>
  <c r="N69" i="6"/>
  <c r="P69" i="6" s="1"/>
  <c r="Q69" i="6" s="1"/>
  <c r="L69" i="6"/>
  <c r="M69" i="6" s="1"/>
  <c r="L5" i="6"/>
  <c r="M5" i="6" s="1"/>
  <c r="L9" i="6"/>
  <c r="M9" i="6" s="1"/>
  <c r="L13" i="6"/>
  <c r="M13" i="6" s="1"/>
  <c r="L17" i="6"/>
  <c r="M17" i="6" s="1"/>
  <c r="L21" i="6"/>
  <c r="M21" i="6" s="1"/>
  <c r="L25" i="6"/>
  <c r="M25" i="6" s="1"/>
  <c r="L29" i="6"/>
  <c r="M29" i="6" s="1"/>
  <c r="L32" i="6"/>
  <c r="M32" i="6" s="1"/>
  <c r="L33" i="6"/>
  <c r="M33" i="6" s="1"/>
  <c r="L41" i="6"/>
  <c r="M41" i="6" s="1"/>
  <c r="L45" i="6"/>
  <c r="M45" i="6" s="1"/>
  <c r="L68" i="6"/>
  <c r="M68" i="6" s="1"/>
  <c r="N68" i="6"/>
  <c r="N85" i="6"/>
  <c r="Q85" i="6" s="1"/>
  <c r="L85" i="6"/>
  <c r="M85" i="6" s="1"/>
  <c r="L84" i="6"/>
  <c r="M84" i="6" s="1"/>
  <c r="N84" i="6"/>
  <c r="N49" i="6"/>
  <c r="P49" i="6" s="1"/>
  <c r="Q49" i="6" s="1"/>
  <c r="L49" i="6"/>
  <c r="M49" i="6" s="1"/>
  <c r="N51" i="6"/>
  <c r="L51" i="6"/>
  <c r="M51" i="6" s="1"/>
  <c r="N53" i="6"/>
  <c r="P53" i="6" s="1"/>
  <c r="Q53" i="6" s="1"/>
  <c r="L53" i="6"/>
  <c r="M53" i="6" s="1"/>
  <c r="N55" i="6"/>
  <c r="L55" i="6"/>
  <c r="M55" i="6" s="1"/>
  <c r="N57" i="6"/>
  <c r="P57" i="6" s="1"/>
  <c r="Q57" i="6" s="1"/>
  <c r="L57" i="6"/>
  <c r="M57" i="6" s="1"/>
  <c r="N59" i="6"/>
  <c r="L59" i="6"/>
  <c r="M59" i="6" s="1"/>
  <c r="N61" i="6"/>
  <c r="P61" i="6" s="1"/>
  <c r="Q61" i="6" s="1"/>
  <c r="L61" i="6"/>
  <c r="M61" i="6" s="1"/>
  <c r="L76" i="6"/>
  <c r="M76" i="6" s="1"/>
  <c r="N76" i="6"/>
  <c r="N93" i="6"/>
  <c r="Q93" i="6" s="1"/>
  <c r="L93" i="6"/>
  <c r="M93" i="6" s="1"/>
  <c r="L63" i="6"/>
  <c r="M63" i="6" s="1"/>
  <c r="L71" i="6"/>
  <c r="M71" i="6" s="1"/>
  <c r="L87" i="6"/>
  <c r="M87" i="6" s="1"/>
  <c r="L95" i="6"/>
  <c r="M95" i="6" s="1"/>
  <c r="N62" i="6"/>
  <c r="N70" i="6"/>
  <c r="N94" i="6"/>
  <c r="Q94" i="6" s="1"/>
  <c r="L97" i="6"/>
  <c r="M97" i="6" s="1"/>
  <c r="L99" i="6"/>
  <c r="M99" i="6" s="1"/>
  <c r="L101" i="6"/>
  <c r="M101" i="6" s="1"/>
  <c r="L103" i="6"/>
  <c r="M103" i="6" s="1"/>
  <c r="L107" i="6"/>
  <c r="M107" i="6" s="1"/>
  <c r="L109" i="6"/>
  <c r="M109" i="6" s="1"/>
  <c r="L111" i="6"/>
  <c r="M111" i="6" s="1"/>
  <c r="L113" i="6"/>
  <c r="M113" i="6" s="1"/>
  <c r="L115" i="6"/>
  <c r="M115" i="6" s="1"/>
  <c r="P51" i="6" l="1"/>
  <c r="Q51" i="6" s="1"/>
  <c r="P75" i="6"/>
  <c r="Q75" i="6" s="1"/>
  <c r="P62" i="6"/>
  <c r="Q62" i="6" s="1"/>
  <c r="P59" i="6"/>
  <c r="Q59" i="6" s="1"/>
  <c r="P55" i="6"/>
  <c r="Q55" i="6" s="1"/>
  <c r="P82" i="6"/>
  <c r="Q82" i="6" s="1"/>
  <c r="P70" i="6"/>
  <c r="Q70" i="6" s="1"/>
  <c r="P76" i="6"/>
  <c r="Q76" i="6" s="1"/>
  <c r="P84" i="6"/>
  <c r="Q84" i="6" s="1"/>
  <c r="P68" i="6"/>
  <c r="Q68" i="6" s="1"/>
  <c r="P74" i="6"/>
  <c r="Q74" i="6" s="1"/>
  <c r="C7" i="2"/>
  <c r="J3" i="12"/>
  <c r="C24" i="3"/>
  <c r="F7" i="2"/>
  <c r="F11" i="3" s="1"/>
  <c r="G7" i="2"/>
  <c r="G11" i="3" s="1"/>
  <c r="G16" i="3" s="1"/>
  <c r="L7" i="2"/>
  <c r="L11" i="3" s="1"/>
  <c r="L16" i="3" s="1"/>
  <c r="N7" i="2"/>
  <c r="N11" i="3" s="1"/>
  <c r="N16" i="3" s="1"/>
  <c r="M7" i="2"/>
  <c r="M11" i="3" s="1"/>
  <c r="M16" i="3" s="1"/>
  <c r="K7" i="2"/>
  <c r="K11" i="3" s="1"/>
  <c r="K16" i="3" s="1"/>
  <c r="H7" i="2"/>
  <c r="H11" i="3" s="1"/>
  <c r="H16" i="3" s="1"/>
  <c r="J7" i="2"/>
  <c r="J11" i="3" s="1"/>
  <c r="J16" i="3" s="1"/>
  <c r="I7" i="2"/>
  <c r="I11" i="3" s="1"/>
  <c r="I16" i="3" s="1"/>
  <c r="I2" i="6"/>
  <c r="K2" i="6"/>
  <c r="G2" i="6"/>
  <c r="D15" i="12"/>
  <c r="C8" i="2" l="1"/>
  <c r="C18" i="2" s="1"/>
  <c r="C16" i="3"/>
  <c r="C18" i="3"/>
  <c r="O9" i="3"/>
  <c r="C30" i="3"/>
  <c r="C34" i="3" s="1"/>
  <c r="C28" i="3"/>
  <c r="P7" i="2"/>
  <c r="P8" i="2" s="1"/>
  <c r="Q8" i="2"/>
  <c r="F5" i="7" s="1"/>
  <c r="E11" i="3"/>
  <c r="E16" i="3" s="1"/>
  <c r="F16" i="3"/>
  <c r="D8" i="2" l="1"/>
  <c r="E8" i="2" s="1"/>
  <c r="F8" i="2" s="1"/>
  <c r="G8" i="2" s="1"/>
  <c r="H8" i="2" s="1"/>
  <c r="I8" i="2" s="1"/>
  <c r="J8" i="2" s="1"/>
  <c r="K8" i="2" s="1"/>
  <c r="L8" i="2" s="1"/>
  <c r="M8" i="2" s="1"/>
  <c r="N8" i="2" s="1"/>
  <c r="C21" i="3"/>
  <c r="C38" i="3" s="1"/>
  <c r="O18" i="3"/>
  <c r="O21" i="3" s="1"/>
  <c r="C20" i="2"/>
  <c r="C22" i="2" s="1"/>
  <c r="C28" i="2"/>
  <c r="C24" i="2" s="1"/>
  <c r="O16" i="3"/>
  <c r="O11" i="3"/>
  <c r="C37" i="3" l="1"/>
  <c r="C40" i="3" s="1"/>
  <c r="C41" i="3" s="1"/>
  <c r="D39" i="3" s="1"/>
  <c r="C26" i="2"/>
  <c r="C30" i="2" s="1"/>
  <c r="C36" i="2" s="1"/>
  <c r="D32" i="2" s="1"/>
  <c r="A199" i="6"/>
  <c r="B199" i="6" s="1"/>
  <c r="G199" i="6" s="1"/>
  <c r="A174" i="6"/>
  <c r="B174" i="6" s="1"/>
  <c r="A168" i="6"/>
  <c r="B168" i="6" s="1"/>
  <c r="A152" i="6"/>
  <c r="B152" i="6" s="1"/>
  <c r="K152" i="6" s="1"/>
  <c r="A144" i="6"/>
  <c r="B144" i="6" s="1"/>
  <c r="A136" i="6"/>
  <c r="B136" i="6" s="1"/>
  <c r="A231" i="6"/>
  <c r="B231" i="6" s="1"/>
  <c r="A193" i="6"/>
  <c r="B193" i="6" s="1"/>
  <c r="A187" i="6"/>
  <c r="B187" i="6" s="1"/>
  <c r="K187" i="6" s="1"/>
  <c r="A183" i="6"/>
  <c r="B183" i="6" s="1"/>
  <c r="A178" i="6"/>
  <c r="B178" i="6" s="1"/>
  <c r="A156" i="6"/>
  <c r="B156" i="6" s="1"/>
  <c r="A148" i="6"/>
  <c r="B148" i="6" s="1"/>
  <c r="K148" i="6" s="1"/>
  <c r="A140" i="6"/>
  <c r="B140" i="6" s="1"/>
  <c r="I140" i="6" s="1"/>
  <c r="A154" i="6"/>
  <c r="B154" i="6" s="1"/>
  <c r="G154" i="6" s="1"/>
  <c r="A247" i="6"/>
  <c r="B247" i="6" s="1"/>
  <c r="A138" i="6"/>
  <c r="B138" i="6" s="1"/>
  <c r="A251" i="6"/>
  <c r="B251" i="6" s="1"/>
  <c r="A222" i="6"/>
  <c r="B222" i="6" s="1"/>
  <c r="A210" i="6"/>
  <c r="B210" i="6" s="1"/>
  <c r="I210" i="6" s="1"/>
  <c r="A181" i="6"/>
  <c r="B181" i="6" s="1"/>
  <c r="I181" i="6" s="1"/>
  <c r="A169" i="6"/>
  <c r="B169" i="6" s="1"/>
  <c r="A161" i="6"/>
  <c r="B161" i="6" s="1"/>
  <c r="A149" i="6"/>
  <c r="B149" i="6" s="1"/>
  <c r="A141" i="6"/>
  <c r="B141" i="6" s="1"/>
  <c r="A220" i="6"/>
  <c r="B220" i="6" s="1"/>
  <c r="A201" i="6"/>
  <c r="B201" i="6" s="1"/>
  <c r="A191" i="6"/>
  <c r="B191" i="6" s="1"/>
  <c r="A171" i="6"/>
  <c r="B171" i="6" s="1"/>
  <c r="A155" i="6"/>
  <c r="B155" i="6" s="1"/>
  <c r="K155" i="6" s="1"/>
  <c r="A147" i="6"/>
  <c r="B147" i="6" s="1"/>
  <c r="G147" i="6" s="1"/>
  <c r="A139" i="6"/>
  <c r="B139" i="6" s="1"/>
  <c r="A200" i="6"/>
  <c r="B200" i="6" s="1"/>
  <c r="A170" i="6"/>
  <c r="B170" i="6" s="1"/>
  <c r="A142" i="6"/>
  <c r="B142" i="6" s="1"/>
  <c r="A236" i="6"/>
  <c r="B236" i="6" s="1"/>
  <c r="A167" i="6"/>
  <c r="B167" i="6" s="1"/>
  <c r="K167" i="6" s="1"/>
  <c r="A151" i="6"/>
  <c r="B151" i="6" s="1"/>
  <c r="I151" i="6" s="1"/>
  <c r="A158" i="6"/>
  <c r="B158" i="6" s="1"/>
  <c r="I158" i="6" s="1"/>
  <c r="A237" i="6"/>
  <c r="B237" i="6" s="1"/>
  <c r="A153" i="6"/>
  <c r="B153" i="6" s="1"/>
  <c r="G153" i="6" s="1"/>
  <c r="A256" i="6"/>
  <c r="B256" i="6" s="1"/>
  <c r="A248" i="6"/>
  <c r="B248" i="6" s="1"/>
  <c r="I248" i="6" s="1"/>
  <c r="A239" i="6"/>
  <c r="B239" i="6" s="1"/>
  <c r="K239" i="6" s="1"/>
  <c r="A190" i="6"/>
  <c r="B190" i="6" s="1"/>
  <c r="A162" i="6"/>
  <c r="B162" i="6" s="1"/>
  <c r="A150" i="6"/>
  <c r="B150" i="6" s="1"/>
  <c r="I150" i="6" s="1"/>
  <c r="A146" i="6"/>
  <c r="B146" i="6" s="1"/>
  <c r="A235" i="6"/>
  <c r="B235" i="6" s="1"/>
  <c r="A232" i="6"/>
  <c r="B232" i="6" s="1"/>
  <c r="K232" i="6" s="1"/>
  <c r="A179" i="6"/>
  <c r="B179" i="6" s="1"/>
  <c r="A157" i="6"/>
  <c r="B157" i="6" s="1"/>
  <c r="A145" i="6"/>
  <c r="B145" i="6" s="1"/>
  <c r="A137" i="6"/>
  <c r="B137" i="6" s="1"/>
  <c r="A135" i="6"/>
  <c r="B135" i="6" s="1"/>
  <c r="I135" i="6" s="1"/>
  <c r="G239" i="6" l="1"/>
  <c r="G248" i="6"/>
  <c r="I149" i="6"/>
  <c r="G149" i="6"/>
  <c r="K210" i="6"/>
  <c r="K190" i="6"/>
  <c r="I190" i="6"/>
  <c r="I146" i="6"/>
  <c r="G146" i="6"/>
  <c r="I239" i="6"/>
  <c r="G167" i="6"/>
  <c r="I167" i="6"/>
  <c r="K150" i="6"/>
  <c r="K153" i="6"/>
  <c r="I153" i="6"/>
  <c r="G232" i="6"/>
  <c r="I232" i="6"/>
  <c r="G150" i="6"/>
  <c r="G190" i="6"/>
  <c r="K248" i="6"/>
  <c r="I152" i="6"/>
  <c r="G152" i="6"/>
  <c r="K145" i="6"/>
  <c r="I145" i="6"/>
  <c r="G145" i="6"/>
  <c r="K137" i="6"/>
  <c r="I137" i="6"/>
  <c r="G137" i="6"/>
  <c r="G237" i="6"/>
  <c r="K237" i="6"/>
  <c r="G135" i="6"/>
  <c r="K146" i="6"/>
  <c r="K183" i="6"/>
  <c r="I183" i="6"/>
  <c r="G183" i="6"/>
  <c r="K154" i="6"/>
  <c r="I154" i="6"/>
  <c r="I237" i="6"/>
  <c r="K161" i="6"/>
  <c r="G161" i="6"/>
  <c r="K158" i="6"/>
  <c r="G158" i="6"/>
  <c r="K142" i="6"/>
  <c r="I142" i="6"/>
  <c r="I155" i="6"/>
  <c r="I161" i="6"/>
  <c r="I147" i="6"/>
  <c r="K140" i="6"/>
  <c r="G140" i="6"/>
  <c r="K181" i="6"/>
  <c r="G181" i="6"/>
  <c r="G210" i="6"/>
  <c r="K157" i="6"/>
  <c r="G157" i="6"/>
  <c r="I157" i="6"/>
  <c r="K179" i="6"/>
  <c r="G179" i="6"/>
  <c r="I179" i="6"/>
  <c r="G235" i="6"/>
  <c r="I235" i="6"/>
  <c r="K235" i="6"/>
  <c r="I162" i="6"/>
  <c r="K162" i="6"/>
  <c r="G162" i="6"/>
  <c r="K256" i="6"/>
  <c r="I256" i="6"/>
  <c r="G256" i="6"/>
  <c r="G236" i="6"/>
  <c r="I236" i="6"/>
  <c r="K170" i="6"/>
  <c r="G170" i="6"/>
  <c r="K201" i="6"/>
  <c r="I201" i="6"/>
  <c r="K220" i="6"/>
  <c r="I220" i="6"/>
  <c r="K169" i="6"/>
  <c r="G169" i="6"/>
  <c r="K222" i="6"/>
  <c r="G222" i="6"/>
  <c r="G251" i="6"/>
  <c r="I251" i="6"/>
  <c r="I138" i="6"/>
  <c r="G138" i="6"/>
  <c r="K138" i="6"/>
  <c r="G247" i="6"/>
  <c r="I247" i="6"/>
  <c r="K247" i="6"/>
  <c r="I193" i="6"/>
  <c r="G193" i="6"/>
  <c r="K236" i="6"/>
  <c r="I170" i="6"/>
  <c r="G201" i="6"/>
  <c r="G220" i="6"/>
  <c r="I169" i="6"/>
  <c r="I222" i="6"/>
  <c r="K251" i="6"/>
  <c r="G148" i="6"/>
  <c r="I148" i="6"/>
  <c r="I178" i="6"/>
  <c r="G178" i="6"/>
  <c r="K178" i="6"/>
  <c r="K193" i="6"/>
  <c r="K136" i="6"/>
  <c r="I136" i="6"/>
  <c r="G136" i="6"/>
  <c r="K135" i="6"/>
  <c r="K151" i="6"/>
  <c r="G142" i="6"/>
  <c r="K200" i="6"/>
  <c r="I200" i="6"/>
  <c r="G200" i="6"/>
  <c r="K139" i="6"/>
  <c r="I139" i="6"/>
  <c r="G139" i="6"/>
  <c r="G155" i="6"/>
  <c r="K171" i="6"/>
  <c r="I171" i="6"/>
  <c r="G171" i="6"/>
  <c r="K191" i="6"/>
  <c r="I191" i="6"/>
  <c r="G191" i="6"/>
  <c r="K141" i="6"/>
  <c r="I141" i="6"/>
  <c r="G141" i="6"/>
  <c r="G231" i="6"/>
  <c r="I231" i="6"/>
  <c r="K231" i="6"/>
  <c r="K144" i="6"/>
  <c r="G144" i="6"/>
  <c r="I144" i="6"/>
  <c r="K168" i="6"/>
  <c r="G168" i="6"/>
  <c r="I168" i="6"/>
  <c r="G151" i="6"/>
  <c r="K147" i="6"/>
  <c r="K149" i="6"/>
  <c r="G156" i="6"/>
  <c r="I156" i="6"/>
  <c r="K156" i="6"/>
  <c r="I187" i="6"/>
  <c r="G187" i="6"/>
  <c r="K174" i="6"/>
  <c r="G174" i="6"/>
  <c r="I174" i="6"/>
  <c r="K199" i="6"/>
  <c r="I199" i="6"/>
  <c r="C4" i="12" l="1"/>
  <c r="I8" i="12"/>
  <c r="I11" i="12"/>
  <c r="I14" i="12"/>
  <c r="I9" i="12"/>
  <c r="I6" i="12"/>
  <c r="I7" i="12"/>
  <c r="I13" i="12"/>
  <c r="I12" i="12"/>
  <c r="I10" i="12"/>
  <c r="I5" i="12"/>
  <c r="C5" i="12"/>
  <c r="C7" i="12"/>
  <c r="C6" i="12"/>
  <c r="F13" i="2" s="1"/>
  <c r="C12" i="12"/>
  <c r="I4" i="12"/>
  <c r="C9" i="12"/>
  <c r="C14" i="12"/>
  <c r="C10" i="12"/>
  <c r="C8" i="12"/>
  <c r="C11" i="12"/>
  <c r="C13" i="12"/>
  <c r="K4" i="12" l="1"/>
  <c r="D13" i="2"/>
  <c r="D14" i="2" s="1"/>
  <c r="K3" i="12"/>
  <c r="M24" i="3"/>
  <c r="M28" i="3" s="1"/>
  <c r="J13" i="12"/>
  <c r="H24" i="3"/>
  <c r="H30" i="3" s="1"/>
  <c r="H34" i="3" s="1"/>
  <c r="J8" i="12"/>
  <c r="N24" i="3"/>
  <c r="N28" i="3" s="1"/>
  <c r="J14" i="12"/>
  <c r="I24" i="3"/>
  <c r="I28" i="3" s="1"/>
  <c r="J9" i="12"/>
  <c r="K24" i="3"/>
  <c r="K28" i="3" s="1"/>
  <c r="J11" i="12"/>
  <c r="J24" i="3"/>
  <c r="J28" i="3" s="1"/>
  <c r="J10" i="12"/>
  <c r="L24" i="3"/>
  <c r="L28" i="3" s="1"/>
  <c r="J12" i="12"/>
  <c r="E24" i="3"/>
  <c r="E30" i="3" s="1"/>
  <c r="E34" i="3" s="1"/>
  <c r="J5" i="12"/>
  <c r="F24" i="3"/>
  <c r="F30" i="3" s="1"/>
  <c r="F34" i="3" s="1"/>
  <c r="J6" i="12"/>
  <c r="G24" i="3"/>
  <c r="G30" i="3" s="1"/>
  <c r="G34" i="3" s="1"/>
  <c r="G38" i="3" s="1"/>
  <c r="J7" i="12"/>
  <c r="G9" i="12"/>
  <c r="K9" i="12"/>
  <c r="G12" i="12"/>
  <c r="K12" i="12"/>
  <c r="G7" i="12"/>
  <c r="K7" i="12"/>
  <c r="G13" i="12"/>
  <c r="K13" i="12"/>
  <c r="G10" i="12"/>
  <c r="K10" i="12"/>
  <c r="G5" i="12"/>
  <c r="K5" i="12"/>
  <c r="G8" i="12"/>
  <c r="K8" i="12"/>
  <c r="G11" i="12"/>
  <c r="K11" i="12"/>
  <c r="K14" i="12"/>
  <c r="G14" i="12"/>
  <c r="G6" i="12"/>
  <c r="K6" i="12"/>
  <c r="G13" i="2"/>
  <c r="E13" i="2"/>
  <c r="K13" i="2"/>
  <c r="N13" i="2"/>
  <c r="I13" i="2"/>
  <c r="L13" i="2"/>
  <c r="H13" i="2"/>
  <c r="J13" i="2"/>
  <c r="J4" i="12"/>
  <c r="M13" i="2"/>
  <c r="C15" i="12"/>
  <c r="H28" i="3" l="1"/>
  <c r="F28" i="3"/>
  <c r="K30" i="3"/>
  <c r="K34" i="3" s="1"/>
  <c r="K37" i="3" s="1"/>
  <c r="N30" i="3"/>
  <c r="N34" i="3" s="1"/>
  <c r="N37" i="3" s="1"/>
  <c r="M30" i="3"/>
  <c r="M34" i="3" s="1"/>
  <c r="M38" i="3" s="1"/>
  <c r="L30" i="3"/>
  <c r="L34" i="3" s="1"/>
  <c r="L37" i="3" s="1"/>
  <c r="G37" i="3"/>
  <c r="E28" i="3"/>
  <c r="G28" i="3"/>
  <c r="J30" i="3"/>
  <c r="J34" i="3" s="1"/>
  <c r="J37" i="3" s="1"/>
  <c r="E37" i="3"/>
  <c r="E38" i="3"/>
  <c r="D30" i="3"/>
  <c r="O24" i="3"/>
  <c r="D28" i="3"/>
  <c r="F37" i="3"/>
  <c r="F38" i="3"/>
  <c r="Q14" i="2"/>
  <c r="P13" i="2"/>
  <c r="P14" i="2" s="1"/>
  <c r="H37" i="3"/>
  <c r="H38" i="3"/>
  <c r="K38" i="3" l="1"/>
  <c r="N38" i="3"/>
  <c r="M37" i="3"/>
  <c r="L38" i="3"/>
  <c r="O28" i="3"/>
  <c r="J38" i="3"/>
  <c r="Q18" i="2"/>
  <c r="F10" i="7"/>
  <c r="E14" i="2"/>
  <c r="D18" i="2"/>
  <c r="D34" i="3"/>
  <c r="O30" i="3"/>
  <c r="P16" i="2"/>
  <c r="P18" i="2" s="1"/>
  <c r="O34" i="3" l="1"/>
  <c r="D38" i="3"/>
  <c r="O38" i="3" s="1"/>
  <c r="D37" i="3"/>
  <c r="D28" i="2"/>
  <c r="D20" i="2"/>
  <c r="D22" i="2" s="1"/>
  <c r="D24" i="2"/>
  <c r="G16" i="7"/>
  <c r="F11" i="7"/>
  <c r="F13" i="7"/>
  <c r="F16" i="7"/>
  <c r="E18" i="2"/>
  <c r="F14" i="2"/>
  <c r="D26" i="2" l="1"/>
  <c r="D30" i="2" s="1"/>
  <c r="D36" i="2" s="1"/>
  <c r="D35" i="3"/>
  <c r="D40" i="3"/>
  <c r="O37" i="3"/>
  <c r="F18" i="2"/>
  <c r="G14" i="2"/>
  <c r="E24" i="2"/>
  <c r="E28" i="2"/>
  <c r="E20" i="2"/>
  <c r="E22" i="2" s="1"/>
  <c r="F17" i="7"/>
  <c r="F18" i="7" s="1"/>
  <c r="F19" i="7"/>
  <c r="F21" i="7"/>
  <c r="E26" i="2" l="1"/>
  <c r="E30" i="2" s="1"/>
  <c r="E32" i="2"/>
  <c r="F20" i="7"/>
  <c r="F22" i="7" s="1"/>
  <c r="F24" i="7" s="1"/>
  <c r="D41" i="3"/>
  <c r="E39" i="3" s="1"/>
  <c r="E40" i="3" s="1"/>
  <c r="E41" i="3" s="1"/>
  <c r="F39" i="3" s="1"/>
  <c r="F40" i="3" s="1"/>
  <c r="F41" i="3" s="1"/>
  <c r="G39" i="3" s="1"/>
  <c r="G40" i="3" s="1"/>
  <c r="G41" i="3" s="1"/>
  <c r="H39" i="3" s="1"/>
  <c r="H40" i="3" s="1"/>
  <c r="H41" i="3" s="1"/>
  <c r="I39" i="3" s="1"/>
  <c r="I40" i="3" s="1"/>
  <c r="I41" i="3" s="1"/>
  <c r="J39" i="3" s="1"/>
  <c r="J40" i="3" s="1"/>
  <c r="J41" i="3" s="1"/>
  <c r="K39" i="3" s="1"/>
  <c r="K40" i="3" s="1"/>
  <c r="K41" i="3" s="1"/>
  <c r="L39" i="3" s="1"/>
  <c r="L40" i="3" s="1"/>
  <c r="L41" i="3" s="1"/>
  <c r="M39" i="3" s="1"/>
  <c r="M40" i="3" s="1"/>
  <c r="M41" i="3" s="1"/>
  <c r="N39" i="3" s="1"/>
  <c r="N40" i="3" s="1"/>
  <c r="N41" i="3" s="1"/>
  <c r="O39" i="3" s="1"/>
  <c r="G18" i="2"/>
  <c r="H14" i="2"/>
  <c r="F28" i="2"/>
  <c r="F20" i="2"/>
  <c r="F22" i="2" s="1"/>
  <c r="F24" i="2"/>
  <c r="E36" i="2" l="1"/>
  <c r="F26" i="2"/>
  <c r="F30" i="2" s="1"/>
  <c r="O40" i="3"/>
  <c r="H18" i="2"/>
  <c r="I14" i="2"/>
  <c r="G20" i="2"/>
  <c r="G22" i="2" s="1"/>
  <c r="G24" i="2"/>
  <c r="G28" i="2"/>
  <c r="F32" i="2" l="1"/>
  <c r="G26" i="2"/>
  <c r="G30" i="2" s="1"/>
  <c r="H28" i="2"/>
  <c r="H20" i="2"/>
  <c r="H22" i="2" s="1"/>
  <c r="H24" i="2"/>
  <c r="I18" i="2"/>
  <c r="J14" i="2"/>
  <c r="F36" i="2" l="1"/>
  <c r="G32" i="2" s="1"/>
  <c r="G36" i="2" s="1"/>
  <c r="H32" i="2" s="1"/>
  <c r="I24" i="2"/>
  <c r="I20" i="2"/>
  <c r="I22" i="2" s="1"/>
  <c r="I28" i="2"/>
  <c r="H26" i="2"/>
  <c r="H30" i="2" s="1"/>
  <c r="J18" i="2"/>
  <c r="K14" i="2"/>
  <c r="H36" i="2" l="1"/>
  <c r="I32" i="2" s="1"/>
  <c r="K18" i="2"/>
  <c r="L14" i="2"/>
  <c r="I26" i="2"/>
  <c r="I30" i="2" s="1"/>
  <c r="J20" i="2"/>
  <c r="J22" i="2" s="1"/>
  <c r="J28" i="2"/>
  <c r="J24" i="2"/>
  <c r="I36" i="2" l="1"/>
  <c r="J32" i="2" s="1"/>
  <c r="J26" i="2"/>
  <c r="J30" i="2" s="1"/>
  <c r="K28" i="2"/>
  <c r="K20" i="2"/>
  <c r="K22" i="2" s="1"/>
  <c r="K24" i="2"/>
  <c r="L18" i="2"/>
  <c r="M14" i="2"/>
  <c r="J36" i="2" l="1"/>
  <c r="K32" i="2" s="1"/>
  <c r="K26" i="2"/>
  <c r="K30" i="2" s="1"/>
  <c r="M18" i="2"/>
  <c r="N14" i="2"/>
  <c r="N18" i="2" s="1"/>
  <c r="L24" i="2"/>
  <c r="L28" i="2"/>
  <c r="L20" i="2"/>
  <c r="L22" i="2" s="1"/>
  <c r="K36" i="2" l="1"/>
  <c r="L32" i="2" s="1"/>
  <c r="L26" i="2"/>
  <c r="L30" i="2" s="1"/>
  <c r="M20" i="2"/>
  <c r="M22" i="2" s="1"/>
  <c r="M24" i="2"/>
  <c r="M28" i="2"/>
  <c r="N24" i="2"/>
  <c r="N20" i="2"/>
  <c r="N22" i="2" s="1"/>
  <c r="N28" i="2"/>
  <c r="L36" i="2" l="1"/>
  <c r="N26" i="2"/>
  <c r="N30" i="2" s="1"/>
  <c r="M26" i="2"/>
  <c r="M30" i="2" s="1"/>
  <c r="M32" i="2" l="1"/>
  <c r="M36" i="2" s="1"/>
  <c r="N32" i="2" s="1"/>
  <c r="N36" i="2" s="1"/>
  <c r="Q36" i="2" s="1"/>
  <c r="F28" i="7" s="1"/>
  <c r="F30" i="7" l="1"/>
  <c r="F29" i="7"/>
  <c r="B30" i="7" s="1"/>
  <c r="G30" i="7"/>
  <c r="M313" i="13"/>
  <c r="E3" i="12" s="1"/>
  <c r="G3" i="12" s="1"/>
  <c r="M607" i="13"/>
  <c r="E4" i="12" s="1"/>
  <c r="M344" i="14"/>
  <c r="F3" i="12" s="1"/>
  <c r="M656" i="14"/>
  <c r="F4" i="12" s="1"/>
  <c r="F15" i="12" s="1"/>
  <c r="G4" i="12" l="1"/>
  <c r="E15" i="12"/>
  <c r="H15" i="12" s="1"/>
  <c r="G1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tc={F2B8437C-2C0A-4A54-8EA0-E6293070A221}</author>
  </authors>
  <commentList>
    <comment ref="E1" authorId="0" shapeId="0" xr:uid="{77449CFF-218C-4B1E-990B-79B0B6A9DFE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PG= INGRESO PUBLICO EN GENERAL
16= INGRESO CON IVA 16% CLIENTE PARTICULAR
0= INGRESO TASA 0 IVA</t>
        </r>
      </text>
    </comment>
  </commentList>
</comments>
</file>

<file path=xl/sharedStrings.xml><?xml version="1.0" encoding="utf-8"?>
<sst xmlns="http://schemas.openxmlformats.org/spreadsheetml/2006/main" count="20057" uniqueCount="1000">
  <si>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</si>
  <si>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</si>
  <si>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</si>
  <si>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</si>
  <si>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</si>
  <si>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</si>
  <si>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</si>
  <si>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</si>
  <si>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</si>
  <si>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</si>
  <si>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</si>
  <si>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</si>
  <si>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DEL EJERCICIO</t>
  </si>
  <si>
    <t>SALDO ANUAL</t>
  </si>
  <si>
    <t>INGRESOS DEL PERIODO</t>
  </si>
  <si>
    <t>INGRESOS ACUMULABLES</t>
  </si>
  <si>
    <t>DEDUCCIONES PERSONALES</t>
  </si>
  <si>
    <t>SUELDOS Y SALARIOS</t>
  </si>
  <si>
    <t xml:space="preserve">DEPRECIACIONES </t>
  </si>
  <si>
    <t>DEDUCCIONES DEL PERIODO</t>
  </si>
  <si>
    <t>TOTAL DE DEDUCCIONES</t>
  </si>
  <si>
    <t>PERIDA FISCAL EJ. ANTES.</t>
  </si>
  <si>
    <t>BASE GRAVABLE</t>
  </si>
  <si>
    <t xml:space="preserve"> - LIMITE INFERIOR</t>
  </si>
  <si>
    <t xml:space="preserve"> = EXCEDENTE S/LIM INF.</t>
  </si>
  <si>
    <t xml:space="preserve"> x % DE TASA</t>
  </si>
  <si>
    <t xml:space="preserve"> = IMPUESTO MARGINAL</t>
  </si>
  <si>
    <t xml:space="preserve"> + CUOTA FIJA</t>
  </si>
  <si>
    <t xml:space="preserve"> = IMPUESTO DETERMINADO</t>
  </si>
  <si>
    <t xml:space="preserve"> - PAGO PROVISIONAL</t>
  </si>
  <si>
    <t xml:space="preserve"> - SUBSIDIO PARA EL EMPLEO</t>
  </si>
  <si>
    <t xml:space="preserve"> - I.S.R. RETENIDO</t>
  </si>
  <si>
    <t xml:space="preserve"> = ISR POR PAGAR</t>
  </si>
  <si>
    <t xml:space="preserve">INGRESOS </t>
  </si>
  <si>
    <t>TOTAL</t>
  </si>
  <si>
    <t>Límite inferior</t>
  </si>
  <si>
    <t>Límite superior</t>
  </si>
  <si>
    <t>Cuota fija</t>
  </si>
  <si>
    <t>Por ciento para aplicarse sobre</t>
  </si>
  <si>
    <t>el excedente del límite inferior</t>
  </si>
  <si>
    <t>$</t>
  </si>
  <si>
    <t>%</t>
  </si>
  <si>
    <t>En adelante</t>
  </si>
  <si>
    <t>Tarifa para el pago provisional del mes de septiembre de 2023, aplicable a los ingresos que perciban los contribuyentes a que se refiere el Capítulo II, Sección I, del Título IV de la Ley del Impuesto sobre la Renta.</t>
  </si>
  <si>
    <t>Tarifa para el pago provisional del mes de octubre de 2023, aplicable a los ingresos que perciban los contribuyentes a que se refiere el Capítulo II, Sección I, del Título IV de la Ley del Impuesto sobre la Renta.</t>
  </si>
  <si>
    <t>Tarifa para el pago provisional del mes de noviembre de 2023, aplicable a los ingresos que perciban los contribuyentes a que se refiere el Capítulo II, Sección I, del Título IV de la Ley del Impuesto sobre la Renta.</t>
  </si>
  <si>
    <t>Tarifa para el pago provisional del mes de diciembre de 2023, aplicable a los ingresos que perciban los contribuyentes a que se refiere el Capítulo II, Sección I, del Título IV de la Ley del Impuesto sobre la Renta.</t>
  </si>
  <si>
    <t>Tarifa para el pago provisional del mes de diciembre de 2020, aplicable a los ingresos que perciban los contribuyentes a que se refiere el Capítulo II, Sección I, del Título IV de la Ley del Impuesto sobre la Renta.</t>
  </si>
  <si>
    <t>ARTICULO 152 DE LA LEY DEL ISR</t>
  </si>
  <si>
    <t>MES</t>
  </si>
  <si>
    <t>FECHA DE EMISION</t>
  </si>
  <si>
    <t>FECHA COBRO</t>
  </si>
  <si>
    <t>Tipo Ingreso (tasa de iva)</t>
  </si>
  <si>
    <t>FOLIO</t>
  </si>
  <si>
    <t>CLIENTE</t>
  </si>
  <si>
    <t>RFC</t>
  </si>
  <si>
    <t>IMPORTE</t>
  </si>
  <si>
    <t>IVA</t>
  </si>
  <si>
    <t>IVA RETENIDO</t>
  </si>
  <si>
    <t>ISR RETENIDO</t>
  </si>
  <si>
    <t>PG</t>
  </si>
  <si>
    <t>FECHA</t>
  </si>
  <si>
    <t>PROVEEDOR</t>
  </si>
  <si>
    <t>FACTURA</t>
  </si>
  <si>
    <t>GASTO TOTAL</t>
  </si>
  <si>
    <t>TASA 16%</t>
  </si>
  <si>
    <t>TASA 0 %</t>
  </si>
  <si>
    <t>REQUISITO DE LAS DEDUCCIONES ARTICULO 27 LISR</t>
  </si>
  <si>
    <t xml:space="preserve">REQUISITOS DE LAS DEDUCCIONES ARTICULO 147 LISR </t>
  </si>
  <si>
    <t>FRACCION I.</t>
  </si>
  <si>
    <t xml:space="preserve">GASTOS ESTRICTAMENTE INDISPENSABLE PARA EL DESEMPEÑO DE MI ACTIVIDAD ECONOMICA </t>
  </si>
  <si>
    <t xml:space="preserve">III. QUE SE RESTEN UNA SOLA VEZ, AUN CUANDO ESTEN RELACIONADAS CON LA OBTENCION DE DIVERSOS INGRESOS </t>
  </si>
  <si>
    <t>ACTIVIDAD PROFESIONAL ABOGADO</t>
  </si>
  <si>
    <t xml:space="preserve">ABOGADO </t>
  </si>
  <si>
    <t xml:space="preserve">GASOLINA </t>
  </si>
  <si>
    <t xml:space="preserve">ACT. EMP. ING. PLATAFORMAS </t>
  </si>
  <si>
    <t>UBER</t>
  </si>
  <si>
    <t>FRACCION III.</t>
  </si>
  <si>
    <t xml:space="preserve">ESTAR AMPARADOS CON UN CFDI. Y QUE LOS PAGOS CUYO MONTO EXCEDA DE $2,000.00 SE EFECTUEN MEDIANTE TRANSFERENCIA ELECTRONICA DE FONDOS Y MEDIANTE MONEDEROS ELECTRONICOS AUTORIZADOS POR EL SAT </t>
  </si>
  <si>
    <t xml:space="preserve">VIII. PLAZO PARA REUNIR REQUISITOS DE LAS DEDUCCIONES: QUE AL REALIZAR LAS OPERACIONES CORRESPONDIENTES O A MAS TARDAR EL ULTIMO DIA DEL EJERCICIO, SE REUNAN LOS REQUISITOS QUE PARA CADA DEDUCCION EN LO PARTICULAR ESTABLECE ESTA LEY. QUE TRATANDOSE DE CFDI, SE OBTENGA A MAS TARDAR EL DIA EN QUE EL CONTRIBUYENTE DEBA DE PRESENTAR SE DECLARACION DEL EJERCICIO </t>
  </si>
  <si>
    <t xml:space="preserve">COMBUSTIBLES </t>
  </si>
  <si>
    <t xml:space="preserve">LA FORMA DE PAGO DE COMBUSTIBLES PARA VEHÍCULOS MARITIMOS, AEREOS Y TERRESTRES LA FORMA DE PAGO DEBERA EFECTUARSE MEDIANTE TRANSFERENCIA ELECTRONICA DE FONDOS, CHEQUE NOMINATIVO, TARJETA DE CREDITO, DEBITO O MONEDEROS ELECTRONICOS AUTORIZADOS POR EL SAT </t>
  </si>
  <si>
    <t xml:space="preserve">PAGO INCLUYE IVA </t>
  </si>
  <si>
    <t xml:space="preserve">EL LIMITE DEL MONTO DE LOS $2,000.00 INCLUYEN IVA </t>
  </si>
  <si>
    <t xml:space="preserve">ACTIVO FIJO </t>
  </si>
  <si>
    <t>100 MIL INGRESOS MES</t>
  </si>
  <si>
    <t xml:space="preserve">DEDUCE VIA DEPRECIACION </t>
  </si>
  <si>
    <t>FACTURADO</t>
  </si>
  <si>
    <t>125 MIL PESOS</t>
  </si>
  <si>
    <t>llantas 4 $10 mil pesos</t>
  </si>
  <si>
    <t>2 mil pesos en efectivo</t>
  </si>
  <si>
    <t xml:space="preserve">cajas carton </t>
  </si>
  <si>
    <t>8 mil pesos tc /td/ transf</t>
  </si>
  <si>
    <t>renta local</t>
  </si>
  <si>
    <t>luz</t>
  </si>
  <si>
    <t>gas</t>
  </si>
  <si>
    <t>mantto.</t>
  </si>
  <si>
    <t xml:space="preserve">adqui materia prima </t>
  </si>
  <si>
    <t>DEDUCCIONES PERSONALES AUTORIZADAS ART. 151 LISR</t>
  </si>
  <si>
    <t>INGRESO ACUMULABLE</t>
  </si>
  <si>
    <t>INGRESO GRAVADO</t>
  </si>
  <si>
    <t>APORTACIONES ANUALES</t>
  </si>
  <si>
    <t>USO CFDI</t>
  </si>
  <si>
    <t xml:space="preserve">FORMA DE PAGO </t>
  </si>
  <si>
    <t>TIPO DE DECCION ANUAL</t>
  </si>
  <si>
    <t>RAZON SOCIAL</t>
  </si>
  <si>
    <t>TOPE DEDUCCION</t>
  </si>
  <si>
    <t xml:space="preserve">SUB TOTAL </t>
  </si>
  <si>
    <t>MONTO NO DEDUCIBLE</t>
  </si>
  <si>
    <t>MONTO DEDUCIBLE</t>
  </si>
  <si>
    <t>D01</t>
  </si>
  <si>
    <t>TARJETA</t>
  </si>
  <si>
    <t>HONORARIOS MEDICOS, DENTALES Y GASTOS HOSPITALARIOS</t>
  </si>
  <si>
    <t>HOSPITAL ANGELEZ DEL SUR</t>
  </si>
  <si>
    <t>HADS874521K47</t>
  </si>
  <si>
    <t>D02</t>
  </si>
  <si>
    <t>GASTOS MEDICOS POR INCAPACIDAD</t>
  </si>
  <si>
    <t>D03</t>
  </si>
  <si>
    <t>EFECTIVO Y TARJETA</t>
  </si>
  <si>
    <t>GASTOS FUNERARIOS</t>
  </si>
  <si>
    <t>JARDIN GUADALUPANO</t>
  </si>
  <si>
    <t>GDLP547854K47</t>
  </si>
  <si>
    <t>D04</t>
  </si>
  <si>
    <t>DONATIVOS</t>
  </si>
  <si>
    <t>ALBERGUE OAXAQUEÑOS</t>
  </si>
  <si>
    <t>ALBOAX5478K47</t>
  </si>
  <si>
    <t>7%,4%</t>
  </si>
  <si>
    <t>D05</t>
  </si>
  <si>
    <t>INTERES REAL CREDITO INFONAVIT</t>
  </si>
  <si>
    <t>INFONAVIT VIVIENDA XXI</t>
  </si>
  <si>
    <t>INFT14525K4757</t>
  </si>
  <si>
    <t>D06</t>
  </si>
  <si>
    <t>APORTACIONES COMPLEMENTARIAS AFORE</t>
  </si>
  <si>
    <t>AFORE SIGLO XXI</t>
  </si>
  <si>
    <t>AFRGT854785K47</t>
  </si>
  <si>
    <t>D07</t>
  </si>
  <si>
    <t xml:space="preserve">PRIMAS POR SEGUROS DE GASTOS MEDICOS </t>
  </si>
  <si>
    <t>SERVICIO MEDICO CDMX SA</t>
  </si>
  <si>
    <t>SMDN4587K4725</t>
  </si>
  <si>
    <t>D08</t>
  </si>
  <si>
    <t>TRANSPORTACION ESCOLAR</t>
  </si>
  <si>
    <t>SERVICO ESCOLAR DE TRANSPORTE</t>
  </si>
  <si>
    <t>GHSTFVD5874DL</t>
  </si>
  <si>
    <t>D09</t>
  </si>
  <si>
    <t>DEPOSITOS EN CUENTA PARA EL AHORRO, PLANES DE PENSIONES</t>
  </si>
  <si>
    <t>D10</t>
  </si>
  <si>
    <t>COLEGIATURAS</t>
  </si>
  <si>
    <t>GRADO ESCOLAR</t>
  </si>
  <si>
    <t>PREESCOLAR</t>
  </si>
  <si>
    <t>PRIMARIA</t>
  </si>
  <si>
    <t>SECUNDARIA</t>
  </si>
  <si>
    <t xml:space="preserve">PROFESIONAL TECNICO </t>
  </si>
  <si>
    <t>BACHILLER</t>
  </si>
  <si>
    <t>TOTALES</t>
  </si>
  <si>
    <t xml:space="preserve">PAGOS PROVISIONLAES REGIMEN DE PERSONAS FISICAS CON ACTIVIDADES EMPRESARIALES Y PROFESIONALES </t>
  </si>
  <si>
    <t xml:space="preserve">DETERMINACION DE IVA </t>
  </si>
  <si>
    <t xml:space="preserve">PERSONAS FISICAS CON ACTIVIDADES EMPRESARIALES </t>
  </si>
  <si>
    <t xml:space="preserve"> </t>
  </si>
  <si>
    <t>Cta. Ing. X Vta</t>
  </si>
  <si>
    <t>Concepto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</si>
  <si>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</si>
  <si>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</si>
  <si>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</si>
  <si>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</si>
  <si>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</si>
  <si>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</si>
  <si>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</si>
  <si>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</si>
  <si>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</si>
  <si>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</si>
  <si>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</si>
  <si>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</si>
  <si>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IVA CAUSADO</t>
  </si>
  <si>
    <t>Ingresos Gravados al 16%</t>
  </si>
  <si>
    <t>Ingresos Gravados al 8%</t>
  </si>
  <si>
    <t>Ingresos Gravados al 0%</t>
  </si>
  <si>
    <t>Ingresos Exentos</t>
  </si>
  <si>
    <t>Ingresos Gravados al 15%</t>
  </si>
  <si>
    <t>Ingresos Gravados al 10%</t>
  </si>
  <si>
    <t>Otras Bases</t>
  </si>
  <si>
    <t>Total Ingresos</t>
  </si>
  <si>
    <t>IVA trasladado al 16%</t>
  </si>
  <si>
    <t>IVA trasladado al 8%</t>
  </si>
  <si>
    <t>IVA Retenido</t>
  </si>
  <si>
    <t>Total IVA Trasladado</t>
  </si>
  <si>
    <t>IVA ACREDITABLE</t>
  </si>
  <si>
    <t>Base gravable al 16%</t>
  </si>
  <si>
    <t>Base gravable al 8%</t>
  </si>
  <si>
    <t>Base gravable al 0%</t>
  </si>
  <si>
    <t>Base gravable exenta</t>
  </si>
  <si>
    <t>Total Base IVA Acreditable</t>
  </si>
  <si>
    <t>IVA Acreditable al 16%</t>
  </si>
  <si>
    <t>IVA Acreditable al 8%</t>
  </si>
  <si>
    <t>IVA Retenido Meses Anteriores</t>
  </si>
  <si>
    <t>Total IVA Acreditable</t>
  </si>
  <si>
    <t>Determinación del IVA</t>
  </si>
  <si>
    <t>IVA a cargo del periodo</t>
  </si>
  <si>
    <t>IVA a favor del periodo</t>
  </si>
  <si>
    <t>IVA pendiente por acreditar</t>
  </si>
  <si>
    <t xml:space="preserve">IVA a cargo   </t>
  </si>
  <si>
    <t>IVA a favor</t>
  </si>
  <si>
    <t xml:space="preserve">DECLARACION ANUAL ACTIVIDAD EMPRESARIAL Y PROFESIONAL </t>
  </si>
  <si>
    <t>IMPORTES</t>
  </si>
  <si>
    <t>INGRESOS ANUALES ACTIVIDAD EMPRESARIAL</t>
  </si>
  <si>
    <t>INGRESOS OTRO CAPITULO SUELDOS Y SALARIOS</t>
  </si>
  <si>
    <t>(-)</t>
  </si>
  <si>
    <t>INGRESOS EXENTOS</t>
  </si>
  <si>
    <t>DEDUCCIONES AUTORIZADAS</t>
  </si>
  <si>
    <t>=</t>
  </si>
  <si>
    <t>TOTAL DEDUCCIONES</t>
  </si>
  <si>
    <t>ISR TARIFA ANUAL ARTICULO 152 LISR</t>
  </si>
  <si>
    <t>(=)</t>
  </si>
  <si>
    <t>LIMITE INFERIOR</t>
  </si>
  <si>
    <t>EXCEDENTE SOBRE LI</t>
  </si>
  <si>
    <t>(X)</t>
  </si>
  <si>
    <t>% Mg.</t>
  </si>
  <si>
    <t>IMPUESTO MARGINAL</t>
  </si>
  <si>
    <t>(+)</t>
  </si>
  <si>
    <t>CUOTA FIJA</t>
  </si>
  <si>
    <t>TOTAL ISR</t>
  </si>
  <si>
    <t>SUBSIDIO AL EMPLEO</t>
  </si>
  <si>
    <t>ISR BRUTO</t>
  </si>
  <si>
    <t>ISR CALCULO ANUAL</t>
  </si>
  <si>
    <t xml:space="preserve">RETENCIONES ISR </t>
  </si>
  <si>
    <t>ISR SALARIOS</t>
  </si>
  <si>
    <t>PAGOS PROVISIONALES ACT</t>
  </si>
  <si>
    <t>Tablas ISR 2023: anual</t>
  </si>
  <si>
    <t>% Sobre excedente</t>
  </si>
  <si>
    <t>del límite inferior</t>
  </si>
  <si>
    <t>LUCIANO MIJAIL ORTEGA MUÑOZ</t>
  </si>
  <si>
    <t>ANA BEATRIZ ESTRADA ARGOTE</t>
  </si>
  <si>
    <t>NOMBRE</t>
  </si>
  <si>
    <t>N. COMERCIAL</t>
  </si>
  <si>
    <t>CLAVE</t>
  </si>
  <si>
    <t>F. DE  PAGO</t>
  </si>
  <si>
    <t>USO DE LA FACTURA</t>
  </si>
  <si>
    <t>CORREO</t>
  </si>
  <si>
    <t>DIRECCION</t>
  </si>
  <si>
    <t>EFREN ABUNDEZ REYNA</t>
  </si>
  <si>
    <t>AURE7306187IA</t>
  </si>
  <si>
    <t>01</t>
  </si>
  <si>
    <t>EFECTIVO</t>
  </si>
  <si>
    <t>G01</t>
  </si>
  <si>
    <t>ADQUISICION DE MERCANCIA</t>
  </si>
  <si>
    <t>EFRENABUNDEZREINA@GMAIL.COM</t>
  </si>
  <si>
    <t>FACTURAS DE MENOS DE $4,000</t>
  </si>
  <si>
    <t>LUIS ALEJANDRO HERNANDEZ REYNA</t>
  </si>
  <si>
    <t>HERL850705AL2</t>
  </si>
  <si>
    <t>LOS CARACOLES</t>
  </si>
  <si>
    <t>03</t>
  </si>
  <si>
    <t>PAGO TRANSFERENCIA</t>
  </si>
  <si>
    <t>alexhdzre@gmail.com</t>
  </si>
  <si>
    <t>EAAA860701UP2</t>
  </si>
  <si>
    <t>MARISCOS MARLEY</t>
  </si>
  <si>
    <t>G03</t>
  </si>
  <si>
    <t>GASTO EN GENERAL</t>
  </si>
  <si>
    <t>SERGIO ROMERO DURAN</t>
  </si>
  <si>
    <t>RODS620908QAA</t>
  </si>
  <si>
    <t>YEYOS</t>
  </si>
  <si>
    <t>FACTURAS DE MENOS DE $2,000</t>
  </si>
  <si>
    <t>MARIELA OLMOS GAONA</t>
  </si>
  <si>
    <t>OOGM010703NX1</t>
  </si>
  <si>
    <t>MARISCOS MAR VELERO</t>
  </si>
  <si>
    <t>marveleroseafood@outlook.com</t>
  </si>
  <si>
    <t>David Galván Bermúdez 101 Col. Cristo Rey</t>
  </si>
  <si>
    <t>OEML881105IK2</t>
  </si>
  <si>
    <t>villaluna3107@gmail.com</t>
  </si>
  <si>
    <t>Brisas de San Simón 223</t>
  </si>
  <si>
    <t>Colonia Brisas de San Nicolas</t>
  </si>
  <si>
    <t>Código Postal 37297</t>
  </si>
  <si>
    <t>GUSTAVO HUMBERTO VELASCO GALVEZ</t>
  </si>
  <si>
    <t>VEGG9211019T1</t>
  </si>
  <si>
    <t>DELIMAR</t>
  </si>
  <si>
    <t>JESUS AGUSTIN VELAZQUEZ FLORES</t>
  </si>
  <si>
    <t>VEFJ900303M65</t>
  </si>
  <si>
    <t>KARLA ESTEFANIA SALAZAR FLORES</t>
  </si>
  <si>
    <t>SAFK9807277N1</t>
  </si>
  <si>
    <t>crisma-flores@hotmail.con</t>
  </si>
  <si>
    <t>TABLA DE UTILIDAD NETA</t>
  </si>
  <si>
    <t>TOTAL EGRESOS F.</t>
  </si>
  <si>
    <t>TOTAL INGRESOS F.</t>
  </si>
  <si>
    <t>INGRESOS GENERAL</t>
  </si>
  <si>
    <t>GASTOS GENERAL</t>
  </si>
  <si>
    <t>UTILIDAD MENSUAL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</si>
  <si>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</si>
  <si>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</si>
  <si>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</si>
  <si>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</si>
  <si>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</si>
  <si>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</si>
  <si>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</si>
  <si>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</si>
  <si>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</si>
  <si>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</si>
  <si>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</si>
  <si>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</si>
  <si>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</si>
  <si>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UTILIDAD ANUAL</t>
  </si>
  <si>
    <t>LOCAL MEDINA</t>
  </si>
  <si>
    <t>Efectivo</t>
  </si>
  <si>
    <t>Transferencia</t>
  </si>
  <si>
    <t>Credito</t>
  </si>
  <si>
    <t>P. tarjeta</t>
  </si>
  <si>
    <t>V. LOCAL</t>
  </si>
  <si>
    <t>P. CLIENTES</t>
  </si>
  <si>
    <t>TOTAL GRAL.</t>
  </si>
  <si>
    <t>TOTAL PERIODO MES DE MARZO ING.</t>
  </si>
  <si>
    <t>Trans/tarj</t>
  </si>
  <si>
    <t>tarjeta c/d</t>
  </si>
  <si>
    <t xml:space="preserve">impresora </t>
  </si>
  <si>
    <t>ABARROTES</t>
  </si>
  <si>
    <t>PELADORAS</t>
  </si>
  <si>
    <t>MARISCOS</t>
  </si>
  <si>
    <t>TOTAL GRAL</t>
  </si>
  <si>
    <t>LOCAL SAN PEDRO</t>
  </si>
  <si>
    <t>TOTAL PERIODO MES DE marzo EGRESOS</t>
  </si>
  <si>
    <t>HIELO</t>
  </si>
  <si>
    <t>TARIMA</t>
  </si>
  <si>
    <t>ANGEL TERRAZAS MONROY</t>
  </si>
  <si>
    <t>TEMA7105035N4</t>
  </si>
  <si>
    <t>TOTAL PERIODO MES DE ABRIL EGRESOS</t>
  </si>
  <si>
    <t>codigo postal</t>
  </si>
  <si>
    <t>REGIMEN</t>
  </si>
  <si>
    <t>TOTAL PERIODO MES DE ABRIL ING.</t>
  </si>
  <si>
    <t>TOTAL PERIODO MES DE MAYO ING.</t>
  </si>
  <si>
    <t>TOTAL PERIODO MES DE mayo EGRESOS</t>
  </si>
  <si>
    <t>TOTAL PERIODO MES DE junio EGRESOS</t>
  </si>
  <si>
    <t>TOTAL PERIODO MES DE julio EGRESOS</t>
  </si>
  <si>
    <t>TOTAL PERIODO MES DE agosto EGRESOS</t>
  </si>
  <si>
    <t>TOTAL PERIODO MES DE septiembre EGRESOS</t>
  </si>
  <si>
    <t>TOTAL PERIODO MES DE octubre EGRESOS</t>
  </si>
  <si>
    <t>TOTAL PERIODO MES DE Diciembre EGRESOS</t>
  </si>
  <si>
    <t>TOTAL PERIODO MES DE Noviembre EGRESOS</t>
  </si>
  <si>
    <t>TOTAL PERIODO MES DE JUNIO ING.</t>
  </si>
  <si>
    <t>TOTAL PERIODO MES DE JULIO ING.</t>
  </si>
  <si>
    <t>TOTAL PERIODO MES DE SEPTIEMBRE ING.</t>
  </si>
  <si>
    <t>TOTAL PERIODO MES DE AGOSTO ING.</t>
  </si>
  <si>
    <t>TOTAL PERIODO MES DE NOVIEMBRE ING.</t>
  </si>
  <si>
    <t>TOTAL PERIODO MES DE OCTUBRE ING.</t>
  </si>
  <si>
    <t>TOTAL PERIODO MES DE DICIEMBRE ING.</t>
  </si>
  <si>
    <t>F. D PAGO</t>
  </si>
  <si>
    <t>BASE IVA ACREDITABLE</t>
  </si>
  <si>
    <t>FACTURA PUBLICO EN GENERAL</t>
  </si>
  <si>
    <t>TOTAL PERIODO MES DE FEBRERO ING.</t>
  </si>
  <si>
    <t>TOTAL PERIODO MES DE ENERO ING.</t>
  </si>
  <si>
    <t>SUELDOS</t>
  </si>
  <si>
    <t>TOTAL PERIODO MES DE ENERO EGRESOS</t>
  </si>
  <si>
    <t>TOTAL PERIODO MES DE FEBRERO EGRESOS</t>
  </si>
  <si>
    <t>CAMIONETA</t>
  </si>
  <si>
    <t>RENTA</t>
  </si>
  <si>
    <t>BOLSA</t>
  </si>
  <si>
    <t>PAPAELERIA</t>
  </si>
  <si>
    <t>LIMPIEZA</t>
  </si>
  <si>
    <t>CPM960127M3A</t>
  </si>
  <si>
    <t>CAJA POPULAR MEXICANA</t>
  </si>
  <si>
    <t>moral no lucrativa</t>
  </si>
  <si>
    <t>hedj124791234@gmail.com</t>
  </si>
  <si>
    <t>T.D.</t>
  </si>
  <si>
    <t>elopez@iits.com.mx</t>
  </si>
  <si>
    <t>IIE101203RU0</t>
  </si>
  <si>
    <t>IITS IDENTIFICATION E INFORMATION TRANSPORT SYSTEMS</t>
  </si>
  <si>
    <t>MORAL</t>
  </si>
  <si>
    <t>ofernandez@iits.com.mx</t>
  </si>
  <si>
    <t>camara frigorifica</t>
  </si>
  <si>
    <t>bolsa</t>
  </si>
  <si>
    <t>internet</t>
  </si>
  <si>
    <t>hielo</t>
  </si>
  <si>
    <t>limpieza</t>
  </si>
  <si>
    <t>calendarios</t>
  </si>
  <si>
    <t>papeleria</t>
  </si>
  <si>
    <t>abarrotes</t>
  </si>
  <si>
    <t>redes</t>
  </si>
  <si>
    <t>GRISELDA CELINA POOL NOH</t>
  </si>
  <si>
    <t>PONG860110V5A</t>
  </si>
  <si>
    <t>PFAEP</t>
  </si>
  <si>
    <t>javier.arcive@gmail.com</t>
  </si>
  <si>
    <t>notas</t>
  </si>
  <si>
    <t xml:space="preserve">hommorario </t>
  </si>
  <si>
    <t>renta</t>
  </si>
  <si>
    <t>sueldos</t>
  </si>
  <si>
    <t>redes sociales</t>
  </si>
  <si>
    <t>impuestos</t>
  </si>
  <si>
    <t>BANCO DEL BAJIO</t>
  </si>
  <si>
    <t>HERIBERTO JIMENEZ AVILA</t>
  </si>
  <si>
    <t>NOEMI ROSALIA REYES ANDRADE</t>
  </si>
  <si>
    <t>MEGA GASOLINERAS</t>
  </si>
  <si>
    <t>BANCOPPEL, S.A. INSTITUCION DE BANCA MULTIPLE</t>
  </si>
  <si>
    <t>SAN JORGE Y CIA.</t>
  </si>
  <si>
    <t>MARIA GRICELDA BARAJAS OLIVA</t>
  </si>
  <si>
    <t>J. SOCORRO ALMANZA CARRILLO</t>
  </si>
  <si>
    <t>MINIBODEGAS Y ALMACENAMIENTO MEXICO</t>
  </si>
  <si>
    <t>DOS MIL GAS</t>
  </si>
  <si>
    <t>SOCIEDAD COOPERATIVA DE PRODUCCION PESQUERA 21 DE MARZO</t>
  </si>
  <si>
    <t>RADIOMOVIL DIPSA</t>
  </si>
  <si>
    <t>PESCADERIA BUENA OLA</t>
  </si>
  <si>
    <t>TOTAL PLAY TELECOMUNICACIONES</t>
  </si>
  <si>
    <t>TOTAL BOX</t>
  </si>
  <si>
    <t>JULIO ANTONIO AMEZQUITA MARTINEZ</t>
  </si>
  <si>
    <t>BBA940707IE1</t>
  </si>
  <si>
    <t>JIAH810501A8A</t>
  </si>
  <si>
    <t>REAN920904CM3</t>
  </si>
  <si>
    <t>MGA110810CC3</t>
  </si>
  <si>
    <t>BSI061110963</t>
  </si>
  <si>
    <t>SJC080617R86</t>
  </si>
  <si>
    <t>BAOG961112Q60</t>
  </si>
  <si>
    <t>AACJ680307H3A</t>
  </si>
  <si>
    <t>MAL1511111U9</t>
  </si>
  <si>
    <t>DMG9212301D0</t>
  </si>
  <si>
    <t>SCP680430MF0</t>
  </si>
  <si>
    <t>RDI841003QJ4</t>
  </si>
  <si>
    <t>PBO200626IW3</t>
  </si>
  <si>
    <t>TPT890516JP5</t>
  </si>
  <si>
    <t>TBO140305DH0</t>
  </si>
  <si>
    <t>AEMJ850627FFA</t>
  </si>
  <si>
    <t>M</t>
  </si>
  <si>
    <t>F696</t>
  </si>
  <si>
    <t>A799</t>
  </si>
  <si>
    <t>PTIN7994</t>
  </si>
  <si>
    <t>202410144717444</t>
  </si>
  <si>
    <t>F697</t>
  </si>
  <si>
    <t>MAD7632</t>
  </si>
  <si>
    <t>1742</t>
  </si>
  <si>
    <t>7</t>
  </si>
  <si>
    <t>8</t>
  </si>
  <si>
    <t>C1057</t>
  </si>
  <si>
    <t>C1058</t>
  </si>
  <si>
    <t>COFCO0334326</t>
  </si>
  <si>
    <t>EMS53007</t>
  </si>
  <si>
    <t>EMS53008</t>
  </si>
  <si>
    <t>LIB374820</t>
  </si>
  <si>
    <t>14247</t>
  </si>
  <si>
    <t>PF0059735866</t>
  </si>
  <si>
    <t>BO4814</t>
  </si>
  <si>
    <t>F699</t>
  </si>
  <si>
    <t>TP347305631453697353P1-332231403T1-0</t>
  </si>
  <si>
    <t>TP347305631453696841P1-332231403T1-4</t>
  </si>
  <si>
    <t>LIB375119</t>
  </si>
  <si>
    <t>MAD7691</t>
  </si>
  <si>
    <t>MAD7692</t>
  </si>
  <si>
    <t>MAD7693</t>
  </si>
  <si>
    <t>MAD7694</t>
  </si>
  <si>
    <t>MAD7695</t>
  </si>
  <si>
    <t>F704</t>
  </si>
  <si>
    <t>DEL22567</t>
  </si>
  <si>
    <t>1808</t>
  </si>
  <si>
    <t>202410052174142</t>
  </si>
  <si>
    <t>A213</t>
  </si>
  <si>
    <t>A214</t>
  </si>
  <si>
    <t/>
  </si>
  <si>
    <t>DEL22668</t>
  </si>
  <si>
    <t>1834</t>
  </si>
  <si>
    <t>PUE</t>
  </si>
  <si>
    <t>PUBLICO EN GENERAL</t>
  </si>
  <si>
    <t xml:space="preserve">FARMACIA GUADALAJARA </t>
  </si>
  <si>
    <t>FGU830930PD3</t>
  </si>
  <si>
    <t>MA. DEL ROSARIO CASTILLO GONZALEZ</t>
  </si>
  <si>
    <t>JOSE ELIAS MOJICA MUÑOZ</t>
  </si>
  <si>
    <t>PRODUCTOS ROLINJERS</t>
  </si>
  <si>
    <t>CAGM570916DJ2</t>
  </si>
  <si>
    <t>MOME7010105K2</t>
  </si>
  <si>
    <t>PRO1502249T4</t>
  </si>
  <si>
    <t>407</t>
  </si>
  <si>
    <t>MAD7757</t>
  </si>
  <si>
    <t>AC7330</t>
  </si>
  <si>
    <t>14336</t>
  </si>
  <si>
    <t>BO4991</t>
  </si>
  <si>
    <t>TP347639885658514269_1_A1-456311908</t>
  </si>
  <si>
    <t>TP347639885658471424_0_A1-456311909</t>
  </si>
  <si>
    <t>1864</t>
  </si>
  <si>
    <t>TP347692662647703490P1-337460186T1-4</t>
  </si>
  <si>
    <t>TP347692662647702466P1-337460186T1-0</t>
  </si>
  <si>
    <t>LIB376784</t>
  </si>
  <si>
    <t>F1875</t>
  </si>
  <si>
    <t>F716</t>
  </si>
  <si>
    <t>F120</t>
  </si>
  <si>
    <t>PF0060805448</t>
  </si>
  <si>
    <t>9</t>
  </si>
  <si>
    <t>LIB377083</t>
  </si>
  <si>
    <t>DTE5114</t>
  </si>
  <si>
    <t>DTE5115</t>
  </si>
  <si>
    <t>DTE5116</t>
  </si>
  <si>
    <t>14388</t>
  </si>
  <si>
    <t>14393</t>
  </si>
  <si>
    <t>EMS54436</t>
  </si>
  <si>
    <t>DTE5120</t>
  </si>
  <si>
    <t>1896</t>
  </si>
  <si>
    <t>1897</t>
  </si>
  <si>
    <t>MAD7842</t>
  </si>
  <si>
    <t>F722</t>
  </si>
  <si>
    <t>LIB377637</t>
  </si>
  <si>
    <t>MAD7857</t>
  </si>
  <si>
    <t>14411</t>
  </si>
  <si>
    <t>BO5185</t>
  </si>
  <si>
    <t>DTE5131</t>
  </si>
  <si>
    <t>DEL7758</t>
  </si>
  <si>
    <t>413</t>
  </si>
  <si>
    <t>SUELDO</t>
  </si>
  <si>
    <t>sueldo</t>
  </si>
  <si>
    <t>TERMINALES</t>
  </si>
  <si>
    <t>REDES SOCIALES</t>
  </si>
  <si>
    <t>INTERNET</t>
  </si>
  <si>
    <t>Seguridad@powerqro.mx</t>
  </si>
  <si>
    <t>POW210709HU2</t>
  </si>
  <si>
    <t>POWERQRO</t>
  </si>
  <si>
    <t>servicio de camioneta</t>
  </si>
  <si>
    <t>uniformes</t>
  </si>
  <si>
    <t>pension</t>
  </si>
  <si>
    <t>PAPELERIA</t>
  </si>
  <si>
    <t>marketing</t>
  </si>
  <si>
    <t>CALIBRACMM DE MEXICO</t>
  </si>
  <si>
    <t>CME040519990</t>
  </si>
  <si>
    <t>jesusariz@hotmail.com</t>
  </si>
  <si>
    <t>AGROALIMENTOS FRESH HARVEST</t>
  </si>
  <si>
    <t>INTEGRAL DE SERVICIOS GEALPA</t>
  </si>
  <si>
    <t>AFH200612548</t>
  </si>
  <si>
    <t>ISG181114KZ4</t>
  </si>
  <si>
    <t>F126</t>
  </si>
  <si>
    <t>EMS54915</t>
  </si>
  <si>
    <t>AG-12672</t>
  </si>
  <si>
    <t>14447</t>
  </si>
  <si>
    <t>LIB378428</t>
  </si>
  <si>
    <t>BO5227</t>
  </si>
  <si>
    <t>MAD7931</t>
  </si>
  <si>
    <t>MAD7932</t>
  </si>
  <si>
    <t>MAD7933</t>
  </si>
  <si>
    <t>MAD7934</t>
  </si>
  <si>
    <t>MAD7935</t>
  </si>
  <si>
    <t>14477</t>
  </si>
  <si>
    <t>EMS55220</t>
  </si>
  <si>
    <t>F792</t>
  </si>
  <si>
    <t>L3264</t>
  </si>
  <si>
    <t>F793</t>
  </si>
  <si>
    <t>14506</t>
  </si>
  <si>
    <t>EMS55446</t>
  </si>
  <si>
    <t>BO5345</t>
  </si>
  <si>
    <t>BOC435</t>
  </si>
  <si>
    <t>BOC436</t>
  </si>
  <si>
    <t>F800</t>
  </si>
  <si>
    <t>F801</t>
  </si>
  <si>
    <t>PF0062727006</t>
  </si>
  <si>
    <t>COFCO0339536</t>
  </si>
  <si>
    <t>MAD7991</t>
  </si>
  <si>
    <t>MAD7992</t>
  </si>
  <si>
    <t>FC0082662892</t>
  </si>
  <si>
    <t>LIB379801</t>
  </si>
  <si>
    <t>TP348413948397713690P1-347582281T1-0</t>
  </si>
  <si>
    <t>TP348413948397712666P1-347582281T1-4</t>
  </si>
  <si>
    <t>14552</t>
  </si>
  <si>
    <t>DEL23491</t>
  </si>
  <si>
    <t>F809</t>
  </si>
  <si>
    <t>MAD8019</t>
  </si>
  <si>
    <t>PPD</t>
  </si>
  <si>
    <t>monto total</t>
  </si>
  <si>
    <t>diferencia</t>
  </si>
  <si>
    <t>DISBYTE DE MEXICO</t>
  </si>
  <si>
    <t>DME221028RZ7</t>
  </si>
  <si>
    <t>PTIN12764</t>
  </si>
  <si>
    <t>421</t>
  </si>
  <si>
    <t>14579</t>
  </si>
  <si>
    <t>BO5458</t>
  </si>
  <si>
    <t>F834</t>
  </si>
  <si>
    <t>PF0063259663</t>
  </si>
  <si>
    <t>F131</t>
  </si>
  <si>
    <t>F1963</t>
  </si>
  <si>
    <t>MAD8036</t>
  </si>
  <si>
    <t>FC14596</t>
  </si>
  <si>
    <t>FC0082760610</t>
  </si>
  <si>
    <t>14610</t>
  </si>
  <si>
    <t>F841</t>
  </si>
  <si>
    <t>10</t>
  </si>
  <si>
    <t>11</t>
  </si>
  <si>
    <t>12</t>
  </si>
  <si>
    <t>2120</t>
  </si>
  <si>
    <t>DTE5211</t>
  </si>
  <si>
    <t>EMS56337</t>
  </si>
  <si>
    <t>14647</t>
  </si>
  <si>
    <t>EMS56523</t>
  </si>
  <si>
    <t>MAD8121</t>
  </si>
  <si>
    <t>F850</t>
  </si>
  <si>
    <t>TP348941718145697464P1-355046229T1-4</t>
  </si>
  <si>
    <t>TP348941718145698488P1-355046229T1-0</t>
  </si>
  <si>
    <t>14675</t>
  </si>
  <si>
    <t>F856</t>
  </si>
  <si>
    <t>MAD8160</t>
  </si>
  <si>
    <t>2202</t>
  </si>
  <si>
    <t>2203</t>
  </si>
  <si>
    <t>14702</t>
  </si>
  <si>
    <t>A290</t>
  </si>
  <si>
    <t>A291</t>
  </si>
  <si>
    <t>cocida camaron</t>
  </si>
  <si>
    <t>honorarios contador</t>
  </si>
  <si>
    <t>limpiador</t>
  </si>
  <si>
    <t>pintura</t>
  </si>
  <si>
    <t>pago camioneta</t>
  </si>
  <si>
    <t>CONSTRUCCIONES INDUSTRIALES Y ARQUITECTONICAS DE OCOTLAN</t>
  </si>
  <si>
    <t>CIA991006EP9</t>
  </si>
  <si>
    <t>adrian.yescasg@gmail.com</t>
  </si>
  <si>
    <t>AVM230707SJ9</t>
  </si>
  <si>
    <t>APOLLO VTS MEXICO</t>
  </si>
  <si>
    <t>OBS0902103E2</t>
  </si>
  <si>
    <t>DPU991209HW4</t>
  </si>
  <si>
    <t>OPE130906HN4</t>
  </si>
  <si>
    <t>EORJ680727638</t>
  </si>
  <si>
    <t>OCEAN BLUE SEAFOOD</t>
  </si>
  <si>
    <t>DON PULCRO</t>
  </si>
  <si>
    <t>OPENPAY</t>
  </si>
  <si>
    <t>JORGE ESCOBAR REYNA</t>
  </si>
  <si>
    <t>LIB382992</t>
  </si>
  <si>
    <t>PTIN14503</t>
  </si>
  <si>
    <t>BO5755</t>
  </si>
  <si>
    <t>FV00023271</t>
  </si>
  <si>
    <t>BOC494</t>
  </si>
  <si>
    <t>BOC495</t>
  </si>
  <si>
    <t>427</t>
  </si>
  <si>
    <t>REP235</t>
  </si>
  <si>
    <t>PTIN14812</t>
  </si>
  <si>
    <t>F139</t>
  </si>
  <si>
    <t>14770</t>
  </si>
  <si>
    <t>2273</t>
  </si>
  <si>
    <t>2291</t>
  </si>
  <si>
    <t>MAD8275</t>
  </si>
  <si>
    <t>AG-13514</t>
  </si>
  <si>
    <t>PF0064784589</t>
  </si>
  <si>
    <t>2311</t>
  </si>
  <si>
    <t>FV00023343</t>
  </si>
  <si>
    <t>RP00023491</t>
  </si>
  <si>
    <t>COFCO0344217</t>
  </si>
  <si>
    <t>13</t>
  </si>
  <si>
    <t>14</t>
  </si>
  <si>
    <t>15</t>
  </si>
  <si>
    <t>LIB384288</t>
  </si>
  <si>
    <t>LIB384289</t>
  </si>
  <si>
    <t>TP349451895712313580P1-362474130T1-4</t>
  </si>
  <si>
    <t>TP349451895712317292P1-362474130T1-0</t>
  </si>
  <si>
    <t>14813</t>
  </si>
  <si>
    <t>FC0083031071</t>
  </si>
  <si>
    <t>AG-13618</t>
  </si>
  <si>
    <t>2343</t>
  </si>
  <si>
    <t>2344</t>
  </si>
  <si>
    <t>18</t>
  </si>
  <si>
    <t>14829</t>
  </si>
  <si>
    <t>TPB1-321914952T1-1</t>
  </si>
  <si>
    <t>TPB1-321914952T1-4</t>
  </si>
  <si>
    <t>TPB1-321914952T1-0</t>
  </si>
  <si>
    <t>2366</t>
  </si>
  <si>
    <t>LAZ202405291157372326</t>
  </si>
  <si>
    <t>BO5949</t>
  </si>
  <si>
    <t>AOP3397723</t>
  </si>
  <si>
    <t>FB1757</t>
  </si>
  <si>
    <t>BBA830831LJ2</t>
  </si>
  <si>
    <t>AGL0509098X1</t>
  </si>
  <si>
    <t>RBL011207D1A</t>
  </si>
  <si>
    <t>HELE750520VCA</t>
  </si>
  <si>
    <t>PMI180515SG1</t>
  </si>
  <si>
    <t>AELA8704287I0</t>
  </si>
  <si>
    <t>BBVA MEXICO, S.A., INSTITUCION DE BANCA MULTIPLE, GRUPO FINANCIERO BBVA MEXICO</t>
  </si>
  <si>
    <t>ALIMENTOS GLACIAR</t>
  </si>
  <si>
    <t>REFRIGERACION Y BASCULAS DE LEON</t>
  </si>
  <si>
    <t>ERNESTO HERNANDEZ LUNA</t>
  </si>
  <si>
    <t>PROVEEDORA MIDA</t>
  </si>
  <si>
    <t>ANDRAL AUGUSTO ANDERSON MC LAUGHLIN</t>
  </si>
  <si>
    <t>MAD8344</t>
  </si>
  <si>
    <t>012244004864946419</t>
  </si>
  <si>
    <t>FI56022</t>
  </si>
  <si>
    <t>PF0065393585</t>
  </si>
  <si>
    <t>14866</t>
  </si>
  <si>
    <t>RF22263</t>
  </si>
  <si>
    <t>TP349733372966855249_0_A1-501109030</t>
  </si>
  <si>
    <t>20</t>
  </si>
  <si>
    <t>FC0083130593</t>
  </si>
  <si>
    <t>EMS58497</t>
  </si>
  <si>
    <t>FB1788</t>
  </si>
  <si>
    <t>TP349786149982734593P1-367143996T1-0</t>
  </si>
  <si>
    <t>14897</t>
  </si>
  <si>
    <t>BO6093</t>
  </si>
  <si>
    <t>F2070</t>
  </si>
  <si>
    <t>2427</t>
  </si>
  <si>
    <t>M13817</t>
  </si>
  <si>
    <t>PF0065822083</t>
  </si>
  <si>
    <t>MAD8416</t>
  </si>
  <si>
    <t>14926</t>
  </si>
  <si>
    <t>LAZ202406181004322326</t>
  </si>
  <si>
    <t>MH731</t>
  </si>
  <si>
    <t>LIB386662</t>
  </si>
  <si>
    <t>F143</t>
  </si>
  <si>
    <t>FV00023568</t>
  </si>
  <si>
    <t>P229</t>
  </si>
  <si>
    <t>P230</t>
  </si>
  <si>
    <t>RP00023957</t>
  </si>
  <si>
    <t>RP00023958</t>
  </si>
  <si>
    <t>DTE5311</t>
  </si>
  <si>
    <t>FC0083216109</t>
  </si>
  <si>
    <t>LIB387107</t>
  </si>
  <si>
    <t>14941</t>
  </si>
  <si>
    <t>FI56370</t>
  </si>
  <si>
    <t>BO6254</t>
  </si>
  <si>
    <t>MAD8456</t>
  </si>
  <si>
    <t>2490</t>
  </si>
  <si>
    <t>TPB1-327565258T1-0</t>
  </si>
  <si>
    <t>TPB1-327565258T1-4</t>
  </si>
  <si>
    <t>TPB1-327565258T1-1</t>
  </si>
  <si>
    <t>LIB387749</t>
  </si>
  <si>
    <t>lona</t>
  </si>
  <si>
    <t>LEONEL LOPEZ RIVERA</t>
  </si>
  <si>
    <t>LORL720817Q85</t>
  </si>
  <si>
    <t>14977</t>
  </si>
  <si>
    <t>AG-14143</t>
  </si>
  <si>
    <t>M13939</t>
  </si>
  <si>
    <t>BO6353</t>
  </si>
  <si>
    <t>BOC697</t>
  </si>
  <si>
    <t>MH843</t>
  </si>
  <si>
    <t>RF22477</t>
  </si>
  <si>
    <t>FC0083314643</t>
  </si>
  <si>
    <t>2574</t>
  </si>
  <si>
    <t>MAD8518</t>
  </si>
  <si>
    <t>EMS59855</t>
  </si>
  <si>
    <t>15014</t>
  </si>
  <si>
    <t>2588</t>
  </si>
  <si>
    <t>436</t>
  </si>
  <si>
    <t>EMS60030</t>
  </si>
  <si>
    <t>A6730</t>
  </si>
  <si>
    <t>A6761</t>
  </si>
  <si>
    <t>PF0066615375</t>
  </si>
  <si>
    <t>DEL25057</t>
  </si>
  <si>
    <t>TP350542620245840491P1-377972008T1-0</t>
  </si>
  <si>
    <t>TP350542620245842539P1-377972008T1-4</t>
  </si>
  <si>
    <t>F2156</t>
  </si>
  <si>
    <t>FC0083399745</t>
  </si>
  <si>
    <t>2637</t>
  </si>
  <si>
    <t>MAD8580</t>
  </si>
  <si>
    <t>F147</t>
  </si>
  <si>
    <t>TPB1-332905348T1-4</t>
  </si>
  <si>
    <t>TPB1-332905348T1-1</t>
  </si>
  <si>
    <t>TPB1-332905348T1-0</t>
  </si>
  <si>
    <t>BO6603</t>
  </si>
  <si>
    <t>PF0067121632</t>
  </si>
  <si>
    <t>2692</t>
  </si>
  <si>
    <t>EMS60726</t>
  </si>
  <si>
    <t>MOOD910806Q85</t>
  </si>
  <si>
    <t>DULCE BERENICE MORA OLMOS</t>
  </si>
  <si>
    <t>RIF</t>
  </si>
  <si>
    <t>tmine066@gmail.com</t>
  </si>
  <si>
    <t>TEMM710110FJ3</t>
  </si>
  <si>
    <t>MINERVA TREJO MARTINEZ</t>
  </si>
  <si>
    <t>CAM9612093J2</t>
  </si>
  <si>
    <t>CHEM-AQUA MEXICO</t>
  </si>
  <si>
    <t>NME16070647A</t>
  </si>
  <si>
    <t>NSK-WARNER MEXICO</t>
  </si>
  <si>
    <t>pago con tarjeta</t>
  </si>
  <si>
    <t>PENSION</t>
  </si>
  <si>
    <t>BASCULA</t>
  </si>
  <si>
    <t>LEONEL LOPEZ MARTINEZ</t>
  </si>
  <si>
    <t>NATALIA GISELA SALMERON FRANCO</t>
  </si>
  <si>
    <t>LA FAVORITA DEL 31</t>
  </si>
  <si>
    <t>GASTROART</t>
  </si>
  <si>
    <t>LOML920916781</t>
  </si>
  <si>
    <t>SAFN9502228I8</t>
  </si>
  <si>
    <t>FTU940118PM5</t>
  </si>
  <si>
    <t>GAS120228RPA</t>
  </si>
  <si>
    <t>TP351263905728345683_0_A1-534445267</t>
  </si>
  <si>
    <t>TP351263905727631903_1_A1-534445266</t>
  </si>
  <si>
    <t>PTIN20788</t>
  </si>
  <si>
    <t>TP351316682715795536P1-389041719T1-4</t>
  </si>
  <si>
    <t>TP351316682715797392P1-389041719T1-0</t>
  </si>
  <si>
    <t>F152</t>
  </si>
  <si>
    <t>POT9019</t>
  </si>
  <si>
    <t>FC0083580654</t>
  </si>
  <si>
    <t>EMS62240</t>
  </si>
  <si>
    <t>F1090</t>
  </si>
  <si>
    <t>FL27</t>
  </si>
  <si>
    <t>FL28</t>
  </si>
  <si>
    <t>MAD8808</t>
  </si>
  <si>
    <t>M14423</t>
  </si>
  <si>
    <t>MH1347</t>
  </si>
  <si>
    <t>H406</t>
  </si>
  <si>
    <t>DEL25805</t>
  </si>
  <si>
    <t>15274</t>
  </si>
  <si>
    <t>INV/2024/5336</t>
  </si>
  <si>
    <t>2982</t>
  </si>
  <si>
    <t>2983</t>
  </si>
  <si>
    <t>2984</t>
  </si>
  <si>
    <t>PTIN21568</t>
  </si>
  <si>
    <t>PF0068744972</t>
  </si>
  <si>
    <t>LIB394409</t>
  </si>
  <si>
    <t>FA000000000350510462</t>
  </si>
  <si>
    <t>MAD8890</t>
  </si>
  <si>
    <t>MAD8891</t>
  </si>
  <si>
    <t>MAD8892</t>
  </si>
  <si>
    <t>MAD8893</t>
  </si>
  <si>
    <t>RF23077</t>
  </si>
  <si>
    <t>F1110</t>
  </si>
  <si>
    <t>3025</t>
  </si>
  <si>
    <t>3026</t>
  </si>
  <si>
    <t>FV00024365</t>
  </si>
  <si>
    <t>TPB1-344167622T1-1</t>
  </si>
  <si>
    <t>TPB1-344167622T1-0</t>
  </si>
  <si>
    <t>TPB1-344167622T1-4</t>
  </si>
  <si>
    <t>DTE5441</t>
  </si>
  <si>
    <t>RP00025435</t>
  </si>
  <si>
    <t>A520</t>
  </si>
  <si>
    <t>OSCAR URIBE CRUZ</t>
  </si>
  <si>
    <t>UICO7504071PA</t>
  </si>
  <si>
    <t>CRUZ.URIBE.OSCAR@GMAIL.COM</t>
  </si>
  <si>
    <t>RALG850220K25</t>
  </si>
  <si>
    <t>GERARDO RAMOS LOPEZ</t>
  </si>
  <si>
    <t>Honorarios</t>
  </si>
  <si>
    <t>servicio camionea</t>
  </si>
  <si>
    <t>uz</t>
  </si>
  <si>
    <t>gasolina</t>
  </si>
  <si>
    <t>telefono</t>
  </si>
  <si>
    <t>AST111025LX3</t>
  </si>
  <si>
    <t>ASTUS</t>
  </si>
  <si>
    <t>gerardo.gonzalez@directed.com.mx</t>
  </si>
  <si>
    <t>ATO990618K58</t>
  </si>
  <si>
    <t>AUTOSISTEMAS DE TORREON</t>
  </si>
  <si>
    <t>FORE800801UQ7</t>
  </si>
  <si>
    <t>EDUARDO FLORES RODRIGUEZ</t>
  </si>
  <si>
    <t>FOCS920720Q24</t>
  </si>
  <si>
    <t>SINDY JHOANN FLORES CASTELLANOS</t>
  </si>
  <si>
    <t>TEC2303144V4</t>
  </si>
  <si>
    <t>TEC&amp;O&amp;SET</t>
  </si>
  <si>
    <t>RED940114JX9</t>
  </si>
  <si>
    <t>REDPACK</t>
  </si>
  <si>
    <t xml:space="preserve">h.barrera@redpack.com.mx </t>
  </si>
  <si>
    <t>SCM160316II0</t>
  </si>
  <si>
    <t>SAUER COMPRESSORS MEXICO</t>
  </si>
  <si>
    <t>azteca.rod@gmail.com</t>
  </si>
  <si>
    <t>MUBJ820105L17</t>
  </si>
  <si>
    <t>JESUS MARTIN MUÑOZ BARRAZA</t>
  </si>
  <si>
    <t>GIR2205261R1</t>
  </si>
  <si>
    <t>GRUPO INDUSTRIAL ROVAGU</t>
  </si>
  <si>
    <t>GUCJ7409036N6</t>
  </si>
  <si>
    <t>JOSE DE JESUS GUZMAN CARRASCO</t>
  </si>
  <si>
    <t>jjguzmancfacts@hotmail.com</t>
  </si>
  <si>
    <t>ARACELI GUADALUPE HORTA GONZALEZ</t>
  </si>
  <si>
    <t>ALEXIS GALLO LOPEZ</t>
  </si>
  <si>
    <t>CESAR SAID RODRIGUEZ TORRES</t>
  </si>
  <si>
    <t>MENUDEO LA ALEMANA</t>
  </si>
  <si>
    <t>PREMIUM RESTAURANT BRANDS</t>
  </si>
  <si>
    <t>DISTRIBUIDORA DE PRODUCTOS A BAJO PRECIO</t>
  </si>
  <si>
    <t>BANCO AZTECA SA INSTITUCION DE BANCA MULTIPLE</t>
  </si>
  <si>
    <t>HOGA850720I67</t>
  </si>
  <si>
    <t>GALA0007204N1</t>
  </si>
  <si>
    <t>ROTC8703226IA</t>
  </si>
  <si>
    <t>MAL210809134</t>
  </si>
  <si>
    <t>PRB100802H20</t>
  </si>
  <si>
    <t>DPA071022LT5</t>
  </si>
  <si>
    <t>BAI0205236Y8</t>
  </si>
  <si>
    <t>PTIN22349</t>
  </si>
  <si>
    <t>F1123</t>
  </si>
  <si>
    <t>F1124</t>
  </si>
  <si>
    <t>24</t>
  </si>
  <si>
    <t>25</t>
  </si>
  <si>
    <t>F157</t>
  </si>
  <si>
    <t>FA000000000354253927</t>
  </si>
  <si>
    <t>ARA17397</t>
  </si>
  <si>
    <t>MAD8966</t>
  </si>
  <si>
    <t>446</t>
  </si>
  <si>
    <t>POT9069</t>
  </si>
  <si>
    <t>FI58203</t>
  </si>
  <si>
    <t>FV00024492</t>
  </si>
  <si>
    <t>RP00025648</t>
  </si>
  <si>
    <t>PTIN23018</t>
  </si>
  <si>
    <t>M14688</t>
  </si>
  <si>
    <t>3130</t>
  </si>
  <si>
    <t>3131</t>
  </si>
  <si>
    <t>MAD9026</t>
  </si>
  <si>
    <t>15399</t>
  </si>
  <si>
    <t>1970</t>
  </si>
  <si>
    <t>MH1590</t>
  </si>
  <si>
    <t>DEL26312</t>
  </si>
  <si>
    <t>MAD9050</t>
  </si>
  <si>
    <t>TP352161114253518380P1-401453117T1-4</t>
  </si>
  <si>
    <t>TP352161114253517356P1-401453117T1-0</t>
  </si>
  <si>
    <t>3242</t>
  </si>
  <si>
    <t>1978</t>
  </si>
  <si>
    <t>FA000000000361766383</t>
  </si>
  <si>
    <t>TPB1-349708198T1-1</t>
  </si>
  <si>
    <t>TPB1-349708198T1-0</t>
  </si>
  <si>
    <t>TPB1-349708198T1-4</t>
  </si>
  <si>
    <t>3296</t>
  </si>
  <si>
    <t>AG-15938</t>
  </si>
  <si>
    <t>F1162</t>
  </si>
  <si>
    <t>DEL26452</t>
  </si>
  <si>
    <t>F1701</t>
  </si>
  <si>
    <t>F1702</t>
  </si>
  <si>
    <t>F1703</t>
  </si>
  <si>
    <t>F1704</t>
  </si>
  <si>
    <t>F1705</t>
  </si>
  <si>
    <t>F1706</t>
  </si>
  <si>
    <t>F1707</t>
  </si>
  <si>
    <t>A598</t>
  </si>
  <si>
    <t>A599</t>
  </si>
  <si>
    <t>MH1700</t>
  </si>
  <si>
    <t>1989</t>
  </si>
  <si>
    <t>3334</t>
  </si>
  <si>
    <t>EMS64691</t>
  </si>
  <si>
    <t>FA000000000365553835</t>
  </si>
  <si>
    <t>PF0070005806</t>
  </si>
  <si>
    <t>POT9119</t>
  </si>
  <si>
    <t>F1184</t>
  </si>
  <si>
    <t>DEL8992</t>
  </si>
  <si>
    <t>POT9123</t>
  </si>
  <si>
    <t>2017</t>
  </si>
  <si>
    <t>451</t>
  </si>
  <si>
    <t>FI58751</t>
  </si>
  <si>
    <t>PRFC1149</t>
  </si>
  <si>
    <t>3459</t>
  </si>
  <si>
    <t>PAFC1153</t>
  </si>
  <si>
    <t>M14908</t>
  </si>
  <si>
    <t>TP352688883951755447P1-409251017T1-0-1</t>
  </si>
  <si>
    <t>TP352688883951756471P1-409251017T1-4-1</t>
  </si>
  <si>
    <t>PF0070462550</t>
  </si>
  <si>
    <t>PTIN25014</t>
  </si>
  <si>
    <t>PF0070592862</t>
  </si>
  <si>
    <t>2996</t>
  </si>
  <si>
    <t>FA000000000373054803</t>
  </si>
  <si>
    <t>DEL9046</t>
  </si>
  <si>
    <t>DEL9047</t>
  </si>
  <si>
    <t>DEL9048</t>
  </si>
  <si>
    <t>3522</t>
  </si>
  <si>
    <t>H437</t>
  </si>
  <si>
    <t>PF0070727531</t>
  </si>
  <si>
    <t>TPB1-355477193T1-4</t>
  </si>
  <si>
    <t>TPB1-355477193T1-1</t>
  </si>
  <si>
    <t>TPB1-355477193T1-0</t>
  </si>
  <si>
    <t>DEL26796</t>
  </si>
  <si>
    <t>A662</t>
  </si>
  <si>
    <t>A663</t>
  </si>
  <si>
    <t>POT9149</t>
  </si>
  <si>
    <t>MH1890</t>
  </si>
  <si>
    <t>VSJAF1647</t>
  </si>
  <si>
    <t>DEL9082</t>
  </si>
  <si>
    <t>F1208</t>
  </si>
  <si>
    <t>V12459631</t>
  </si>
  <si>
    <t>DEL26894</t>
  </si>
  <si>
    <t>FV25215</t>
  </si>
  <si>
    <t>FI59047</t>
  </si>
  <si>
    <t>3595</t>
  </si>
  <si>
    <t>DEL9106</t>
  </si>
  <si>
    <t>3621</t>
  </si>
  <si>
    <t>456</t>
  </si>
  <si>
    <t>2055</t>
  </si>
  <si>
    <t>2056</t>
  </si>
  <si>
    <t>LIB400945</t>
  </si>
  <si>
    <t>F1216</t>
  </si>
  <si>
    <t>AG-16612</t>
  </si>
  <si>
    <t>POT9172</t>
  </si>
  <si>
    <t>COFCO0360608</t>
  </si>
  <si>
    <t>M15094</t>
  </si>
  <si>
    <t>FSJ6384</t>
  </si>
  <si>
    <t>MH2017</t>
  </si>
  <si>
    <t>MH2018</t>
  </si>
  <si>
    <t>MH2019</t>
  </si>
  <si>
    <t>MAD9356</t>
  </si>
  <si>
    <t>3677</t>
  </si>
  <si>
    <t>F1219</t>
  </si>
  <si>
    <t>LAZ202412181053562427</t>
  </si>
  <si>
    <t>PGMAT_221_00001</t>
  </si>
  <si>
    <t>MAD9367</t>
  </si>
  <si>
    <t>MAD9368</t>
  </si>
  <si>
    <t>FV25482</t>
  </si>
  <si>
    <t>PGMAT_222_00001</t>
  </si>
  <si>
    <t>3692</t>
  </si>
  <si>
    <t>FV25531</t>
  </si>
  <si>
    <t>COFCO0361141</t>
  </si>
  <si>
    <t>PTIN26700</t>
  </si>
  <si>
    <t>3720</t>
  </si>
  <si>
    <t>TP353234246157222838P1-417576361T1-4-1</t>
  </si>
  <si>
    <t>TP353234246157225398P1-417576361T1-0-1</t>
  </si>
  <si>
    <t>F1756</t>
  </si>
  <si>
    <t>PF0071991589</t>
  </si>
  <si>
    <t>H463</t>
  </si>
  <si>
    <t>3746</t>
  </si>
  <si>
    <t>MAD9398</t>
  </si>
  <si>
    <t>MAD9399</t>
  </si>
  <si>
    <t>MAD9400</t>
  </si>
  <si>
    <t>MAD9401</t>
  </si>
  <si>
    <t>FA000000000384385391</t>
  </si>
  <si>
    <t>EMS66875</t>
  </si>
  <si>
    <t>EMS66877</t>
  </si>
  <si>
    <t>3756</t>
  </si>
  <si>
    <t>F1765</t>
  </si>
  <si>
    <t>F1766</t>
  </si>
  <si>
    <t>F1767</t>
  </si>
  <si>
    <t>CFDI8239572626</t>
  </si>
  <si>
    <t>3176</t>
  </si>
  <si>
    <t>TPB1-361102261T1-0</t>
  </si>
  <si>
    <t>TPB1-361102261T1-1</t>
  </si>
  <si>
    <t>TPB1-361102261T1-4</t>
  </si>
  <si>
    <t>2071</t>
  </si>
  <si>
    <t>H472</t>
  </si>
  <si>
    <t>EMS67054</t>
  </si>
  <si>
    <t>PTIN27037</t>
  </si>
  <si>
    <t>MH2104</t>
  </si>
  <si>
    <t>145</t>
  </si>
  <si>
    <t>146</t>
  </si>
  <si>
    <t>3801</t>
  </si>
  <si>
    <t>F1235</t>
  </si>
  <si>
    <t>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</si>
</sst>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#,##0.00_ ;[Red]\-#,##0.00\ "/>
    <numFmt numFmtId="166" formatCode="_ &quot;$&quot;* #,##0.00_ ;_ &quot;$&quot;* \-#,##0.00_ ;_ &quot;$&quot;* &quot;-&quot;??_ ;_ @_ "/>
    <numFmt numFmtId="167" formatCode="0.0"/>
    <numFmt numFmtId="168" formatCode="0.0%"/>
    <numFmt numFmtId="169" formatCode="#,##0.000000000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sz val="6"/>
      <color theme="1"/>
      <name val="Arial"/>
      <family val="2"/>
    </font>
    <font>
      <sz val="24"/>
      <color theme="1"/>
      <name val="Arial"/>
      <family val="2"/>
    </font>
    <font>
      <sz val="9"/>
      <color indexed="8"/>
      <name val="Arial"/>
      <family val="2"/>
    </font>
    <font>
      <sz val="8"/>
      <color indexed="8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name val="Arial"/>
      <family val="2"/>
    </font>
    <font>
      <sz val="12"/>
      <name val="Calibri"/>
      <family val="2"/>
    </font>
    <font>
      <u/>
      <sz val="12"/>
      <name val="Algerian"/>
      <family val="5"/>
    </font>
    <font>
      <b/>
      <u val="singleAccounting"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u/>
      <sz val="14"/>
      <color theme="1"/>
      <name val="Arial Rounded MT Bold"/>
      <family val="2"/>
    </font>
    <font>
      <sz val="14"/>
      <color theme="1"/>
      <name val="Arial Rounded MT Bold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Roboto"/>
    </font>
    <font>
      <b/>
      <sz val="10"/>
      <color rgb="FF363636"/>
      <name val="Roboto"/>
    </font>
    <font>
      <b/>
      <sz val="12"/>
      <color theme="7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FF0000"/>
      <name val="Baskerville Old Face"/>
      <family val="1"/>
    </font>
    <font>
      <b/>
      <sz val="11"/>
      <color rgb="FFFF0000"/>
      <name val="Baskerville Old Face"/>
      <family val="1"/>
    </font>
    <font>
      <b/>
      <sz val="12"/>
      <color rgb="FFC00000"/>
      <name val="Baskerville Old Face"/>
      <family val="1"/>
    </font>
    <font>
      <b/>
      <sz val="11"/>
      <color rgb="FFC00000"/>
      <name val="Baskerville Old Face"/>
      <family val="1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23" fillId="0" borderId="0" applyNumberFormat="0" applyFill="0" applyBorder="0" applyAlignment="0" applyProtection="0"/>
  </cellStyleXfs>
  <cellXfs count="339">
    <xf numFmtId="0" fontId="0" fillId="0" borderId="0" xfId="0"/>
    <xf numFmtId="0" fontId="0" fillId="3" borderId="0" xfId="0" applyFill="1"/>
    <xf numFmtId="0" fontId="4" fillId="2" borderId="0" xfId="2" applyNumberFormat="1" applyFont="1" applyFill="1" applyAlignment="1">
      <alignment horizontal="center"/>
    </xf>
    <xf numFmtId="0" fontId="4" fillId="0" borderId="0" xfId="2" applyNumberFormat="1" applyFont="1" applyAlignment="1">
      <alignment horizontal="center"/>
    </xf>
    <xf numFmtId="44" fontId="0" fillId="0" borderId="0" xfId="2" applyFont="1" applyFill="1" applyBorder="1" applyAlignment="1">
      <alignment horizontal="center"/>
    </xf>
    <xf numFmtId="0" fontId="3" fillId="0" borderId="0" xfId="0" applyFont="1"/>
    <xf numFmtId="44" fontId="3" fillId="2" borderId="1" xfId="2" applyFont="1" applyFill="1" applyBorder="1" applyAlignment="1">
      <alignment horizontal="center"/>
    </xf>
    <xf numFmtId="44" fontId="3" fillId="0" borderId="1" xfId="2" applyFont="1" applyBorder="1" applyAlignment="1">
      <alignment horizontal="center"/>
    </xf>
    <xf numFmtId="44" fontId="3" fillId="0" borderId="0" xfId="2" applyFont="1" applyFill="1" applyBorder="1" applyAlignment="1">
      <alignment horizontal="center"/>
    </xf>
    <xf numFmtId="0" fontId="5" fillId="0" borderId="1" xfId="0" applyFont="1" applyBorder="1"/>
    <xf numFmtId="164" fontId="0" fillId="4" borderId="0" xfId="2" applyNumberFormat="1" applyFont="1" applyFill="1" applyAlignment="1">
      <alignment horizontal="center"/>
    </xf>
    <xf numFmtId="44" fontId="0" fillId="4" borderId="0" xfId="2" applyFont="1" applyFill="1"/>
    <xf numFmtId="164" fontId="0" fillId="2" borderId="0" xfId="2" applyNumberFormat="1" applyFon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6" fillId="0" borderId="1" xfId="0" applyFont="1" applyBorder="1"/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 applyBorder="1" applyAlignment="1">
      <alignment horizontal="center"/>
    </xf>
    <xf numFmtId="164" fontId="3" fillId="2" borderId="2" xfId="0" applyNumberFormat="1" applyFont="1" applyFill="1" applyBorder="1"/>
    <xf numFmtId="164" fontId="0" fillId="4" borderId="0" xfId="0" applyNumberFormat="1" applyFill="1"/>
    <xf numFmtId="0" fontId="5" fillId="0" borderId="0" xfId="0" applyFont="1"/>
    <xf numFmtId="164" fontId="0" fillId="2" borderId="0" xfId="2" applyNumberFormat="1" applyFont="1" applyFill="1" applyAlignment="1">
      <alignment horizontal="center"/>
    </xf>
    <xf numFmtId="164" fontId="7" fillId="2" borderId="0" xfId="2" applyNumberFormat="1" applyFont="1" applyFill="1" applyAlignment="1">
      <alignment horizontal="center"/>
    </xf>
    <xf numFmtId="0" fontId="5" fillId="3" borderId="1" xfId="0" applyFont="1" applyFill="1" applyBorder="1"/>
    <xf numFmtId="164" fontId="7" fillId="3" borderId="0" xfId="2" applyNumberFormat="1" applyFont="1" applyFill="1" applyAlignment="1">
      <alignment horizontal="center"/>
    </xf>
    <xf numFmtId="164" fontId="0" fillId="3" borderId="0" xfId="2" applyNumberFormat="1" applyFont="1" applyFill="1" applyBorder="1" applyAlignment="1">
      <alignment horizontal="center"/>
    </xf>
    <xf numFmtId="164" fontId="0" fillId="3" borderId="0" xfId="0" applyNumberFormat="1" applyFill="1"/>
    <xf numFmtId="0" fontId="5" fillId="4" borderId="1" xfId="0" applyFont="1" applyFill="1" applyBorder="1"/>
    <xf numFmtId="0" fontId="0" fillId="4" borderId="0" xfId="0" applyFill="1"/>
    <xf numFmtId="164" fontId="0" fillId="4" borderId="0" xfId="2" applyNumberFormat="1" applyFont="1" applyFill="1" applyBorder="1" applyAlignment="1">
      <alignment horizontal="center"/>
    </xf>
    <xf numFmtId="44" fontId="0" fillId="2" borderId="0" xfId="0" applyNumberFormat="1" applyFill="1"/>
    <xf numFmtId="0" fontId="5" fillId="5" borderId="1" xfId="0" applyFont="1" applyFill="1" applyBorder="1"/>
    <xf numFmtId="0" fontId="0" fillId="5" borderId="0" xfId="0" applyFill="1"/>
    <xf numFmtId="164" fontId="3" fillId="2" borderId="1" xfId="2" applyNumberFormat="1" applyFont="1" applyFill="1" applyBorder="1" applyAlignment="1">
      <alignment horizontal="center"/>
    </xf>
    <xf numFmtId="164" fontId="3" fillId="5" borderId="1" xfId="2" applyNumberFormat="1" applyFont="1" applyFill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164" fontId="3" fillId="0" borderId="0" xfId="2" applyNumberFormat="1" applyFont="1" applyFill="1" applyBorder="1" applyAlignment="1">
      <alignment horizontal="center"/>
    </xf>
    <xf numFmtId="164" fontId="3" fillId="0" borderId="2" xfId="2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164" fontId="0" fillId="0" borderId="0" xfId="2" applyNumberFormat="1" applyFont="1" applyFill="1" applyAlignment="1">
      <alignment horizontal="center"/>
    </xf>
    <xf numFmtId="164" fontId="8" fillId="2" borderId="0" xfId="2" applyNumberFormat="1" applyFont="1" applyFill="1" applyAlignment="1">
      <alignment horizontal="center"/>
    </xf>
    <xf numFmtId="164" fontId="0" fillId="2" borderId="3" xfId="2" applyNumberFormat="1" applyFont="1" applyFill="1" applyBorder="1" applyAlignment="1">
      <alignment horizontal="center"/>
    </xf>
    <xf numFmtId="10" fontId="8" fillId="2" borderId="0" xfId="3" applyNumberFormat="1" applyFont="1" applyFill="1" applyAlignment="1">
      <alignment horizontal="center"/>
    </xf>
    <xf numFmtId="164" fontId="0" fillId="3" borderId="0" xfId="2" applyNumberFormat="1" applyFont="1" applyFill="1" applyAlignment="1">
      <alignment horizontal="center"/>
    </xf>
    <xf numFmtId="164" fontId="3" fillId="4" borderId="2" xfId="2" applyNumberFormat="1" applyFont="1" applyFill="1" applyBorder="1" applyAlignment="1">
      <alignment horizontal="center"/>
    </xf>
    <xf numFmtId="44" fontId="0" fillId="0" borderId="0" xfId="2" applyFont="1"/>
    <xf numFmtId="0" fontId="0" fillId="6" borderId="0" xfId="0" applyFill="1"/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 indent="1"/>
    </xf>
    <xf numFmtId="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 wrapText="1" indent="4"/>
    </xf>
    <xf numFmtId="4" fontId="11" fillId="0" borderId="0" xfId="0" applyNumberFormat="1" applyFont="1" applyAlignment="1">
      <alignment horizontal="left" vertical="center" wrapText="1" indent="4"/>
    </xf>
    <xf numFmtId="4" fontId="11" fillId="0" borderId="0" xfId="0" applyNumberFormat="1" applyFont="1" applyAlignment="1">
      <alignment horizontal="left" vertical="center" wrapText="1" indent="3"/>
    </xf>
    <xf numFmtId="4" fontId="10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left" vertical="center" wrapText="1" indent="2"/>
    </xf>
    <xf numFmtId="4" fontId="11" fillId="0" borderId="6" xfId="0" applyNumberFormat="1" applyFont="1" applyBorder="1" applyAlignment="1">
      <alignment horizontal="left" vertical="center" wrapText="1" indent="2"/>
    </xf>
    <xf numFmtId="0" fontId="11" fillId="0" borderId="6" xfId="0" applyFont="1" applyBorder="1" applyAlignment="1">
      <alignment horizontal="left" vertical="center" wrapText="1" indent="3"/>
    </xf>
    <xf numFmtId="4" fontId="11" fillId="0" borderId="6" xfId="0" applyNumberFormat="1" applyFont="1" applyBorder="1" applyAlignment="1">
      <alignment horizontal="right" vertical="center" wrapText="1"/>
    </xf>
    <xf numFmtId="0" fontId="11" fillId="0" borderId="6" xfId="0" applyFont="1" applyBorder="1" applyAlignment="1">
      <alignment horizontal="right" vertical="center" wrapText="1"/>
    </xf>
    <xf numFmtId="4" fontId="10" fillId="0" borderId="4" xfId="0" applyNumberFormat="1" applyFont="1" applyBorder="1" applyAlignment="1">
      <alignment horizontal="center" vertical="center" wrapText="1"/>
    </xf>
    <xf numFmtId="4" fontId="10" fillId="0" borderId="4" xfId="0" applyNumberFormat="1" applyFont="1" applyBorder="1" applyAlignment="1">
      <alignment horizontal="right" vertical="center" wrapText="1"/>
    </xf>
    <xf numFmtId="0" fontId="12" fillId="0" borderId="6" xfId="0" applyFont="1" applyBorder="1" applyAlignment="1">
      <alignment horizontal="right" vertical="center" wrapText="1"/>
    </xf>
    <xf numFmtId="0" fontId="13" fillId="0" borderId="7" xfId="0" applyFont="1" applyBorder="1" applyAlignment="1">
      <alignment horizontal="justify"/>
    </xf>
    <xf numFmtId="0" fontId="0" fillId="0" borderId="7" xfId="0" applyBorder="1"/>
    <xf numFmtId="0" fontId="10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4" fontId="11" fillId="0" borderId="8" xfId="0" applyNumberFormat="1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 wrapText="1"/>
    </xf>
    <xf numFmtId="10" fontId="10" fillId="0" borderId="0" xfId="3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center" vertical="center" wrapText="1"/>
    </xf>
    <xf numFmtId="4" fontId="11" fillId="0" borderId="0" xfId="0" applyNumberFormat="1" applyFont="1"/>
    <xf numFmtId="0" fontId="11" fillId="0" borderId="0" xfId="0" applyFont="1"/>
    <xf numFmtId="10" fontId="10" fillId="0" borderId="4" xfId="3" applyNumberFormat="1" applyFont="1" applyBorder="1" applyAlignment="1">
      <alignment horizontal="right" vertical="center" wrapText="1"/>
    </xf>
    <xf numFmtId="0" fontId="10" fillId="0" borderId="4" xfId="0" applyFont="1" applyBorder="1" applyAlignment="1">
      <alignment horizontal="right" vertical="center" wrapText="1"/>
    </xf>
    <xf numFmtId="4" fontId="11" fillId="0" borderId="8" xfId="0" applyNumberFormat="1" applyFont="1" applyBorder="1" applyAlignment="1">
      <alignment horizontal="left" vertical="center" wrapText="1" indent="4"/>
    </xf>
    <xf numFmtId="0" fontId="0" fillId="0" borderId="0" xfId="0" applyAlignment="1">
      <alignment wrapText="1"/>
    </xf>
    <xf numFmtId="0" fontId="14" fillId="0" borderId="0" xfId="0" applyFont="1"/>
    <xf numFmtId="4" fontId="11" fillId="0" borderId="8" xfId="0" applyNumberFormat="1" applyFont="1" applyBorder="1" applyAlignment="1">
      <alignment horizontal="center" vertical="center" wrapText="1"/>
    </xf>
    <xf numFmtId="10" fontId="10" fillId="0" borderId="0" xfId="3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" fontId="11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10" fontId="10" fillId="0" borderId="4" xfId="3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10" fontId="0" fillId="2" borderId="0" xfId="0" applyNumberFormat="1" applyFill="1"/>
    <xf numFmtId="0" fontId="15" fillId="7" borderId="1" xfId="0" applyFont="1" applyFill="1" applyBorder="1"/>
    <xf numFmtId="16" fontId="15" fillId="8" borderId="1" xfId="0" applyNumberFormat="1" applyFont="1" applyFill="1" applyBorder="1"/>
    <xf numFmtId="0" fontId="15" fillId="4" borderId="1" xfId="0" applyFont="1" applyFill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5" fontId="15" fillId="8" borderId="1" xfId="0" applyNumberFormat="1" applyFont="1" applyFill="1" applyBorder="1"/>
    <xf numFmtId="165" fontId="15" fillId="0" borderId="1" xfId="0" applyNumberFormat="1" applyFont="1" applyBorder="1"/>
    <xf numFmtId="0" fontId="15" fillId="7" borderId="9" xfId="0" applyFont="1" applyFill="1" applyBorder="1"/>
    <xf numFmtId="0" fontId="15" fillId="4" borderId="9" xfId="0" applyFont="1" applyFill="1" applyBorder="1"/>
    <xf numFmtId="14" fontId="15" fillId="8" borderId="1" xfId="0" applyNumberFormat="1" applyFont="1" applyFill="1" applyBorder="1"/>
    <xf numFmtId="165" fontId="0" fillId="0" borderId="0" xfId="0" applyNumberFormat="1"/>
    <xf numFmtId="0" fontId="16" fillId="0" borderId="1" xfId="4" applyFont="1" applyBorder="1" applyAlignment="1">
      <alignment horizontal="center" vertical="center" wrapText="1"/>
    </xf>
    <xf numFmtId="16" fontId="16" fillId="0" borderId="1" xfId="4" applyNumberFormat="1" applyFont="1" applyBorder="1" applyAlignment="1">
      <alignment horizontal="center" vertical="center" wrapText="1"/>
    </xf>
    <xf numFmtId="165" fontId="16" fillId="0" borderId="1" xfId="4" applyNumberFormat="1" applyFont="1" applyBorder="1" applyAlignment="1">
      <alignment horizontal="center" vertical="center" wrapText="1"/>
    </xf>
    <xf numFmtId="0" fontId="15" fillId="9" borderId="0" xfId="0" applyFont="1" applyFill="1"/>
    <xf numFmtId="0" fontId="17" fillId="9" borderId="0" xfId="0" applyFont="1" applyFill="1"/>
    <xf numFmtId="14" fontId="0" fillId="0" borderId="0" xfId="0" applyNumberFormat="1"/>
    <xf numFmtId="0" fontId="18" fillId="0" borderId="0" xfId="0" applyFont="1" applyProtection="1">
      <protection locked="0"/>
    </xf>
    <xf numFmtId="0" fontId="17" fillId="0" borderId="0" xfId="0" applyFont="1"/>
    <xf numFmtId="165" fontId="18" fillId="9" borderId="0" xfId="1" applyNumberFormat="1" applyFont="1" applyFill="1" applyProtection="1">
      <protection locked="0"/>
    </xf>
    <xf numFmtId="165" fontId="17" fillId="9" borderId="0" xfId="0" applyNumberFormat="1" applyFont="1" applyFill="1" applyAlignment="1">
      <alignment horizontal="right"/>
    </xf>
    <xf numFmtId="165" fontId="17" fillId="0" borderId="0" xfId="0" applyNumberFormat="1" applyFont="1" applyAlignment="1">
      <alignment horizontal="right"/>
    </xf>
    <xf numFmtId="16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vertical="top" wrapText="1"/>
    </xf>
    <xf numFmtId="44" fontId="0" fillId="0" borderId="0" xfId="0" applyNumberFormat="1"/>
    <xf numFmtId="9" fontId="0" fillId="0" borderId="0" xfId="0" applyNumberFormat="1"/>
    <xf numFmtId="0" fontId="0" fillId="10" borderId="0" xfId="0" applyFill="1"/>
    <xf numFmtId="0" fontId="7" fillId="0" borderId="0" xfId="0" applyFont="1"/>
    <xf numFmtId="0" fontId="0" fillId="8" borderId="0" xfId="0" applyFill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20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9" fontId="7" fillId="2" borderId="1" xfId="0" applyNumberFormat="1" applyFont="1" applyFill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44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0" fillId="2" borderId="0" xfId="0" applyFont="1" applyFill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wrapText="1"/>
    </xf>
    <xf numFmtId="0" fontId="7" fillId="2" borderId="1" xfId="0" applyFont="1" applyFill="1" applyBorder="1"/>
    <xf numFmtId="9" fontId="7" fillId="2" borderId="1" xfId="0" applyNumberFormat="1" applyFont="1" applyFill="1" applyBorder="1"/>
    <xf numFmtId="44" fontId="0" fillId="2" borderId="1" xfId="0" applyNumberFormat="1" applyFill="1" applyBorder="1"/>
    <xf numFmtId="44" fontId="0" fillId="0" borderId="1" xfId="2" applyFont="1" applyBorder="1"/>
    <xf numFmtId="44" fontId="7" fillId="2" borderId="1" xfId="2" applyFont="1" applyFill="1" applyBorder="1"/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 applyAlignment="1">
      <alignment vertical="top"/>
    </xf>
    <xf numFmtId="9" fontId="0" fillId="2" borderId="1" xfId="0" applyNumberFormat="1" applyFill="1" applyBorder="1"/>
    <xf numFmtId="9" fontId="0" fillId="8" borderId="1" xfId="0" applyNumberFormat="1" applyFill="1" applyBorder="1"/>
    <xf numFmtId="0" fontId="7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44" fontId="0" fillId="0" borderId="0" xfId="2" applyFont="1" applyBorder="1"/>
    <xf numFmtId="166" fontId="0" fillId="0" borderId="0" xfId="0" applyNumberFormat="1"/>
    <xf numFmtId="44" fontId="22" fillId="0" borderId="0" xfId="2" applyFont="1"/>
    <xf numFmtId="0" fontId="0" fillId="0" borderId="0" xfId="0" applyAlignment="1">
      <alignment horizontal="center"/>
    </xf>
    <xf numFmtId="167" fontId="0" fillId="2" borderId="0" xfId="0" applyNumberFormat="1" applyFill="1"/>
    <xf numFmtId="168" fontId="0" fillId="2" borderId="0" xfId="3" applyNumberFormat="1" applyFont="1" applyFill="1"/>
    <xf numFmtId="0" fontId="26" fillId="0" borderId="0" xfId="0" applyFont="1" applyAlignment="1">
      <alignment horizontal="right"/>
    </xf>
    <xf numFmtId="14" fontId="26" fillId="0" borderId="0" xfId="0" applyNumberFormat="1" applyFont="1" applyAlignment="1">
      <alignment horizontal="right"/>
    </xf>
    <xf numFmtId="14" fontId="26" fillId="0" borderId="0" xfId="0" applyNumberFormat="1" applyFont="1"/>
    <xf numFmtId="3" fontId="6" fillId="14" borderId="0" xfId="0" applyNumberFormat="1" applyFont="1" applyFill="1" applyAlignment="1">
      <alignment horizontal="center" vertical="top" wrapText="1"/>
    </xf>
    <xf numFmtId="0" fontId="27" fillId="0" borderId="11" xfId="0" applyFont="1" applyBorder="1"/>
    <xf numFmtId="4" fontId="0" fillId="0" borderId="0" xfId="0" applyNumberFormat="1"/>
    <xf numFmtId="4" fontId="27" fillId="0" borderId="0" xfId="0" applyNumberFormat="1" applyFont="1"/>
    <xf numFmtId="4" fontId="0" fillId="6" borderId="0" xfId="0" applyNumberFormat="1" applyFill="1"/>
    <xf numFmtId="0" fontId="3" fillId="0" borderId="3" xfId="0" applyFont="1" applyBorder="1"/>
    <xf numFmtId="4" fontId="3" fillId="0" borderId="3" xfId="0" applyNumberFormat="1" applyFont="1" applyBorder="1"/>
    <xf numFmtId="4" fontId="0" fillId="13" borderId="0" xfId="0" applyNumberFormat="1" applyFill="1"/>
    <xf numFmtId="4" fontId="3" fillId="0" borderId="0" xfId="0" applyNumberFormat="1" applyFont="1"/>
    <xf numFmtId="4" fontId="0" fillId="4" borderId="0" xfId="0" applyNumberFormat="1" applyFill="1"/>
    <xf numFmtId="169" fontId="0" fillId="0" borderId="0" xfId="0" applyNumberFormat="1"/>
    <xf numFmtId="0" fontId="28" fillId="15" borderId="0" xfId="0" applyFont="1" applyFill="1"/>
    <xf numFmtId="4" fontId="3" fillId="15" borderId="0" xfId="0" applyNumberFormat="1" applyFont="1" applyFill="1"/>
    <xf numFmtId="0" fontId="3" fillId="15" borderId="1" xfId="0" applyFont="1" applyFill="1" applyBorder="1"/>
    <xf numFmtId="3" fontId="3" fillId="15" borderId="1" xfId="0" applyNumberFormat="1" applyFont="1" applyFill="1" applyBorder="1"/>
    <xf numFmtId="3" fontId="3" fillId="13" borderId="1" xfId="0" applyNumberFormat="1" applyFont="1" applyFill="1" applyBorder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0" fillId="0" borderId="0" xfId="0" applyAlignment="1">
      <alignment horizontal="right"/>
    </xf>
    <xf numFmtId="44" fontId="0" fillId="4" borderId="0" xfId="0" applyNumberFormat="1" applyFill="1"/>
    <xf numFmtId="44" fontId="25" fillId="2" borderId="0" xfId="0" applyNumberFormat="1" applyFont="1" applyFill="1"/>
    <xf numFmtId="0" fontId="0" fillId="2" borderId="0" xfId="0" applyFill="1" applyAlignment="1">
      <alignment horizontal="center"/>
    </xf>
    <xf numFmtId="0" fontId="7" fillId="2" borderId="0" xfId="0" applyFont="1" applyFill="1"/>
    <xf numFmtId="0" fontId="0" fillId="5" borderId="0" xfId="0" applyFill="1" applyAlignment="1">
      <alignment horizontal="center"/>
    </xf>
    <xf numFmtId="0" fontId="0" fillId="2" borderId="0" xfId="0" applyFill="1" applyAlignment="1">
      <alignment horizontal="right"/>
    </xf>
    <xf numFmtId="43" fontId="0" fillId="0" borderId="0" xfId="0" applyNumberFormat="1"/>
    <xf numFmtId="0" fontId="24" fillId="2" borderId="0" xfId="0" applyFont="1" applyFill="1" applyAlignment="1">
      <alignment horizontal="left"/>
    </xf>
    <xf numFmtId="0" fontId="32" fillId="0" borderId="0" xfId="0" applyFont="1" applyAlignment="1">
      <alignment vertical="center" wrapText="1"/>
    </xf>
    <xf numFmtId="0" fontId="34" fillId="16" borderId="0" xfId="0" applyFont="1" applyFill="1" applyAlignment="1">
      <alignment horizontal="center" vertical="top" wrapText="1"/>
    </xf>
    <xf numFmtId="0" fontId="33" fillId="16" borderId="0" xfId="0" applyFont="1" applyFill="1" applyAlignment="1">
      <alignment horizontal="right" vertical="top" wrapText="1"/>
    </xf>
    <xf numFmtId="4" fontId="33" fillId="16" borderId="0" xfId="0" applyNumberFormat="1" applyFont="1" applyFill="1" applyAlignment="1">
      <alignment horizontal="right" vertical="top" wrapText="1"/>
    </xf>
    <xf numFmtId="164" fontId="0" fillId="2" borderId="0" xfId="2" applyNumberFormat="1" applyFont="1" applyFill="1"/>
    <xf numFmtId="0" fontId="24" fillId="0" borderId="0" xfId="0" applyFont="1"/>
    <xf numFmtId="0" fontId="23" fillId="0" borderId="0" xfId="5"/>
    <xf numFmtId="0" fontId="35" fillId="0" borderId="0" xfId="0" applyFont="1"/>
    <xf numFmtId="0" fontId="15" fillId="17" borderId="1" xfId="0" applyFont="1" applyFill="1" applyBorder="1"/>
    <xf numFmtId="0" fontId="0" fillId="17" borderId="1" xfId="0" applyFill="1" applyBorder="1"/>
    <xf numFmtId="49" fontId="0" fillId="17" borderId="1" xfId="0" applyNumberFormat="1" applyFill="1" applyBorder="1"/>
    <xf numFmtId="0" fontId="23" fillId="17" borderId="1" xfId="5" applyFill="1" applyBorder="1"/>
    <xf numFmtId="0" fontId="15" fillId="18" borderId="1" xfId="0" applyFont="1" applyFill="1" applyBorder="1"/>
    <xf numFmtId="0" fontId="0" fillId="18" borderId="1" xfId="0" applyFill="1" applyBorder="1"/>
    <xf numFmtId="49" fontId="0" fillId="18" borderId="1" xfId="0" applyNumberFormat="1" applyFill="1" applyBorder="1"/>
    <xf numFmtId="0" fontId="23" fillId="18" borderId="1" xfId="5" applyFill="1" applyBorder="1"/>
    <xf numFmtId="0" fontId="23" fillId="0" borderId="0" xfId="5" applyFill="1"/>
    <xf numFmtId="0" fontId="0" fillId="19" borderId="9" xfId="0" applyFill="1" applyBorder="1"/>
    <xf numFmtId="0" fontId="0" fillId="19" borderId="0" xfId="0" applyFill="1"/>
    <xf numFmtId="0" fontId="0" fillId="20" borderId="12" xfId="0" applyFill="1" applyBorder="1"/>
    <xf numFmtId="44" fontId="1" fillId="20" borderId="15" xfId="2" applyFont="1" applyFill="1" applyBorder="1"/>
    <xf numFmtId="0" fontId="0" fillId="21" borderId="12" xfId="0" applyFill="1" applyBorder="1"/>
    <xf numFmtId="44" fontId="1" fillId="21" borderId="15" xfId="2" applyFont="1" applyFill="1" applyBorder="1"/>
    <xf numFmtId="44" fontId="36" fillId="19" borderId="20" xfId="2" applyFont="1" applyFill="1" applyBorder="1" applyAlignment="1">
      <alignment wrapText="1"/>
    </xf>
    <xf numFmtId="44" fontId="37" fillId="19" borderId="24" xfId="2" applyFont="1" applyFill="1" applyBorder="1" applyAlignment="1"/>
    <xf numFmtId="0" fontId="0" fillId="24" borderId="16" xfId="0" applyFill="1" applyBorder="1"/>
    <xf numFmtId="44" fontId="0" fillId="24" borderId="17" xfId="0" applyNumberFormat="1" applyFill="1" applyBorder="1"/>
    <xf numFmtId="44" fontId="0" fillId="24" borderId="0" xfId="2" applyFont="1" applyFill="1"/>
    <xf numFmtId="44" fontId="38" fillId="7" borderId="27" xfId="2" applyFont="1" applyFill="1" applyBorder="1"/>
    <xf numFmtId="44" fontId="38" fillId="7" borderId="1" xfId="2" applyFont="1" applyFill="1" applyBorder="1"/>
    <xf numFmtId="44" fontId="38" fillId="7" borderId="28" xfId="2" applyFont="1" applyFill="1" applyBorder="1"/>
    <xf numFmtId="44" fontId="38" fillId="0" borderId="0" xfId="2" applyFont="1"/>
    <xf numFmtId="44" fontId="38" fillId="23" borderId="27" xfId="2" applyFont="1" applyFill="1" applyBorder="1"/>
    <xf numFmtId="44" fontId="38" fillId="23" borderId="1" xfId="2" applyFont="1" applyFill="1" applyBorder="1"/>
    <xf numFmtId="44" fontId="38" fillId="23" borderId="28" xfId="2" applyFont="1" applyFill="1" applyBorder="1"/>
    <xf numFmtId="44" fontId="24" fillId="0" borderId="0" xfId="0" applyNumberFormat="1" applyFont="1"/>
    <xf numFmtId="44" fontId="0" fillId="0" borderId="0" xfId="2" applyFont="1" applyAlignment="1">
      <alignment horizontal="left" vertical="top"/>
    </xf>
    <xf numFmtId="44" fontId="0" fillId="26" borderId="29" xfId="2" applyFont="1" applyFill="1" applyBorder="1" applyAlignment="1">
      <alignment horizontal="left" vertical="top"/>
    </xf>
    <xf numFmtId="0" fontId="0" fillId="26" borderId="29" xfId="2" applyNumberFormat="1" applyFont="1" applyFill="1" applyBorder="1" applyAlignment="1">
      <alignment horizontal="left" vertical="top"/>
    </xf>
    <xf numFmtId="0" fontId="0" fillId="0" borderId="0" xfId="2" applyNumberFormat="1" applyFont="1" applyAlignment="1">
      <alignment horizontal="left" vertical="top"/>
    </xf>
    <xf numFmtId="44" fontId="24" fillId="0" borderId="0" xfId="2" applyFont="1"/>
    <xf numFmtId="14" fontId="15" fillId="8" borderId="9" xfId="0" applyNumberFormat="1" applyFont="1" applyFill="1" applyBorder="1"/>
    <xf numFmtId="0" fontId="2" fillId="22" borderId="1" xfId="4" applyFont="1" applyFill="1" applyBorder="1" applyAlignment="1">
      <alignment horizontal="center" vertical="center" wrapText="1"/>
    </xf>
    <xf numFmtId="14" fontId="2" fillId="22" borderId="1" xfId="4" applyNumberFormat="1" applyFont="1" applyFill="1" applyBorder="1" applyAlignment="1">
      <alignment horizontal="center" vertical="center" wrapText="1"/>
    </xf>
    <xf numFmtId="165" fontId="2" fillId="22" borderId="1" xfId="4" applyNumberFormat="1" applyFont="1" applyFill="1" applyBorder="1" applyAlignment="1">
      <alignment horizontal="center" vertical="center" wrapText="1"/>
    </xf>
    <xf numFmtId="0" fontId="15" fillId="18" borderId="31" xfId="0" applyFont="1" applyFill="1" applyBorder="1"/>
    <xf numFmtId="165" fontId="2" fillId="22" borderId="31" xfId="4" applyNumberFormat="1" applyFont="1" applyFill="1" applyBorder="1" applyAlignment="1">
      <alignment horizontal="center" vertical="center" wrapText="1"/>
    </xf>
    <xf numFmtId="0" fontId="43" fillId="21" borderId="1" xfId="0" applyFont="1" applyFill="1" applyBorder="1"/>
    <xf numFmtId="44" fontId="0" fillId="20" borderId="13" xfId="2" applyFont="1" applyFill="1" applyBorder="1"/>
    <xf numFmtId="44" fontId="0" fillId="20" borderId="14" xfId="2" applyFont="1" applyFill="1" applyBorder="1"/>
    <xf numFmtId="44" fontId="0" fillId="21" borderId="13" xfId="2" applyFont="1" applyFill="1" applyBorder="1"/>
    <xf numFmtId="44" fontId="0" fillId="21" borderId="14" xfId="2" applyFont="1" applyFill="1" applyBorder="1"/>
    <xf numFmtId="44" fontId="37" fillId="19" borderId="23" xfId="2" applyFont="1" applyFill="1" applyBorder="1"/>
    <xf numFmtId="44" fontId="37" fillId="19" borderId="22" xfId="2" applyFont="1" applyFill="1" applyBorder="1"/>
    <xf numFmtId="16" fontId="15" fillId="0" borderId="1" xfId="0" applyNumberFormat="1" applyFont="1" applyBorder="1"/>
    <xf numFmtId="165" fontId="16" fillId="0" borderId="31" xfId="4" applyNumberFormat="1" applyFont="1" applyBorder="1" applyAlignment="1">
      <alignment horizontal="center" vertical="center" wrapText="1"/>
    </xf>
    <xf numFmtId="14" fontId="45" fillId="0" borderId="0" xfId="0" applyNumberFormat="1" applyFont="1"/>
    <xf numFmtId="0" fontId="46" fillId="0" borderId="0" xfId="0" applyFont="1" applyProtection="1">
      <protection locked="0"/>
    </xf>
    <xf numFmtId="44" fontId="16" fillId="0" borderId="1" xfId="2" applyFont="1" applyBorder="1" applyAlignment="1">
      <alignment horizontal="center" vertical="center" wrapText="1"/>
    </xf>
    <xf numFmtId="44" fontId="17" fillId="0" borderId="0" xfId="2" applyFont="1"/>
    <xf numFmtId="44" fontId="46" fillId="0" borderId="0" xfId="2" applyFont="1"/>
    <xf numFmtId="44" fontId="17" fillId="0" borderId="0" xfId="2" applyFont="1" applyAlignment="1">
      <alignment horizontal="right"/>
    </xf>
    <xf numFmtId="0" fontId="44" fillId="4" borderId="1" xfId="0" applyFont="1" applyFill="1" applyBorder="1"/>
    <xf numFmtId="0" fontId="44" fillId="0" borderId="1" xfId="0" applyFont="1" applyBorder="1" applyAlignment="1">
      <alignment horizontal="center"/>
    </xf>
    <xf numFmtId="0" fontId="43" fillId="4" borderId="1" xfId="0" applyFont="1" applyFill="1" applyBorder="1"/>
    <xf numFmtId="0" fontId="43" fillId="0" borderId="1" xfId="0" applyFont="1" applyBorder="1" applyAlignment="1">
      <alignment horizontal="center"/>
    </xf>
    <xf numFmtId="16" fontId="47" fillId="0" borderId="1" xfId="0" applyNumberFormat="1" applyFont="1" applyBorder="1"/>
    <xf numFmtId="165" fontId="15" fillId="27" borderId="1" xfId="0" applyNumberFormat="1" applyFont="1" applyFill="1" applyBorder="1"/>
    <xf numFmtId="44" fontId="48" fillId="22" borderId="36" xfId="2" applyFont="1" applyFill="1" applyBorder="1"/>
    <xf numFmtId="44" fontId="48" fillId="22" borderId="30" xfId="2" applyFont="1" applyFill="1" applyBorder="1"/>
    <xf numFmtId="44" fontId="48" fillId="22" borderId="37" xfId="2" applyFont="1" applyFill="1" applyBorder="1"/>
    <xf numFmtId="44" fontId="48" fillId="22" borderId="27" xfId="2" applyFont="1" applyFill="1" applyBorder="1"/>
    <xf numFmtId="44" fontId="48" fillId="22" borderId="1" xfId="2" applyFont="1" applyFill="1" applyBorder="1"/>
    <xf numFmtId="44" fontId="48" fillId="22" borderId="28" xfId="2" applyFont="1" applyFill="1" applyBorder="1"/>
    <xf numFmtId="0" fontId="2" fillId="23" borderId="40" xfId="2" applyNumberFormat="1" applyFont="1" applyFill="1" applyBorder="1" applyAlignment="1">
      <alignment horizontal="left" vertical="top"/>
    </xf>
    <xf numFmtId="0" fontId="2" fillId="23" borderId="30" xfId="2" applyNumberFormat="1" applyFont="1" applyFill="1" applyBorder="1" applyAlignment="1">
      <alignment horizontal="left" vertical="top"/>
    </xf>
    <xf numFmtId="0" fontId="0" fillId="24" borderId="29" xfId="2" applyNumberFormat="1" applyFont="1" applyFill="1" applyBorder="1" applyAlignment="1">
      <alignment horizontal="left" vertical="top"/>
    </xf>
    <xf numFmtId="44" fontId="0" fillId="24" borderId="29" xfId="2" applyFont="1" applyFill="1" applyBorder="1" applyAlignment="1">
      <alignment horizontal="left" vertical="top"/>
    </xf>
    <xf numFmtId="0" fontId="0" fillId="12" borderId="29" xfId="2" applyNumberFormat="1" applyFont="1" applyFill="1" applyBorder="1" applyAlignment="1">
      <alignment horizontal="left" vertical="top"/>
    </xf>
    <xf numFmtId="44" fontId="0" fillId="12" borderId="29" xfId="2" applyFont="1" applyFill="1" applyBorder="1" applyAlignment="1">
      <alignment horizontal="left" vertical="top"/>
    </xf>
    <xf numFmtId="14" fontId="15" fillId="0" borderId="0" xfId="0" applyNumberFormat="1" applyFont="1"/>
    <xf numFmtId="0" fontId="0" fillId="9" borderId="0" xfId="0" applyFill="1"/>
    <xf numFmtId="0" fontId="18" fillId="9" borderId="0" xfId="0" applyFont="1" applyFill="1"/>
    <xf numFmtId="0" fontId="18" fillId="0" borderId="0" xfId="0" applyFont="1"/>
    <xf numFmtId="44" fontId="18" fillId="0" borderId="0" xfId="2" applyFont="1"/>
    <xf numFmtId="165" fontId="18" fillId="9" borderId="0" xfId="0" applyNumberFormat="1" applyFont="1" applyFill="1" applyAlignment="1">
      <alignment horizontal="right"/>
    </xf>
    <xf numFmtId="44" fontId="50" fillId="20" borderId="13" xfId="2" applyFont="1" applyFill="1" applyBorder="1"/>
    <xf numFmtId="44" fontId="50" fillId="21" borderId="13" xfId="2" applyFont="1" applyFill="1" applyBorder="1"/>
    <xf numFmtId="16" fontId="0" fillId="0" borderId="0" xfId="0" applyNumberFormat="1"/>
    <xf numFmtId="0" fontId="15" fillId="0" borderId="31" xfId="0" applyFont="1" applyBorder="1"/>
    <xf numFmtId="0" fontId="51" fillId="24" borderId="29" xfId="2" applyNumberFormat="1" applyFont="1" applyFill="1" applyBorder="1" applyAlignment="1">
      <alignment horizontal="left" vertical="top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3" borderId="0" xfId="0" applyFont="1" applyFill="1" applyAlignment="1">
      <alignment horizontal="center"/>
    </xf>
    <xf numFmtId="14" fontId="6" fillId="12" borderId="0" xfId="0" applyNumberFormat="1" applyFont="1" applyFill="1" applyAlignment="1">
      <alignment horizontal="center"/>
    </xf>
    <xf numFmtId="14" fontId="9" fillId="13" borderId="0" xfId="0" applyNumberFormat="1" applyFont="1" applyFill="1" applyAlignment="1">
      <alignment horizontal="center"/>
    </xf>
    <xf numFmtId="0" fontId="34" fillId="16" borderId="0" xfId="0" applyFont="1" applyFill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4" fontId="0" fillId="19" borderId="0" xfId="2" applyFont="1" applyFill="1" applyBorder="1" applyAlignment="1">
      <alignment horizontal="center" wrapText="1"/>
    </xf>
    <xf numFmtId="44" fontId="0" fillId="19" borderId="32" xfId="2" applyFont="1" applyFill="1" applyBorder="1" applyAlignment="1">
      <alignment horizontal="center" wrapText="1"/>
    </xf>
    <xf numFmtId="0" fontId="24" fillId="19" borderId="1" xfId="0" applyFont="1" applyFill="1" applyBorder="1" applyAlignment="1">
      <alignment horizontal="center"/>
    </xf>
    <xf numFmtId="0" fontId="36" fillId="19" borderId="18" xfId="0" applyFont="1" applyFill="1" applyBorder="1" applyAlignment="1">
      <alignment horizontal="center" wrapText="1"/>
    </xf>
    <xf numFmtId="0" fontId="36" fillId="19" borderId="19" xfId="0" applyFont="1" applyFill="1" applyBorder="1" applyAlignment="1">
      <alignment horizontal="center" wrapText="1"/>
    </xf>
    <xf numFmtId="0" fontId="36" fillId="19" borderId="21" xfId="0" applyFont="1" applyFill="1" applyBorder="1" applyAlignment="1">
      <alignment horizontal="center" wrapText="1"/>
    </xf>
    <xf numFmtId="0" fontId="36" fillId="19" borderId="22" xfId="0" applyFont="1" applyFill="1" applyBorder="1" applyAlignment="1">
      <alignment horizontal="center" wrapText="1"/>
    </xf>
    <xf numFmtId="14" fontId="2" fillId="25" borderId="39" xfId="2" applyNumberFormat="1" applyFont="1" applyFill="1" applyBorder="1" applyAlignment="1">
      <alignment horizontal="center"/>
    </xf>
    <xf numFmtId="44" fontId="2" fillId="25" borderId="39" xfId="2" applyFont="1" applyFill="1" applyBorder="1" applyAlignment="1">
      <alignment horizontal="center"/>
    </xf>
    <xf numFmtId="44" fontId="2" fillId="25" borderId="38" xfId="2" applyFont="1" applyFill="1" applyBorder="1" applyAlignment="1">
      <alignment horizontal="center"/>
    </xf>
    <xf numFmtId="0" fontId="39" fillId="4" borderId="25" xfId="0" applyFont="1" applyFill="1" applyBorder="1" applyAlignment="1">
      <alignment horizontal="center" wrapText="1"/>
    </xf>
    <xf numFmtId="0" fontId="39" fillId="4" borderId="10" xfId="0" applyFont="1" applyFill="1" applyBorder="1" applyAlignment="1">
      <alignment horizontal="center" wrapText="1"/>
    </xf>
    <xf numFmtId="0" fontId="39" fillId="4" borderId="26" xfId="0" applyFont="1" applyFill="1" applyBorder="1" applyAlignment="1">
      <alignment horizontal="center" wrapText="1"/>
    </xf>
    <xf numFmtId="44" fontId="39" fillId="4" borderId="10" xfId="2" applyFont="1" applyFill="1" applyBorder="1" applyAlignment="1">
      <alignment horizontal="center" wrapText="1"/>
    </xf>
    <xf numFmtId="0" fontId="40" fillId="4" borderId="25" xfId="0" applyFont="1" applyFill="1" applyBorder="1" applyAlignment="1">
      <alignment horizontal="center"/>
    </xf>
    <xf numFmtId="0" fontId="40" fillId="4" borderId="26" xfId="0" applyFont="1" applyFill="1" applyBorder="1" applyAlignment="1">
      <alignment horizontal="center"/>
    </xf>
    <xf numFmtId="0" fontId="40" fillId="4" borderId="25" xfId="0" applyFont="1" applyFill="1" applyBorder="1" applyAlignment="1">
      <alignment horizontal="center" wrapText="1"/>
    </xf>
    <xf numFmtId="0" fontId="40" fillId="4" borderId="26" xfId="0" applyFont="1" applyFill="1" applyBorder="1" applyAlignment="1">
      <alignment horizontal="center" wrapText="1"/>
    </xf>
    <xf numFmtId="44" fontId="39" fillId="4" borderId="25" xfId="2" applyFont="1" applyFill="1" applyBorder="1" applyAlignment="1">
      <alignment horizontal="center" wrapText="1"/>
    </xf>
    <xf numFmtId="44" fontId="39" fillId="4" borderId="26" xfId="2" applyFont="1" applyFill="1" applyBorder="1" applyAlignment="1">
      <alignment horizontal="center" wrapText="1"/>
    </xf>
    <xf numFmtId="14" fontId="2" fillId="25" borderId="44" xfId="2" applyNumberFormat="1" applyFont="1" applyFill="1" applyBorder="1" applyAlignment="1">
      <alignment horizontal="center"/>
    </xf>
    <xf numFmtId="0" fontId="41" fillId="4" borderId="25" xfId="0" applyFont="1" applyFill="1" applyBorder="1" applyAlignment="1">
      <alignment horizontal="center" wrapText="1"/>
    </xf>
    <xf numFmtId="0" fontId="41" fillId="4" borderId="10" xfId="0" applyFont="1" applyFill="1" applyBorder="1" applyAlignment="1">
      <alignment horizontal="center" wrapText="1"/>
    </xf>
    <xf numFmtId="0" fontId="41" fillId="4" borderId="26" xfId="0" applyFont="1" applyFill="1" applyBorder="1" applyAlignment="1">
      <alignment horizontal="center" wrapText="1"/>
    </xf>
    <xf numFmtId="44" fontId="41" fillId="4" borderId="25" xfId="2" applyFont="1" applyFill="1" applyBorder="1" applyAlignment="1">
      <alignment horizontal="center"/>
    </xf>
    <xf numFmtId="44" fontId="41" fillId="4" borderId="10" xfId="2" applyFont="1" applyFill="1" applyBorder="1" applyAlignment="1">
      <alignment horizontal="center"/>
    </xf>
    <xf numFmtId="44" fontId="41" fillId="4" borderId="26" xfId="2" applyFont="1" applyFill="1" applyBorder="1" applyAlignment="1">
      <alignment horizontal="center"/>
    </xf>
    <xf numFmtId="0" fontId="42" fillId="4" borderId="25" xfId="0" applyFont="1" applyFill="1" applyBorder="1" applyAlignment="1">
      <alignment horizontal="center" wrapText="1"/>
    </xf>
    <xf numFmtId="0" fontId="42" fillId="4" borderId="26" xfId="0" applyFont="1" applyFill="1" applyBorder="1" applyAlignment="1">
      <alignment horizontal="center" wrapText="1"/>
    </xf>
    <xf numFmtId="0" fontId="2" fillId="28" borderId="41" xfId="0" applyFont="1" applyFill="1" applyBorder="1" applyAlignment="1">
      <alignment horizontal="center"/>
    </xf>
    <xf numFmtId="0" fontId="2" fillId="28" borderId="42" xfId="0" applyFont="1" applyFill="1" applyBorder="1" applyAlignment="1">
      <alignment horizontal="center"/>
    </xf>
    <xf numFmtId="0" fontId="2" fillId="28" borderId="43" xfId="0" applyFont="1" applyFill="1" applyBorder="1" applyAlignment="1">
      <alignment horizontal="center"/>
    </xf>
    <xf numFmtId="14" fontId="2" fillId="28" borderId="41" xfId="0" applyNumberFormat="1" applyFont="1" applyFill="1" applyBorder="1" applyAlignment="1">
      <alignment horizontal="center"/>
    </xf>
  </cellXfs>
  <cellStyles count="6">
    <cellStyle name="Hipervínculo" xfId="5" builtinId="8"/>
    <cellStyle name="Millares" xfId="1" builtinId="3"/>
    <cellStyle name="Moneda" xfId="2" builtinId="4"/>
    <cellStyle name="Normal" xfId="0" builtinId="0"/>
    <cellStyle name="Normal 2" xfId="4" xr:uid="{1C8C5290-9207-4C6C-A624-C96277AFECB3}"/>
    <cellStyle name="Porcentaje" xfId="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UTILIDAD MENSUAL antes de impuestos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'control p.y g.'!$G$2</c:f>
              <c:strCache>
                <c:ptCount val="1"/>
                <c:pt idx="0">
                  <c:v>UTILIDAD MENSUAL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'control p.y g.'!$B$3:$B$14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'control p.y g.'!$G$3:$G$14</c:f>
              <c:numCache>
                <c:formatCode>_("$"* #,##0.00_);_("$"* \(#,##0.00\);_("$"* "-"??_);_(@_)</c:formatCode>
                <c:ptCount val="12"/>
                <c:pt idx="0">
                  <c:v>-4974.289999999979</c:v>
                </c:pt>
                <c:pt idx="1">
                  <c:v>119263.09448275861</c:v>
                </c:pt>
                <c:pt idx="2">
                  <c:v>457390.39327241376</c:v>
                </c:pt>
                <c:pt idx="3">
                  <c:v>-227223.13327931036</c:v>
                </c:pt>
                <c:pt idx="4">
                  <c:v>-177462.08154482755</c:v>
                </c:pt>
                <c:pt idx="5">
                  <c:v>-203950.99000000005</c:v>
                </c:pt>
                <c:pt idx="6">
                  <c:v>41489.663548275945</c:v>
                </c:pt>
                <c:pt idx="7">
                  <c:v>17967.585034482763</c:v>
                </c:pt>
                <c:pt idx="8">
                  <c:v>69877.836341379269</c:v>
                </c:pt>
                <c:pt idx="9">
                  <c:v>144686.62410925014</c:v>
                </c:pt>
                <c:pt idx="10">
                  <c:v>4092.2919689223636</c:v>
                </c:pt>
                <c:pt idx="11">
                  <c:v>4077.8829730862053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E-4A2E-8EA9-2E83DC0A44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13717872"/>
        <c:axId val="613738256"/>
        <c:axId val="0"/>
      </c:bar3DChart>
      <c:catAx>
        <c:axId val="6137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3738256"/>
        <c:crosses val="autoZero"/>
        <c:auto val="1"/>
        <c:lblAlgn val="ctr"/>
        <c:lblOffset val="100"/>
        <c:noMultiLvlLbl val="0"/>
      </c:catAx>
      <c:valAx>
        <c:axId val="6137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371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6</xdr:col>
      <xdr:colOff>1270000</xdr:colOff>
      <xdr:row>30</xdr:row>
      <xdr:rowOff>174625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87FCF3-92A9-4367-9C39-A8CF51508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EBAS/OneDrive/Escritorio/CONTABILIDAD/01%20CONTABILIDAD%20CLIENTES/SEB/hoja_RIF_2020_V3_prueba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EBAS/OneDrive/Escritorio/STRADO/NORMA%20CORNEJO%201/2023/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INGRESOS"/>
      <sheetName val="GASTOS"/>
      <sheetName val="Hoja3"/>
      <sheetName val="CALCULO IVA"/>
      <sheetName val="CALCULO ISR"/>
      <sheetName val="CONTROLPERDIDAS"/>
      <sheetName val="TABLAS 2020"/>
      <sheetName val="Hoja1"/>
      <sheetName val="RFC"/>
      <sheetName val="Hoja2"/>
    </sheetNames>
    <sheetDataSet>
      <sheetData sheetId="0"/>
      <sheetData sheetId="1"/>
      <sheetData sheetId="2"/>
      <sheetData sheetId="3">
        <row r="3">
          <cell r="C3">
            <v>1</v>
          </cell>
          <cell r="D3" t="str">
            <v>ENERO</v>
          </cell>
        </row>
        <row r="4">
          <cell r="C4">
            <v>2</v>
          </cell>
          <cell r="D4" t="str">
            <v>FEBRERO</v>
          </cell>
        </row>
        <row r="5">
          <cell r="C5">
            <v>3</v>
          </cell>
          <cell r="D5" t="str">
            <v>MARZO</v>
          </cell>
        </row>
        <row r="6">
          <cell r="C6">
            <v>4</v>
          </cell>
          <cell r="D6" t="str">
            <v>ABRIL</v>
          </cell>
        </row>
        <row r="7">
          <cell r="C7">
            <v>5</v>
          </cell>
          <cell r="D7" t="str">
            <v>MAYO</v>
          </cell>
        </row>
        <row r="8">
          <cell r="C8">
            <v>6</v>
          </cell>
          <cell r="D8" t="str">
            <v>JUNIO</v>
          </cell>
        </row>
        <row r="9">
          <cell r="C9">
            <v>7</v>
          </cell>
          <cell r="D9" t="str">
            <v>JULIO</v>
          </cell>
        </row>
        <row r="10">
          <cell r="C10">
            <v>8</v>
          </cell>
          <cell r="D10" t="str">
            <v>AGOSTO</v>
          </cell>
        </row>
        <row r="11">
          <cell r="C11">
            <v>9</v>
          </cell>
          <cell r="D11" t="str">
            <v>SEPTIEMBRE</v>
          </cell>
        </row>
        <row r="12">
          <cell r="C12">
            <v>10</v>
          </cell>
          <cell r="D12" t="str">
            <v>OCTUBRE</v>
          </cell>
        </row>
        <row r="13">
          <cell r="C13">
            <v>11</v>
          </cell>
          <cell r="D13" t="str">
            <v>NOVIEMBRE</v>
          </cell>
        </row>
        <row r="14">
          <cell r="C14">
            <v>12</v>
          </cell>
          <cell r="D14" t="str">
            <v>DICIEMBRE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a Moral"/>
      <sheetName val="INF"/>
      <sheetName val="P. Fis. Act. Emp."/>
      <sheetName val="IVA"/>
      <sheetName val="Tablas ISR"/>
      <sheetName val="ING"/>
      <sheetName val="EGR"/>
      <sheetName val="ISR ANUAL "/>
      <sheetName val="D.A.M."/>
      <sheetName val="D.P.A"/>
      <sheetName val="BANK"/>
      <sheetName val="."/>
      <sheetName val="DEDUCCIONES "/>
      <sheetName val="DEPRECIACIONES"/>
      <sheetName val="Tablas de ISR RIF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>
        <row r="33">
          <cell r="J33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FRENABUNDEZREINA@GMAIL.COM" TargetMode="External"/><Relationship Id="rId1" Type="http://schemas.openxmlformats.org/officeDocument/2006/relationships/hyperlink" Target="mailto:alexhdzre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gerardo.gonzalez@directed.com.mx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CRUZ.URIBE.OSCAR@GMAIL.COM" TargetMode="External"/><Relationship Id="rId1" Type="http://schemas.openxmlformats.org/officeDocument/2006/relationships/hyperlink" Target="mailto:CRUZ.URIBE.OSCAR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gerardo.gonzalez@directed.com.m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318B-2B06-4103-89E0-4C3C328EA8F1}">
  <dimension ref="A2:K33"/>
  <sheetViews>
    <sheetView tabSelected="1" workbookViewId="0">
      <selection activeCell="F18" sqref="F18"/>
    </sheetView>
  </sheetViews>
  <sheetFormatPr baseColWidth="10" defaultRowHeight="14.5" x14ac:dyDescent="0.35"/>
  <cols>
    <col min="1" max="1" width="34.1796875" customWidth="1"/>
    <col min="2" max="2" width="15.6328125" customWidth="1"/>
    <col min="3" max="3" width="16.54296875" customWidth="1"/>
    <col min="4" max="4" width="3.6328125" customWidth="1"/>
    <col min="5" max="5" width="19.81640625" bestFit="1" customWidth="1"/>
    <col min="7" max="7" width="9.6328125" customWidth="1"/>
    <col min="8" max="8" width="17.1796875" customWidth="1"/>
  </cols>
  <sheetData>
    <row r="2" spans="1:11" x14ac:dyDescent="0.35">
      <c r="A2" s="198"/>
      <c r="K2" s="281"/>
    </row>
    <row r="5" spans="1:11" x14ac:dyDescent="0.35">
      <c r="A5" s="199"/>
      <c r="G5" s="284"/>
      <c r="H5" s="285"/>
      <c r="I5" s="286"/>
      <c r="K5" s="108"/>
    </row>
    <row r="6" spans="1:11" x14ac:dyDescent="0.35">
      <c r="G6" s="145"/>
      <c r="H6" s="145"/>
      <c r="I6" s="145"/>
    </row>
    <row r="7" spans="1:11" x14ac:dyDescent="0.35">
      <c r="G7" s="260"/>
      <c r="H7" s="145"/>
      <c r="I7" s="145"/>
    </row>
    <row r="15" spans="1:11" x14ac:dyDescent="0.35">
      <c r="A15" s="199"/>
    </row>
    <row r="23" spans="1:11" ht="15.5" x14ac:dyDescent="0.35">
      <c r="A23" s="200" t="s">
        <v>231</v>
      </c>
      <c r="B23" s="200" t="s">
        <v>55</v>
      </c>
      <c r="C23" s="200" t="s">
        <v>232</v>
      </c>
      <c r="D23" s="200" t="s">
        <v>233</v>
      </c>
      <c r="E23" s="200" t="s">
        <v>234</v>
      </c>
      <c r="F23" s="200" t="s">
        <v>233</v>
      </c>
      <c r="G23" s="200" t="s">
        <v>235</v>
      </c>
      <c r="H23" s="200" t="s">
        <v>236</v>
      </c>
      <c r="I23" s="200" t="s">
        <v>237</v>
      </c>
    </row>
    <row r="24" spans="1:11" x14ac:dyDescent="0.35">
      <c r="A24" s="201" t="s">
        <v>238</v>
      </c>
      <c r="B24" s="201" t="s">
        <v>239</v>
      </c>
      <c r="C24" s="202"/>
      <c r="D24" s="203" t="s">
        <v>240</v>
      </c>
      <c r="E24" s="202" t="s">
        <v>241</v>
      </c>
      <c r="F24" s="202" t="s">
        <v>242</v>
      </c>
      <c r="G24" s="202" t="s">
        <v>243</v>
      </c>
      <c r="H24" s="204" t="s">
        <v>244</v>
      </c>
      <c r="I24" s="202" t="s">
        <v>245</v>
      </c>
    </row>
    <row r="25" spans="1:11" x14ac:dyDescent="0.35">
      <c r="A25" s="205" t="s">
        <v>246</v>
      </c>
      <c r="B25" s="205" t="s">
        <v>247</v>
      </c>
      <c r="C25" s="206" t="s">
        <v>248</v>
      </c>
      <c r="D25" s="207" t="s">
        <v>249</v>
      </c>
      <c r="E25" s="206" t="s">
        <v>250</v>
      </c>
      <c r="F25" s="206" t="s">
        <v>242</v>
      </c>
      <c r="G25" s="206" t="s">
        <v>243</v>
      </c>
      <c r="H25" s="208" t="s">
        <v>251</v>
      </c>
      <c r="I25" s="206"/>
    </row>
    <row r="26" spans="1:11" x14ac:dyDescent="0.35">
      <c r="A26" s="201" t="s">
        <v>230</v>
      </c>
      <c r="B26" s="201" t="s">
        <v>252</v>
      </c>
      <c r="C26" s="202" t="s">
        <v>253</v>
      </c>
      <c r="D26" s="203" t="s">
        <v>249</v>
      </c>
      <c r="E26" s="202" t="s">
        <v>250</v>
      </c>
      <c r="F26" s="202" t="s">
        <v>254</v>
      </c>
      <c r="G26" s="202" t="s">
        <v>255</v>
      </c>
      <c r="H26" s="202"/>
      <c r="I26" s="202"/>
    </row>
    <row r="27" spans="1:11" x14ac:dyDescent="0.35">
      <c r="A27" s="205" t="s">
        <v>256</v>
      </c>
      <c r="B27" s="205" t="s">
        <v>257</v>
      </c>
      <c r="C27" s="206" t="s">
        <v>258</v>
      </c>
      <c r="D27" s="207" t="s">
        <v>240</v>
      </c>
      <c r="E27" s="206" t="s">
        <v>241</v>
      </c>
      <c r="F27" s="206" t="s">
        <v>242</v>
      </c>
      <c r="G27" s="206" t="s">
        <v>243</v>
      </c>
      <c r="H27" s="208"/>
      <c r="I27" s="206" t="s">
        <v>259</v>
      </c>
      <c r="K27" s="209"/>
    </row>
    <row r="28" spans="1:11" x14ac:dyDescent="0.35">
      <c r="A28" s="201" t="s">
        <v>260</v>
      </c>
      <c r="B28" s="201" t="s">
        <v>261</v>
      </c>
      <c r="C28" s="201" t="s">
        <v>262</v>
      </c>
      <c r="D28" s="201" t="s">
        <v>240</v>
      </c>
      <c r="E28" s="202" t="s">
        <v>250</v>
      </c>
      <c r="F28" s="201" t="s">
        <v>242</v>
      </c>
      <c r="G28" s="201" t="s">
        <v>243</v>
      </c>
      <c r="H28" s="201" t="s">
        <v>263</v>
      </c>
      <c r="I28" s="201" t="s">
        <v>264</v>
      </c>
    </row>
    <row r="29" spans="1:11" x14ac:dyDescent="0.35">
      <c r="A29" s="205" t="s">
        <v>229</v>
      </c>
      <c r="B29" s="205" t="s">
        <v>265</v>
      </c>
      <c r="C29" s="206"/>
      <c r="D29" s="207" t="s">
        <v>240</v>
      </c>
      <c r="E29" s="206" t="s">
        <v>250</v>
      </c>
      <c r="F29" s="206" t="s">
        <v>242</v>
      </c>
      <c r="G29" s="206" t="s">
        <v>243</v>
      </c>
      <c r="H29" s="208" t="s">
        <v>266</v>
      </c>
      <c r="I29" s="206" t="s">
        <v>267</v>
      </c>
      <c r="J29" t="s">
        <v>268</v>
      </c>
      <c r="K29" t="s">
        <v>269</v>
      </c>
    </row>
    <row r="30" spans="1:11" x14ac:dyDescent="0.35">
      <c r="A30" s="201" t="s">
        <v>270</v>
      </c>
      <c r="B30" s="201" t="s">
        <v>271</v>
      </c>
      <c r="C30" s="201" t="s">
        <v>272</v>
      </c>
      <c r="D30" s="201"/>
      <c r="E30" s="201" t="s">
        <v>250</v>
      </c>
      <c r="F30" s="201" t="s">
        <v>242</v>
      </c>
      <c r="G30" s="201" t="s">
        <v>243</v>
      </c>
      <c r="H30" s="201"/>
      <c r="I30" s="201"/>
    </row>
    <row r="31" spans="1:11" x14ac:dyDescent="0.35">
      <c r="A31" s="205" t="s">
        <v>273</v>
      </c>
      <c r="B31" s="205" t="s">
        <v>274</v>
      </c>
      <c r="C31" s="206"/>
      <c r="D31" s="207" t="s">
        <v>249</v>
      </c>
      <c r="E31" s="206" t="s">
        <v>250</v>
      </c>
      <c r="F31" s="206" t="s">
        <v>242</v>
      </c>
      <c r="G31" s="206" t="s">
        <v>243</v>
      </c>
      <c r="H31" s="208"/>
      <c r="I31" s="206"/>
    </row>
    <row r="32" spans="1:11" x14ac:dyDescent="0.35">
      <c r="A32" s="201" t="s">
        <v>275</v>
      </c>
      <c r="B32" s="201" t="s">
        <v>276</v>
      </c>
      <c r="C32" s="201"/>
      <c r="D32" s="201"/>
      <c r="E32" s="201" t="s">
        <v>241</v>
      </c>
      <c r="F32" s="201"/>
      <c r="G32" s="201" t="s">
        <v>243</v>
      </c>
      <c r="H32" s="201"/>
      <c r="I32" s="201"/>
      <c r="J32" t="s">
        <v>277</v>
      </c>
    </row>
    <row r="33" spans="1:2" x14ac:dyDescent="0.35">
      <c r="A33" s="238" t="s">
        <v>318</v>
      </c>
      <c r="B33" s="238" t="s">
        <v>319</v>
      </c>
    </row>
  </sheetData>
  <mergeCells count="1">
    <mergeCell ref="G5:I5"/>
  </mergeCells>
  <hyperlinks>
    <hyperlink ref="H25" r:id="rId1" xr:uid="{4EF5A85A-CA76-4A8F-A698-6ACE2B78BA5D}"/>
    <hyperlink ref="H24" r:id="rId2" xr:uid="{714B8DD8-AAF9-4E29-991D-74ECC8493DEB}"/>
  </hyperlinks>
  <pageMargins left="0.7" right="0.7" top="0.75" bottom="0.75" header="0.3" footer="0.3"/>
  <pageSetup paperSize="9" orientation="portrait" horizontalDpi="300" verticalDpi="0" copies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936B-BA23-4D38-8E99-A7C16CAE902B}">
  <dimension ref="A4:Z298"/>
  <sheetViews>
    <sheetView topLeftCell="A4" workbookViewId="0">
      <pane xSplit="2" ySplit="3" topLeftCell="C7" activePane="bottomRight" state="frozen"/>
      <selection activeCell="A4" sqref="A4"/>
      <selection pane="topRight" activeCell="C4" sqref="C4"/>
      <selection pane="bottomLeft" activeCell="A7" sqref="A7"/>
      <selection pane="bottomRight" activeCell="N7" sqref="N7"/>
    </sheetView>
  </sheetViews>
  <sheetFormatPr baseColWidth="10" defaultRowHeight="14.5" x14ac:dyDescent="0.35"/>
  <cols>
    <col min="1" max="1" width="24.54296875" bestFit="1" customWidth="1"/>
    <col min="2" max="2" width="1.1796875" customWidth="1"/>
    <col min="4" max="4" width="12.6328125" customWidth="1"/>
    <col min="5" max="5" width="12.81640625" customWidth="1"/>
    <col min="6" max="6" width="12.1796875" customWidth="1"/>
    <col min="7" max="7" width="11.54296875" customWidth="1"/>
    <col min="8" max="8" width="12.1796875" customWidth="1"/>
    <col min="9" max="9" width="12.08984375" customWidth="1"/>
    <col min="10" max="10" width="12.81640625" customWidth="1"/>
    <col min="11" max="11" width="13.81640625" bestFit="1" customWidth="1"/>
    <col min="12" max="12" width="12.1796875" customWidth="1"/>
    <col min="13" max="13" width="12.90625" bestFit="1" customWidth="1"/>
    <col min="14" max="14" width="12" bestFit="1" customWidth="1"/>
    <col min="15" max="16" width="1.1796875" customWidth="1"/>
    <col min="17" max="17" width="14.81640625" bestFit="1" customWidth="1"/>
  </cols>
  <sheetData>
    <row r="4" spans="1:26" x14ac:dyDescent="0.35">
      <c r="A4" s="1"/>
      <c r="C4" s="287" t="s">
        <v>154</v>
      </c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35">
      <c r="C5" s="2">
        <v>1</v>
      </c>
      <c r="D5" s="2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35">
      <c r="A6" s="5"/>
      <c r="B6" s="5"/>
      <c r="C6" s="6" t="s">
        <v>0</v>
      </c>
      <c r="D6" s="6" t="s">
        <v>1</v>
      </c>
      <c r="E6" s="7" t="s">
        <v>2</v>
      </c>
      <c r="F6" s="7" t="s">
        <v>3</v>
      </c>
      <c r="G6" s="7" t="s">
        <v>4</v>
      </c>
      <c r="H6" s="7" t="s">
        <v>5</v>
      </c>
      <c r="I6" s="7" t="s">
        <v>6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8"/>
      <c r="P6" s="5" t="s">
        <v>12</v>
      </c>
      <c r="Q6" s="8" t="s">
        <v>13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thickBot="1" x14ac:dyDescent="0.4">
      <c r="A7" s="9" t="s">
        <v>14</v>
      </c>
      <c r="C7" s="10">
        <f>+'control p.y g.'!D3</f>
        <v>310579</v>
      </c>
      <c r="D7" s="11">
        <f>+'control p.y g.'!D4</f>
        <v>230572.03448275861</v>
      </c>
      <c r="E7" s="10">
        <f>+'control p.y g.'!D5</f>
        <v>240808.88517241381</v>
      </c>
      <c r="F7" s="10">
        <f>+'control p.y g.'!D6</f>
        <v>357091.75862068968</v>
      </c>
      <c r="G7" s="10">
        <f>+'control p.y g.'!D7</f>
        <v>362431.68965517241</v>
      </c>
      <c r="H7" s="10">
        <f>+'control p.y g.'!D8</f>
        <v>424706</v>
      </c>
      <c r="I7" s="10">
        <f>+'control p.y g.'!D9</f>
        <v>272396.10344827588</v>
      </c>
      <c r="J7" s="10">
        <f>+'control p.y g.'!D10</f>
        <v>247594.93103448275</v>
      </c>
      <c r="K7" s="10">
        <f>+'control p.y g.'!D11</f>
        <v>336307.20724137931</v>
      </c>
      <c r="L7" s="10">
        <f>+'control p.y g.'!D12</f>
        <v>359882.55</v>
      </c>
      <c r="M7" s="10">
        <f>+'control p.y g.'!D13</f>
        <v>279550.68965517241</v>
      </c>
      <c r="N7" s="10">
        <f>+'control p.y g.'!D14</f>
        <v>524795.93482758617</v>
      </c>
      <c r="O7" s="12"/>
      <c r="P7" s="13">
        <f>SUM(C7:O7)</f>
        <v>3946716.7841379303</v>
      </c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" thickBot="1" x14ac:dyDescent="0.4">
      <c r="A8" s="15" t="s">
        <v>15</v>
      </c>
      <c r="B8" s="5"/>
      <c r="C8" s="16">
        <f t="shared" ref="C8:N8" si="0">C7+B8</f>
        <v>310579</v>
      </c>
      <c r="D8" s="16">
        <f t="shared" si="0"/>
        <v>541151.03448275861</v>
      </c>
      <c r="E8" s="16">
        <f t="shared" si="0"/>
        <v>781959.91965517239</v>
      </c>
      <c r="F8" s="16">
        <f t="shared" si="0"/>
        <v>1139051.678275862</v>
      </c>
      <c r="G8" s="16">
        <f t="shared" si="0"/>
        <v>1501483.3679310344</v>
      </c>
      <c r="H8" s="16">
        <f t="shared" si="0"/>
        <v>1926189.3679310344</v>
      </c>
      <c r="I8" s="16">
        <f t="shared" si="0"/>
        <v>2198585.4713793104</v>
      </c>
      <c r="J8" s="16">
        <f t="shared" si="0"/>
        <v>2446180.4024137929</v>
      </c>
      <c r="K8" s="16">
        <f t="shared" si="0"/>
        <v>2782487.6096551721</v>
      </c>
      <c r="L8" s="16">
        <f t="shared" si="0"/>
        <v>3142370.1596551719</v>
      </c>
      <c r="M8" s="16">
        <f t="shared" si="0"/>
        <v>3421920.8493103441</v>
      </c>
      <c r="N8" s="16">
        <f t="shared" si="0"/>
        <v>3946716.7841379303</v>
      </c>
      <c r="O8" s="17"/>
      <c r="P8" s="18">
        <f>P7</f>
        <v>3946716.7841379303</v>
      </c>
      <c r="Q8" s="19">
        <f>SUM(C7:N7)</f>
        <v>3946716.7841379303</v>
      </c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35">
      <c r="A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12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35">
      <c r="A10" s="9" t="s">
        <v>16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12">
        <v>0</v>
      </c>
      <c r="P10" s="13">
        <f>SUM(C10:O10)</f>
        <v>0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35">
      <c r="A11" s="9" t="s">
        <v>17</v>
      </c>
      <c r="B11">
        <v>502</v>
      </c>
      <c r="C11" s="22"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2"/>
      <c r="P11" s="13">
        <f>SUM(C11:N11)</f>
        <v>0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35">
      <c r="A12" s="23" t="s">
        <v>18</v>
      </c>
      <c r="B12" s="1">
        <v>560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5"/>
      <c r="P12" s="26">
        <f>SUM(C12:N12)</f>
        <v>0</v>
      </c>
      <c r="Q12" s="1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thickBot="1" x14ac:dyDescent="0.4">
      <c r="A13" s="27" t="s">
        <v>19</v>
      </c>
      <c r="B13" s="28"/>
      <c r="C13" s="10">
        <f>+'control p.y g.'!C3</f>
        <v>303686.28999999998</v>
      </c>
      <c r="D13" s="10">
        <f>+'control p.y g.'!C4</f>
        <v>224265.94</v>
      </c>
      <c r="E13" s="10">
        <f>+'control p.y g.'!C5</f>
        <v>236808.89190000002</v>
      </c>
      <c r="F13" s="10">
        <f>+'control p.y g.'!C6</f>
        <v>354090.89189999999</v>
      </c>
      <c r="G13" s="10">
        <f>+'control p.y g.'!C7</f>
        <v>359428.77119999996</v>
      </c>
      <c r="H13" s="10">
        <f>+'control p.y g.'!C8</f>
        <v>426702.99000000005</v>
      </c>
      <c r="I13" s="10">
        <f>+'control p.y g.'!C9</f>
        <v>260003.4399</v>
      </c>
      <c r="J13" s="10">
        <f>+'control p.y g.'!C10</f>
        <v>240167.34600000002</v>
      </c>
      <c r="K13" s="10">
        <f>+'control p.y g.'!C11</f>
        <v>329447.37090000004</v>
      </c>
      <c r="L13" s="10">
        <f>+'control p.y g.'!C12</f>
        <v>355882.9258907499</v>
      </c>
      <c r="M13" s="10">
        <f>+'control p.y g.'!C13</f>
        <v>275458.39768625004</v>
      </c>
      <c r="N13" s="10">
        <f>+'control p.y g.'!C14</f>
        <v>520718.05185449996</v>
      </c>
      <c r="O13" s="29"/>
      <c r="P13" s="10">
        <f>SUM(C13:O13)</f>
        <v>3886661.3072314998</v>
      </c>
      <c r="Q13" s="28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thickBot="1" x14ac:dyDescent="0.4">
      <c r="A14" s="15" t="s">
        <v>20</v>
      </c>
      <c r="B14" s="5"/>
      <c r="C14" s="16">
        <f>C13+C11+C12</f>
        <v>303686.28999999998</v>
      </c>
      <c r="D14" s="16">
        <f>D13+D12+C14+D11</f>
        <v>527952.23</v>
      </c>
      <c r="E14" s="16">
        <f t="shared" ref="E14:J14" si="1">E13+E12+D14+E11</f>
        <v>764761.12190000003</v>
      </c>
      <c r="F14" s="16">
        <f t="shared" si="1"/>
        <v>1118852.0138000001</v>
      </c>
      <c r="G14" s="16">
        <f t="shared" si="1"/>
        <v>1478280.7850000001</v>
      </c>
      <c r="H14" s="16">
        <f t="shared" si="1"/>
        <v>1904983.7750000001</v>
      </c>
      <c r="I14" s="16">
        <f t="shared" si="1"/>
        <v>2164987.2149</v>
      </c>
      <c r="J14" s="16">
        <f t="shared" si="1"/>
        <v>2405154.5608999999</v>
      </c>
      <c r="K14" s="16">
        <f>K13+K12+J14+K11</f>
        <v>2734601.9317999999</v>
      </c>
      <c r="L14" s="16">
        <f>L13+L12+K14+L11</f>
        <v>3090484.8576907497</v>
      </c>
      <c r="M14" s="16">
        <f>M13+M12+L14+M11</f>
        <v>3365943.2553769997</v>
      </c>
      <c r="N14" s="16">
        <f>N13+N12+M14+N11</f>
        <v>3886661.3072314998</v>
      </c>
      <c r="O14" s="17"/>
      <c r="P14" s="18">
        <f>SUM(P10:P13)</f>
        <v>3886661.3072314998</v>
      </c>
      <c r="Q14" s="19">
        <f>SUM(C13:N13)</f>
        <v>3886661.3072314998</v>
      </c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35">
      <c r="A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2"/>
      <c r="P15" s="30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35">
      <c r="A16" s="31" t="s">
        <v>21</v>
      </c>
      <c r="B16" s="32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12"/>
      <c r="P16" s="13">
        <f>IF(P8-P14&gt;0,N16,0)</f>
        <v>0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" thickBot="1" x14ac:dyDescent="0.4">
      <c r="A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2"/>
      <c r="P17" s="30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" thickBot="1" x14ac:dyDescent="0.4">
      <c r="A18" s="15" t="s">
        <v>22</v>
      </c>
      <c r="B18" s="5"/>
      <c r="C18" s="33">
        <f>IF((C8-C14-C16)&gt;0,(C8-C14-C16),0)</f>
        <v>6892.710000000021</v>
      </c>
      <c r="D18" s="34">
        <f>IF((D8-D14-D16)&gt;0,(D8-D14-D16),0)</f>
        <v>13198.804482758627</v>
      </c>
      <c r="E18" s="35">
        <f t="shared" ref="E18:N18" si="2">IF((E8-E14-E16)&gt;0,(E8-E14-E16),0)</f>
        <v>17198.79775517236</v>
      </c>
      <c r="F18" s="35">
        <f t="shared" si="2"/>
        <v>20199.664475861937</v>
      </c>
      <c r="G18" s="35">
        <f>IF((G8-G14-G16)&gt;0,(G8-G14-G16),0)</f>
        <v>23202.582931034267</v>
      </c>
      <c r="H18" s="35">
        <f>IF((H8-H14-H16)&gt;0,(H8-H14-H16),0)</f>
        <v>21205.592931034276</v>
      </c>
      <c r="I18" s="35">
        <f t="shared" si="2"/>
        <v>33598.256479310337</v>
      </c>
      <c r="J18" s="35">
        <f>IF((J8-J14-J16)&gt;0,(J8-J14-J16),0)</f>
        <v>41025.841513792984</v>
      </c>
      <c r="K18" s="35">
        <f>IF((K8-K14-K16)&gt;0,(K8-K14-K16),0)</f>
        <v>47885.677855172195</v>
      </c>
      <c r="L18" s="35">
        <f t="shared" si="2"/>
        <v>51885.301964422222</v>
      </c>
      <c r="M18" s="35">
        <f t="shared" si="2"/>
        <v>55977.593933344353</v>
      </c>
      <c r="N18" s="35">
        <f t="shared" si="2"/>
        <v>60055.476906430442</v>
      </c>
      <c r="O18" s="36"/>
      <c r="P18" s="37">
        <f>IF((P8-P14-P16)&gt;0,P8-P14-P16,0)</f>
        <v>60055.476906430442</v>
      </c>
      <c r="Q18" s="38">
        <f>Q8-Q14</f>
        <v>60055.476906430442</v>
      </c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35">
      <c r="A19" s="20"/>
      <c r="C19" s="21"/>
      <c r="D19" s="21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41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35">
      <c r="A20" s="9" t="s">
        <v>23</v>
      </c>
      <c r="C20" s="42">
        <f>IF(C18&gt;0,VLOOKUP(C18,'T ISR'!A5:B15,1,1),0)</f>
        <v>6332.06</v>
      </c>
      <c r="D20" s="42">
        <f>IF(D18&gt;0,VLOOKUP(D18,'T ISR'!F5:G15,1,1),0)</f>
        <v>12664.11</v>
      </c>
      <c r="E20" s="14">
        <f>IF(E18&gt;0,VLOOKUP(E18,'T ISR'!A21:B30,1,1),0)</f>
        <v>2238.13</v>
      </c>
      <c r="F20" s="14">
        <f>IF(F18&gt;0,VLOOKUP(F18,'T ISR'!F21:G31,1,1),0)</f>
        <v>2984.17</v>
      </c>
      <c r="G20" s="14">
        <f>IF(G18&gt;0,VLOOKUP(G18,'T ISR'!A37:B47,1,1),0)</f>
        <v>3730.21</v>
      </c>
      <c r="H20" s="14">
        <f>IF(H18&gt;0,VLOOKUP(H18,'T ISR'!F37:G47,1,1),0)</f>
        <v>4476.25</v>
      </c>
      <c r="I20" s="14">
        <f>IF(I18&gt;0,VLOOKUP(I18,'T ISR'!A53:B63,1,1),0)</f>
        <v>5222.29</v>
      </c>
      <c r="J20" s="14">
        <f>IF(J18&gt;0,VLOOKUP(J18,'T ISR'!F53:G63,1,1),0)</f>
        <v>5968.33</v>
      </c>
      <c r="K20" s="14">
        <f>IF(K18&gt;0,VLOOKUP(K18,'T ISR'!A69:B79,1,1),0)</f>
        <v>6714.37</v>
      </c>
      <c r="L20" s="14">
        <f>IF(L18&gt;0,VLOOKUP(L18,'T ISR'!F69:G79,1,1),0)</f>
        <v>7460.41</v>
      </c>
      <c r="M20" s="14">
        <f>IF(M18&gt;0,VLOOKUP(M18,'T ISR'!A85:B95,1,1),0)</f>
        <v>8206.4500000000007</v>
      </c>
      <c r="N20" s="161">
        <f>IF(N18&gt;0,VLOOKUP(N18,'T ISR'!F85:G95,1,1),0)</f>
        <v>8952.5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x14ac:dyDescent="0.35">
      <c r="A21" s="20"/>
      <c r="C21" s="21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" thickBot="1" x14ac:dyDescent="0.4">
      <c r="A22" s="20" t="s">
        <v>24</v>
      </c>
      <c r="C22" s="43">
        <f t="shared" ref="C22:N22" si="3">C18-C20</f>
        <v>560.65000000002055</v>
      </c>
      <c r="D22" s="43">
        <f t="shared" si="3"/>
        <v>534.69448275862669</v>
      </c>
      <c r="E22" s="43">
        <f t="shared" si="3"/>
        <v>14960.667755172359</v>
      </c>
      <c r="F22" s="43">
        <f t="shared" si="3"/>
        <v>17215.494475861939</v>
      </c>
      <c r="G22" s="43">
        <f t="shared" si="3"/>
        <v>19472.372931034268</v>
      </c>
      <c r="H22" s="43">
        <f t="shared" si="3"/>
        <v>16729.342931034276</v>
      </c>
      <c r="I22" s="43">
        <f t="shared" si="3"/>
        <v>28375.966479310337</v>
      </c>
      <c r="J22" s="43">
        <f t="shared" si="3"/>
        <v>35057.511513792982</v>
      </c>
      <c r="K22" s="43">
        <f t="shared" si="3"/>
        <v>41171.307855172192</v>
      </c>
      <c r="L22" s="43">
        <f t="shared" si="3"/>
        <v>44424.891964422219</v>
      </c>
      <c r="M22" s="43">
        <f t="shared" si="3"/>
        <v>47771.143933344356</v>
      </c>
      <c r="N22" s="43">
        <f t="shared" si="3"/>
        <v>51102.976906430442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" thickTop="1" x14ac:dyDescent="0.35">
      <c r="A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x14ac:dyDescent="0.35">
      <c r="A24" s="9" t="s">
        <v>25</v>
      </c>
      <c r="C24" s="44">
        <f>IF(C18&gt;0,VLOOKUP(C28,'T ISR'!C5:D15,2,0),0)</f>
        <v>0.10879999999999999</v>
      </c>
      <c r="D24" s="162">
        <f>VLOOKUP(D18,'T ISR'!F5:I15,4,1)</f>
        <v>0.10879999999999999</v>
      </c>
      <c r="E24" s="162">
        <f>VLOOKUP(E18,'T ISR'!A21:D31,4,1)</f>
        <v>6.4000000000000001E-2</v>
      </c>
      <c r="F24" s="162">
        <f>VLOOKUP(F18,'T ISR'!F21:I31,4,1)</f>
        <v>6.4000000000000001E-2</v>
      </c>
      <c r="G24" s="162">
        <f>VLOOKUP(G18,'T ISR'!A37:D47,4,1)</f>
        <v>6.4000000000000001E-2</v>
      </c>
      <c r="H24" s="162">
        <f>VLOOKUP(H18,'T ISR'!F37:I47,4,1)</f>
        <v>6.4000000000000001E-2</v>
      </c>
      <c r="I24" s="162">
        <f>VLOOKUP(I18,'T ISR'!A53:D63,4,1)</f>
        <v>6.4000000000000001E-2</v>
      </c>
      <c r="J24" s="162">
        <f>VLOOKUP(J18,'T ISR'!F53:I63,4,1)</f>
        <v>6.4000000000000001E-2</v>
      </c>
      <c r="K24" s="162">
        <f>VLOOKUP(K18,'T ISR'!A69:D79,4,1)</f>
        <v>6.4000000000000001E-2</v>
      </c>
      <c r="L24" s="162">
        <f>VLOOKUP(L18,'T ISR'!F69:I79,4,1)</f>
        <v>6.4000000000000001E-2</v>
      </c>
      <c r="M24" s="162">
        <f>VLOOKUP(M18,'T ISR'!A85:D95,4,1)</f>
        <v>6.4000000000000001E-2</v>
      </c>
      <c r="N24" s="162">
        <f>VLOOKUP(N18,'T ISR'!F85:I95,4,1)</f>
        <v>6.4000000000000001E-2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x14ac:dyDescent="0.35">
      <c r="A25" s="20"/>
      <c r="C25" s="21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" thickBot="1" x14ac:dyDescent="0.4">
      <c r="A26" s="9" t="s">
        <v>26</v>
      </c>
      <c r="C26" s="43">
        <f t="shared" ref="C26:N26" si="4">C22*C24</f>
        <v>60.99872000000223</v>
      </c>
      <c r="D26" s="43">
        <f t="shared" si="4"/>
        <v>58.174759724138582</v>
      </c>
      <c r="E26" s="43">
        <f t="shared" si="4"/>
        <v>957.48273633103099</v>
      </c>
      <c r="F26" s="43">
        <f t="shared" si="4"/>
        <v>1101.791646455164</v>
      </c>
      <c r="G26" s="43">
        <f t="shared" si="4"/>
        <v>1246.2318675861932</v>
      </c>
      <c r="H26" s="43">
        <f t="shared" si="4"/>
        <v>1070.6779475861938</v>
      </c>
      <c r="I26" s="43">
        <f t="shared" si="4"/>
        <v>1816.0618546758615</v>
      </c>
      <c r="J26" s="43">
        <f t="shared" si="4"/>
        <v>2243.6807368827508</v>
      </c>
      <c r="K26" s="43">
        <f t="shared" si="4"/>
        <v>2634.9637027310205</v>
      </c>
      <c r="L26" s="43">
        <f t="shared" si="4"/>
        <v>2843.1930857230223</v>
      </c>
      <c r="M26" s="43">
        <f t="shared" si="4"/>
        <v>3057.3532117340387</v>
      </c>
      <c r="N26" s="43">
        <f t="shared" si="4"/>
        <v>3270.5905220115483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" thickTop="1" x14ac:dyDescent="0.35">
      <c r="A27" s="20"/>
      <c r="C27" s="21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x14ac:dyDescent="0.35">
      <c r="A28" s="9" t="s">
        <v>27</v>
      </c>
      <c r="C28" s="42">
        <f>IF(C18&gt;0,VLOOKUP(C18,'T ISR'!A5:C15,3,1),0)</f>
        <v>371.83</v>
      </c>
      <c r="D28" s="42">
        <f>IF(D18&gt;0,VLOOKUP(D18,'T ISR'!F5:H15,3,1),0)</f>
        <v>743.66</v>
      </c>
      <c r="E28" s="42">
        <f>IF(E18&gt;0,VLOOKUP(E18,'T ISR'!A21:C31,3,1),0)</f>
        <v>42.96</v>
      </c>
      <c r="F28" s="42">
        <f>IF(F18&gt;0,VLOOKUP(F18,'T ISR'!F21:H31,3,1),0)</f>
        <v>57.28</v>
      </c>
      <c r="G28" s="42">
        <f>IF(G18&gt;0,VLOOKUP(G18,'T ISR'!A37:C47,3,1),0)</f>
        <v>71.599999999999994</v>
      </c>
      <c r="H28" s="42">
        <f>IF(H18&gt;0,VLOOKUP(H18,'T ISR'!F37:H47,3,1),0)</f>
        <v>85.92</v>
      </c>
      <c r="I28" s="42">
        <f>IF(I18&gt;0,VLOOKUP(I18,'T ISR'!A53:C63,3,1),0)</f>
        <v>100.24</v>
      </c>
      <c r="J28" s="42">
        <f>IF(J18&gt;0,VLOOKUP(J18,'T ISR'!F53:H63,3,1),0)</f>
        <v>114.56</v>
      </c>
      <c r="K28" s="42">
        <f>IF(K18&gt;0,VLOOKUP(K18,'T ISR'!A69:C79,3,1),0)</f>
        <v>128.88</v>
      </c>
      <c r="L28" s="42">
        <f>IF(L18&gt;0,VLOOKUP(L18,'T ISR'!F69:H79,3,1),0)</f>
        <v>143.19999999999999</v>
      </c>
      <c r="M28" s="42">
        <f>IF(M18&gt;0,VLOOKUP(M18,'T ISR'!A85:C95,3,1),0)</f>
        <v>157.52000000000001</v>
      </c>
      <c r="N28" s="42">
        <f>IF(N18&gt;0,VLOOKUP(N18,'T ISR'!F85:H95,3,1),0)</f>
        <v>171.88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x14ac:dyDescent="0.35">
      <c r="A29" s="20"/>
      <c r="C29" s="21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" thickBot="1" x14ac:dyDescent="0.4">
      <c r="A30" s="9" t="s">
        <v>28</v>
      </c>
      <c r="C30" s="43">
        <f t="shared" ref="C30:O30" si="5">C26+C28</f>
        <v>432.82872000000219</v>
      </c>
      <c r="D30" s="43">
        <f t="shared" si="5"/>
        <v>801.83475972413851</v>
      </c>
      <c r="E30" s="43">
        <f t="shared" si="5"/>
        <v>1000.442736331031</v>
      </c>
      <c r="F30" s="43">
        <f t="shared" si="5"/>
        <v>1159.071646455164</v>
      </c>
      <c r="G30" s="43">
        <f t="shared" si="5"/>
        <v>1317.8318675861931</v>
      </c>
      <c r="H30" s="43">
        <f t="shared" si="5"/>
        <v>1156.5979475861939</v>
      </c>
      <c r="I30" s="43">
        <f t="shared" si="5"/>
        <v>1916.3018546758615</v>
      </c>
      <c r="J30" s="43">
        <f t="shared" si="5"/>
        <v>2358.2407368827508</v>
      </c>
      <c r="K30" s="43">
        <f t="shared" si="5"/>
        <v>2763.8437027310206</v>
      </c>
      <c r="L30" s="43">
        <f t="shared" si="5"/>
        <v>2986.3930857230221</v>
      </c>
      <c r="M30" s="43">
        <f t="shared" si="5"/>
        <v>3214.8732117340387</v>
      </c>
      <c r="N30" s="43">
        <f t="shared" si="5"/>
        <v>3442.4705220115484</v>
      </c>
      <c r="O30" s="43">
        <f t="shared" si="5"/>
        <v>0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" thickTop="1" x14ac:dyDescent="0.35">
      <c r="A31" s="20"/>
      <c r="C31" s="2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x14ac:dyDescent="0.35">
      <c r="A32" s="9" t="s">
        <v>29</v>
      </c>
      <c r="C32" s="21">
        <v>0</v>
      </c>
      <c r="D32" s="21">
        <f>IF(C36&gt;0,C32+C33+C35+C36,C32+C33+C35)</f>
        <v>432.82872000000219</v>
      </c>
      <c r="E32" s="21">
        <f>IF(D36&gt;0,D32+D33+D35+D36,D32+D33+D35)</f>
        <v>801.83475972413851</v>
      </c>
      <c r="F32" s="21">
        <f t="shared" ref="F32:M32" si="6">IF(E36&gt;0,E32+E33+E35+E36,E32+E33+E35)</f>
        <v>1000.442736331031</v>
      </c>
      <c r="G32" s="21">
        <f>IF(F36&gt;0,F32+F33+F35+F36,F32+F33+F35)</f>
        <v>1159.071646455164</v>
      </c>
      <c r="H32" s="21">
        <f t="shared" si="6"/>
        <v>1317.8318675861931</v>
      </c>
      <c r="I32" s="21">
        <f t="shared" si="6"/>
        <v>1317.8318675861931</v>
      </c>
      <c r="J32" s="21">
        <f t="shared" si="6"/>
        <v>1916.3018546758615</v>
      </c>
      <c r="K32" s="21">
        <f t="shared" si="6"/>
        <v>2358.2407368827508</v>
      </c>
      <c r="L32" s="21">
        <f t="shared" si="6"/>
        <v>2763.8437027310206</v>
      </c>
      <c r="M32" s="21">
        <f t="shared" si="6"/>
        <v>2986.3930857230221</v>
      </c>
      <c r="N32" s="21">
        <f>IF(M36&gt;0,M32+M33+M35+M36,M32+M33+M35)</f>
        <v>3214.8732117340387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x14ac:dyDescent="0.35">
      <c r="A33" s="9" t="s">
        <v>30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35">
      <c r="A34" s="23" t="s">
        <v>31</v>
      </c>
      <c r="B34" s="1"/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14"/>
      <c r="P34" s="14"/>
      <c r="Q34" s="13">
        <f>SUM(C34:N34)</f>
        <v>0</v>
      </c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" thickBot="1" x14ac:dyDescent="0.4">
      <c r="A35" s="20"/>
      <c r="B35" s="5"/>
      <c r="C35" s="21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" thickBot="1" x14ac:dyDescent="0.4">
      <c r="A36" s="15" t="s">
        <v>32</v>
      </c>
      <c r="B36" s="5">
        <v>1</v>
      </c>
      <c r="C36" s="46">
        <f t="shared" ref="C36:N36" si="7">IF((C30-C32-C33-C34)&gt;0,C30-C32-C33-C34,0)</f>
        <v>432.82872000000219</v>
      </c>
      <c r="D36" s="46">
        <f t="shared" si="7"/>
        <v>369.00603972413631</v>
      </c>
      <c r="E36" s="46">
        <f t="shared" si="7"/>
        <v>198.60797660689252</v>
      </c>
      <c r="F36" s="46">
        <f t="shared" si="7"/>
        <v>158.62891012413297</v>
      </c>
      <c r="G36" s="46">
        <f t="shared" si="7"/>
        <v>158.76022113102908</v>
      </c>
      <c r="H36" s="46">
        <f t="shared" si="7"/>
        <v>0</v>
      </c>
      <c r="I36" s="46">
        <f t="shared" si="7"/>
        <v>598.46998708966839</v>
      </c>
      <c r="J36" s="46">
        <f t="shared" si="7"/>
        <v>441.93888220688928</v>
      </c>
      <c r="K36" s="46">
        <f t="shared" si="7"/>
        <v>405.60296584826983</v>
      </c>
      <c r="L36" s="46">
        <f t="shared" si="7"/>
        <v>222.54938299200148</v>
      </c>
      <c r="M36" s="46">
        <f t="shared" si="7"/>
        <v>228.48012601101664</v>
      </c>
      <c r="N36" s="46">
        <f t="shared" si="7"/>
        <v>227.59731027750968</v>
      </c>
      <c r="O36" s="14"/>
      <c r="P36" s="14"/>
      <c r="Q36" s="197">
        <f>SUM(B36:P36)</f>
        <v>3443.4705220115484</v>
      </c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x14ac:dyDescent="0.3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x14ac:dyDescent="0.3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x14ac:dyDescent="0.3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x14ac:dyDescent="0.3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x14ac:dyDescent="0.3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x14ac:dyDescent="0.3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x14ac:dyDescent="0.3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x14ac:dyDescent="0.3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x14ac:dyDescent="0.3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x14ac:dyDescent="0.3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x14ac:dyDescent="0.3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x14ac:dyDescent="0.3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x14ac:dyDescent="0.3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x14ac:dyDescent="0.3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x14ac:dyDescent="0.3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x14ac:dyDescent="0.3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x14ac:dyDescent="0.3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x14ac:dyDescent="0.3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x14ac:dyDescent="0.3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x14ac:dyDescent="0.3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x14ac:dyDescent="0.3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x14ac:dyDescent="0.3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x14ac:dyDescent="0.3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x14ac:dyDescent="0.3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x14ac:dyDescent="0.3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x14ac:dyDescent="0.3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x14ac:dyDescent="0.3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x14ac:dyDescent="0.3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x14ac:dyDescent="0.3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x14ac:dyDescent="0.3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x14ac:dyDescent="0.3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x14ac:dyDescent="0.3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x14ac:dyDescent="0.3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x14ac:dyDescent="0.3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x14ac:dyDescent="0.3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x14ac:dyDescent="0.3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x14ac:dyDescent="0.3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x14ac:dyDescent="0.3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x14ac:dyDescent="0.3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x14ac:dyDescent="0.3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x14ac:dyDescent="0.3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x14ac:dyDescent="0.3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x14ac:dyDescent="0.3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x14ac:dyDescent="0.3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x14ac:dyDescent="0.3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x14ac:dyDescent="0.3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x14ac:dyDescent="0.3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x14ac:dyDescent="0.3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x14ac:dyDescent="0.3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x14ac:dyDescent="0.3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x14ac:dyDescent="0.3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x14ac:dyDescent="0.3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x14ac:dyDescent="0.3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x14ac:dyDescent="0.3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x14ac:dyDescent="0.3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x14ac:dyDescent="0.3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x14ac:dyDescent="0.3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x14ac:dyDescent="0.3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x14ac:dyDescent="0.3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x14ac:dyDescent="0.3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x14ac:dyDescent="0.3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x14ac:dyDescent="0.3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x14ac:dyDescent="0.3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x14ac:dyDescent="0.3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x14ac:dyDescent="0.3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x14ac:dyDescent="0.3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x14ac:dyDescent="0.3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x14ac:dyDescent="0.3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x14ac:dyDescent="0.3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x14ac:dyDescent="0.3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x14ac:dyDescent="0.3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x14ac:dyDescent="0.3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x14ac:dyDescent="0.3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x14ac:dyDescent="0.3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x14ac:dyDescent="0.3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x14ac:dyDescent="0.3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x14ac:dyDescent="0.3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x14ac:dyDescent="0.3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x14ac:dyDescent="0.3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x14ac:dyDescent="0.3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x14ac:dyDescent="0.3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x14ac:dyDescent="0.3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x14ac:dyDescent="0.3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x14ac:dyDescent="0.3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x14ac:dyDescent="0.3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x14ac:dyDescent="0.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x14ac:dyDescent="0.3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x14ac:dyDescent="0.3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x14ac:dyDescent="0.3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x14ac:dyDescent="0.3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x14ac:dyDescent="0.3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x14ac:dyDescent="0.3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x14ac:dyDescent="0.3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x14ac:dyDescent="0.3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x14ac:dyDescent="0.3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x14ac:dyDescent="0.3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x14ac:dyDescent="0.3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x14ac:dyDescent="0.3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x14ac:dyDescent="0.3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x14ac:dyDescent="0.3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x14ac:dyDescent="0.3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x14ac:dyDescent="0.3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x14ac:dyDescent="0.3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x14ac:dyDescent="0.3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x14ac:dyDescent="0.3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x14ac:dyDescent="0.3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x14ac:dyDescent="0.3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x14ac:dyDescent="0.3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x14ac:dyDescent="0.3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x14ac:dyDescent="0.3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x14ac:dyDescent="0.3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x14ac:dyDescent="0.3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x14ac:dyDescent="0.3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x14ac:dyDescent="0.3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3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3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3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3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3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3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3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3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3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3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3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3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3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3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3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3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3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3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3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3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3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3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3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3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3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3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3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3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3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3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3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3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3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3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3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</sheetData>
  <mergeCells count="1">
    <mergeCell ref="C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CE83-D636-40C3-BA41-50C804DDC56C}">
  <dimension ref="A1:O41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6" sqref="F16"/>
    </sheetView>
  </sheetViews>
  <sheetFormatPr baseColWidth="10" defaultRowHeight="14.5" x14ac:dyDescent="0.35"/>
  <cols>
    <col min="1" max="1" width="13" customWidth="1"/>
    <col min="2" max="2" width="27.453125" bestFit="1" customWidth="1"/>
    <col min="3" max="3" width="12.1796875" customWidth="1"/>
    <col min="4" max="4" width="17.1796875" bestFit="1" customWidth="1"/>
    <col min="5" max="15" width="12.1796875" customWidth="1"/>
  </cols>
  <sheetData>
    <row r="1" spans="1:15" ht="6.65" customHeight="1" x14ac:dyDescent="0.35">
      <c r="A1" s="163"/>
      <c r="B1" s="164"/>
    </row>
    <row r="2" spans="1:15" x14ac:dyDescent="0.35">
      <c r="A2" s="288" t="s">
        <v>155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</row>
    <row r="3" spans="1:15" x14ac:dyDescent="0.35">
      <c r="A3" s="289" t="s">
        <v>156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165"/>
    </row>
    <row r="4" spans="1:15" x14ac:dyDescent="0.35">
      <c r="N4" t="s">
        <v>157</v>
      </c>
    </row>
    <row r="5" spans="1:15" x14ac:dyDescent="0.35">
      <c r="A5" s="166" t="s">
        <v>158</v>
      </c>
      <c r="B5" s="166" t="s">
        <v>159</v>
      </c>
      <c r="C5" s="166" t="s">
        <v>160</v>
      </c>
      <c r="D5" s="166" t="s">
        <v>161</v>
      </c>
      <c r="E5" s="166" t="s">
        <v>162</v>
      </c>
      <c r="F5" s="166" t="s">
        <v>163</v>
      </c>
      <c r="G5" s="166" t="s">
        <v>164</v>
      </c>
      <c r="H5" s="166" t="s">
        <v>165</v>
      </c>
      <c r="I5" s="166" t="s">
        <v>166</v>
      </c>
      <c r="J5" s="166" t="s">
        <v>167</v>
      </c>
      <c r="K5" s="166" t="s">
        <v>168</v>
      </c>
      <c r="L5" s="166" t="s">
        <v>169</v>
      </c>
      <c r="M5" s="166" t="s">
        <v>170</v>
      </c>
      <c r="N5" s="166" t="s">
        <v>171</v>
      </c>
      <c r="O5" s="166" t="s">
        <v>34</v>
      </c>
    </row>
    <row r="6" spans="1:15" x14ac:dyDescent="0.35">
      <c r="C6" s="166">
        <v>1</v>
      </c>
      <c r="D6" s="166">
        <v>2</v>
      </c>
      <c r="E6" s="166">
        <v>3</v>
      </c>
      <c r="F6" s="166">
        <v>4</v>
      </c>
      <c r="G6" s="166">
        <v>5</v>
      </c>
      <c r="H6" s="166">
        <v>6</v>
      </c>
      <c r="I6" s="166">
        <v>7</v>
      </c>
      <c r="J6" s="166">
        <v>8</v>
      </c>
      <c r="K6" s="166">
        <v>9</v>
      </c>
      <c r="L6" s="166">
        <v>10</v>
      </c>
      <c r="M6" s="166">
        <v>11</v>
      </c>
      <c r="N6" s="166">
        <v>12</v>
      </c>
    </row>
    <row r="7" spans="1:15" x14ac:dyDescent="0.35">
      <c r="A7" s="167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</row>
    <row r="8" spans="1:15" x14ac:dyDescent="0.35">
      <c r="A8" t="s">
        <v>157</v>
      </c>
      <c r="B8" s="5" t="s">
        <v>172</v>
      </c>
      <c r="D8" s="169"/>
      <c r="E8" s="169"/>
      <c r="F8" s="169"/>
      <c r="G8" s="169"/>
      <c r="H8" s="169"/>
      <c r="I8" s="169"/>
      <c r="J8" s="169"/>
      <c r="K8" s="169"/>
      <c r="L8" s="169"/>
      <c r="M8" s="168"/>
      <c r="N8" s="168"/>
      <c r="O8" s="168"/>
    </row>
    <row r="9" spans="1:15" x14ac:dyDescent="0.35">
      <c r="A9" s="48">
        <v>12</v>
      </c>
      <c r="B9" s="48" t="s">
        <v>173</v>
      </c>
      <c r="C9" s="170">
        <v>0</v>
      </c>
      <c r="D9" s="170">
        <f>+ING!K17+ING!K23</f>
        <v>304.16551724137935</v>
      </c>
      <c r="E9" s="170">
        <v>0</v>
      </c>
      <c r="F9" s="170">
        <v>137.24</v>
      </c>
      <c r="G9" s="170">
        <v>207.31</v>
      </c>
      <c r="H9" s="170">
        <v>0</v>
      </c>
      <c r="I9" s="170">
        <v>418.1</v>
      </c>
      <c r="J9" s="170">
        <v>0</v>
      </c>
      <c r="K9" s="170">
        <v>0</v>
      </c>
      <c r="L9" s="170">
        <v>0</v>
      </c>
      <c r="M9" s="170">
        <v>0</v>
      </c>
      <c r="N9" s="170">
        <v>0</v>
      </c>
      <c r="O9" s="170">
        <f t="shared" ref="O9:O16" si="0">SUM(C9:N9)</f>
        <v>1066.8155172413794</v>
      </c>
    </row>
    <row r="10" spans="1:15" x14ac:dyDescent="0.35">
      <c r="A10">
        <v>13</v>
      </c>
      <c r="B10" t="s">
        <v>174</v>
      </c>
      <c r="C10" s="168">
        <v>0</v>
      </c>
      <c r="D10" s="168">
        <v>0</v>
      </c>
      <c r="E10" s="168">
        <v>0</v>
      </c>
      <c r="F10" s="168">
        <v>0</v>
      </c>
      <c r="G10" s="168">
        <v>0</v>
      </c>
      <c r="H10" s="168">
        <v>0</v>
      </c>
      <c r="I10" s="168">
        <v>0</v>
      </c>
      <c r="J10" s="168">
        <v>0</v>
      </c>
      <c r="K10" s="168">
        <v>0</v>
      </c>
      <c r="L10" s="168">
        <v>0</v>
      </c>
      <c r="M10" s="168">
        <v>0</v>
      </c>
      <c r="N10" s="168">
        <v>0</v>
      </c>
      <c r="O10" s="168">
        <f t="shared" si="0"/>
        <v>0</v>
      </c>
    </row>
    <row r="11" spans="1:15" x14ac:dyDescent="0.35">
      <c r="A11">
        <v>3</v>
      </c>
      <c r="B11" t="s">
        <v>175</v>
      </c>
      <c r="C11" s="168">
        <f>+'P.F.A.E.'!C9</f>
        <v>0</v>
      </c>
      <c r="D11" s="168">
        <f>+ING!J15+ING!J16+ING!J18+ING!J19+ING!J20+ING!J21+ING!J22+ING!J24+ING!J30</f>
        <v>228671</v>
      </c>
      <c r="E11" s="168">
        <f>+'P.F.A.E.'!E7</f>
        <v>240808.88517241381</v>
      </c>
      <c r="F11" s="168">
        <f>+'P.F.A.E.'!F7</f>
        <v>357091.75862068968</v>
      </c>
      <c r="G11" s="168">
        <f>+'P.F.A.E.'!G7</f>
        <v>362431.68965517241</v>
      </c>
      <c r="H11" s="168">
        <f>+'P.F.A.E.'!H7</f>
        <v>424706</v>
      </c>
      <c r="I11" s="168">
        <f>+'P.F.A.E.'!I7</f>
        <v>272396.10344827588</v>
      </c>
      <c r="J11" s="168">
        <f>+'P.F.A.E.'!J7</f>
        <v>247594.93103448275</v>
      </c>
      <c r="K11" s="168">
        <f>+'P.F.A.E.'!K7</f>
        <v>336307.20724137931</v>
      </c>
      <c r="L11" s="168">
        <f>+'P.F.A.E.'!L7</f>
        <v>359882.55</v>
      </c>
      <c r="M11" s="168">
        <f>+'P.F.A.E.'!M7</f>
        <v>279550.68965517241</v>
      </c>
      <c r="N11" s="168">
        <f>+'P.F.A.E.'!N7</f>
        <v>524795.93482758617</v>
      </c>
      <c r="O11" s="168">
        <f>SUM(C11:N11)</f>
        <v>3634236.7496551718</v>
      </c>
    </row>
    <row r="12" spans="1:15" x14ac:dyDescent="0.35">
      <c r="A12">
        <v>4</v>
      </c>
      <c r="B12" t="s">
        <v>176</v>
      </c>
      <c r="C12" s="168">
        <v>0</v>
      </c>
      <c r="D12" s="168">
        <v>0</v>
      </c>
      <c r="E12" s="168">
        <v>0</v>
      </c>
      <c r="F12" s="168">
        <v>0</v>
      </c>
      <c r="G12" s="168">
        <v>0</v>
      </c>
      <c r="H12" s="168">
        <v>0</v>
      </c>
      <c r="I12" s="168">
        <v>0</v>
      </c>
      <c r="J12" s="168">
        <v>0</v>
      </c>
      <c r="K12" s="168">
        <v>0</v>
      </c>
      <c r="L12" s="168">
        <v>0</v>
      </c>
      <c r="M12" s="168">
        <v>0</v>
      </c>
      <c r="N12" s="168">
        <v>0</v>
      </c>
      <c r="O12" s="168">
        <f t="shared" si="0"/>
        <v>0</v>
      </c>
    </row>
    <row r="13" spans="1:15" x14ac:dyDescent="0.35">
      <c r="A13">
        <v>1</v>
      </c>
      <c r="B13" t="s">
        <v>177</v>
      </c>
      <c r="C13" s="168">
        <v>0</v>
      </c>
      <c r="D13" s="168">
        <v>0</v>
      </c>
      <c r="E13" s="168">
        <v>0</v>
      </c>
      <c r="F13" s="168">
        <v>0</v>
      </c>
      <c r="G13" s="168">
        <v>0</v>
      </c>
      <c r="H13" s="168">
        <v>0</v>
      </c>
      <c r="I13" s="168">
        <v>0</v>
      </c>
      <c r="J13" s="168">
        <v>0</v>
      </c>
      <c r="K13" s="168">
        <v>0</v>
      </c>
      <c r="L13" s="168">
        <v>0</v>
      </c>
      <c r="M13" s="168">
        <v>0</v>
      </c>
      <c r="N13" s="168">
        <v>0</v>
      </c>
      <c r="O13" s="168">
        <f t="shared" si="0"/>
        <v>0</v>
      </c>
    </row>
    <row r="14" spans="1:15" x14ac:dyDescent="0.35">
      <c r="A14">
        <v>2</v>
      </c>
      <c r="B14" t="s">
        <v>178</v>
      </c>
      <c r="C14" s="168">
        <v>0</v>
      </c>
      <c r="D14" s="168">
        <v>0</v>
      </c>
      <c r="E14" s="168">
        <v>0</v>
      </c>
      <c r="F14" s="168">
        <v>0</v>
      </c>
      <c r="G14" s="168">
        <v>0</v>
      </c>
      <c r="H14" s="168">
        <v>0</v>
      </c>
      <c r="I14" s="168">
        <v>0</v>
      </c>
      <c r="J14" s="168">
        <v>0</v>
      </c>
      <c r="K14" s="168">
        <v>0</v>
      </c>
      <c r="L14" s="168">
        <v>0</v>
      </c>
      <c r="M14" s="168">
        <v>0</v>
      </c>
      <c r="N14" s="168">
        <v>0</v>
      </c>
      <c r="O14" s="168">
        <f t="shared" si="0"/>
        <v>0</v>
      </c>
    </row>
    <row r="15" spans="1:15" x14ac:dyDescent="0.35">
      <c r="A15">
        <v>5</v>
      </c>
      <c r="B15" t="s">
        <v>179</v>
      </c>
      <c r="C15" s="168">
        <v>0</v>
      </c>
      <c r="D15" s="168">
        <v>0</v>
      </c>
      <c r="E15" s="168">
        <v>0</v>
      </c>
      <c r="F15" s="168">
        <v>0</v>
      </c>
      <c r="G15" s="168">
        <v>0</v>
      </c>
      <c r="H15" s="168">
        <v>0</v>
      </c>
      <c r="I15" s="168">
        <v>0</v>
      </c>
      <c r="J15" s="168">
        <v>0</v>
      </c>
      <c r="K15" s="168">
        <v>0</v>
      </c>
      <c r="L15" s="168">
        <v>0</v>
      </c>
      <c r="M15" s="168">
        <v>0</v>
      </c>
      <c r="N15" s="168">
        <v>0</v>
      </c>
      <c r="O15" s="168">
        <f t="shared" si="0"/>
        <v>0</v>
      </c>
    </row>
    <row r="16" spans="1:15" ht="15" thickBot="1" x14ac:dyDescent="0.4">
      <c r="B16" s="171" t="s">
        <v>180</v>
      </c>
      <c r="C16" s="172">
        <f>SUM(C9:C15)</f>
        <v>0</v>
      </c>
      <c r="D16" s="172">
        <f t="shared" ref="D16:N16" si="1">SUM(D9:D15)</f>
        <v>228975.16551724137</v>
      </c>
      <c r="E16" s="172">
        <f t="shared" si="1"/>
        <v>240808.88517241381</v>
      </c>
      <c r="F16" s="172">
        <f t="shared" si="1"/>
        <v>357228.99862068967</v>
      </c>
      <c r="G16" s="172">
        <f t="shared" si="1"/>
        <v>362638.9996551724</v>
      </c>
      <c r="H16" s="172">
        <f t="shared" si="1"/>
        <v>424706</v>
      </c>
      <c r="I16" s="172">
        <f t="shared" si="1"/>
        <v>272814.20344827586</v>
      </c>
      <c r="J16" s="172">
        <f t="shared" si="1"/>
        <v>247594.93103448275</v>
      </c>
      <c r="K16" s="172">
        <f t="shared" si="1"/>
        <v>336307.20724137931</v>
      </c>
      <c r="L16" s="172">
        <f t="shared" si="1"/>
        <v>359882.55</v>
      </c>
      <c r="M16" s="172">
        <f t="shared" si="1"/>
        <v>279550.68965517241</v>
      </c>
      <c r="N16" s="172">
        <f t="shared" si="1"/>
        <v>524795.93482758617</v>
      </c>
      <c r="O16" s="172">
        <f t="shared" si="0"/>
        <v>3635303.5651724129</v>
      </c>
    </row>
    <row r="17" spans="1:15" ht="15" thickTop="1" x14ac:dyDescent="0.35"/>
    <row r="18" spans="1:15" x14ac:dyDescent="0.35">
      <c r="A18">
        <v>12</v>
      </c>
      <c r="B18" t="s">
        <v>181</v>
      </c>
      <c r="C18" s="168">
        <f>C9*0.16</f>
        <v>0</v>
      </c>
      <c r="D18" s="173">
        <f>D9*0.16</f>
        <v>48.666482758620695</v>
      </c>
      <c r="E18" s="168">
        <f t="shared" ref="E18:N18" si="2">E9*0.16</f>
        <v>0</v>
      </c>
      <c r="F18" s="168">
        <f t="shared" si="2"/>
        <v>21.958400000000001</v>
      </c>
      <c r="G18" s="168">
        <f t="shared" si="2"/>
        <v>33.169600000000003</v>
      </c>
      <c r="H18" s="168">
        <f t="shared" si="2"/>
        <v>0</v>
      </c>
      <c r="I18" s="168">
        <f t="shared" si="2"/>
        <v>66.896000000000001</v>
      </c>
      <c r="J18" s="168">
        <f t="shared" si="2"/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8">
        <f t="shared" si="2"/>
        <v>0</v>
      </c>
      <c r="O18" s="168">
        <f>SUM(C18:N18)</f>
        <v>170.6904827586207</v>
      </c>
    </row>
    <row r="19" spans="1:15" x14ac:dyDescent="0.35">
      <c r="A19">
        <v>13</v>
      </c>
      <c r="B19" t="s">
        <v>182</v>
      </c>
      <c r="C19" s="168">
        <f>C10*0.8%</f>
        <v>0</v>
      </c>
      <c r="D19" s="168">
        <f t="shared" ref="D19:N19" si="3">D10*0.8%</f>
        <v>0</v>
      </c>
      <c r="E19" s="168">
        <f t="shared" si="3"/>
        <v>0</v>
      </c>
      <c r="F19" s="168">
        <f t="shared" si="3"/>
        <v>0</v>
      </c>
      <c r="G19" s="168">
        <f t="shared" si="3"/>
        <v>0</v>
      </c>
      <c r="H19" s="168">
        <f t="shared" si="3"/>
        <v>0</v>
      </c>
      <c r="I19" s="168">
        <f t="shared" si="3"/>
        <v>0</v>
      </c>
      <c r="J19" s="168">
        <f t="shared" si="3"/>
        <v>0</v>
      </c>
      <c r="K19" s="168">
        <f t="shared" si="3"/>
        <v>0</v>
      </c>
      <c r="L19" s="168">
        <f t="shared" si="3"/>
        <v>0</v>
      </c>
      <c r="M19" s="168">
        <f t="shared" si="3"/>
        <v>0</v>
      </c>
      <c r="N19" s="168">
        <f t="shared" si="3"/>
        <v>0</v>
      </c>
      <c r="O19" s="168">
        <f>SUM(C19:N19)</f>
        <v>0</v>
      </c>
    </row>
    <row r="20" spans="1:15" x14ac:dyDescent="0.35">
      <c r="A20">
        <v>8</v>
      </c>
      <c r="B20" t="s">
        <v>183</v>
      </c>
      <c r="C20" s="168">
        <v>0</v>
      </c>
      <c r="D20" s="168">
        <v>0</v>
      </c>
      <c r="E20" s="168">
        <v>0</v>
      </c>
      <c r="F20" s="168">
        <v>0</v>
      </c>
      <c r="G20" s="168">
        <v>0</v>
      </c>
      <c r="H20" s="168">
        <v>0</v>
      </c>
      <c r="I20" s="168">
        <v>0</v>
      </c>
      <c r="J20" s="168">
        <v>0</v>
      </c>
      <c r="K20" s="168">
        <v>0</v>
      </c>
      <c r="L20" s="168">
        <v>0</v>
      </c>
      <c r="M20" s="168">
        <v>0</v>
      </c>
      <c r="N20" s="168">
        <v>0</v>
      </c>
      <c r="O20" s="168">
        <f>SUM(C20:N20)</f>
        <v>0</v>
      </c>
    </row>
    <row r="21" spans="1:15" ht="15" thickBot="1" x14ac:dyDescent="0.4">
      <c r="B21" s="171" t="s">
        <v>184</v>
      </c>
      <c r="C21" s="172">
        <f>C18+C19-C20</f>
        <v>0</v>
      </c>
      <c r="D21" s="172">
        <f t="shared" ref="D21:O21" si="4">D18+D19-D20</f>
        <v>48.666482758620695</v>
      </c>
      <c r="E21" s="172">
        <f t="shared" si="4"/>
        <v>0</v>
      </c>
      <c r="F21" s="172">
        <f t="shared" si="4"/>
        <v>21.958400000000001</v>
      </c>
      <c r="G21" s="172">
        <f t="shared" si="4"/>
        <v>33.169600000000003</v>
      </c>
      <c r="H21" s="172">
        <f t="shared" si="4"/>
        <v>0</v>
      </c>
      <c r="I21" s="172">
        <f t="shared" si="4"/>
        <v>66.896000000000001</v>
      </c>
      <c r="J21" s="172">
        <f t="shared" si="4"/>
        <v>0</v>
      </c>
      <c r="K21" s="172">
        <f t="shared" si="4"/>
        <v>0</v>
      </c>
      <c r="L21" s="172">
        <f t="shared" si="4"/>
        <v>0</v>
      </c>
      <c r="M21" s="172">
        <f t="shared" si="4"/>
        <v>0</v>
      </c>
      <c r="N21" s="172">
        <f t="shared" si="4"/>
        <v>0</v>
      </c>
      <c r="O21" s="172">
        <f t="shared" si="4"/>
        <v>170.6904827586207</v>
      </c>
    </row>
    <row r="22" spans="1:15" ht="15" thickTop="1" x14ac:dyDescent="0.35">
      <c r="B22" s="5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</row>
    <row r="23" spans="1:15" x14ac:dyDescent="0.35">
      <c r="B23" s="5" t="s">
        <v>185</v>
      </c>
      <c r="C23" s="168"/>
      <c r="D23" s="168"/>
      <c r="E23" s="168"/>
      <c r="F23" s="168"/>
      <c r="G23" s="168"/>
      <c r="H23" s="168" t="s">
        <v>157</v>
      </c>
      <c r="I23" s="168" t="s">
        <v>157</v>
      </c>
      <c r="J23" s="168"/>
      <c r="K23" s="168"/>
      <c r="L23" s="168"/>
      <c r="M23" s="168"/>
      <c r="N23" s="168"/>
      <c r="O23" s="168"/>
    </row>
    <row r="24" spans="1:15" x14ac:dyDescent="0.35">
      <c r="A24">
        <v>12</v>
      </c>
      <c r="B24" t="s">
        <v>186</v>
      </c>
      <c r="C24" s="168">
        <f>+'control p.y g.'!I3</f>
        <v>303686.28999999998</v>
      </c>
      <c r="D24" s="168">
        <v>36577</v>
      </c>
      <c r="E24" s="168">
        <f>+'control p.y g.'!I5</f>
        <v>12764.7775</v>
      </c>
      <c r="F24" s="168">
        <f>+'control p.y g.'!I6</f>
        <v>7445.7775000000001</v>
      </c>
      <c r="G24" s="168">
        <f>+'control p.y g.'!I7</f>
        <v>10422.319999999998</v>
      </c>
      <c r="H24" s="168">
        <f>+'control p.y g.'!I8</f>
        <v>159173</v>
      </c>
      <c r="I24" s="168">
        <f>+'control p.y g.'!I9</f>
        <v>15790.577500000001</v>
      </c>
      <c r="J24" s="168">
        <f>+'control p.y g.'!I10</f>
        <v>20983.1</v>
      </c>
      <c r="K24" s="168">
        <f>+'control p.y g.'!I11</f>
        <v>19558.552500000002</v>
      </c>
      <c r="L24" s="168">
        <f>+'control p.y g.'!I12</f>
        <v>25572.574043750003</v>
      </c>
      <c r="M24" s="168">
        <f>+'control p.y g.'!I13</f>
        <v>18207.446281249999</v>
      </c>
      <c r="N24" s="168">
        <f>+'control p.y g.'!I14</f>
        <v>19375.1740125</v>
      </c>
      <c r="O24" s="168">
        <f>SUM(C24:N24)</f>
        <v>649556.58933749993</v>
      </c>
    </row>
    <row r="25" spans="1:15" x14ac:dyDescent="0.35">
      <c r="A25">
        <v>13</v>
      </c>
      <c r="B25" t="s">
        <v>187</v>
      </c>
      <c r="C25" s="168">
        <v>0</v>
      </c>
      <c r="D25" s="168">
        <v>0</v>
      </c>
      <c r="E25" s="168">
        <v>0</v>
      </c>
      <c r="F25" s="168">
        <v>0</v>
      </c>
      <c r="G25" s="168">
        <v>0</v>
      </c>
      <c r="H25" s="168">
        <v>0</v>
      </c>
      <c r="I25" s="168">
        <v>0</v>
      </c>
      <c r="J25" s="168">
        <v>0</v>
      </c>
      <c r="K25" s="168">
        <v>0</v>
      </c>
      <c r="L25" s="168">
        <v>0</v>
      </c>
      <c r="M25" s="168">
        <v>0</v>
      </c>
      <c r="N25" s="168">
        <v>0</v>
      </c>
      <c r="O25" s="168">
        <f>SUM(C25:N25)</f>
        <v>0</v>
      </c>
    </row>
    <row r="26" spans="1:15" x14ac:dyDescent="0.35">
      <c r="A26">
        <v>3</v>
      </c>
      <c r="B26" t="s">
        <v>188</v>
      </c>
      <c r="C26" s="168">
        <v>0</v>
      </c>
      <c r="D26" s="168">
        <v>0</v>
      </c>
      <c r="E26" s="168">
        <v>0</v>
      </c>
      <c r="F26" s="168">
        <v>0</v>
      </c>
      <c r="G26" s="168">
        <v>0</v>
      </c>
      <c r="H26" s="168">
        <v>0</v>
      </c>
      <c r="I26" s="168">
        <v>0</v>
      </c>
      <c r="J26" s="168">
        <v>0</v>
      </c>
      <c r="K26" s="168">
        <v>0</v>
      </c>
      <c r="L26" s="168">
        <v>0</v>
      </c>
      <c r="M26" s="168">
        <v>0</v>
      </c>
      <c r="N26" s="168">
        <v>0</v>
      </c>
      <c r="O26" s="168">
        <f>SUM(C26:N26)</f>
        <v>0</v>
      </c>
    </row>
    <row r="27" spans="1:15" x14ac:dyDescent="0.35">
      <c r="A27">
        <v>4</v>
      </c>
      <c r="B27" t="s">
        <v>189</v>
      </c>
      <c r="C27" s="168">
        <v>0</v>
      </c>
      <c r="D27" s="168">
        <v>0</v>
      </c>
      <c r="E27" s="168">
        <v>0</v>
      </c>
      <c r="F27" s="168">
        <v>0</v>
      </c>
      <c r="G27" s="168">
        <v>0</v>
      </c>
      <c r="H27" s="168">
        <v>0</v>
      </c>
      <c r="I27" s="168">
        <v>0</v>
      </c>
      <c r="J27" s="168">
        <v>0</v>
      </c>
      <c r="K27" s="168">
        <v>0</v>
      </c>
      <c r="L27" s="168">
        <v>0</v>
      </c>
      <c r="M27" s="168">
        <v>0</v>
      </c>
      <c r="N27" s="168">
        <v>0</v>
      </c>
      <c r="O27" s="168">
        <f>SUM(C27:N27)</f>
        <v>0</v>
      </c>
    </row>
    <row r="28" spans="1:15" ht="15" thickBot="1" x14ac:dyDescent="0.4">
      <c r="B28" s="171" t="s">
        <v>190</v>
      </c>
      <c r="C28" s="172">
        <f t="shared" ref="C28:N28" si="5">SUM(C24:C27)</f>
        <v>303686.28999999998</v>
      </c>
      <c r="D28" s="172">
        <f t="shared" si="5"/>
        <v>36577</v>
      </c>
      <c r="E28" s="172">
        <f t="shared" si="5"/>
        <v>12764.7775</v>
      </c>
      <c r="F28" s="172">
        <f t="shared" si="5"/>
        <v>7445.7775000000001</v>
      </c>
      <c r="G28" s="172">
        <f t="shared" si="5"/>
        <v>10422.319999999998</v>
      </c>
      <c r="H28" s="172">
        <f t="shared" si="5"/>
        <v>159173</v>
      </c>
      <c r="I28" s="172">
        <f t="shared" si="5"/>
        <v>15790.577500000001</v>
      </c>
      <c r="J28" s="172">
        <f t="shared" si="5"/>
        <v>20983.1</v>
      </c>
      <c r="K28" s="172">
        <f t="shared" si="5"/>
        <v>19558.552500000002</v>
      </c>
      <c r="L28" s="172">
        <f t="shared" si="5"/>
        <v>25572.574043750003</v>
      </c>
      <c r="M28" s="172">
        <f t="shared" si="5"/>
        <v>18207.446281249999</v>
      </c>
      <c r="N28" s="172">
        <f t="shared" si="5"/>
        <v>19375.1740125</v>
      </c>
      <c r="O28" s="172">
        <f>SUM(C28:N28)</f>
        <v>649556.58933749993</v>
      </c>
    </row>
    <row r="29" spans="1:15" ht="15" thickTop="1" x14ac:dyDescent="0.35"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</row>
    <row r="30" spans="1:15" x14ac:dyDescent="0.35">
      <c r="A30">
        <v>12</v>
      </c>
      <c r="B30" t="s">
        <v>191</v>
      </c>
      <c r="C30" s="168">
        <f>C24*0.16</f>
        <v>48589.806399999994</v>
      </c>
      <c r="D30" s="173">
        <f>D24*0.16</f>
        <v>5852.32</v>
      </c>
      <c r="E30" s="175">
        <f t="shared" ref="E30:N30" si="6">E24*0.16</f>
        <v>2042.3644000000002</v>
      </c>
      <c r="F30" s="168">
        <f t="shared" si="6"/>
        <v>1191.3244</v>
      </c>
      <c r="G30" s="168">
        <f t="shared" si="6"/>
        <v>1667.5711999999996</v>
      </c>
      <c r="H30" s="168">
        <f t="shared" si="6"/>
        <v>25467.68</v>
      </c>
      <c r="I30" s="168">
        <v>0</v>
      </c>
      <c r="J30" s="168">
        <f t="shared" si="6"/>
        <v>3357.2959999999998</v>
      </c>
      <c r="K30" s="168">
        <f t="shared" si="6"/>
        <v>3129.3684000000003</v>
      </c>
      <c r="L30" s="168">
        <f t="shared" si="6"/>
        <v>4091.6118470000006</v>
      </c>
      <c r="M30" s="168">
        <f t="shared" si="6"/>
        <v>2913.191405</v>
      </c>
      <c r="N30" s="168">
        <f t="shared" si="6"/>
        <v>3100.027842</v>
      </c>
      <c r="O30" s="168">
        <f>SUM(C30:N30)</f>
        <v>101402.561894</v>
      </c>
    </row>
    <row r="31" spans="1:15" x14ac:dyDescent="0.35">
      <c r="A31">
        <v>13</v>
      </c>
      <c r="B31" t="s">
        <v>192</v>
      </c>
      <c r="C31" s="168">
        <f>C25*8%</f>
        <v>0</v>
      </c>
      <c r="D31" s="168">
        <f t="shared" ref="D31:N31" si="7">D25*8%</f>
        <v>0</v>
      </c>
      <c r="E31" s="168">
        <f t="shared" si="7"/>
        <v>0</v>
      </c>
      <c r="F31" s="168">
        <f t="shared" si="7"/>
        <v>0</v>
      </c>
      <c r="G31" s="168">
        <f t="shared" si="7"/>
        <v>0</v>
      </c>
      <c r="H31" s="168">
        <f t="shared" si="7"/>
        <v>0</v>
      </c>
      <c r="I31" s="168">
        <f t="shared" si="7"/>
        <v>0</v>
      </c>
      <c r="J31" s="168">
        <f t="shared" si="7"/>
        <v>0</v>
      </c>
      <c r="K31" s="168">
        <f t="shared" si="7"/>
        <v>0</v>
      </c>
      <c r="L31" s="168">
        <f t="shared" si="7"/>
        <v>0</v>
      </c>
      <c r="M31" s="168">
        <f t="shared" si="7"/>
        <v>0</v>
      </c>
      <c r="N31" s="168">
        <f t="shared" si="7"/>
        <v>0</v>
      </c>
      <c r="O31" s="168">
        <f>SUM(C31:N31)</f>
        <v>0</v>
      </c>
    </row>
    <row r="32" spans="1:15" x14ac:dyDescent="0.35">
      <c r="A32">
        <v>8</v>
      </c>
      <c r="B32" t="s">
        <v>183</v>
      </c>
      <c r="C32" s="168">
        <v>0</v>
      </c>
      <c r="D32" s="168">
        <v>0</v>
      </c>
      <c r="E32" s="168">
        <v>0</v>
      </c>
      <c r="F32" s="168">
        <v>0</v>
      </c>
      <c r="G32" s="168">
        <v>0</v>
      </c>
      <c r="H32" s="168">
        <v>0</v>
      </c>
      <c r="I32" s="168">
        <v>0</v>
      </c>
      <c r="J32" s="168">
        <v>0</v>
      </c>
      <c r="K32" s="168">
        <v>0</v>
      </c>
      <c r="L32" s="168">
        <v>0</v>
      </c>
      <c r="M32" s="168">
        <v>0</v>
      </c>
      <c r="N32" s="168">
        <v>0</v>
      </c>
      <c r="O32" s="168">
        <f>SUM(C32:N32)</f>
        <v>0</v>
      </c>
    </row>
    <row r="33" spans="1:15" x14ac:dyDescent="0.35">
      <c r="A33">
        <v>8</v>
      </c>
      <c r="B33" t="s">
        <v>193</v>
      </c>
      <c r="C33" s="168">
        <v>0</v>
      </c>
      <c r="D33" s="168">
        <f>C32</f>
        <v>0</v>
      </c>
      <c r="E33" s="168">
        <f t="shared" ref="E33:N33" si="8">D32</f>
        <v>0</v>
      </c>
      <c r="F33" s="168">
        <f t="shared" si="8"/>
        <v>0</v>
      </c>
      <c r="G33" s="168">
        <f t="shared" si="8"/>
        <v>0</v>
      </c>
      <c r="H33" s="168">
        <f t="shared" si="8"/>
        <v>0</v>
      </c>
      <c r="I33" s="168">
        <f t="shared" si="8"/>
        <v>0</v>
      </c>
      <c r="J33" s="168">
        <f t="shared" si="8"/>
        <v>0</v>
      </c>
      <c r="K33" s="168">
        <f t="shared" si="8"/>
        <v>0</v>
      </c>
      <c r="L33" s="168">
        <f t="shared" si="8"/>
        <v>0</v>
      </c>
      <c r="M33" s="168">
        <f t="shared" si="8"/>
        <v>0</v>
      </c>
      <c r="N33" s="168">
        <f t="shared" si="8"/>
        <v>0</v>
      </c>
      <c r="O33" s="168">
        <f>SUM(C33:N33)</f>
        <v>0</v>
      </c>
    </row>
    <row r="34" spans="1:15" ht="15" thickBot="1" x14ac:dyDescent="0.4">
      <c r="B34" s="171" t="s">
        <v>194</v>
      </c>
      <c r="C34" s="172">
        <f>C30+C31-C32+C33</f>
        <v>48589.806399999994</v>
      </c>
      <c r="D34" s="172">
        <f>D30+D31-D32+D33</f>
        <v>5852.32</v>
      </c>
      <c r="E34" s="172">
        <f t="shared" ref="E34:N34" si="9">E30+E31-E32+E33</f>
        <v>2042.3644000000002</v>
      </c>
      <c r="F34" s="172">
        <f t="shared" si="9"/>
        <v>1191.3244</v>
      </c>
      <c r="G34" s="172">
        <f t="shared" si="9"/>
        <v>1667.5711999999996</v>
      </c>
      <c r="H34" s="172">
        <f t="shared" si="9"/>
        <v>25467.68</v>
      </c>
      <c r="I34" s="172">
        <f t="shared" si="9"/>
        <v>0</v>
      </c>
      <c r="J34" s="172">
        <f t="shared" si="9"/>
        <v>3357.2959999999998</v>
      </c>
      <c r="K34" s="172">
        <f t="shared" si="9"/>
        <v>3129.3684000000003</v>
      </c>
      <c r="L34" s="172">
        <f t="shared" si="9"/>
        <v>4091.6118470000006</v>
      </c>
      <c r="M34" s="172">
        <f t="shared" si="9"/>
        <v>2913.191405</v>
      </c>
      <c r="N34" s="172">
        <f t="shared" si="9"/>
        <v>3100.027842</v>
      </c>
      <c r="O34" s="172">
        <f>SUM(C34:N34)</f>
        <v>101402.561894</v>
      </c>
    </row>
    <row r="35" spans="1:15" ht="15" thickTop="1" x14ac:dyDescent="0.35">
      <c r="C35" s="168"/>
      <c r="D35" s="176">
        <f>D37-D32</f>
        <v>0</v>
      </c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 t="s">
        <v>157</v>
      </c>
    </row>
    <row r="36" spans="1:15" ht="15.5" x14ac:dyDescent="0.35">
      <c r="B36" s="177" t="s">
        <v>195</v>
      </c>
      <c r="C36" s="178"/>
      <c r="D36" s="178">
        <v>1</v>
      </c>
      <c r="E36" s="178"/>
      <c r="F36" s="178" t="s">
        <v>157</v>
      </c>
      <c r="G36" s="178"/>
      <c r="H36" s="178"/>
      <c r="I36" s="178"/>
      <c r="J36" s="178"/>
      <c r="K36" s="178"/>
      <c r="L36" s="178"/>
      <c r="M36" s="178"/>
      <c r="N36" s="178"/>
      <c r="O36" s="178" t="s">
        <v>157</v>
      </c>
    </row>
    <row r="37" spans="1:15" x14ac:dyDescent="0.35">
      <c r="B37" s="179" t="s">
        <v>196</v>
      </c>
      <c r="C37" s="180">
        <f t="shared" ref="C37:N37" si="10">IF(C21&gt;C34,C21-C34,0)</f>
        <v>0</v>
      </c>
      <c r="D37" s="180">
        <f>IF(D21&gt;D34,D21-D34,0)</f>
        <v>0</v>
      </c>
      <c r="E37" s="181">
        <f t="shared" si="10"/>
        <v>0</v>
      </c>
      <c r="F37" s="180">
        <f t="shared" si="10"/>
        <v>0</v>
      </c>
      <c r="G37" s="180">
        <f t="shared" si="10"/>
        <v>0</v>
      </c>
      <c r="H37" s="180">
        <f t="shared" si="10"/>
        <v>0</v>
      </c>
      <c r="I37" s="180">
        <f t="shared" si="10"/>
        <v>66.896000000000001</v>
      </c>
      <c r="J37" s="180">
        <f t="shared" si="10"/>
        <v>0</v>
      </c>
      <c r="K37" s="180">
        <f t="shared" si="10"/>
        <v>0</v>
      </c>
      <c r="L37" s="180">
        <f t="shared" si="10"/>
        <v>0</v>
      </c>
      <c r="M37" s="180">
        <f t="shared" si="10"/>
        <v>0</v>
      </c>
      <c r="N37" s="180">
        <f t="shared" si="10"/>
        <v>0</v>
      </c>
      <c r="O37" s="180">
        <f>SUM(C37:N37)</f>
        <v>66.896000000000001</v>
      </c>
    </row>
    <row r="38" spans="1:15" x14ac:dyDescent="0.35">
      <c r="B38" s="179" t="s">
        <v>197</v>
      </c>
      <c r="C38" s="180">
        <f t="shared" ref="C38:N38" si="11">IF(C21&lt;C34,C34-C21,0)</f>
        <v>48589.806399999994</v>
      </c>
      <c r="D38" s="180">
        <f t="shared" si="11"/>
        <v>5803.6535172413787</v>
      </c>
      <c r="E38" s="180">
        <f t="shared" si="11"/>
        <v>2042.3644000000002</v>
      </c>
      <c r="F38" s="180">
        <f t="shared" si="11"/>
        <v>1169.366</v>
      </c>
      <c r="G38" s="180">
        <f t="shared" si="11"/>
        <v>1634.4015999999997</v>
      </c>
      <c r="H38" s="180">
        <f t="shared" si="11"/>
        <v>25467.68</v>
      </c>
      <c r="I38" s="180">
        <f t="shared" si="11"/>
        <v>0</v>
      </c>
      <c r="J38" s="180">
        <f t="shared" si="11"/>
        <v>3357.2959999999998</v>
      </c>
      <c r="K38" s="180">
        <f t="shared" si="11"/>
        <v>3129.3684000000003</v>
      </c>
      <c r="L38" s="180">
        <f t="shared" si="11"/>
        <v>4091.6118470000006</v>
      </c>
      <c r="M38" s="180">
        <f t="shared" si="11"/>
        <v>2913.191405</v>
      </c>
      <c r="N38" s="180">
        <f t="shared" si="11"/>
        <v>3100.027842</v>
      </c>
      <c r="O38" s="180">
        <f>SUM(C38:N38)</f>
        <v>101298.76741124138</v>
      </c>
    </row>
    <row r="39" spans="1:15" x14ac:dyDescent="0.35">
      <c r="B39" s="179" t="s">
        <v>198</v>
      </c>
      <c r="C39" s="180">
        <v>0</v>
      </c>
      <c r="D39" s="180">
        <f t="shared" ref="D39:N39" si="12">IF(C41&lt;0,C41*-1,C41)</f>
        <v>48589.806399999994</v>
      </c>
      <c r="E39" s="180">
        <f t="shared" si="12"/>
        <v>54393.459917241373</v>
      </c>
      <c r="F39" s="180">
        <f t="shared" si="12"/>
        <v>56435.824317241371</v>
      </c>
      <c r="G39" s="180">
        <f t="shared" si="12"/>
        <v>57605.190317241373</v>
      </c>
      <c r="H39" s="180">
        <f t="shared" si="12"/>
        <v>59239.591917241371</v>
      </c>
      <c r="I39" s="180">
        <f t="shared" si="12"/>
        <v>84707.271917241364</v>
      </c>
      <c r="J39" s="180">
        <f t="shared" si="12"/>
        <v>84640.37591724137</v>
      </c>
      <c r="K39" s="180">
        <f t="shared" si="12"/>
        <v>87997.671917241372</v>
      </c>
      <c r="L39" s="180">
        <f t="shared" si="12"/>
        <v>91127.040317241379</v>
      </c>
      <c r="M39" s="180">
        <f t="shared" si="12"/>
        <v>95218.652164241386</v>
      </c>
      <c r="N39" s="180">
        <f t="shared" si="12"/>
        <v>98131.843569241391</v>
      </c>
      <c r="O39" s="180">
        <f>N41</f>
        <v>101231.87141124139</v>
      </c>
    </row>
    <row r="40" spans="1:15" x14ac:dyDescent="0.35">
      <c r="B40" s="179" t="s">
        <v>199</v>
      </c>
      <c r="C40" s="180">
        <f t="shared" ref="C40:N40" si="13">IF(C37&gt;C39,C37-C39,0)</f>
        <v>0</v>
      </c>
      <c r="D40" s="180">
        <f t="shared" si="13"/>
        <v>0</v>
      </c>
      <c r="E40" s="180">
        <f t="shared" si="13"/>
        <v>0</v>
      </c>
      <c r="F40" s="180">
        <f t="shared" si="13"/>
        <v>0</v>
      </c>
      <c r="G40" s="180">
        <f t="shared" si="13"/>
        <v>0</v>
      </c>
      <c r="H40" s="180">
        <f t="shared" si="13"/>
        <v>0</v>
      </c>
      <c r="I40" s="180">
        <f t="shared" si="13"/>
        <v>0</v>
      </c>
      <c r="J40" s="180">
        <f t="shared" si="13"/>
        <v>0</v>
      </c>
      <c r="K40" s="180">
        <f t="shared" si="13"/>
        <v>0</v>
      </c>
      <c r="L40" s="180">
        <f t="shared" si="13"/>
        <v>0</v>
      </c>
      <c r="M40" s="180">
        <f t="shared" si="13"/>
        <v>0</v>
      </c>
      <c r="N40" s="180">
        <f t="shared" si="13"/>
        <v>0</v>
      </c>
      <c r="O40" s="180">
        <f>SUM(C40:N40)</f>
        <v>0</v>
      </c>
    </row>
    <row r="41" spans="1:15" x14ac:dyDescent="0.35">
      <c r="B41" s="179" t="s">
        <v>200</v>
      </c>
      <c r="C41" s="180">
        <f t="shared" ref="C41:N41" si="14">IF(C40=0,IF(C37=0,C38+C39,C39-C37),0)</f>
        <v>48589.806399999994</v>
      </c>
      <c r="D41" s="180">
        <f t="shared" si="14"/>
        <v>54393.459917241373</v>
      </c>
      <c r="E41" s="181">
        <f t="shared" si="14"/>
        <v>56435.824317241371</v>
      </c>
      <c r="F41" s="180">
        <f t="shared" si="14"/>
        <v>57605.190317241373</v>
      </c>
      <c r="G41" s="180">
        <f t="shared" si="14"/>
        <v>59239.591917241371</v>
      </c>
      <c r="H41" s="180">
        <f t="shared" si="14"/>
        <v>84707.271917241364</v>
      </c>
      <c r="I41" s="180">
        <f t="shared" si="14"/>
        <v>84640.37591724137</v>
      </c>
      <c r="J41" s="180">
        <f t="shared" si="14"/>
        <v>87997.671917241372</v>
      </c>
      <c r="K41" s="180">
        <f t="shared" si="14"/>
        <v>91127.040317241379</v>
      </c>
      <c r="L41" s="180">
        <f t="shared" si="14"/>
        <v>95218.652164241386</v>
      </c>
      <c r="M41" s="180">
        <f t="shared" si="14"/>
        <v>98131.843569241391</v>
      </c>
      <c r="N41" s="180">
        <f t="shared" si="14"/>
        <v>101231.87141124139</v>
      </c>
      <c r="O41" s="180"/>
    </row>
  </sheetData>
  <mergeCells count="2">
    <mergeCell ref="A2:N2"/>
    <mergeCell ref="A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C1A1-C96B-4A38-8B07-51491B69EE12}">
  <dimension ref="A1:I131"/>
  <sheetViews>
    <sheetView topLeftCell="A19" zoomScale="150" zoomScaleNormal="150" workbookViewId="0">
      <selection activeCell="D29" sqref="D29"/>
    </sheetView>
  </sheetViews>
  <sheetFormatPr baseColWidth="10" defaultRowHeight="14.5" x14ac:dyDescent="0.35"/>
  <cols>
    <col min="1" max="9" width="14.1796875" customWidth="1"/>
  </cols>
  <sheetData>
    <row r="1" spans="1:9" ht="15" thickBot="1" x14ac:dyDescent="0.4">
      <c r="A1" s="291" t="s">
        <v>0</v>
      </c>
      <c r="B1" s="291"/>
      <c r="C1" s="291"/>
      <c r="D1" s="291"/>
      <c r="F1" s="291" t="s">
        <v>1</v>
      </c>
      <c r="G1" s="291"/>
      <c r="H1" s="291"/>
      <c r="I1" s="291"/>
    </row>
    <row r="2" spans="1:9" ht="20.5" thickTop="1" x14ac:dyDescent="0.35">
      <c r="A2" s="49" t="s">
        <v>35</v>
      </c>
      <c r="B2" s="49" t="s">
        <v>36</v>
      </c>
      <c r="C2" s="49" t="s">
        <v>37</v>
      </c>
      <c r="D2" s="49" t="s">
        <v>38</v>
      </c>
      <c r="F2" s="49" t="s">
        <v>35</v>
      </c>
      <c r="G2" s="49" t="s">
        <v>36</v>
      </c>
      <c r="H2" s="49" t="s">
        <v>37</v>
      </c>
      <c r="I2" s="49" t="s">
        <v>38</v>
      </c>
    </row>
    <row r="3" spans="1:9" ht="20" x14ac:dyDescent="0.35">
      <c r="A3" s="50"/>
      <c r="B3" s="50"/>
      <c r="C3" s="50"/>
      <c r="D3" s="50" t="s">
        <v>39</v>
      </c>
      <c r="F3" s="50"/>
      <c r="G3" s="50"/>
      <c r="H3" s="50"/>
      <c r="I3" s="50" t="s">
        <v>39</v>
      </c>
    </row>
    <row r="4" spans="1:9" ht="15" thickBot="1" x14ac:dyDescent="0.4">
      <c r="A4" s="51" t="s">
        <v>40</v>
      </c>
      <c r="B4" s="51" t="s">
        <v>40</v>
      </c>
      <c r="C4" s="51" t="s">
        <v>40</v>
      </c>
      <c r="D4" s="51" t="s">
        <v>41</v>
      </c>
      <c r="F4" s="51" t="s">
        <v>40</v>
      </c>
      <c r="G4" s="51" t="s">
        <v>40</v>
      </c>
      <c r="H4" s="51" t="s">
        <v>40</v>
      </c>
      <c r="I4" s="51" t="s">
        <v>41</v>
      </c>
    </row>
    <row r="5" spans="1:9" ht="15" thickTop="1" x14ac:dyDescent="0.35">
      <c r="A5" s="52">
        <v>0.01</v>
      </c>
      <c r="B5" s="52">
        <v>746.04</v>
      </c>
      <c r="C5" s="52">
        <v>0</v>
      </c>
      <c r="D5" s="53">
        <v>1.9199999999999998E-2</v>
      </c>
      <c r="F5" s="50">
        <v>0.01</v>
      </c>
      <c r="G5" s="54">
        <v>1492.08</v>
      </c>
      <c r="H5" s="55">
        <v>0</v>
      </c>
      <c r="I5" s="53">
        <v>1.9199999999999998E-2</v>
      </c>
    </row>
    <row r="6" spans="1:9" x14ac:dyDescent="0.35">
      <c r="A6" s="56">
        <v>746.05</v>
      </c>
      <c r="B6" s="57">
        <v>6332.05</v>
      </c>
      <c r="C6" s="52">
        <v>14.32</v>
      </c>
      <c r="D6" s="52">
        <v>6.4000000000000001E-2</v>
      </c>
      <c r="F6" s="54">
        <v>1492.09</v>
      </c>
      <c r="G6" s="54">
        <v>12664.1</v>
      </c>
      <c r="H6" s="55">
        <v>28.64</v>
      </c>
      <c r="I6" s="52">
        <v>6.4000000000000001E-2</v>
      </c>
    </row>
    <row r="7" spans="1:9" x14ac:dyDescent="0.35">
      <c r="A7" s="58">
        <v>6332.06</v>
      </c>
      <c r="B7" s="57">
        <v>11128.01</v>
      </c>
      <c r="C7" s="52">
        <v>371.83</v>
      </c>
      <c r="D7" s="52">
        <v>0.10879999999999999</v>
      </c>
      <c r="F7" s="54">
        <v>12664.11</v>
      </c>
      <c r="G7" s="54">
        <v>22256.02</v>
      </c>
      <c r="H7" s="55">
        <v>743.66</v>
      </c>
      <c r="I7" s="52">
        <v>0.10879999999999999</v>
      </c>
    </row>
    <row r="8" spans="1:9" x14ac:dyDescent="0.35">
      <c r="A8" s="58">
        <v>11128.02</v>
      </c>
      <c r="B8" s="58">
        <v>12935.82</v>
      </c>
      <c r="C8" s="52">
        <v>893.63</v>
      </c>
      <c r="D8" s="52">
        <v>0.16</v>
      </c>
      <c r="F8" s="54">
        <v>22256.03</v>
      </c>
      <c r="G8" s="54">
        <v>25871.64</v>
      </c>
      <c r="H8" s="59">
        <v>1787.26</v>
      </c>
      <c r="I8" s="52">
        <v>0.16</v>
      </c>
    </row>
    <row r="9" spans="1:9" x14ac:dyDescent="0.35">
      <c r="A9" s="58">
        <v>12935.83</v>
      </c>
      <c r="B9" s="58">
        <v>15487.71</v>
      </c>
      <c r="C9" s="60">
        <v>1182.8800000000001</v>
      </c>
      <c r="D9" s="52">
        <v>0.1792</v>
      </c>
      <c r="F9" s="54">
        <v>25871.65</v>
      </c>
      <c r="G9" s="54">
        <v>30975.42</v>
      </c>
      <c r="H9" s="59">
        <v>2365.7600000000002</v>
      </c>
      <c r="I9" s="52">
        <v>0.1792</v>
      </c>
    </row>
    <row r="10" spans="1:9" x14ac:dyDescent="0.35">
      <c r="A10" s="58">
        <v>15487.72</v>
      </c>
      <c r="B10" s="58">
        <v>31236.49</v>
      </c>
      <c r="C10" s="60">
        <v>1640.18</v>
      </c>
      <c r="D10" s="52">
        <v>0.21360000000000001</v>
      </c>
      <c r="F10" s="54">
        <v>30975.43</v>
      </c>
      <c r="G10" s="54">
        <v>62472.98</v>
      </c>
      <c r="H10" s="59">
        <v>3280.36</v>
      </c>
      <c r="I10" s="52">
        <v>0.21360000000000001</v>
      </c>
    </row>
    <row r="11" spans="1:9" x14ac:dyDescent="0.35">
      <c r="A11" s="58">
        <v>31236.5</v>
      </c>
      <c r="B11" s="58">
        <v>49233</v>
      </c>
      <c r="C11" s="60">
        <v>5004.12</v>
      </c>
      <c r="D11" s="52">
        <v>0.23519999999999999</v>
      </c>
      <c r="F11" s="54">
        <v>62472.99</v>
      </c>
      <c r="G11" s="54">
        <v>98466</v>
      </c>
      <c r="H11" s="59">
        <v>10008.24</v>
      </c>
      <c r="I11" s="52">
        <v>0.23519999999999999</v>
      </c>
    </row>
    <row r="12" spans="1:9" x14ac:dyDescent="0.35">
      <c r="A12" s="58">
        <v>49233.01</v>
      </c>
      <c r="B12" s="58">
        <v>93993.9</v>
      </c>
      <c r="C12" s="60">
        <v>9236.89</v>
      </c>
      <c r="D12" s="52">
        <v>0.3</v>
      </c>
      <c r="F12" s="54">
        <v>98466.01</v>
      </c>
      <c r="G12" s="54">
        <v>187987.8</v>
      </c>
      <c r="H12" s="59">
        <v>18473.78</v>
      </c>
      <c r="I12" s="52">
        <v>0.3</v>
      </c>
    </row>
    <row r="13" spans="1:9" x14ac:dyDescent="0.35">
      <c r="A13" s="58">
        <v>93993.91</v>
      </c>
      <c r="B13" s="58">
        <v>125325.2</v>
      </c>
      <c r="C13" s="60">
        <v>22665.17</v>
      </c>
      <c r="D13" s="52">
        <v>0.32</v>
      </c>
      <c r="F13" s="54">
        <v>187987.81</v>
      </c>
      <c r="G13" s="54">
        <v>250650.4</v>
      </c>
      <c r="H13" s="59">
        <v>45330.34</v>
      </c>
      <c r="I13" s="52">
        <v>0.32</v>
      </c>
    </row>
    <row r="14" spans="1:9" x14ac:dyDescent="0.35">
      <c r="A14" s="61">
        <v>125325.21</v>
      </c>
      <c r="B14" s="58">
        <v>375975.61</v>
      </c>
      <c r="C14" s="60">
        <v>32691.18</v>
      </c>
      <c r="D14" s="52">
        <v>0.34</v>
      </c>
      <c r="F14" s="54">
        <v>250650.41</v>
      </c>
      <c r="G14" s="54">
        <v>751951.22</v>
      </c>
      <c r="H14" s="59">
        <v>65382.36</v>
      </c>
      <c r="I14" s="52">
        <v>0.34</v>
      </c>
    </row>
    <row r="15" spans="1:9" ht="30" thickBot="1" x14ac:dyDescent="0.4">
      <c r="A15" s="62">
        <v>375975.62</v>
      </c>
      <c r="B15" s="63" t="s">
        <v>42</v>
      </c>
      <c r="C15" s="64">
        <v>117912.32000000001</v>
      </c>
      <c r="D15" s="65">
        <v>0.35</v>
      </c>
      <c r="F15" s="66">
        <v>751951.23</v>
      </c>
      <c r="G15" s="51" t="s">
        <v>42</v>
      </c>
      <c r="H15" s="67">
        <v>235824.64000000001</v>
      </c>
      <c r="I15" s="68">
        <v>0.35</v>
      </c>
    </row>
    <row r="16" spans="1:9" ht="15.5" thickTop="1" thickBot="1" x14ac:dyDescent="0.4">
      <c r="A16" s="69"/>
      <c r="B16" s="70"/>
      <c r="C16" s="70"/>
      <c r="D16" s="70"/>
    </row>
    <row r="17" spans="1:9" ht="15.5" thickTop="1" thickBot="1" x14ac:dyDescent="0.4">
      <c r="A17" s="292" t="s">
        <v>2</v>
      </c>
      <c r="B17" s="292"/>
      <c r="C17" s="292"/>
      <c r="D17" s="292"/>
      <c r="F17" s="291" t="s">
        <v>3</v>
      </c>
      <c r="G17" s="291"/>
      <c r="H17" s="291"/>
      <c r="I17" s="291"/>
    </row>
    <row r="18" spans="1:9" ht="20.5" thickTop="1" x14ac:dyDescent="0.35">
      <c r="A18" s="71" t="s">
        <v>35</v>
      </c>
      <c r="B18" s="49" t="s">
        <v>36</v>
      </c>
      <c r="C18" s="49" t="s">
        <v>37</v>
      </c>
      <c r="D18" s="49" t="s">
        <v>38</v>
      </c>
      <c r="F18" s="71" t="s">
        <v>35</v>
      </c>
      <c r="G18" s="49" t="s">
        <v>36</v>
      </c>
      <c r="H18" s="49" t="s">
        <v>37</v>
      </c>
      <c r="I18" s="49" t="s">
        <v>38</v>
      </c>
    </row>
    <row r="19" spans="1:9" ht="20" x14ac:dyDescent="0.35">
      <c r="A19" s="50"/>
      <c r="B19" s="50"/>
      <c r="C19" s="50"/>
      <c r="D19" s="50" t="s">
        <v>39</v>
      </c>
      <c r="F19" s="50"/>
      <c r="G19" s="50"/>
      <c r="H19" s="50"/>
      <c r="I19" s="50" t="s">
        <v>39</v>
      </c>
    </row>
    <row r="20" spans="1:9" ht="15" thickBot="1" x14ac:dyDescent="0.4">
      <c r="A20" s="51" t="s">
        <v>40</v>
      </c>
      <c r="B20" s="51" t="s">
        <v>40</v>
      </c>
      <c r="C20" s="51" t="s">
        <v>40</v>
      </c>
      <c r="D20" s="51" t="s">
        <v>41</v>
      </c>
      <c r="F20" s="51" t="s">
        <v>40</v>
      </c>
      <c r="G20" s="51" t="s">
        <v>40</v>
      </c>
      <c r="H20" s="51" t="s">
        <v>40</v>
      </c>
      <c r="I20" s="51" t="s">
        <v>41</v>
      </c>
    </row>
    <row r="21" spans="1:9" ht="15" thickTop="1" x14ac:dyDescent="0.35">
      <c r="A21" s="72">
        <v>0.01</v>
      </c>
      <c r="B21" s="73">
        <v>2238.12</v>
      </c>
      <c r="C21" s="74">
        <v>0</v>
      </c>
      <c r="D21" s="75">
        <v>1.9199999999999998E-2</v>
      </c>
      <c r="F21" s="55">
        <v>0.01</v>
      </c>
      <c r="G21" s="59">
        <v>2984.16</v>
      </c>
      <c r="H21" s="55">
        <v>0</v>
      </c>
      <c r="I21" s="75">
        <v>1.9199999999999998E-2</v>
      </c>
    </row>
    <row r="22" spans="1:9" x14ac:dyDescent="0.35">
      <c r="A22" s="76">
        <v>2238.13</v>
      </c>
      <c r="B22" s="60">
        <v>18996.150000000001</v>
      </c>
      <c r="C22" s="52">
        <v>42.96</v>
      </c>
      <c r="D22" s="75">
        <v>6.4000000000000001E-2</v>
      </c>
      <c r="F22" s="59">
        <v>2984.17</v>
      </c>
      <c r="G22" s="59">
        <v>25328.2</v>
      </c>
      <c r="H22" s="55">
        <v>57.28</v>
      </c>
      <c r="I22" s="75">
        <v>6.4000000000000001E-2</v>
      </c>
    </row>
    <row r="23" spans="1:9" x14ac:dyDescent="0.35">
      <c r="A23" s="61">
        <v>18996.16</v>
      </c>
      <c r="B23" s="60">
        <v>33384.03</v>
      </c>
      <c r="C23" s="52">
        <v>1115.49</v>
      </c>
      <c r="D23" s="75">
        <v>0.10879999999999999</v>
      </c>
      <c r="F23" s="59">
        <v>25328.21</v>
      </c>
      <c r="G23" s="59">
        <v>44512.04</v>
      </c>
      <c r="H23" s="59">
        <v>1487.32</v>
      </c>
      <c r="I23" s="75">
        <v>0.10879999999999999</v>
      </c>
    </row>
    <row r="24" spans="1:9" x14ac:dyDescent="0.35">
      <c r="A24" s="61">
        <v>33384.04</v>
      </c>
      <c r="B24" s="60">
        <v>38807.46</v>
      </c>
      <c r="C24" s="60">
        <v>2680.89</v>
      </c>
      <c r="D24" s="75">
        <v>0.16</v>
      </c>
      <c r="F24" s="59">
        <v>44512.05</v>
      </c>
      <c r="G24" s="59">
        <v>51743.28</v>
      </c>
      <c r="H24" s="59">
        <v>3574.52</v>
      </c>
      <c r="I24" s="75">
        <v>0.16</v>
      </c>
    </row>
    <row r="25" spans="1:9" x14ac:dyDescent="0.35">
      <c r="A25" s="61">
        <v>38807.47</v>
      </c>
      <c r="B25" s="60">
        <v>46463.13</v>
      </c>
      <c r="C25" s="60">
        <v>3548.64</v>
      </c>
      <c r="D25" s="75">
        <v>0.1792</v>
      </c>
      <c r="F25" s="59">
        <v>51743.29</v>
      </c>
      <c r="G25" s="59">
        <v>61950.84</v>
      </c>
      <c r="H25" s="59">
        <v>4731.5200000000004</v>
      </c>
      <c r="I25" s="75">
        <v>0.1792</v>
      </c>
    </row>
    <row r="26" spans="1:9" x14ac:dyDescent="0.35">
      <c r="A26" s="61">
        <v>46463.14</v>
      </c>
      <c r="B26" s="60">
        <v>93709.47</v>
      </c>
      <c r="C26" s="60">
        <v>4920.54</v>
      </c>
      <c r="D26" s="75">
        <v>0.21360000000000001</v>
      </c>
      <c r="F26" s="59">
        <v>61950.85</v>
      </c>
      <c r="G26" s="59">
        <v>124945.96</v>
      </c>
      <c r="H26" s="59">
        <v>6560.72</v>
      </c>
      <c r="I26" s="75">
        <v>0.21360000000000001</v>
      </c>
    </row>
    <row r="27" spans="1:9" x14ac:dyDescent="0.35">
      <c r="A27" s="61">
        <v>93709.48</v>
      </c>
      <c r="B27" s="60">
        <v>147699</v>
      </c>
      <c r="C27" s="60">
        <v>15012.36</v>
      </c>
      <c r="D27" s="75">
        <v>0.23519999999999999</v>
      </c>
      <c r="F27" s="59">
        <v>124945.97</v>
      </c>
      <c r="G27" s="59">
        <v>196932</v>
      </c>
      <c r="H27" s="59">
        <v>20016.48</v>
      </c>
      <c r="I27" s="75">
        <v>0.23519999999999999</v>
      </c>
    </row>
    <row r="28" spans="1:9" x14ac:dyDescent="0.35">
      <c r="A28" s="61">
        <v>147699.01</v>
      </c>
      <c r="B28" s="60">
        <v>281981.7</v>
      </c>
      <c r="C28" s="60">
        <v>27710.67</v>
      </c>
      <c r="D28" s="75">
        <v>0.3</v>
      </c>
      <c r="F28" s="59">
        <v>196932.01</v>
      </c>
      <c r="G28" s="59">
        <v>375975.6</v>
      </c>
      <c r="H28" s="59">
        <v>36947.56</v>
      </c>
      <c r="I28" s="75">
        <v>0.3</v>
      </c>
    </row>
    <row r="29" spans="1:9" x14ac:dyDescent="0.35">
      <c r="A29" s="61">
        <v>281981.71000000002</v>
      </c>
      <c r="B29" s="60">
        <v>375975.6</v>
      </c>
      <c r="C29" s="60">
        <v>67995.509999999995</v>
      </c>
      <c r="D29" s="75">
        <v>0.32</v>
      </c>
      <c r="F29" s="59">
        <v>375975.61</v>
      </c>
      <c r="G29" s="59">
        <v>501300.8</v>
      </c>
      <c r="H29" s="59">
        <v>90660.68</v>
      </c>
      <c r="I29" s="75">
        <v>0.32</v>
      </c>
    </row>
    <row r="30" spans="1:9" x14ac:dyDescent="0.35">
      <c r="A30" s="61">
        <v>375975.61</v>
      </c>
      <c r="B30" s="60">
        <v>1127926.83</v>
      </c>
      <c r="C30" s="60">
        <v>98073.54</v>
      </c>
      <c r="D30" s="75">
        <v>0.34</v>
      </c>
      <c r="F30" s="59">
        <v>501300.81</v>
      </c>
      <c r="G30" s="59">
        <v>1503902.44</v>
      </c>
      <c r="H30" s="59">
        <v>130764.72</v>
      </c>
      <c r="I30" s="75">
        <v>0.34</v>
      </c>
    </row>
    <row r="31" spans="1:9" ht="15" thickBot="1" x14ac:dyDescent="0.4">
      <c r="A31" s="77">
        <v>1127926.8400000001</v>
      </c>
      <c r="B31" s="78" t="s">
        <v>42</v>
      </c>
      <c r="C31" s="77">
        <v>353736.96000000002</v>
      </c>
      <c r="D31" s="79">
        <v>0.35</v>
      </c>
      <c r="F31" s="67">
        <v>1503902.45</v>
      </c>
      <c r="G31" s="80" t="s">
        <v>42</v>
      </c>
      <c r="H31" s="67">
        <v>471649.28000000003</v>
      </c>
      <c r="I31" s="79">
        <v>0.35</v>
      </c>
    </row>
    <row r="32" spans="1:9" ht="15.5" thickTop="1" thickBot="1" x14ac:dyDescent="0.4">
      <c r="A32" s="70"/>
      <c r="B32" s="70"/>
      <c r="C32" s="70"/>
      <c r="D32" s="70"/>
    </row>
    <row r="33" spans="1:9" ht="15.5" thickTop="1" thickBot="1" x14ac:dyDescent="0.4">
      <c r="A33" s="292" t="s">
        <v>4</v>
      </c>
      <c r="B33" s="292"/>
      <c r="C33" s="292"/>
      <c r="D33" s="292"/>
      <c r="F33" s="291" t="s">
        <v>5</v>
      </c>
      <c r="G33" s="291"/>
      <c r="H33" s="291"/>
      <c r="I33" s="291"/>
    </row>
    <row r="34" spans="1:9" ht="20.5" thickTop="1" x14ac:dyDescent="0.35">
      <c r="A34" s="49" t="s">
        <v>35</v>
      </c>
      <c r="B34" s="49" t="s">
        <v>36</v>
      </c>
      <c r="C34" s="49" t="s">
        <v>37</v>
      </c>
      <c r="D34" s="49" t="s">
        <v>38</v>
      </c>
      <c r="F34" s="71" t="s">
        <v>35</v>
      </c>
      <c r="G34" s="49" t="s">
        <v>36</v>
      </c>
      <c r="H34" s="49" t="s">
        <v>37</v>
      </c>
      <c r="I34" s="49" t="s">
        <v>38</v>
      </c>
    </row>
    <row r="35" spans="1:9" ht="20" x14ac:dyDescent="0.35">
      <c r="A35" s="50"/>
      <c r="B35" s="50"/>
      <c r="C35" s="50"/>
      <c r="D35" s="50" t="s">
        <v>39</v>
      </c>
      <c r="F35" s="50"/>
      <c r="G35" s="50"/>
      <c r="H35" s="50"/>
      <c r="I35" s="50" t="s">
        <v>39</v>
      </c>
    </row>
    <row r="36" spans="1:9" ht="15" thickBot="1" x14ac:dyDescent="0.4">
      <c r="A36" s="51" t="s">
        <v>40</v>
      </c>
      <c r="B36" s="51" t="s">
        <v>40</v>
      </c>
      <c r="C36" s="51" t="s">
        <v>40</v>
      </c>
      <c r="D36" s="51" t="s">
        <v>41</v>
      </c>
      <c r="F36" s="51" t="s">
        <v>40</v>
      </c>
      <c r="G36" s="51" t="s">
        <v>40</v>
      </c>
      <c r="H36" s="51" t="s">
        <v>40</v>
      </c>
      <c r="I36" s="51" t="s">
        <v>41</v>
      </c>
    </row>
    <row r="37" spans="1:9" ht="15" thickTop="1" x14ac:dyDescent="0.35">
      <c r="A37" s="74">
        <v>0.01</v>
      </c>
      <c r="B37" s="81">
        <v>3730.2</v>
      </c>
      <c r="C37" s="74">
        <v>0</v>
      </c>
      <c r="D37" s="75">
        <v>1.9199999999999998E-2</v>
      </c>
      <c r="F37" s="74">
        <v>0.01</v>
      </c>
      <c r="G37" s="81">
        <v>4476.24</v>
      </c>
      <c r="H37" s="74">
        <v>0</v>
      </c>
      <c r="I37" s="75">
        <v>1.9199999999999998E-2</v>
      </c>
    </row>
    <row r="38" spans="1:9" x14ac:dyDescent="0.35">
      <c r="A38" s="58">
        <v>3730.21</v>
      </c>
      <c r="B38" s="58">
        <v>31660.25</v>
      </c>
      <c r="C38" s="52">
        <v>71.599999999999994</v>
      </c>
      <c r="D38" s="75">
        <v>6.4000000000000001E-2</v>
      </c>
      <c r="F38" s="60">
        <v>4476.25</v>
      </c>
      <c r="G38" s="58">
        <v>37992.300000000003</v>
      </c>
      <c r="H38" s="52">
        <v>85.92</v>
      </c>
      <c r="I38" s="75">
        <v>6.4000000000000001E-2</v>
      </c>
    </row>
    <row r="39" spans="1:9" x14ac:dyDescent="0.35">
      <c r="A39" s="58">
        <v>31660.26</v>
      </c>
      <c r="B39" s="58">
        <v>55640.05</v>
      </c>
      <c r="C39" s="60">
        <v>1859.15</v>
      </c>
      <c r="D39" s="75">
        <v>0.10879999999999999</v>
      </c>
      <c r="F39" s="60">
        <v>37992.31</v>
      </c>
      <c r="G39" s="58">
        <v>66768.06</v>
      </c>
      <c r="H39" s="60">
        <v>2230.98</v>
      </c>
      <c r="I39" s="75">
        <v>0.10879999999999999</v>
      </c>
    </row>
    <row r="40" spans="1:9" x14ac:dyDescent="0.35">
      <c r="A40" s="58">
        <v>55640.06</v>
      </c>
      <c r="B40" s="58">
        <v>64679.1</v>
      </c>
      <c r="C40" s="60">
        <v>4468.1499999999996</v>
      </c>
      <c r="D40" s="75">
        <v>0.16</v>
      </c>
      <c r="F40" s="60">
        <v>66768.070000000007</v>
      </c>
      <c r="G40" s="58">
        <v>77614.92</v>
      </c>
      <c r="H40" s="60">
        <v>5361.78</v>
      </c>
      <c r="I40" s="75">
        <v>0.16</v>
      </c>
    </row>
    <row r="41" spans="1:9" x14ac:dyDescent="0.35">
      <c r="A41" s="58">
        <v>64679.11</v>
      </c>
      <c r="B41" s="58">
        <v>77438.55</v>
      </c>
      <c r="C41" s="60">
        <v>5914.4</v>
      </c>
      <c r="D41" s="75">
        <v>0.1792</v>
      </c>
      <c r="F41" s="60">
        <v>77614.929999999993</v>
      </c>
      <c r="G41" s="58">
        <v>92926.26</v>
      </c>
      <c r="H41" s="60">
        <v>7097.28</v>
      </c>
      <c r="I41" s="75">
        <v>0.1792</v>
      </c>
    </row>
    <row r="42" spans="1:9" x14ac:dyDescent="0.35">
      <c r="A42" s="58">
        <v>77438.559999999998</v>
      </c>
      <c r="B42" s="58">
        <v>156182.45000000001</v>
      </c>
      <c r="C42" s="60">
        <v>8200.9</v>
      </c>
      <c r="D42" s="75">
        <v>0.21360000000000001</v>
      </c>
      <c r="F42" s="60">
        <v>92926.27</v>
      </c>
      <c r="G42" s="58">
        <v>187418.94</v>
      </c>
      <c r="H42" s="60">
        <v>9841.08</v>
      </c>
      <c r="I42" s="75">
        <v>0.21360000000000001</v>
      </c>
    </row>
    <row r="43" spans="1:9" x14ac:dyDescent="0.35">
      <c r="A43" s="61">
        <v>156182.46</v>
      </c>
      <c r="B43" s="58">
        <v>246165</v>
      </c>
      <c r="C43" s="60">
        <v>25020.6</v>
      </c>
      <c r="D43" s="75">
        <v>0.23519999999999999</v>
      </c>
      <c r="F43" s="60">
        <v>187418.95</v>
      </c>
      <c r="G43" s="58">
        <v>295398</v>
      </c>
      <c r="H43" s="60">
        <v>30024.720000000001</v>
      </c>
      <c r="I43" s="75">
        <v>0.23519999999999999</v>
      </c>
    </row>
    <row r="44" spans="1:9" x14ac:dyDescent="0.35">
      <c r="A44" s="61">
        <v>246165.01</v>
      </c>
      <c r="B44" s="58">
        <v>469969.5</v>
      </c>
      <c r="C44" s="60">
        <v>46184.45</v>
      </c>
      <c r="D44" s="75">
        <v>0.3</v>
      </c>
      <c r="F44" s="60">
        <v>295398.01</v>
      </c>
      <c r="G44" s="58">
        <v>563963.4</v>
      </c>
      <c r="H44" s="60">
        <v>55421.34</v>
      </c>
      <c r="I44" s="75">
        <v>0.3</v>
      </c>
    </row>
    <row r="45" spans="1:9" x14ac:dyDescent="0.35">
      <c r="A45" s="61">
        <v>469969.51</v>
      </c>
      <c r="B45" s="58">
        <v>626626</v>
      </c>
      <c r="C45" s="60">
        <v>113325.85</v>
      </c>
      <c r="D45" s="75">
        <v>0.32</v>
      </c>
      <c r="F45" s="60">
        <v>563963.41</v>
      </c>
      <c r="G45" s="58">
        <v>751951.2</v>
      </c>
      <c r="H45" s="60">
        <v>135991.01999999999</v>
      </c>
      <c r="I45" s="75">
        <v>0.32</v>
      </c>
    </row>
    <row r="46" spans="1:9" x14ac:dyDescent="0.35">
      <c r="A46" s="61">
        <v>626626.01</v>
      </c>
      <c r="B46" s="61">
        <v>1879878.05</v>
      </c>
      <c r="C46" s="60">
        <v>163455.9</v>
      </c>
      <c r="D46" s="75">
        <v>0.34</v>
      </c>
      <c r="F46" s="60">
        <v>751951.21</v>
      </c>
      <c r="G46" s="61">
        <v>2255853.66</v>
      </c>
      <c r="H46" s="60">
        <v>196147.08</v>
      </c>
      <c r="I46" s="75">
        <v>0.34</v>
      </c>
    </row>
    <row r="47" spans="1:9" ht="15" thickBot="1" x14ac:dyDescent="0.4">
      <c r="A47" s="62">
        <v>1879878.06</v>
      </c>
      <c r="B47" s="63" t="s">
        <v>42</v>
      </c>
      <c r="C47" s="64">
        <v>589561.59999999998</v>
      </c>
      <c r="D47" s="79">
        <v>0.35</v>
      </c>
      <c r="F47" s="64">
        <v>2255853.67</v>
      </c>
      <c r="G47" s="63" t="s">
        <v>42</v>
      </c>
      <c r="H47" s="64">
        <v>707473.92000000004</v>
      </c>
      <c r="I47" s="79">
        <v>0.35</v>
      </c>
    </row>
    <row r="48" spans="1:9" ht="15.5" thickTop="1" thickBot="1" x14ac:dyDescent="0.4">
      <c r="A48" s="70"/>
      <c r="B48" s="70"/>
      <c r="C48" s="70"/>
      <c r="D48" s="70"/>
    </row>
    <row r="49" spans="1:9" ht="15.5" thickTop="1" thickBot="1" x14ac:dyDescent="0.4">
      <c r="A49" s="292" t="s">
        <v>6</v>
      </c>
      <c r="B49" s="292"/>
      <c r="C49" s="292"/>
      <c r="D49" s="292"/>
      <c r="F49" s="291" t="s">
        <v>7</v>
      </c>
      <c r="G49" s="291"/>
      <c r="H49" s="291"/>
      <c r="I49" s="291"/>
    </row>
    <row r="50" spans="1:9" ht="20.5" thickTop="1" x14ac:dyDescent="0.35">
      <c r="A50" s="71" t="s">
        <v>35</v>
      </c>
      <c r="B50" s="49" t="s">
        <v>36</v>
      </c>
      <c r="C50" s="49" t="s">
        <v>37</v>
      </c>
      <c r="D50" s="49" t="s">
        <v>38</v>
      </c>
      <c r="F50" s="49" t="s">
        <v>35</v>
      </c>
      <c r="G50" s="49" t="s">
        <v>36</v>
      </c>
      <c r="H50" s="49" t="s">
        <v>37</v>
      </c>
      <c r="I50" s="49" t="s">
        <v>38</v>
      </c>
    </row>
    <row r="51" spans="1:9" ht="20" x14ac:dyDescent="0.35">
      <c r="A51" s="50"/>
      <c r="B51" s="50"/>
      <c r="C51" s="50"/>
      <c r="D51" s="50" t="s">
        <v>39</v>
      </c>
      <c r="F51" s="50"/>
      <c r="G51" s="50"/>
      <c r="H51" s="50"/>
      <c r="I51" s="50" t="s">
        <v>39</v>
      </c>
    </row>
    <row r="52" spans="1:9" ht="15" thickBot="1" x14ac:dyDescent="0.4">
      <c r="A52" s="51" t="s">
        <v>40</v>
      </c>
      <c r="B52" s="51" t="s">
        <v>40</v>
      </c>
      <c r="C52" s="51" t="s">
        <v>40</v>
      </c>
      <c r="D52" s="51" t="s">
        <v>41</v>
      </c>
      <c r="F52" s="51" t="s">
        <v>40</v>
      </c>
      <c r="G52" s="51" t="s">
        <v>40</v>
      </c>
      <c r="H52" s="51" t="s">
        <v>40</v>
      </c>
      <c r="I52" s="51" t="s">
        <v>41</v>
      </c>
    </row>
    <row r="53" spans="1:9" ht="15" thickTop="1" x14ac:dyDescent="0.35">
      <c r="A53" s="74">
        <v>0.01</v>
      </c>
      <c r="B53" s="81">
        <v>5222.28</v>
      </c>
      <c r="C53" s="74">
        <v>0</v>
      </c>
      <c r="D53" s="75">
        <v>1.9199999999999998E-2</v>
      </c>
      <c r="F53" s="52">
        <v>0.01</v>
      </c>
      <c r="G53" s="60">
        <v>5968.32</v>
      </c>
      <c r="H53" s="52">
        <v>0</v>
      </c>
      <c r="I53" s="75">
        <v>1.9199999999999998E-2</v>
      </c>
    </row>
    <row r="54" spans="1:9" x14ac:dyDescent="0.35">
      <c r="A54" s="58">
        <v>5222.29</v>
      </c>
      <c r="B54" s="58">
        <v>44324.35</v>
      </c>
      <c r="C54" s="52">
        <v>100.24</v>
      </c>
      <c r="D54" s="75">
        <v>6.4000000000000001E-2</v>
      </c>
      <c r="F54" s="60">
        <v>5968.33</v>
      </c>
      <c r="G54" s="60">
        <v>50656.4</v>
      </c>
      <c r="H54" s="52">
        <v>114.56</v>
      </c>
      <c r="I54" s="75">
        <v>6.4000000000000001E-2</v>
      </c>
    </row>
    <row r="55" spans="1:9" x14ac:dyDescent="0.35">
      <c r="A55" s="58">
        <v>44324.36</v>
      </c>
      <c r="B55" s="58">
        <v>77896.070000000007</v>
      </c>
      <c r="C55" s="60">
        <v>2602.81</v>
      </c>
      <c r="D55" s="75">
        <v>0.10879999999999999</v>
      </c>
      <c r="F55" s="60">
        <v>50656.41</v>
      </c>
      <c r="G55" s="60">
        <v>89024.08</v>
      </c>
      <c r="H55" s="60">
        <v>2974.64</v>
      </c>
      <c r="I55" s="75">
        <v>0.10879999999999999</v>
      </c>
    </row>
    <row r="56" spans="1:9" x14ac:dyDescent="0.35">
      <c r="A56" s="58">
        <v>77896.08</v>
      </c>
      <c r="B56" s="58">
        <v>90550.74</v>
      </c>
      <c r="C56" s="60">
        <v>6255.41</v>
      </c>
      <c r="D56" s="75">
        <v>0.16</v>
      </c>
      <c r="F56" s="60">
        <v>89024.09</v>
      </c>
      <c r="G56" s="60">
        <v>103486.56</v>
      </c>
      <c r="H56" s="60">
        <v>7149.04</v>
      </c>
      <c r="I56" s="75">
        <v>0.16</v>
      </c>
    </row>
    <row r="57" spans="1:9" x14ac:dyDescent="0.35">
      <c r="A57" s="58">
        <v>90550.75</v>
      </c>
      <c r="B57" s="58">
        <v>108413.97</v>
      </c>
      <c r="C57" s="60">
        <v>8280.16</v>
      </c>
      <c r="D57" s="75">
        <v>0.1792</v>
      </c>
      <c r="F57" s="60">
        <v>103486.57</v>
      </c>
      <c r="G57" s="60">
        <v>123901.68</v>
      </c>
      <c r="H57" s="60">
        <v>9463.0400000000009</v>
      </c>
      <c r="I57" s="75">
        <v>0.1792</v>
      </c>
    </row>
    <row r="58" spans="1:9" x14ac:dyDescent="0.35">
      <c r="A58" s="58">
        <v>108413.98</v>
      </c>
      <c r="B58" s="58">
        <v>218655.43</v>
      </c>
      <c r="C58" s="60">
        <v>11481.26</v>
      </c>
      <c r="D58" s="75">
        <v>0.21360000000000001</v>
      </c>
      <c r="F58" s="60">
        <v>123901.69</v>
      </c>
      <c r="G58" s="60">
        <v>249891.92</v>
      </c>
      <c r="H58" s="60">
        <v>13121.44</v>
      </c>
      <c r="I58" s="75">
        <v>0.21360000000000001</v>
      </c>
    </row>
    <row r="59" spans="1:9" x14ac:dyDescent="0.35">
      <c r="A59" s="61">
        <v>218655.44</v>
      </c>
      <c r="B59" s="58">
        <v>344631</v>
      </c>
      <c r="C59" s="60">
        <v>35028.839999999997</v>
      </c>
      <c r="D59" s="75">
        <v>0.23519999999999999</v>
      </c>
      <c r="F59" s="60">
        <v>249891.93</v>
      </c>
      <c r="G59" s="60">
        <v>393864</v>
      </c>
      <c r="H59" s="60">
        <v>40032.959999999999</v>
      </c>
      <c r="I59" s="75">
        <v>0.23519999999999999</v>
      </c>
    </row>
    <row r="60" spans="1:9" x14ac:dyDescent="0.35">
      <c r="A60" s="61">
        <v>344631.01</v>
      </c>
      <c r="B60" s="58">
        <v>657957.30000000005</v>
      </c>
      <c r="C60" s="60">
        <v>64658.23</v>
      </c>
      <c r="D60" s="75">
        <v>0.3</v>
      </c>
      <c r="F60" s="60">
        <v>393864.01</v>
      </c>
      <c r="G60" s="60">
        <v>751951.2</v>
      </c>
      <c r="H60" s="60">
        <v>73895.12</v>
      </c>
      <c r="I60" s="75">
        <v>0.3</v>
      </c>
    </row>
    <row r="61" spans="1:9" x14ac:dyDescent="0.35">
      <c r="A61" s="61">
        <v>657957.31000000006</v>
      </c>
      <c r="B61" s="58">
        <v>877276.4</v>
      </c>
      <c r="C61" s="60">
        <v>158656.19</v>
      </c>
      <c r="D61" s="75">
        <v>0.32</v>
      </c>
      <c r="F61" s="60">
        <v>751951.21</v>
      </c>
      <c r="G61" s="60">
        <v>1002601.6</v>
      </c>
      <c r="H61" s="60">
        <v>181321.36</v>
      </c>
      <c r="I61" s="75">
        <v>0.32</v>
      </c>
    </row>
    <row r="62" spans="1:9" x14ac:dyDescent="0.35">
      <c r="A62" s="61">
        <v>877276.41</v>
      </c>
      <c r="B62" s="61">
        <v>2631829.27</v>
      </c>
      <c r="C62" s="60">
        <v>228838.26</v>
      </c>
      <c r="D62" s="75">
        <v>0.34</v>
      </c>
      <c r="F62" s="60">
        <v>1002601.61</v>
      </c>
      <c r="G62" s="60">
        <v>3007804.88</v>
      </c>
      <c r="H62" s="60">
        <v>261529.44</v>
      </c>
      <c r="I62" s="75">
        <v>0.34</v>
      </c>
    </row>
    <row r="63" spans="1:9" ht="15" thickBot="1" x14ac:dyDescent="0.4">
      <c r="A63" s="62">
        <v>2631829.2799999998</v>
      </c>
      <c r="B63" s="63" t="s">
        <v>42</v>
      </c>
      <c r="C63" s="64">
        <v>825386.24</v>
      </c>
      <c r="D63" s="79">
        <v>0.35</v>
      </c>
      <c r="F63" s="64">
        <v>3007804.89</v>
      </c>
      <c r="G63" s="65" t="s">
        <v>42</v>
      </c>
      <c r="H63" s="64">
        <v>943298.56000000006</v>
      </c>
      <c r="I63" s="79">
        <v>0.35</v>
      </c>
    </row>
    <row r="64" spans="1:9" ht="15.5" thickTop="1" thickBot="1" x14ac:dyDescent="0.4">
      <c r="A64" s="69"/>
      <c r="B64" s="70"/>
      <c r="C64" s="70"/>
      <c r="D64" s="70"/>
      <c r="F64" s="70"/>
      <c r="G64" s="70"/>
      <c r="H64" s="70"/>
      <c r="I64" s="70"/>
    </row>
    <row r="65" spans="1:9" ht="15.5" thickTop="1" thickBot="1" x14ac:dyDescent="0.4">
      <c r="A65" s="292" t="s">
        <v>43</v>
      </c>
      <c r="B65" s="292"/>
      <c r="C65" s="292"/>
      <c r="D65" s="292"/>
      <c r="F65" s="292" t="s">
        <v>44</v>
      </c>
      <c r="G65" s="292"/>
      <c r="H65" s="292"/>
      <c r="I65" s="292"/>
    </row>
    <row r="66" spans="1:9" ht="20.5" thickTop="1" x14ac:dyDescent="0.35">
      <c r="A66" s="49" t="s">
        <v>35</v>
      </c>
      <c r="B66" s="49" t="s">
        <v>36</v>
      </c>
      <c r="C66" s="49" t="s">
        <v>37</v>
      </c>
      <c r="D66" s="49" t="s">
        <v>38</v>
      </c>
      <c r="F66" s="71" t="s">
        <v>35</v>
      </c>
      <c r="G66" s="49" t="s">
        <v>36</v>
      </c>
      <c r="H66" s="49" t="s">
        <v>37</v>
      </c>
      <c r="I66" s="49" t="s">
        <v>38</v>
      </c>
    </row>
    <row r="67" spans="1:9" ht="20" x14ac:dyDescent="0.35">
      <c r="A67" s="50"/>
      <c r="B67" s="50"/>
      <c r="C67" s="50"/>
      <c r="D67" s="50" t="s">
        <v>39</v>
      </c>
      <c r="F67" s="50"/>
      <c r="G67" s="50"/>
      <c r="H67" s="50"/>
      <c r="I67" s="50" t="s">
        <v>39</v>
      </c>
    </row>
    <row r="68" spans="1:9" ht="15" thickBot="1" x14ac:dyDescent="0.4">
      <c r="A68" s="51" t="s">
        <v>40</v>
      </c>
      <c r="B68" s="51" t="s">
        <v>40</v>
      </c>
      <c r="C68" s="51" t="s">
        <v>40</v>
      </c>
      <c r="D68" s="51" t="s">
        <v>41</v>
      </c>
      <c r="F68" s="51" t="s">
        <v>40</v>
      </c>
      <c r="G68" s="51" t="s">
        <v>40</v>
      </c>
      <c r="H68" s="51" t="s">
        <v>40</v>
      </c>
      <c r="I68" s="51" t="s">
        <v>41</v>
      </c>
    </row>
    <row r="69" spans="1:9" ht="15" thickTop="1" x14ac:dyDescent="0.35">
      <c r="A69" s="74">
        <v>0.01</v>
      </c>
      <c r="B69" s="73">
        <v>6714.36</v>
      </c>
      <c r="C69" s="74">
        <v>0</v>
      </c>
      <c r="D69" s="75">
        <v>1.9199999999999998E-2</v>
      </c>
      <c r="F69" s="74">
        <v>0.01</v>
      </c>
      <c r="G69" s="81">
        <v>7460.4</v>
      </c>
      <c r="H69" s="74">
        <v>0</v>
      </c>
      <c r="I69" s="75">
        <v>1.9199999999999998E-2</v>
      </c>
    </row>
    <row r="70" spans="1:9" x14ac:dyDescent="0.35">
      <c r="A70" s="60">
        <v>6714.37</v>
      </c>
      <c r="B70" s="60">
        <v>56988.45</v>
      </c>
      <c r="C70" s="52">
        <v>128.88</v>
      </c>
      <c r="D70" s="75">
        <v>6.4000000000000001E-2</v>
      </c>
      <c r="F70" s="60">
        <v>7460.41</v>
      </c>
      <c r="G70" s="58">
        <v>63320.5</v>
      </c>
      <c r="H70" s="52">
        <v>143.19999999999999</v>
      </c>
      <c r="I70" s="75">
        <v>6.4000000000000001E-2</v>
      </c>
    </row>
    <row r="71" spans="1:9" x14ac:dyDescent="0.35">
      <c r="A71" s="60">
        <v>56988.46</v>
      </c>
      <c r="B71" s="60">
        <v>100152.09</v>
      </c>
      <c r="C71" s="60">
        <v>3346.47</v>
      </c>
      <c r="D71" s="75">
        <v>0.10879999999999999</v>
      </c>
      <c r="F71" s="60">
        <v>63320.51</v>
      </c>
      <c r="G71" s="58">
        <v>111280.1</v>
      </c>
      <c r="H71" s="60">
        <v>3718.3</v>
      </c>
      <c r="I71" s="75">
        <v>0.10879999999999999</v>
      </c>
    </row>
    <row r="72" spans="1:9" x14ac:dyDescent="0.35">
      <c r="A72" s="60">
        <v>100152.1</v>
      </c>
      <c r="B72" s="60">
        <v>116422.38</v>
      </c>
      <c r="C72" s="60">
        <v>8042.67</v>
      </c>
      <c r="D72" s="75">
        <v>0.16</v>
      </c>
      <c r="F72" s="60">
        <v>111280.11</v>
      </c>
      <c r="G72" s="58">
        <v>129358.2</v>
      </c>
      <c r="H72" s="60">
        <v>8936.2999999999993</v>
      </c>
      <c r="I72" s="75">
        <v>0.16</v>
      </c>
    </row>
    <row r="73" spans="1:9" x14ac:dyDescent="0.35">
      <c r="A73" s="60">
        <v>116422.39</v>
      </c>
      <c r="B73" s="60">
        <v>139389.39000000001</v>
      </c>
      <c r="C73" s="60">
        <v>10645.92</v>
      </c>
      <c r="D73" s="75">
        <v>0.1792</v>
      </c>
      <c r="F73" s="60">
        <v>129358.21</v>
      </c>
      <c r="G73" s="58">
        <v>154877.1</v>
      </c>
      <c r="H73" s="60">
        <v>11828.8</v>
      </c>
      <c r="I73" s="75">
        <v>0.1792</v>
      </c>
    </row>
    <row r="74" spans="1:9" x14ac:dyDescent="0.35">
      <c r="A74" s="60">
        <v>139389.4</v>
      </c>
      <c r="B74" s="60">
        <v>281128.40999999997</v>
      </c>
      <c r="C74" s="60">
        <v>14761.62</v>
      </c>
      <c r="D74" s="75">
        <v>0.21360000000000001</v>
      </c>
      <c r="F74" s="60">
        <v>154877.10999999999</v>
      </c>
      <c r="G74" s="58">
        <v>312364.90000000002</v>
      </c>
      <c r="H74" s="60">
        <v>16401.8</v>
      </c>
      <c r="I74" s="75">
        <v>0.21360000000000001</v>
      </c>
    </row>
    <row r="75" spans="1:9" x14ac:dyDescent="0.35">
      <c r="A75" s="60">
        <v>281128.42</v>
      </c>
      <c r="B75" s="60">
        <v>443097</v>
      </c>
      <c r="C75" s="60">
        <v>45037.08</v>
      </c>
      <c r="D75" s="75">
        <v>0.23519999999999999</v>
      </c>
      <c r="F75" s="60">
        <v>312364.90999999997</v>
      </c>
      <c r="G75" s="58">
        <v>492330</v>
      </c>
      <c r="H75" s="60">
        <v>50041.2</v>
      </c>
      <c r="I75" s="75">
        <v>0.23519999999999999</v>
      </c>
    </row>
    <row r="76" spans="1:9" x14ac:dyDescent="0.35">
      <c r="A76" s="60">
        <v>443097.01</v>
      </c>
      <c r="B76" s="60">
        <v>845945.1</v>
      </c>
      <c r="C76" s="60">
        <v>83132.009999999995</v>
      </c>
      <c r="D76" s="75">
        <v>0.3</v>
      </c>
      <c r="F76" s="60">
        <v>492330.01</v>
      </c>
      <c r="G76" s="58">
        <v>939939</v>
      </c>
      <c r="H76" s="60">
        <v>92368.9</v>
      </c>
      <c r="I76" s="75">
        <v>0.3</v>
      </c>
    </row>
    <row r="77" spans="1:9" x14ac:dyDescent="0.35">
      <c r="A77" s="60">
        <v>845945.11</v>
      </c>
      <c r="B77" s="60">
        <v>1127926.8</v>
      </c>
      <c r="C77" s="60">
        <v>203986.53</v>
      </c>
      <c r="D77" s="75">
        <v>0.32</v>
      </c>
      <c r="F77" s="60">
        <v>939939.01</v>
      </c>
      <c r="G77" s="61">
        <v>1253252</v>
      </c>
      <c r="H77" s="60">
        <v>226651.7</v>
      </c>
      <c r="I77" s="75">
        <v>0.32</v>
      </c>
    </row>
    <row r="78" spans="1:9" x14ac:dyDescent="0.35">
      <c r="A78" s="60">
        <v>1127926.81</v>
      </c>
      <c r="B78" s="60">
        <v>3383780.49</v>
      </c>
      <c r="C78" s="60">
        <v>294220.62</v>
      </c>
      <c r="D78" s="75">
        <v>0.34</v>
      </c>
      <c r="F78" s="60">
        <v>1253252.01</v>
      </c>
      <c r="G78" s="61">
        <v>3759756.1</v>
      </c>
      <c r="H78" s="60">
        <v>326911.8</v>
      </c>
      <c r="I78" s="75">
        <v>0.34</v>
      </c>
    </row>
    <row r="79" spans="1:9" ht="15" thickBot="1" x14ac:dyDescent="0.4">
      <c r="A79" s="64">
        <v>3383780.5</v>
      </c>
      <c r="B79" s="65" t="s">
        <v>42</v>
      </c>
      <c r="C79" s="64">
        <v>1061210.8799999999</v>
      </c>
      <c r="D79" s="79">
        <v>0.35</v>
      </c>
      <c r="F79" s="64">
        <v>3759756.11</v>
      </c>
      <c r="G79" s="63" t="s">
        <v>42</v>
      </c>
      <c r="H79" s="64">
        <v>1179123.2</v>
      </c>
      <c r="I79" s="79">
        <v>0.35</v>
      </c>
    </row>
    <row r="80" spans="1:9" ht="15.5" thickTop="1" thickBot="1" x14ac:dyDescent="0.4">
      <c r="A80" s="69"/>
      <c r="B80" s="70"/>
      <c r="C80" s="70"/>
      <c r="D80" s="70"/>
    </row>
    <row r="81" spans="1:9" ht="15.5" thickTop="1" thickBot="1" x14ac:dyDescent="0.4">
      <c r="A81" s="292" t="s">
        <v>45</v>
      </c>
      <c r="B81" s="292"/>
      <c r="C81" s="292"/>
      <c r="D81" s="292"/>
      <c r="E81" s="82"/>
      <c r="F81" s="291" t="s">
        <v>46</v>
      </c>
      <c r="G81" s="291"/>
      <c r="H81" s="291"/>
      <c r="I81" s="291"/>
    </row>
    <row r="82" spans="1:9" ht="20.5" thickTop="1" x14ac:dyDescent="0.35">
      <c r="A82" s="71" t="s">
        <v>35</v>
      </c>
      <c r="B82" s="49" t="s">
        <v>36</v>
      </c>
      <c r="C82" s="49" t="s">
        <v>37</v>
      </c>
      <c r="D82" s="49" t="s">
        <v>38</v>
      </c>
      <c r="E82" s="83"/>
      <c r="F82" s="71" t="s">
        <v>35</v>
      </c>
      <c r="G82" s="49" t="s">
        <v>36</v>
      </c>
      <c r="H82" s="49" t="s">
        <v>37</v>
      </c>
      <c r="I82" s="49" t="s">
        <v>38</v>
      </c>
    </row>
    <row r="83" spans="1:9" ht="20" x14ac:dyDescent="0.35">
      <c r="A83" s="50"/>
      <c r="B83" s="50"/>
      <c r="C83" s="50"/>
      <c r="D83" s="50" t="s">
        <v>39</v>
      </c>
      <c r="E83" s="83"/>
      <c r="F83" s="50"/>
      <c r="G83" s="50"/>
      <c r="H83" s="50"/>
      <c r="I83" s="50" t="s">
        <v>39</v>
      </c>
    </row>
    <row r="84" spans="1:9" ht="15" thickBot="1" x14ac:dyDescent="0.4">
      <c r="A84" s="51" t="s">
        <v>40</v>
      </c>
      <c r="B84" s="51" t="s">
        <v>40</v>
      </c>
      <c r="C84" s="51" t="s">
        <v>40</v>
      </c>
      <c r="D84" s="51" t="s">
        <v>41</v>
      </c>
      <c r="E84" s="83"/>
      <c r="F84" s="51" t="s">
        <v>40</v>
      </c>
      <c r="G84" s="51" t="s">
        <v>40</v>
      </c>
      <c r="H84" s="51" t="s">
        <v>40</v>
      </c>
      <c r="I84" s="51" t="s">
        <v>41</v>
      </c>
    </row>
    <row r="85" spans="1:9" ht="15" thickTop="1" x14ac:dyDescent="0.35">
      <c r="A85" s="74">
        <v>0.01</v>
      </c>
      <c r="B85" s="81">
        <v>8206.44</v>
      </c>
      <c r="C85" s="74">
        <v>0</v>
      </c>
      <c r="D85" s="75">
        <v>1.9199999999999998E-2</v>
      </c>
      <c r="F85" s="72">
        <v>0.01</v>
      </c>
      <c r="G85" s="84">
        <v>8952.49</v>
      </c>
      <c r="H85" s="72">
        <v>0</v>
      </c>
      <c r="I85" s="85">
        <v>1.9199999999999998E-2</v>
      </c>
    </row>
    <row r="86" spans="1:9" x14ac:dyDescent="0.35">
      <c r="A86" s="58">
        <v>8206.4500000000007</v>
      </c>
      <c r="B86" s="58">
        <v>69652.55</v>
      </c>
      <c r="C86" s="52">
        <v>157.52000000000001</v>
      </c>
      <c r="D86" s="75">
        <v>6.4000000000000001E-2</v>
      </c>
      <c r="F86" s="76">
        <v>8952.5</v>
      </c>
      <c r="G86" s="76">
        <v>75984.55</v>
      </c>
      <c r="H86" s="86">
        <v>171.88</v>
      </c>
      <c r="I86" s="85">
        <v>6.4000000000000001E-2</v>
      </c>
    </row>
    <row r="87" spans="1:9" x14ac:dyDescent="0.35">
      <c r="A87" s="58">
        <v>69652.56</v>
      </c>
      <c r="B87" s="58">
        <v>122408.11</v>
      </c>
      <c r="C87" s="60">
        <v>4090.13</v>
      </c>
      <c r="D87" s="75">
        <v>0.10879999999999999</v>
      </c>
      <c r="F87" s="76">
        <v>75984.56</v>
      </c>
      <c r="G87" s="76">
        <v>133536.07</v>
      </c>
      <c r="H87" s="76">
        <v>4461.9399999999996</v>
      </c>
      <c r="I87" s="85">
        <v>0.10879999999999999</v>
      </c>
    </row>
    <row r="88" spans="1:9" x14ac:dyDescent="0.35">
      <c r="A88" s="61">
        <v>122408.12</v>
      </c>
      <c r="B88" s="58">
        <v>142294.01999999999</v>
      </c>
      <c r="C88" s="60">
        <v>9829.93</v>
      </c>
      <c r="D88" s="75">
        <v>0.16</v>
      </c>
      <c r="F88" s="76">
        <v>133536.07999999999</v>
      </c>
      <c r="G88" s="76">
        <v>155229.79999999999</v>
      </c>
      <c r="H88" s="76">
        <v>10723.55</v>
      </c>
      <c r="I88" s="85">
        <v>0.16</v>
      </c>
    </row>
    <row r="89" spans="1:9" x14ac:dyDescent="0.35">
      <c r="A89" s="61">
        <v>142294.03</v>
      </c>
      <c r="B89" s="58">
        <v>170364.81</v>
      </c>
      <c r="C89" s="60">
        <v>13011.68</v>
      </c>
      <c r="D89" s="75">
        <v>0.1792</v>
      </c>
      <c r="F89" s="76">
        <v>155229.81</v>
      </c>
      <c r="G89" s="76">
        <v>185852.57</v>
      </c>
      <c r="H89" s="76">
        <v>14194.54</v>
      </c>
      <c r="I89" s="85">
        <v>0.1792</v>
      </c>
    </row>
    <row r="90" spans="1:9" x14ac:dyDescent="0.35">
      <c r="A90" s="61">
        <v>170364.82</v>
      </c>
      <c r="B90" s="58">
        <v>343601.39</v>
      </c>
      <c r="C90" s="60">
        <v>18041.98</v>
      </c>
      <c r="D90" s="75">
        <v>0.21360000000000001</v>
      </c>
      <c r="F90" s="76">
        <v>185852.58</v>
      </c>
      <c r="G90" s="76">
        <v>374837.88</v>
      </c>
      <c r="H90" s="76">
        <v>19682.13</v>
      </c>
      <c r="I90" s="85">
        <v>0.21360000000000001</v>
      </c>
    </row>
    <row r="91" spans="1:9" x14ac:dyDescent="0.35">
      <c r="A91" s="61">
        <v>343601.4</v>
      </c>
      <c r="B91" s="58">
        <v>541563</v>
      </c>
      <c r="C91" s="60">
        <v>55045.32</v>
      </c>
      <c r="D91" s="75">
        <v>0.23519999999999999</v>
      </c>
      <c r="F91" s="76">
        <v>374837.89</v>
      </c>
      <c r="G91" s="76">
        <v>590795.99</v>
      </c>
      <c r="H91" s="76">
        <v>60049.4</v>
      </c>
      <c r="I91" s="85">
        <v>0.23519999999999999</v>
      </c>
    </row>
    <row r="92" spans="1:9" x14ac:dyDescent="0.35">
      <c r="A92" s="61">
        <v>541563.01</v>
      </c>
      <c r="B92" s="58">
        <v>1033932.9</v>
      </c>
      <c r="C92" s="60">
        <v>101605.79</v>
      </c>
      <c r="D92" s="75">
        <v>0.3</v>
      </c>
      <c r="F92" s="76">
        <v>590796</v>
      </c>
      <c r="G92" s="76">
        <v>1127926.8400000001</v>
      </c>
      <c r="H92" s="76">
        <v>110842.74</v>
      </c>
      <c r="I92" s="85">
        <v>0.3</v>
      </c>
    </row>
    <row r="93" spans="1:9" x14ac:dyDescent="0.35">
      <c r="A93" s="61">
        <v>1033932.91</v>
      </c>
      <c r="B93" s="61">
        <v>1378577.2</v>
      </c>
      <c r="C93" s="60">
        <v>249316.87</v>
      </c>
      <c r="D93" s="75">
        <v>0.32</v>
      </c>
      <c r="F93" s="76">
        <v>1127926.8500000001</v>
      </c>
      <c r="G93" s="76">
        <v>1503902.46</v>
      </c>
      <c r="H93" s="76">
        <v>271981.99</v>
      </c>
      <c r="I93" s="85">
        <v>0.32</v>
      </c>
    </row>
    <row r="94" spans="1:9" x14ac:dyDescent="0.35">
      <c r="A94" s="61">
        <v>1378577.21</v>
      </c>
      <c r="B94" s="61">
        <v>4135731.71</v>
      </c>
      <c r="C94" s="60">
        <v>359602.98</v>
      </c>
      <c r="D94" s="75">
        <v>0.34</v>
      </c>
      <c r="F94" s="76">
        <v>1503902.47</v>
      </c>
      <c r="G94" s="76">
        <v>4511707.37</v>
      </c>
      <c r="H94" s="76">
        <v>392294.17</v>
      </c>
      <c r="I94" s="85">
        <v>0.34</v>
      </c>
    </row>
    <row r="95" spans="1:9" ht="15" thickBot="1" x14ac:dyDescent="0.4">
      <c r="A95" s="62">
        <v>4135731.72</v>
      </c>
      <c r="B95" s="63" t="s">
        <v>42</v>
      </c>
      <c r="C95" s="64">
        <v>1297035.52</v>
      </c>
      <c r="D95" s="79">
        <v>0.35</v>
      </c>
      <c r="F95" s="87">
        <v>4511707.38</v>
      </c>
      <c r="G95" s="88" t="s">
        <v>42</v>
      </c>
      <c r="H95" s="87">
        <v>1414947.85</v>
      </c>
      <c r="I95" s="89">
        <v>0.35</v>
      </c>
    </row>
    <row r="96" spans="1:9" x14ac:dyDescent="0.35">
      <c r="A96" s="90"/>
    </row>
    <row r="97" spans="1:4" ht="15" thickBot="1" x14ac:dyDescent="0.4">
      <c r="A97" s="291" t="s">
        <v>47</v>
      </c>
      <c r="B97" s="291"/>
      <c r="C97" s="291"/>
      <c r="D97" s="291"/>
    </row>
    <row r="98" spans="1:4" ht="20.5" thickTop="1" x14ac:dyDescent="0.35">
      <c r="A98" s="71" t="s">
        <v>35</v>
      </c>
      <c r="B98" s="49" t="s">
        <v>36</v>
      </c>
      <c r="C98" s="49" t="s">
        <v>37</v>
      </c>
      <c r="D98" s="49" t="s">
        <v>38</v>
      </c>
    </row>
    <row r="99" spans="1:4" ht="20" x14ac:dyDescent="0.35">
      <c r="A99" s="50"/>
      <c r="B99" s="50"/>
      <c r="C99" s="50"/>
      <c r="D99" s="50" t="s">
        <v>39</v>
      </c>
    </row>
    <row r="100" spans="1:4" ht="15" thickBot="1" x14ac:dyDescent="0.4">
      <c r="A100" s="51" t="s">
        <v>40</v>
      </c>
      <c r="B100" s="51" t="s">
        <v>40</v>
      </c>
      <c r="C100" s="51" t="s">
        <v>40</v>
      </c>
      <c r="D100" s="51" t="s">
        <v>41</v>
      </c>
    </row>
    <row r="101" spans="1:4" ht="15" thickTop="1" x14ac:dyDescent="0.35">
      <c r="A101" s="72">
        <v>0.01</v>
      </c>
      <c r="B101" s="84">
        <v>7735</v>
      </c>
      <c r="C101" s="72">
        <v>0</v>
      </c>
      <c r="D101" s="85">
        <v>1.9199999999999998E-2</v>
      </c>
    </row>
    <row r="102" spans="1:4" x14ac:dyDescent="0.35">
      <c r="A102" s="76">
        <v>7735.01</v>
      </c>
      <c r="B102" s="76">
        <v>65651.070000000007</v>
      </c>
      <c r="C102" s="86">
        <v>148.51</v>
      </c>
      <c r="D102" s="85">
        <v>6.4000000000000001E-2</v>
      </c>
    </row>
    <row r="103" spans="1:4" x14ac:dyDescent="0.35">
      <c r="A103" s="76">
        <v>65651.08</v>
      </c>
      <c r="B103" s="76">
        <v>115375.9</v>
      </c>
      <c r="C103" s="76">
        <v>3855.14</v>
      </c>
      <c r="D103" s="85">
        <v>0.10879999999999999</v>
      </c>
    </row>
    <row r="104" spans="1:4" x14ac:dyDescent="0.35">
      <c r="A104" s="76">
        <v>115375.91</v>
      </c>
      <c r="B104" s="76">
        <v>134119.41</v>
      </c>
      <c r="C104" s="76">
        <v>9265.2000000000007</v>
      </c>
      <c r="D104" s="85">
        <v>0.16</v>
      </c>
    </row>
    <row r="105" spans="1:4" x14ac:dyDescent="0.35">
      <c r="A105" s="76">
        <v>134119.42000000001</v>
      </c>
      <c r="B105" s="76">
        <v>160577.65</v>
      </c>
      <c r="C105" s="76">
        <v>12264.16</v>
      </c>
      <c r="D105" s="85">
        <v>0.1792</v>
      </c>
    </row>
    <row r="106" spans="1:4" x14ac:dyDescent="0.35">
      <c r="A106" s="76">
        <v>160577.66</v>
      </c>
      <c r="B106" s="76">
        <v>323862</v>
      </c>
      <c r="C106" s="76">
        <v>17005.47</v>
      </c>
      <c r="D106" s="85">
        <v>0.21360000000000001</v>
      </c>
    </row>
    <row r="107" spans="1:4" x14ac:dyDescent="0.35">
      <c r="A107" s="76">
        <v>323862.01</v>
      </c>
      <c r="B107" s="76">
        <v>510451</v>
      </c>
      <c r="C107" s="76">
        <v>51883.01</v>
      </c>
      <c r="D107" s="85">
        <v>0.23519999999999999</v>
      </c>
    </row>
    <row r="108" spans="1:4" x14ac:dyDescent="0.35">
      <c r="A108" s="76">
        <v>510451.01</v>
      </c>
      <c r="B108" s="76">
        <v>974535.03</v>
      </c>
      <c r="C108" s="76">
        <v>95768.74</v>
      </c>
      <c r="D108" s="85">
        <v>0.3</v>
      </c>
    </row>
    <row r="109" spans="1:4" x14ac:dyDescent="0.35">
      <c r="A109" s="76">
        <v>974535.04</v>
      </c>
      <c r="B109" s="76">
        <v>1299380.04</v>
      </c>
      <c r="C109" s="76">
        <v>234993.95</v>
      </c>
      <c r="D109" s="85">
        <v>0.32</v>
      </c>
    </row>
    <row r="110" spans="1:4" x14ac:dyDescent="0.35">
      <c r="A110" s="76">
        <v>1299380.05</v>
      </c>
      <c r="B110" s="76">
        <v>3898140.12</v>
      </c>
      <c r="C110" s="76">
        <v>338944.34</v>
      </c>
      <c r="D110" s="85">
        <v>0.34</v>
      </c>
    </row>
    <row r="111" spans="1:4" ht="15" thickBot="1" x14ac:dyDescent="0.4">
      <c r="A111" s="87">
        <v>3898140.13</v>
      </c>
      <c r="B111" s="88" t="s">
        <v>42</v>
      </c>
      <c r="C111" s="87">
        <v>1222522.76</v>
      </c>
      <c r="D111" s="89">
        <v>0.35</v>
      </c>
    </row>
    <row r="117" spans="1:4" x14ac:dyDescent="0.35">
      <c r="A117" s="5" t="s">
        <v>48</v>
      </c>
    </row>
    <row r="118" spans="1:4" ht="23" x14ac:dyDescent="0.35">
      <c r="A118" s="193" t="s">
        <v>226</v>
      </c>
    </row>
    <row r="119" spans="1:4" ht="26" x14ac:dyDescent="0.35">
      <c r="A119" s="290" t="s">
        <v>35</v>
      </c>
      <c r="B119" s="290" t="s">
        <v>36</v>
      </c>
      <c r="C119" s="290" t="s">
        <v>37</v>
      </c>
      <c r="D119" s="194" t="s">
        <v>227</v>
      </c>
    </row>
    <row r="120" spans="1:4" ht="26" x14ac:dyDescent="0.35">
      <c r="A120" s="290"/>
      <c r="B120" s="290"/>
      <c r="C120" s="290"/>
      <c r="D120" s="194" t="s">
        <v>228</v>
      </c>
    </row>
    <row r="121" spans="1:4" x14ac:dyDescent="0.35">
      <c r="A121" s="195">
        <v>0.01</v>
      </c>
      <c r="B121" s="196">
        <v>2238.12</v>
      </c>
      <c r="C121" s="195">
        <v>0</v>
      </c>
      <c r="D121" s="91">
        <v>1.9199999999999998E-2</v>
      </c>
    </row>
    <row r="122" spans="1:4" x14ac:dyDescent="0.35">
      <c r="A122" s="196">
        <v>8952.5</v>
      </c>
      <c r="B122" s="196">
        <v>75984.55</v>
      </c>
      <c r="C122" s="195">
        <v>171.88</v>
      </c>
      <c r="D122" s="91">
        <v>6.4000000000000001E-2</v>
      </c>
    </row>
    <row r="123" spans="1:4" x14ac:dyDescent="0.35">
      <c r="A123" s="196">
        <v>75984.56</v>
      </c>
      <c r="B123" s="196">
        <v>133536.07</v>
      </c>
      <c r="C123" s="196">
        <v>4461.9399999999996</v>
      </c>
      <c r="D123" s="91">
        <v>0.10879999999999999</v>
      </c>
    </row>
    <row r="124" spans="1:4" x14ac:dyDescent="0.35">
      <c r="A124" s="196">
        <v>133536.07999999999</v>
      </c>
      <c r="B124" s="196">
        <v>155229.79999999999</v>
      </c>
      <c r="C124" s="196">
        <v>10723.55</v>
      </c>
      <c r="D124" s="91">
        <v>0.16</v>
      </c>
    </row>
    <row r="125" spans="1:4" x14ac:dyDescent="0.35">
      <c r="A125" s="196">
        <v>155229.81</v>
      </c>
      <c r="B125" s="196">
        <v>185852.57</v>
      </c>
      <c r="C125" s="196">
        <v>14194.54</v>
      </c>
      <c r="D125" s="91">
        <v>0.1792</v>
      </c>
    </row>
    <row r="126" spans="1:4" x14ac:dyDescent="0.35">
      <c r="A126" s="196">
        <v>185852.58</v>
      </c>
      <c r="B126" s="196">
        <v>374837.88</v>
      </c>
      <c r="C126" s="196">
        <v>19682.13</v>
      </c>
      <c r="D126" s="91">
        <v>0.21359999999999998</v>
      </c>
    </row>
    <row r="127" spans="1:4" x14ac:dyDescent="0.35">
      <c r="A127" s="196">
        <v>374837.89</v>
      </c>
      <c r="B127" s="196">
        <v>590795.99</v>
      </c>
      <c r="C127" s="196">
        <v>60049.4</v>
      </c>
      <c r="D127" s="91">
        <v>0.23519999999999999</v>
      </c>
    </row>
    <row r="128" spans="1:4" x14ac:dyDescent="0.35">
      <c r="A128" s="196">
        <v>590796</v>
      </c>
      <c r="B128" s="196">
        <v>1127926.8400000001</v>
      </c>
      <c r="C128" s="196">
        <v>110842.74</v>
      </c>
      <c r="D128" s="91">
        <v>0.3</v>
      </c>
    </row>
    <row r="129" spans="1:4" x14ac:dyDescent="0.35">
      <c r="A129" s="196">
        <v>1127926.8500000001</v>
      </c>
      <c r="B129" s="196">
        <v>1503902.46</v>
      </c>
      <c r="C129" s="196">
        <v>271981.99</v>
      </c>
      <c r="D129" s="91">
        <v>0.32</v>
      </c>
    </row>
    <row r="130" spans="1:4" x14ac:dyDescent="0.35">
      <c r="A130" s="196">
        <v>1503902.47</v>
      </c>
      <c r="B130" s="196">
        <v>4511707.37</v>
      </c>
      <c r="C130" s="196">
        <v>392294.17</v>
      </c>
      <c r="D130" s="91">
        <v>0.34</v>
      </c>
    </row>
    <row r="131" spans="1:4" x14ac:dyDescent="0.35">
      <c r="A131" s="196">
        <v>4511707.38</v>
      </c>
      <c r="B131" s="195" t="s">
        <v>42</v>
      </c>
      <c r="C131" s="196">
        <v>1414947.85</v>
      </c>
      <c r="D131" s="91">
        <v>0.35</v>
      </c>
    </row>
  </sheetData>
  <mergeCells count="16">
    <mergeCell ref="A1:D1"/>
    <mergeCell ref="F1:I1"/>
    <mergeCell ref="A17:D17"/>
    <mergeCell ref="F17:I17"/>
    <mergeCell ref="A33:D33"/>
    <mergeCell ref="F33:I33"/>
    <mergeCell ref="F49:I49"/>
    <mergeCell ref="A65:D65"/>
    <mergeCell ref="F65:I65"/>
    <mergeCell ref="A81:D81"/>
    <mergeCell ref="F81:I81"/>
    <mergeCell ref="A119:A120"/>
    <mergeCell ref="B119:B120"/>
    <mergeCell ref="C119:C120"/>
    <mergeCell ref="A97:D97"/>
    <mergeCell ref="A49:D4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A185-AC37-4990-95AB-F2E1E7F525AC}">
  <sheetPr>
    <tabColor rgb="FF7030A0"/>
  </sheetPr>
  <dimension ref="A1:R600"/>
  <sheetViews>
    <sheetView zoomScaleNormal="100" zoomScaleSheetLayoutView="98" workbookViewId="0">
      <pane ySplit="1" topLeftCell="A2" activePane="bottomLeft" state="frozen"/>
      <selection pane="bottomLeft" activeCell="K108" sqref="K108"/>
    </sheetView>
  </sheetViews>
  <sheetFormatPr baseColWidth="10" defaultRowHeight="14.5" x14ac:dyDescent="0.35"/>
  <cols>
    <col min="1" max="1" width="4.81640625" bestFit="1" customWidth="1"/>
    <col min="2" max="3" width="7.54296875" customWidth="1"/>
    <col min="4" max="4" width="10.81640625" style="108" bestFit="1" customWidth="1"/>
    <col min="5" max="5" width="4.81640625" customWidth="1"/>
    <col min="6" max="6" width="3.453125" customWidth="1"/>
    <col min="7" max="7" width="31.1796875" customWidth="1"/>
    <col min="8" max="8" width="15.54296875" customWidth="1"/>
    <col min="9" max="9" width="15.54296875" hidden="1" customWidth="1"/>
    <col min="10" max="10" width="10.90625" style="102" customWidth="1"/>
    <col min="11" max="11" width="12.1796875" style="102" customWidth="1"/>
    <col min="12" max="12" width="6" style="102" customWidth="1"/>
    <col min="13" max="13" width="5.36328125" style="102" customWidth="1"/>
    <col min="14" max="14" width="11.1796875" style="102" bestFit="1" customWidth="1"/>
    <col min="15" max="15" width="6.81640625" customWidth="1"/>
    <col min="17" max="17" width="13" bestFit="1" customWidth="1"/>
  </cols>
  <sheetData>
    <row r="1" spans="1:18" ht="25" customHeight="1" x14ac:dyDescent="0.35">
      <c r="A1" s="235" t="s">
        <v>49</v>
      </c>
      <c r="B1" s="235"/>
      <c r="C1" s="235" t="s">
        <v>50</v>
      </c>
      <c r="D1" s="236" t="s">
        <v>51</v>
      </c>
      <c r="E1" s="235" t="s">
        <v>52</v>
      </c>
      <c r="F1" s="235" t="s">
        <v>53</v>
      </c>
      <c r="G1" s="235" t="s">
        <v>54</v>
      </c>
      <c r="H1" s="235" t="s">
        <v>55</v>
      </c>
      <c r="I1" s="235"/>
      <c r="J1" s="237" t="s">
        <v>56</v>
      </c>
      <c r="K1" s="237" t="s">
        <v>57</v>
      </c>
      <c r="L1" s="237" t="s">
        <v>58</v>
      </c>
      <c r="M1" s="237" t="s">
        <v>59</v>
      </c>
      <c r="N1" s="237" t="s">
        <v>34</v>
      </c>
      <c r="O1" s="237" t="s">
        <v>321</v>
      </c>
      <c r="P1" s="239" t="s">
        <v>322</v>
      </c>
    </row>
    <row r="2" spans="1:18" x14ac:dyDescent="0.35">
      <c r="A2" s="92">
        <f>IF(D2&gt;0,MONTH(D2),0)</f>
        <v>1</v>
      </c>
      <c r="B2" s="92" t="str">
        <f>VLOOKUP(A2,[1]Hoja3!$C$3:$D$14,2,FALSE)</f>
        <v>ENERO</v>
      </c>
      <c r="C2" s="93">
        <v>45302</v>
      </c>
      <c r="D2" s="101">
        <v>45302</v>
      </c>
      <c r="E2" s="94" t="s">
        <v>60</v>
      </c>
      <c r="F2" s="95"/>
      <c r="G2" s="96" t="s">
        <v>260</v>
      </c>
      <c r="H2" s="96" t="str">
        <f>IF(G2="EFREN ABUNDEZ REYNA","AURE7306187IA",IF(G2="LUIS ALEJANDRO HERNANDEZ REYNA","HERL850705AL2",IF(G2="ANA BEATRIZ ESTRADA ARGOTE","EAAA860701UP2",IF(G2="SERGIO ROMERO DURAN","RODS620908QAA",IF(G2="MARIELA OLMOS GAONA","OOGM010703NX1",IF(G2="LUCIANO MIJAIL ORTEGA MUÑOZ","OEML881105IK2",IF(G2="GUSTAVO HUMBERTO VELAZCO GALVAN","VEGG9211019T1",IF(G2="JESUS AGUSTIN VELAZQUEZ FLORES","VEFJ900303M65",IF(G2="KARLA ESTEFANIA SALAZAR FLORES","SAFK9807277N1",IF(G2="ANGEL TERRAZAS MONROY","TEMA7105035N4"))))))))))</f>
        <v>OOGM010703NX1</v>
      </c>
      <c r="I2" s="247" t="str">
        <f>+B2</f>
        <v>ENERO</v>
      </c>
      <c r="J2" s="97">
        <v>13500</v>
      </c>
      <c r="K2" s="98">
        <v>0</v>
      </c>
      <c r="L2" s="98"/>
      <c r="M2" s="98"/>
      <c r="N2" s="98">
        <f t="shared" ref="N2:N66" si="0">+J2+K2-L2-M2</f>
        <v>13500</v>
      </c>
      <c r="O2" s="240" t="str">
        <f t="shared" ref="O2:O20" si="1">IF(G2="EFREN ABUNDEZ REYNA","37295",IF(G2="LUIS ALEJANDRO HERNANDEZ REYNA","HERL850705AL2",IF(G2="ANA BEATRIZ ESTRADA ARGOTE","EAAA860701UP2",IF(G2="SERGIO ROMERO DURAN","RODS620908QAA",IF(G2="MARIELA OLMOS GAONA","37675",IF(G2="LUCIANO MIJAIL ORTEGA MUÑOZ","37297",IF(G2="GUSTAVO HUMBERTO VELAZCO GALVAN","VEGG9211019T1",IF(G2="JESUS AGUSTIN VELAZQUEZ FLORES","VEFJ900303M65",IF(G2="KARLA ESTEFANIA SALAZAR FLORES","SAFK9807277N1",IF(G2="ANGEL TERRAZAS MONROY","TEMA7105035N4"))))))))))</f>
        <v>37675</v>
      </c>
      <c r="P2" s="240" t="str">
        <f t="shared" ref="P2:P20" si="2">IF(G2="EFREN ABUNDEZ REYNA","PFAEP",IF(G2="LUIS ALEJANDRO HERNANDEZ REYNA","HERL850705AL2",IF(G2="ANA BEATRIZ ESTRADA ARGOTE","EAAA860701UP2",IF(G2="SERGIO ROMERO DURAN","RODS620908QAA",IF(G2="MARIELA OLMOS GAONA","RESICO",IF(G2="LUCIANO MIJAIL ORTEGA MUÑOZ","RIF",IF(G2="GUSTAVO HUMBERTO VELAZCO GALVAN","VEGG9211019T1",IF(G2="JESUS AGUSTIN VELAZQUEZ FLORES","VEFJ900303M65",IF(G2="KARLA ESTEFANIA SALAZAR FLORES","SAFK9807277N1",IF(G2="ANGEL TERRAZAS MONROY","TEMA7105035N4"))))))))))</f>
        <v>RESICO</v>
      </c>
    </row>
    <row r="3" spans="1:18" x14ac:dyDescent="0.35">
      <c r="A3" s="92">
        <f t="shared" ref="A3:A66" si="3">IF(D3&gt;0,MONTH(D3),0)</f>
        <v>1</v>
      </c>
      <c r="B3" s="92" t="str">
        <f>VLOOKUP(A3,[1]Hoja3!$C$3:$D$14,2,FALSE)</f>
        <v>ENERO</v>
      </c>
      <c r="C3" s="93">
        <v>45302</v>
      </c>
      <c r="D3" s="101">
        <v>45302</v>
      </c>
      <c r="E3" s="94">
        <v>16</v>
      </c>
      <c r="F3" s="95"/>
      <c r="G3" s="96" t="s">
        <v>260</v>
      </c>
      <c r="H3" s="96" t="str">
        <f>IF(G3="EFREN ABUNDEZ REYNA","AURE7306187IA",IF(G3="LUIS ALEJANDRO HERNANDEZ REYNA","HERL850705AL2",IF(G3="ANA BEATRIZ ESTRADA ARGOTE","EAAA860701UP2",IF(G3="SERGIO ROMERO DURAN","RODS620908QAA",IF(G3="MARIELA OLMOS GAONA","OOGM010703NX1",IF(G3="LUCIANO MIJAIL ORTEGA MUÑOZ","OEML881105IK2",IF(G3="GUSTAVO HUMBERTO VELAZCO GALVAN","VEGG9211019T1",IF(G3="JESUS AGUSTIN VELAZQUEZ FLORES","VEFJ900303M65",IF(G3="KARLA ESTEFANIA SALAZAR FLORES","SAFK9807277N1",IF(G3="ANGEL TERRAZAS MONROY","TEMA7105035N4"))))))))))</f>
        <v>OOGM010703NX1</v>
      </c>
      <c r="I3" s="247" t="str">
        <f t="shared" ref="I3:I66" si="4">+B3</f>
        <v>ENERO</v>
      </c>
      <c r="J3" s="97">
        <v>5850</v>
      </c>
      <c r="K3" s="98">
        <v>0</v>
      </c>
      <c r="L3" s="98"/>
      <c r="M3" s="98"/>
      <c r="N3" s="98">
        <f t="shared" si="0"/>
        <v>5850</v>
      </c>
      <c r="O3" s="240" t="str">
        <f t="shared" si="1"/>
        <v>37675</v>
      </c>
      <c r="P3" s="240" t="str">
        <f t="shared" si="2"/>
        <v>RESICO</v>
      </c>
    </row>
    <row r="4" spans="1:18" x14ac:dyDescent="0.35">
      <c r="A4" s="92">
        <f t="shared" si="3"/>
        <v>1</v>
      </c>
      <c r="B4" s="92" t="str">
        <f>VLOOKUP(A4,[1]Hoja3!$C$3:$D$14,2,FALSE)</f>
        <v>ENERO</v>
      </c>
      <c r="C4" s="93">
        <v>45302</v>
      </c>
      <c r="D4" s="101">
        <v>45302</v>
      </c>
      <c r="E4" s="94"/>
      <c r="F4" s="95"/>
      <c r="G4" s="96" t="s">
        <v>238</v>
      </c>
      <c r="H4" s="96" t="str">
        <f>IF(G4="EFREN ABUNDEZ REYNA","AURE7306187IA",IF(G4="LUIS ALEJANDRO HERNANDEZ REYNA","HERL850705AL2",IF(G4="ANA BEATRIZ ESTRADA ARGOTE","EAAA860701UP2",IF(G4="SERGIO ROMERO DURAN","RODS620908QAA",IF(G4="MARIELA OLMOS GAONA","OOGM010703NX1",IF(G4="LUCIANO MIJAIL ORTEGA MUÑOZ","OEML881105IK2",IF(G4="GUSTAVO HUMBERTO VELAZCO GALVAN","VEGG9211019T1",IF(G4="JESUS AGUSTIN VELAZQUEZ FLORES","VEFJ900303M65",IF(G4="KARLA ESTEFANIA SALAZAR FLORES","SAFK9807277N1",IF(G4="ANGEL TERRAZAS MONROY","TEMA7105035N4"))))))))))</f>
        <v>AURE7306187IA</v>
      </c>
      <c r="I4" s="247" t="str">
        <f t="shared" si="4"/>
        <v>ENERO</v>
      </c>
      <c r="J4" s="97">
        <v>1090</v>
      </c>
      <c r="K4" s="98">
        <v>0</v>
      </c>
      <c r="L4" s="98"/>
      <c r="M4" s="98"/>
      <c r="N4" s="98">
        <f t="shared" si="0"/>
        <v>1090</v>
      </c>
      <c r="O4" s="240" t="str">
        <f t="shared" si="1"/>
        <v>37295</v>
      </c>
      <c r="P4" s="240" t="str">
        <f t="shared" si="2"/>
        <v>PFAEP</v>
      </c>
    </row>
    <row r="5" spans="1:18" x14ac:dyDescent="0.35">
      <c r="A5" s="99">
        <f t="shared" si="3"/>
        <v>1</v>
      </c>
      <c r="B5" s="92" t="str">
        <f>VLOOKUP(A5,[1]Hoja3!$C$3:$D$14,2,FALSE)</f>
        <v>ENERO</v>
      </c>
      <c r="C5" s="93">
        <v>45302</v>
      </c>
      <c r="D5" s="101">
        <v>45302</v>
      </c>
      <c r="E5" s="100"/>
      <c r="F5" s="95"/>
      <c r="G5" s="96" t="s">
        <v>238</v>
      </c>
      <c r="H5" s="96" t="str">
        <f t="shared" ref="H5:H13" si="5">IF(G5="EFREN ABUNDEZ REYNA","AURE7306187IA",IF(G5="LUIS ALEJANDRO HERNANDEZ REYNA","HERL850705AL2",IF(G5="ANA BEATRIZ ESTRADA ARGOTE","EAAA860701UP2",IF(G5="SERGIO ROMERO DURAN","RODS620908QAA",IF(G5="MARIELA OLMOS GAONA","OOGM010703NX1",IF(G5="LUCIANO MIJAIL ORTEGA MUÑOZ","OEML881105IK2",IF(G5="GUSTAVO HUMBERTO VELAZCO GALVAN","VEGG9211019T1",IF(G5="JESUS AGUSTIN VELAZQUEZ FLORES","VEFJ900303M65",IF(G5="KARLA ESTEFANIA SALAZAR FLORES","SAFK9807277N1",IF(G5="ANGEL TERRAZAS MONROY","TEMA7105035N4"))))))))))</f>
        <v>AURE7306187IA</v>
      </c>
      <c r="I5" s="247" t="str">
        <f t="shared" si="4"/>
        <v>ENERO</v>
      </c>
      <c r="J5" s="97">
        <v>1090</v>
      </c>
      <c r="K5" s="98">
        <v>0</v>
      </c>
      <c r="L5" s="98"/>
      <c r="M5" s="98"/>
      <c r="N5" s="98">
        <f t="shared" si="0"/>
        <v>1090</v>
      </c>
      <c r="O5" s="240" t="str">
        <f t="shared" si="1"/>
        <v>37295</v>
      </c>
      <c r="P5" s="240" t="str">
        <f t="shared" si="2"/>
        <v>PFAEP</v>
      </c>
    </row>
    <row r="6" spans="1:18" x14ac:dyDescent="0.35">
      <c r="A6" s="92">
        <f t="shared" si="3"/>
        <v>1</v>
      </c>
      <c r="B6" s="92" t="str">
        <f>VLOOKUP(A6,[1]Hoja3!$C$3:$D$14,2,FALSE)</f>
        <v>ENERO</v>
      </c>
      <c r="C6" s="93">
        <v>45309</v>
      </c>
      <c r="D6" s="234">
        <v>45309</v>
      </c>
      <c r="E6" s="94"/>
      <c r="F6" s="95"/>
      <c r="G6" s="96" t="s">
        <v>354</v>
      </c>
      <c r="H6" s="96" t="s">
        <v>353</v>
      </c>
      <c r="I6" s="247" t="str">
        <f t="shared" si="4"/>
        <v>ENERO</v>
      </c>
      <c r="J6" s="97">
        <v>510</v>
      </c>
      <c r="K6" s="98">
        <f>+J6*0.16</f>
        <v>81.600000000000009</v>
      </c>
      <c r="L6" s="98"/>
      <c r="M6" s="98"/>
      <c r="N6" s="98">
        <f t="shared" si="0"/>
        <v>591.6</v>
      </c>
      <c r="O6" s="240">
        <v>37004</v>
      </c>
      <c r="P6" s="240" t="s">
        <v>355</v>
      </c>
      <c r="Q6" t="s">
        <v>356</v>
      </c>
    </row>
    <row r="7" spans="1:18" x14ac:dyDescent="0.35">
      <c r="A7" s="92">
        <f t="shared" si="3"/>
        <v>1</v>
      </c>
      <c r="B7" s="92" t="str">
        <f>VLOOKUP(A7,[1]Hoja3!$C$3:$D$14,2,FALSE)</f>
        <v>ENERO</v>
      </c>
      <c r="C7" s="93">
        <v>45309</v>
      </c>
      <c r="D7" s="234">
        <v>45309</v>
      </c>
      <c r="E7" s="94"/>
      <c r="F7" s="95"/>
      <c r="G7" s="96" t="s">
        <v>260</v>
      </c>
      <c r="H7" s="96" t="str">
        <f t="shared" si="5"/>
        <v>OOGM010703NX1</v>
      </c>
      <c r="I7" s="247" t="str">
        <f t="shared" si="4"/>
        <v>ENERO</v>
      </c>
      <c r="J7" s="97">
        <v>7025</v>
      </c>
      <c r="K7" s="98">
        <v>0</v>
      </c>
      <c r="L7" s="98"/>
      <c r="M7" s="98"/>
      <c r="N7" s="98">
        <f t="shared" si="0"/>
        <v>7025</v>
      </c>
      <c r="O7" s="240" t="str">
        <f t="shared" si="1"/>
        <v>37675</v>
      </c>
      <c r="P7" s="240" t="str">
        <f t="shared" si="2"/>
        <v>RESICO</v>
      </c>
    </row>
    <row r="8" spans="1:18" x14ac:dyDescent="0.35">
      <c r="A8" s="92">
        <f t="shared" si="3"/>
        <v>1</v>
      </c>
      <c r="B8" s="92" t="str">
        <f>VLOOKUP(A8,[1]Hoja3!$C$3:$D$14,2,FALSE)</f>
        <v>ENERO</v>
      </c>
      <c r="C8" s="93">
        <v>45309</v>
      </c>
      <c r="D8" s="234">
        <v>45309</v>
      </c>
      <c r="E8" s="94"/>
      <c r="F8" s="95"/>
      <c r="G8" s="96" t="s">
        <v>238</v>
      </c>
      <c r="H8" s="96" t="str">
        <f t="shared" si="5"/>
        <v>AURE7306187IA</v>
      </c>
      <c r="I8" s="247" t="str">
        <f t="shared" si="4"/>
        <v>ENERO</v>
      </c>
      <c r="J8" s="97">
        <v>1977</v>
      </c>
      <c r="K8" s="98">
        <v>0</v>
      </c>
      <c r="L8" s="98"/>
      <c r="M8" s="98"/>
      <c r="N8" s="98">
        <f t="shared" si="0"/>
        <v>1977</v>
      </c>
      <c r="O8" s="240" t="str">
        <f t="shared" si="1"/>
        <v>37295</v>
      </c>
      <c r="P8" s="240" t="str">
        <f t="shared" si="2"/>
        <v>PFAEP</v>
      </c>
    </row>
    <row r="9" spans="1:18" x14ac:dyDescent="0.35">
      <c r="A9" s="92">
        <f t="shared" si="3"/>
        <v>1</v>
      </c>
      <c r="B9" s="92" t="str">
        <f>VLOOKUP(A9,[1]Hoja3!$C$3:$D$14,2,FALSE)</f>
        <v>ENERO</v>
      </c>
      <c r="C9" s="93">
        <v>45309</v>
      </c>
      <c r="D9" s="234">
        <v>45309</v>
      </c>
      <c r="E9" s="94"/>
      <c r="F9" s="95"/>
      <c r="G9" s="96" t="s">
        <v>238</v>
      </c>
      <c r="H9" s="96" t="str">
        <f t="shared" si="5"/>
        <v>AURE7306187IA</v>
      </c>
      <c r="I9" s="247" t="str">
        <f t="shared" si="4"/>
        <v>ENERO</v>
      </c>
      <c r="J9" s="97">
        <v>1977</v>
      </c>
      <c r="K9" s="98">
        <v>0</v>
      </c>
      <c r="L9" s="98"/>
      <c r="M9" s="98"/>
      <c r="N9" s="98">
        <f t="shared" si="0"/>
        <v>1977</v>
      </c>
      <c r="O9" s="240" t="str">
        <f t="shared" si="1"/>
        <v>37295</v>
      </c>
      <c r="P9" s="240" t="str">
        <f t="shared" si="2"/>
        <v>PFAEP</v>
      </c>
    </row>
    <row r="10" spans="1:18" x14ac:dyDescent="0.35">
      <c r="A10" s="92">
        <f t="shared" si="3"/>
        <v>1</v>
      </c>
      <c r="B10" s="92" t="str">
        <f>VLOOKUP(A10,[1]Hoja3!$C$3:$D$14,2,FALSE)</f>
        <v>ENERO</v>
      </c>
      <c r="C10" s="93">
        <v>45316</v>
      </c>
      <c r="D10" s="234">
        <v>45316</v>
      </c>
      <c r="E10" s="94"/>
      <c r="F10" s="95"/>
      <c r="G10" s="96" t="s">
        <v>260</v>
      </c>
      <c r="H10" s="96" t="str">
        <f t="shared" si="5"/>
        <v>OOGM010703NX1</v>
      </c>
      <c r="I10" s="247" t="str">
        <f t="shared" si="4"/>
        <v>ENERO</v>
      </c>
      <c r="J10" s="97">
        <v>6990</v>
      </c>
      <c r="K10" s="98">
        <v>0</v>
      </c>
      <c r="L10" s="98"/>
      <c r="M10" s="98"/>
      <c r="N10" s="98">
        <f t="shared" si="0"/>
        <v>6990</v>
      </c>
      <c r="O10" s="240" t="str">
        <f t="shared" si="1"/>
        <v>37675</v>
      </c>
      <c r="P10" s="240" t="str">
        <f t="shared" si="2"/>
        <v>RESICO</v>
      </c>
    </row>
    <row r="11" spans="1:18" x14ac:dyDescent="0.35">
      <c r="A11" s="92">
        <f t="shared" si="3"/>
        <v>1</v>
      </c>
      <c r="B11" s="92" t="str">
        <f>VLOOKUP(A11,[1]Hoja3!$C$3:$D$14,2,FALSE)</f>
        <v>ENERO</v>
      </c>
      <c r="C11" s="93">
        <v>45316</v>
      </c>
      <c r="D11" s="234">
        <v>45316</v>
      </c>
      <c r="E11" s="94"/>
      <c r="F11" s="95"/>
      <c r="G11" s="96" t="s">
        <v>238</v>
      </c>
      <c r="H11" s="96" t="str">
        <f t="shared" si="5"/>
        <v>AURE7306187IA</v>
      </c>
      <c r="I11" s="247" t="str">
        <f t="shared" si="4"/>
        <v>ENERO</v>
      </c>
      <c r="J11" s="97">
        <v>1615</v>
      </c>
      <c r="K11" s="98">
        <v>0</v>
      </c>
      <c r="L11" s="98"/>
      <c r="M11" s="98"/>
      <c r="N11" s="98">
        <f t="shared" si="0"/>
        <v>1615</v>
      </c>
      <c r="O11" s="240" t="str">
        <f t="shared" si="1"/>
        <v>37295</v>
      </c>
      <c r="P11" s="240" t="str">
        <f t="shared" si="2"/>
        <v>PFAEP</v>
      </c>
    </row>
    <row r="12" spans="1:18" x14ac:dyDescent="0.35">
      <c r="A12" s="92">
        <f t="shared" si="3"/>
        <v>1</v>
      </c>
      <c r="B12" s="92" t="str">
        <f>VLOOKUP(A12,[1]Hoja3!$C$3:$D$14,2,FALSE)</f>
        <v>ENERO</v>
      </c>
      <c r="C12" s="93">
        <v>45321</v>
      </c>
      <c r="D12" s="101">
        <v>45321</v>
      </c>
      <c r="E12" s="94"/>
      <c r="F12" s="95"/>
      <c r="G12" s="96" t="s">
        <v>360</v>
      </c>
      <c r="H12" s="96" t="s">
        <v>359</v>
      </c>
      <c r="I12" s="247" t="str">
        <f t="shared" si="4"/>
        <v>ENERO</v>
      </c>
      <c r="J12" s="97">
        <v>219</v>
      </c>
      <c r="K12" s="98">
        <f>+J12*0.16</f>
        <v>35.04</v>
      </c>
      <c r="L12" s="98"/>
      <c r="M12" s="98"/>
      <c r="N12" s="98">
        <f t="shared" si="0"/>
        <v>254.04</v>
      </c>
      <c r="O12" s="240">
        <v>11289</v>
      </c>
      <c r="P12" s="240" t="s">
        <v>361</v>
      </c>
      <c r="Q12" t="s">
        <v>358</v>
      </c>
      <c r="R12" t="s">
        <v>357</v>
      </c>
    </row>
    <row r="13" spans="1:18" x14ac:dyDescent="0.35">
      <c r="A13" s="92">
        <f t="shared" si="3"/>
        <v>1</v>
      </c>
      <c r="B13" s="92" t="str">
        <f>VLOOKUP(A13,[1]Hoja3!$C$3:$D$14,2,FALSE)</f>
        <v>ENERO</v>
      </c>
      <c r="C13" s="93">
        <v>45321</v>
      </c>
      <c r="D13" s="101">
        <v>45321</v>
      </c>
      <c r="E13" s="94"/>
      <c r="F13" s="95"/>
      <c r="G13" s="96" t="s">
        <v>260</v>
      </c>
      <c r="H13" s="96" t="str">
        <f t="shared" si="5"/>
        <v>OOGM010703NX1</v>
      </c>
      <c r="I13" s="247" t="str">
        <f t="shared" si="4"/>
        <v>ENERO</v>
      </c>
      <c r="J13" s="97">
        <v>8155</v>
      </c>
      <c r="K13" s="98">
        <v>0</v>
      </c>
      <c r="L13" s="98"/>
      <c r="M13" s="98"/>
      <c r="N13" s="98">
        <f t="shared" si="0"/>
        <v>8155</v>
      </c>
      <c r="O13" s="240" t="str">
        <f t="shared" si="1"/>
        <v>37675</v>
      </c>
      <c r="P13" s="240" t="str">
        <f t="shared" si="2"/>
        <v>RESICO</v>
      </c>
    </row>
    <row r="14" spans="1:18" x14ac:dyDescent="0.35">
      <c r="A14" s="92">
        <f t="shared" si="3"/>
        <v>1</v>
      </c>
      <c r="B14" s="92" t="str">
        <f>VLOOKUP(A14,[1]Hoja3!$C$3:$D$14,2,FALSE)</f>
        <v>ENERO</v>
      </c>
      <c r="C14" s="93">
        <v>45321</v>
      </c>
      <c r="D14" s="101">
        <v>45321</v>
      </c>
      <c r="E14" s="94"/>
      <c r="F14" s="95"/>
      <c r="G14" s="96" t="s">
        <v>360</v>
      </c>
      <c r="H14" s="96" t="s">
        <v>359</v>
      </c>
      <c r="I14" s="247" t="str">
        <f t="shared" si="4"/>
        <v>ENERO</v>
      </c>
      <c r="J14" s="97">
        <v>436</v>
      </c>
      <c r="K14" s="98">
        <f>+J14*0.16</f>
        <v>69.760000000000005</v>
      </c>
      <c r="L14" s="98"/>
      <c r="M14" s="98"/>
      <c r="N14" s="98">
        <f t="shared" si="0"/>
        <v>505.76</v>
      </c>
      <c r="O14" s="240">
        <v>11289</v>
      </c>
      <c r="P14" s="240" t="s">
        <v>361</v>
      </c>
      <c r="Q14" t="s">
        <v>362</v>
      </c>
    </row>
    <row r="15" spans="1:18" x14ac:dyDescent="0.35">
      <c r="A15" s="92">
        <f t="shared" si="3"/>
        <v>2</v>
      </c>
      <c r="B15" s="92" t="str">
        <f>VLOOKUP(A15,[1]Hoja3!$C$3:$D$14,2,FALSE)</f>
        <v>FEBRERO</v>
      </c>
      <c r="C15" s="93">
        <v>45323</v>
      </c>
      <c r="D15" s="101">
        <v>45323</v>
      </c>
      <c r="E15" s="94"/>
      <c r="F15" s="95"/>
      <c r="G15" s="96" t="s">
        <v>238</v>
      </c>
      <c r="H15" s="96" t="str">
        <f>IF(G15="EFREN ABUNDEZ REYNA","AURE7306187IA",IF(G15="LUIS ALEJANDRO HERNANDEZ REYNA","HERL850705AL2",IF(G15="ANA BEATRIZ ESTRADA ARGOTE","EAAA860701UP2",IF(G15="SERGIO ROMERO DURAN","RODS620908QAA",IF(G15="MARIELA OLMOS GAONA","OOGM010703NX1",IF(G15="LUCIANO MIJAIL ORTEGA MUÑOZ","OEML881105IK2",IF(G15="GUSTAVO HUMBERTO VELAZCO GALVAN","VEGG9211019T1",IF(G15="JESUS AGUSTIN VELAZQUEZ FLORES","VEFJ900303M65",IF(G15="KARLA ESTEFANIA SALAZAR FLORES","SAFK9807277N1",IF(G15="ANGEL TERRAZAS MONROY","TEMA7105035N4"))))))))))</f>
        <v>AURE7306187IA</v>
      </c>
      <c r="I15" s="247" t="str">
        <f t="shared" si="4"/>
        <v>FEBRERO</v>
      </c>
      <c r="J15" s="97">
        <v>1116</v>
      </c>
      <c r="K15" s="98">
        <v>0</v>
      </c>
      <c r="L15" s="98"/>
      <c r="M15" s="98"/>
      <c r="N15" s="98">
        <f t="shared" si="0"/>
        <v>1116</v>
      </c>
      <c r="O15" s="240" t="str">
        <f t="shared" si="1"/>
        <v>37295</v>
      </c>
      <c r="P15" s="240" t="str">
        <f t="shared" si="2"/>
        <v>PFAEP</v>
      </c>
    </row>
    <row r="16" spans="1:18" x14ac:dyDescent="0.35">
      <c r="A16" s="92">
        <f t="shared" si="3"/>
        <v>2</v>
      </c>
      <c r="B16" s="92" t="str">
        <f>VLOOKUP(A16,[1]Hoja3!$C$3:$D$14,2,FALSE)</f>
        <v>FEBRERO</v>
      </c>
      <c r="C16" s="93">
        <v>45323</v>
      </c>
      <c r="D16" s="101">
        <v>45323</v>
      </c>
      <c r="E16" s="94"/>
      <c r="F16" s="95"/>
      <c r="G16" s="96" t="s">
        <v>238</v>
      </c>
      <c r="H16" s="96" t="str">
        <f t="shared" ref="H16:H79" si="6">IF(G16="EFREN ABUNDEZ REYNA","AURE7306187IA",IF(G16="LUIS ALEJANDRO HERNANDEZ REYNA","HERL850705AL2",IF(G16="ANA BEATRIZ ESTRADA ARGOTE","EAAA860701UP2",IF(G16="SERGIO ROMERO DURAN","RODS620908QAA",IF(G16="MARIELA OLMOS GAONA","OOGM010703NX1",IF(G16="LUCIANO MIJAIL ORTEGA MUÑOZ","OEML881105IK2",IF(G16="GUSTAVO HUMBERTO VELAZCO GALVAN","VEGG9211019T1",IF(G16="JESUS AGUSTIN VELAZQUEZ FLORES","VEFJ900303M65",IF(G16="KARLA ESTEFANIA SALAZAR FLORES","SAFK9807277N1",IF(G16="ANGEL TERRAZAS MONROY","TEMA7105035N4"))))))))))</f>
        <v>AURE7306187IA</v>
      </c>
      <c r="I16" s="247" t="str">
        <f t="shared" si="4"/>
        <v>FEBRERO</v>
      </c>
      <c r="J16" s="97">
        <v>1116</v>
      </c>
      <c r="K16" s="98">
        <v>0</v>
      </c>
      <c r="L16" s="98"/>
      <c r="M16" s="98"/>
      <c r="N16" s="98">
        <f t="shared" si="0"/>
        <v>1116</v>
      </c>
      <c r="O16" s="240" t="str">
        <f t="shared" si="1"/>
        <v>37295</v>
      </c>
      <c r="P16" s="240" t="str">
        <f t="shared" si="2"/>
        <v>PFAEP</v>
      </c>
    </row>
    <row r="17" spans="1:18" x14ac:dyDescent="0.35">
      <c r="A17" s="92">
        <f t="shared" si="3"/>
        <v>2</v>
      </c>
      <c r="B17" s="92" t="str">
        <f>VLOOKUP(A17,[1]Hoja3!$C$3:$D$14,2,FALSE)</f>
        <v>FEBRERO</v>
      </c>
      <c r="C17" s="93">
        <v>45329</v>
      </c>
      <c r="D17" s="101">
        <v>45329</v>
      </c>
      <c r="E17" s="94"/>
      <c r="F17" s="95"/>
      <c r="G17" s="96" t="s">
        <v>372</v>
      </c>
      <c r="H17" s="96" t="s">
        <v>373</v>
      </c>
      <c r="I17" s="247" t="str">
        <f t="shared" si="4"/>
        <v>FEBRERO</v>
      </c>
      <c r="J17" s="97">
        <v>1470</v>
      </c>
      <c r="K17" s="98">
        <f>+J17*0.16</f>
        <v>235.20000000000002</v>
      </c>
      <c r="L17" s="98"/>
      <c r="M17" s="98"/>
      <c r="N17" s="98">
        <f t="shared" si="0"/>
        <v>1705.2</v>
      </c>
      <c r="O17" s="240">
        <v>22237</v>
      </c>
      <c r="P17" s="240" t="s">
        <v>374</v>
      </c>
      <c r="Q17" t="s">
        <v>375</v>
      </c>
    </row>
    <row r="18" spans="1:18" x14ac:dyDescent="0.35">
      <c r="A18" s="92">
        <f t="shared" si="3"/>
        <v>2</v>
      </c>
      <c r="B18" s="92" t="str">
        <f>VLOOKUP(A18,[1]Hoja3!$C$3:$D$14,2,FALSE)</f>
        <v>FEBRERO</v>
      </c>
      <c r="C18" s="93">
        <v>45329</v>
      </c>
      <c r="D18" s="101">
        <v>45329</v>
      </c>
      <c r="E18" s="94"/>
      <c r="F18" s="95"/>
      <c r="G18" s="96" t="s">
        <v>238</v>
      </c>
      <c r="H18" s="96" t="str">
        <f t="shared" si="6"/>
        <v>AURE7306187IA</v>
      </c>
      <c r="I18" s="247" t="str">
        <f t="shared" si="4"/>
        <v>FEBRERO</v>
      </c>
      <c r="J18" s="97">
        <v>1201</v>
      </c>
      <c r="K18" s="98">
        <v>0</v>
      </c>
      <c r="L18" s="98"/>
      <c r="M18" s="98"/>
      <c r="N18" s="98">
        <f t="shared" si="0"/>
        <v>1201</v>
      </c>
      <c r="O18" s="240" t="str">
        <f t="shared" si="1"/>
        <v>37295</v>
      </c>
      <c r="P18" s="240" t="str">
        <f t="shared" si="2"/>
        <v>PFAEP</v>
      </c>
    </row>
    <row r="19" spans="1:18" x14ac:dyDescent="0.35">
      <c r="A19" s="92">
        <f t="shared" si="3"/>
        <v>2</v>
      </c>
      <c r="B19" s="92" t="str">
        <f>VLOOKUP(A19,[1]Hoja3!$C$3:$D$14,2,FALSE)</f>
        <v>FEBRERO</v>
      </c>
      <c r="C19" s="93">
        <v>45329</v>
      </c>
      <c r="D19" s="101">
        <v>45329</v>
      </c>
      <c r="E19" s="94"/>
      <c r="F19" s="95"/>
      <c r="G19" s="96" t="s">
        <v>260</v>
      </c>
      <c r="H19" s="96" t="str">
        <f t="shared" si="6"/>
        <v>OOGM010703NX1</v>
      </c>
      <c r="I19" s="247" t="str">
        <f t="shared" si="4"/>
        <v>FEBRERO</v>
      </c>
      <c r="J19" s="97">
        <v>5980</v>
      </c>
      <c r="K19" s="98">
        <v>0</v>
      </c>
      <c r="L19" s="98"/>
      <c r="M19" s="98"/>
      <c r="N19" s="98">
        <f t="shared" si="0"/>
        <v>5980</v>
      </c>
      <c r="O19" s="240" t="str">
        <f t="shared" si="1"/>
        <v>37675</v>
      </c>
      <c r="P19" s="240" t="str">
        <f t="shared" si="2"/>
        <v>RESICO</v>
      </c>
    </row>
    <row r="20" spans="1:18" x14ac:dyDescent="0.35">
      <c r="A20" s="92">
        <f t="shared" si="3"/>
        <v>2</v>
      </c>
      <c r="B20" s="92" t="str">
        <f>VLOOKUP(A20,[1]Hoja3!$C$3:$D$14,2,FALSE)</f>
        <v>FEBRERO</v>
      </c>
      <c r="C20" s="93">
        <v>45344</v>
      </c>
      <c r="D20" s="101">
        <v>45344</v>
      </c>
      <c r="E20" s="94"/>
      <c r="F20" s="95"/>
      <c r="G20" s="96" t="s">
        <v>260</v>
      </c>
      <c r="H20" s="96" t="str">
        <f t="shared" si="6"/>
        <v>OOGM010703NX1</v>
      </c>
      <c r="I20" s="247" t="str">
        <f t="shared" si="4"/>
        <v>FEBRERO</v>
      </c>
      <c r="J20" s="97">
        <v>8980</v>
      </c>
      <c r="K20" s="98">
        <v>0</v>
      </c>
      <c r="L20" s="98"/>
      <c r="M20" s="98"/>
      <c r="N20" s="98">
        <f t="shared" si="0"/>
        <v>8980</v>
      </c>
      <c r="O20" s="240" t="str">
        <f t="shared" si="1"/>
        <v>37675</v>
      </c>
      <c r="P20" s="240" t="str">
        <f t="shared" si="2"/>
        <v>RESICO</v>
      </c>
      <c r="R20" s="102"/>
    </row>
    <row r="21" spans="1:18" x14ac:dyDescent="0.35">
      <c r="A21" s="92">
        <f t="shared" si="3"/>
        <v>2</v>
      </c>
      <c r="B21" s="92" t="str">
        <f>VLOOKUP(A21,[1]Hoja3!$C$3:$D$14,2,FALSE)</f>
        <v>FEBRERO</v>
      </c>
      <c r="C21" s="93">
        <v>45344</v>
      </c>
      <c r="D21" s="101">
        <v>45344</v>
      </c>
      <c r="E21" s="94"/>
      <c r="F21" s="95"/>
      <c r="G21" s="96" t="s">
        <v>238</v>
      </c>
      <c r="H21" s="96" t="str">
        <f t="shared" si="6"/>
        <v>AURE7306187IA</v>
      </c>
      <c r="I21" s="247" t="str">
        <f t="shared" si="4"/>
        <v>FEBRERO</v>
      </c>
      <c r="J21" s="97">
        <v>1777</v>
      </c>
      <c r="K21" s="98">
        <v>0</v>
      </c>
      <c r="L21" s="98"/>
      <c r="M21" s="98"/>
      <c r="N21" s="98">
        <f t="shared" si="0"/>
        <v>1777</v>
      </c>
      <c r="O21" s="240" t="str">
        <f>IF(G21="EFREN ABUNDEZ REYNA","37295",IF(G21="LUIS ALEJANDRO HERNANDEZ REYNA","HERL850705AL2",IF(G21="ANA BEATRIZ ESTRADA ARGOTE","EAAA860701UP2",IF(G21="SERGIO ROMERO DURAN","RODS620908QAA",IF(G21="MARIELA OLMOS GAONA","37675",IF(G21="LUCIANO MIJAIL ORTEGA MUÑOZ","37297",IF(G21="GUSTAVO HUMBERTO VELAZCO GALVAN","VEGG9211019T1",IF(G21="JESUS AGUSTIN VELAZQUEZ FLORES","VEFJ900303M65",IF(G21="KARLA ESTEFANIA SALAZAR FLORES","SAFK9807277N1",IF(G21="ANGEL TERRAZAS MONROY","TEMA7105035N4"))))))))))</f>
        <v>37295</v>
      </c>
      <c r="P21" s="240" t="str">
        <f>IF(G21="EFREN ABUNDEZ REYNA","PFAEP",IF(G21="LUIS ALEJANDRO HERNANDEZ REYNA","HERL850705AL2",IF(G21="ANA BEATRIZ ESTRADA ARGOTE","EAAA860701UP2",IF(G21="SERGIO ROMERO DURAN","RODS620908QAA",IF(G21="MARIELA OLMOS GAONA","RESICO",IF(G21="LUCIANO MIJAIL ORTEGA MUÑOZ","RIF",IF(G21="GUSTAVO HUMBERTO VELAZCO GALVAN","VEGG9211019T1",IF(G21="JESUS AGUSTIN VELAZQUEZ FLORES","VEFJ900303M65",IF(G21="KARLA ESTEFANIA SALAZAR FLORES","SAFK9807277N1",IF(G21="ANGEL TERRAZAS MONROY","TEMA7105035N4"))))))))))</f>
        <v>PFAEP</v>
      </c>
    </row>
    <row r="22" spans="1:18" x14ac:dyDescent="0.35">
      <c r="A22" s="92">
        <f t="shared" si="3"/>
        <v>2</v>
      </c>
      <c r="B22" s="92" t="str">
        <f>VLOOKUP(A22,[1]Hoja3!$C$3:$D$14,2,FALSE)</f>
        <v>FEBRERO</v>
      </c>
      <c r="C22" s="93">
        <v>45344</v>
      </c>
      <c r="D22" s="101">
        <v>45344</v>
      </c>
      <c r="E22" s="94"/>
      <c r="F22" s="95"/>
      <c r="G22" s="96" t="s">
        <v>260</v>
      </c>
      <c r="H22" s="96" t="str">
        <f t="shared" si="6"/>
        <v>OOGM010703NX1</v>
      </c>
      <c r="I22" s="247" t="str">
        <f t="shared" si="4"/>
        <v>FEBRERO</v>
      </c>
      <c r="J22" s="97">
        <v>8317</v>
      </c>
      <c r="K22" s="98">
        <v>0</v>
      </c>
      <c r="L22" s="98"/>
      <c r="M22" s="98"/>
      <c r="N22" s="98">
        <f t="shared" si="0"/>
        <v>8317</v>
      </c>
      <c r="O22" s="240" t="str">
        <f t="shared" ref="O22:O35" si="7">IF(G22="EFREN ABUNDEZ REYNA","37295",IF(G22="LUIS ALEJANDRO HERNANDEZ REYNA","HERL850705AL2",IF(G22="ANA BEATRIZ ESTRADA ARGOTE","EAAA860701UP2",IF(G22="SERGIO ROMERO DURAN","RODS620908QAA",IF(G22="MARIELA OLMOS GAONA","37675",IF(G22="LUCIANO MIJAIL ORTEGA MUÑOZ","37297",IF(G22="GUSTAVO HUMBERTO VELAZCO GALVAN","VEGG9211019T1",IF(G22="JESUS AGUSTIN VELAZQUEZ FLORES","VEFJ900303M65",IF(G22="KARLA ESTEFANIA SALAZAR FLORES","SAFK9807277N1",IF(G22="ANGEL TERRAZAS MONROY","TEMA7105035N4"))))))))))</f>
        <v>37675</v>
      </c>
      <c r="P22" s="240" t="str">
        <f t="shared" ref="P22:P35" si="8">IF(G22="EFREN ABUNDEZ REYNA","PFAEP",IF(G22="LUIS ALEJANDRO HERNANDEZ REYNA","HERL850705AL2",IF(G22="ANA BEATRIZ ESTRADA ARGOTE","EAAA860701UP2",IF(G22="SERGIO ROMERO DURAN","RODS620908QAA",IF(G22="MARIELA OLMOS GAONA","RESICO",IF(G22="LUCIANO MIJAIL ORTEGA MUÑOZ","RIF",IF(G22="GUSTAVO HUMBERTO VELAZCO GALVAN","VEGG9211019T1",IF(G22="JESUS AGUSTIN VELAZQUEZ FLORES","VEFJ900303M65",IF(G22="KARLA ESTEFANIA SALAZAR FLORES","SAFK9807277N1",IF(G22="ANGEL TERRAZAS MONROY","TEMA7105035N4"))))))))))</f>
        <v>RESICO</v>
      </c>
    </row>
    <row r="23" spans="1:18" x14ac:dyDescent="0.35">
      <c r="A23" s="92">
        <f t="shared" si="3"/>
        <v>2</v>
      </c>
      <c r="B23" s="92" t="str">
        <f>VLOOKUP(A23,[1]Hoja3!$C$3:$D$14,2,FALSE)</f>
        <v>FEBRERO</v>
      </c>
      <c r="C23" s="93">
        <v>45344</v>
      </c>
      <c r="D23" s="101">
        <v>45344</v>
      </c>
      <c r="E23" s="94"/>
      <c r="F23" s="95"/>
      <c r="G23" s="96" t="s">
        <v>354</v>
      </c>
      <c r="H23" s="96" t="s">
        <v>353</v>
      </c>
      <c r="I23" s="247" t="str">
        <f>+B23</f>
        <v>FEBRERO</v>
      </c>
      <c r="J23" s="97">
        <v>431.0344827586207</v>
      </c>
      <c r="K23" s="98">
        <f>+J23*0.16</f>
        <v>68.965517241379317</v>
      </c>
      <c r="L23" s="98"/>
      <c r="M23" s="98"/>
      <c r="N23" s="98">
        <f t="shared" si="0"/>
        <v>500</v>
      </c>
      <c r="O23" s="240">
        <v>37004</v>
      </c>
      <c r="P23" s="240" t="s">
        <v>355</v>
      </c>
      <c r="Q23" t="s">
        <v>356</v>
      </c>
    </row>
    <row r="24" spans="1:18" x14ac:dyDescent="0.35">
      <c r="A24" s="92">
        <f t="shared" si="3"/>
        <v>2</v>
      </c>
      <c r="B24" s="92" t="str">
        <f>VLOOKUP(A24,[1]Hoja3!$C$3:$D$14,2,FALSE)</f>
        <v>FEBRERO</v>
      </c>
      <c r="C24" s="93">
        <v>45349</v>
      </c>
      <c r="D24" s="101">
        <v>45349</v>
      </c>
      <c r="E24" s="94"/>
      <c r="F24" s="95"/>
      <c r="G24" s="96" t="s">
        <v>260</v>
      </c>
      <c r="H24" s="96" t="str">
        <f>IF(G24="EFREN ABUNDEZ REYNA","AURE7306187IA",IF(G24="LUIS ALEJANDRO HERNANDEZ REYNA","HERL850705AL2",IF(G24="ANA BEATRIZ ESTRADA ARGOTE","EAAA860701UP2",IF(G24="SERGIO ROMERO DURAN","RODS620908QAA",IF(G24="MARIELA OLMOS GAONA","OOGM010703NX1",IF(G24="LUCIANO MIJAIL ORTEGA MUÑOZ","OEML881105IK2",IF(G24="GUSTAVO HUMBERTO VELAZCO GALVAN","VEGG9211019T1",IF(G24="JESUS AGUSTIN VELAZQUEZ FLORES","VEFJ900303M65",IF(G24="KARLA ESTEFANIA SALAZAR FLORES","SAFK9807277N1",IF(G24="ANGEL TERRAZAS MONROY","TEMA7105035N4"))))))))))</f>
        <v>OOGM010703NX1</v>
      </c>
      <c r="I24" s="247" t="str">
        <f>+B24</f>
        <v>FEBRERO</v>
      </c>
      <c r="J24" s="97">
        <v>4950</v>
      </c>
      <c r="K24" s="98">
        <v>0</v>
      </c>
      <c r="L24" s="98"/>
      <c r="M24" s="98"/>
      <c r="N24" s="98">
        <f t="shared" si="0"/>
        <v>4950</v>
      </c>
      <c r="O24" s="240" t="str">
        <f>IF(G24="EFREN ABUNDEZ REYNA","37295",IF(G24="LUIS ALEJANDRO HERNANDEZ REYNA","HERL850705AL2",IF(G24="ANA BEATRIZ ESTRADA ARGOTE","EAAA860701UP2",IF(G24="SERGIO ROMERO DURAN","RODS620908QAA",IF(G24="MARIELA OLMOS GAONA","37675",IF(G24="LUCIANO MIJAIL ORTEGA MUÑOZ","37297",IF(G24="GUSTAVO HUMBERTO VELAZCO GALVAN","VEGG9211019T1",IF(G24="JESUS AGUSTIN VELAZQUEZ FLORES","VEFJ900303M65",IF(G24="KARLA ESTEFANIA SALAZAR FLORES","SAFK9807277N1",IF(G24="ANGEL TERRAZAS MONROY","TEMA7105035N4"))))))))))</f>
        <v>37675</v>
      </c>
      <c r="P24" s="240" t="str">
        <f>IF(G24="EFREN ABUNDEZ REYNA","PFAEP",IF(G24="LUIS ALEJANDRO HERNANDEZ REYNA","HERL850705AL2",IF(G24="ANA BEATRIZ ESTRADA ARGOTE","EAAA860701UP2",IF(G24="SERGIO ROMERO DURAN","RODS620908QAA",IF(G24="MARIELA OLMOS GAONA","RESICO",IF(G24="LUCIANO MIJAIL ORTEGA MUÑOZ","RIF",IF(G24="GUSTAVO HUMBERTO VELAZCO GALVAN","VEGG9211019T1",IF(G24="JESUS AGUSTIN VELAZQUEZ FLORES","VEFJ900303M65",IF(G24="KARLA ESTEFANIA SALAZAR FLORES","SAFK9807277N1",IF(G24="ANGEL TERRAZAS MONROY","TEMA7105035N4"))))))))))</f>
        <v>RESICO</v>
      </c>
    </row>
    <row r="25" spans="1:18" x14ac:dyDescent="0.35">
      <c r="A25" s="92">
        <f t="shared" si="3"/>
        <v>1</v>
      </c>
      <c r="B25" s="92" t="str">
        <f>VLOOKUP(A25,[1]Hoja3!$C$3:$D$14,2,FALSE)</f>
        <v>ENERO</v>
      </c>
      <c r="C25" s="93">
        <v>45322</v>
      </c>
      <c r="D25" s="101">
        <v>45322</v>
      </c>
      <c r="E25" s="94"/>
      <c r="F25" s="95"/>
      <c r="G25" s="96" t="s">
        <v>452</v>
      </c>
      <c r="H25" s="96" t="b">
        <f t="shared" si="6"/>
        <v>0</v>
      </c>
      <c r="I25" s="247" t="str">
        <f t="shared" si="4"/>
        <v>ENERO</v>
      </c>
      <c r="J25" s="97">
        <v>260145</v>
      </c>
      <c r="K25" s="98">
        <v>0</v>
      </c>
      <c r="L25" s="98"/>
      <c r="M25" s="98"/>
      <c r="N25" s="98">
        <f t="shared" si="0"/>
        <v>260145</v>
      </c>
      <c r="O25" s="240" t="b">
        <f t="shared" si="7"/>
        <v>0</v>
      </c>
      <c r="P25" s="240" t="b">
        <f t="shared" si="8"/>
        <v>0</v>
      </c>
    </row>
    <row r="26" spans="1:18" x14ac:dyDescent="0.35">
      <c r="A26" s="92">
        <f t="shared" si="3"/>
        <v>3</v>
      </c>
      <c r="B26" s="92" t="str">
        <f>VLOOKUP(A26,[1]Hoja3!$C$3:$D$14,2,FALSE)</f>
        <v>MARZO</v>
      </c>
      <c r="C26" s="93">
        <v>45358</v>
      </c>
      <c r="D26" s="101">
        <v>45358</v>
      </c>
      <c r="E26" s="94"/>
      <c r="F26" s="95"/>
      <c r="G26" s="96" t="s">
        <v>260</v>
      </c>
      <c r="H26" s="96" t="str">
        <f t="shared" si="6"/>
        <v>OOGM010703NX1</v>
      </c>
      <c r="I26" s="247" t="str">
        <f t="shared" si="4"/>
        <v>MARZO</v>
      </c>
      <c r="J26" s="97">
        <v>7125</v>
      </c>
      <c r="K26" s="98">
        <v>0</v>
      </c>
      <c r="L26" s="98"/>
      <c r="M26" s="98"/>
      <c r="N26" s="98">
        <f t="shared" si="0"/>
        <v>7125</v>
      </c>
      <c r="O26" s="240" t="str">
        <f t="shared" si="7"/>
        <v>37675</v>
      </c>
      <c r="P26" s="240" t="str">
        <f t="shared" si="8"/>
        <v>RESICO</v>
      </c>
    </row>
    <row r="27" spans="1:18" x14ac:dyDescent="0.35">
      <c r="A27" s="92">
        <f t="shared" si="3"/>
        <v>3</v>
      </c>
      <c r="B27" s="92" t="str">
        <f>VLOOKUP(A27,[1]Hoja3!$C$3:$D$14,2,FALSE)</f>
        <v>MARZO</v>
      </c>
      <c r="C27" s="93">
        <v>45358</v>
      </c>
      <c r="D27" s="101">
        <v>45358</v>
      </c>
      <c r="E27" s="94"/>
      <c r="F27" s="95"/>
      <c r="G27" s="96" t="s">
        <v>453</v>
      </c>
      <c r="H27" s="96" t="s">
        <v>454</v>
      </c>
      <c r="I27" s="247" t="str">
        <f t="shared" si="4"/>
        <v>MARZO</v>
      </c>
      <c r="J27" s="97">
        <v>180.17</v>
      </c>
      <c r="K27" s="98">
        <f>+J27*0.16</f>
        <v>28.827199999999998</v>
      </c>
      <c r="L27" s="98"/>
      <c r="M27" s="98"/>
      <c r="N27" s="98">
        <f t="shared" si="0"/>
        <v>208.99719999999999</v>
      </c>
      <c r="O27" s="240">
        <v>44610</v>
      </c>
      <c r="P27" s="240" t="s">
        <v>361</v>
      </c>
    </row>
    <row r="28" spans="1:18" x14ac:dyDescent="0.35">
      <c r="A28" s="92">
        <f t="shared" si="3"/>
        <v>3</v>
      </c>
      <c r="B28" s="92" t="str">
        <f>VLOOKUP(A28,[1]Hoja3!$C$3:$D$14,2,FALSE)</f>
        <v>MARZO</v>
      </c>
      <c r="C28" s="93">
        <v>45358</v>
      </c>
      <c r="D28" s="101">
        <v>45358</v>
      </c>
      <c r="E28" s="94"/>
      <c r="F28" s="95"/>
      <c r="G28" s="96" t="s">
        <v>453</v>
      </c>
      <c r="H28" s="96" t="s">
        <v>454</v>
      </c>
      <c r="I28" s="247" t="str">
        <f t="shared" si="4"/>
        <v>MARZO</v>
      </c>
      <c r="J28" s="97">
        <v>839.65517241379314</v>
      </c>
      <c r="K28" s="98">
        <f>+J28*0.16</f>
        <v>134.34482758620692</v>
      </c>
      <c r="L28" s="98"/>
      <c r="M28" s="98"/>
      <c r="N28" s="98">
        <f t="shared" si="0"/>
        <v>974</v>
      </c>
      <c r="O28" s="240">
        <v>44610</v>
      </c>
      <c r="P28" s="240" t="s">
        <v>361</v>
      </c>
    </row>
    <row r="29" spans="1:18" x14ac:dyDescent="0.35">
      <c r="A29" s="92">
        <f t="shared" si="3"/>
        <v>3</v>
      </c>
      <c r="B29" s="92" t="str">
        <f>VLOOKUP(A29,[1]Hoja3!$C$3:$D$14,2,FALSE)</f>
        <v>MARZO</v>
      </c>
      <c r="C29" s="93">
        <v>45363</v>
      </c>
      <c r="D29" s="101">
        <v>45363</v>
      </c>
      <c r="E29" s="94"/>
      <c r="F29" s="95"/>
      <c r="G29" s="96" t="s">
        <v>260</v>
      </c>
      <c r="H29" s="96" t="str">
        <f t="shared" si="6"/>
        <v>OOGM010703NX1</v>
      </c>
      <c r="I29" s="247" t="str">
        <f t="shared" si="4"/>
        <v>MARZO</v>
      </c>
      <c r="J29" s="97">
        <v>71906.460000000006</v>
      </c>
      <c r="K29" s="98">
        <v>0</v>
      </c>
      <c r="L29" s="98"/>
      <c r="M29" s="98"/>
      <c r="N29" s="98">
        <f t="shared" si="0"/>
        <v>71906.460000000006</v>
      </c>
      <c r="O29" s="240" t="str">
        <f t="shared" si="7"/>
        <v>37675</v>
      </c>
      <c r="P29" s="240" t="str">
        <f t="shared" si="8"/>
        <v>RESICO</v>
      </c>
    </row>
    <row r="30" spans="1:18" x14ac:dyDescent="0.35">
      <c r="A30" s="92">
        <f t="shared" si="3"/>
        <v>2</v>
      </c>
      <c r="B30" s="92" t="str">
        <f>VLOOKUP(A30,[1]Hoja3!$C$3:$D$14,2,FALSE)</f>
        <v>FEBRERO</v>
      </c>
      <c r="C30" s="93">
        <v>45342</v>
      </c>
      <c r="D30" s="101">
        <v>45351</v>
      </c>
      <c r="E30" s="94"/>
      <c r="F30" s="95"/>
      <c r="G30" s="96" t="s">
        <v>452</v>
      </c>
      <c r="H30" s="96" t="b">
        <f t="shared" si="6"/>
        <v>0</v>
      </c>
      <c r="I30" s="247" t="str">
        <f t="shared" si="4"/>
        <v>FEBRERO</v>
      </c>
      <c r="J30" s="97">
        <v>195234</v>
      </c>
      <c r="K30" s="98">
        <v>0</v>
      </c>
      <c r="L30" s="98"/>
      <c r="M30" s="98"/>
      <c r="N30" s="98">
        <f t="shared" si="0"/>
        <v>195234</v>
      </c>
      <c r="O30" s="240" t="b">
        <f t="shared" si="7"/>
        <v>0</v>
      </c>
      <c r="P30" s="240" t="b">
        <f t="shared" si="8"/>
        <v>0</v>
      </c>
    </row>
    <row r="31" spans="1:18" x14ac:dyDescent="0.35">
      <c r="A31" s="92">
        <f t="shared" si="3"/>
        <v>4</v>
      </c>
      <c r="B31" s="92" t="str">
        <f>VLOOKUP(A31,[1]Hoja3!$C$3:$D$14,2,FALSE)</f>
        <v>ABRIL</v>
      </c>
      <c r="C31" s="93">
        <v>45405</v>
      </c>
      <c r="D31" s="101">
        <v>45405</v>
      </c>
      <c r="E31" s="94"/>
      <c r="F31" s="95"/>
      <c r="G31" s="96" t="s">
        <v>503</v>
      </c>
      <c r="H31" s="96" t="s">
        <v>502</v>
      </c>
      <c r="I31" s="247" t="str">
        <f t="shared" si="4"/>
        <v>ABRIL</v>
      </c>
      <c r="J31" s="97">
        <v>210</v>
      </c>
      <c r="K31" s="98">
        <f>+J31*0.16</f>
        <v>33.6</v>
      </c>
      <c r="L31" s="98"/>
      <c r="M31" s="98"/>
      <c r="N31" s="98">
        <f t="shared" si="0"/>
        <v>243.6</v>
      </c>
      <c r="O31" s="240">
        <v>76226</v>
      </c>
      <c r="P31" s="240" t="s">
        <v>361</v>
      </c>
      <c r="Q31" t="s">
        <v>501</v>
      </c>
    </row>
    <row r="32" spans="1:18" x14ac:dyDescent="0.35">
      <c r="A32" s="92">
        <f t="shared" si="3"/>
        <v>4</v>
      </c>
      <c r="B32" s="92" t="str">
        <f>VLOOKUP(A32,[1]Hoja3!$C$3:$D$14,2,FALSE)</f>
        <v>ABRIL</v>
      </c>
      <c r="C32" s="93">
        <v>45405</v>
      </c>
      <c r="D32" s="101">
        <v>45405</v>
      </c>
      <c r="E32" s="94"/>
      <c r="F32" s="95"/>
      <c r="G32" s="96" t="s">
        <v>503</v>
      </c>
      <c r="H32" s="96" t="s">
        <v>502</v>
      </c>
      <c r="I32" s="247" t="str">
        <f t="shared" si="4"/>
        <v>ABRIL</v>
      </c>
      <c r="J32" s="97">
        <v>190</v>
      </c>
      <c r="K32" s="98">
        <f>+J32*0.16</f>
        <v>30.400000000000002</v>
      </c>
      <c r="L32" s="98"/>
      <c r="M32" s="98"/>
      <c r="N32" s="98">
        <f t="shared" si="0"/>
        <v>220.4</v>
      </c>
      <c r="O32" s="240">
        <v>76226</v>
      </c>
      <c r="P32" s="240" t="s">
        <v>361</v>
      </c>
      <c r="Q32" t="s">
        <v>501</v>
      </c>
    </row>
    <row r="33" spans="1:18" x14ac:dyDescent="0.35">
      <c r="A33" s="92">
        <f t="shared" si="3"/>
        <v>4</v>
      </c>
      <c r="B33" s="92" t="str">
        <f>VLOOKUP(A33,[1]Hoja3!$C$3:$D$14,2,FALSE)</f>
        <v>ABRIL</v>
      </c>
      <c r="C33" s="93">
        <v>45412</v>
      </c>
      <c r="D33" s="101">
        <v>45412</v>
      </c>
      <c r="E33" s="94"/>
      <c r="F33" s="95"/>
      <c r="G33" s="96" t="s">
        <v>509</v>
      </c>
      <c r="H33" s="96" t="s">
        <v>510</v>
      </c>
      <c r="I33" s="247" t="str">
        <f t="shared" si="4"/>
        <v>ABRIL</v>
      </c>
      <c r="J33" s="97">
        <v>457.75862068965523</v>
      </c>
      <c r="K33" s="98">
        <f>+J33*0.16</f>
        <v>73.24137931034484</v>
      </c>
      <c r="L33" s="98"/>
      <c r="M33" s="98"/>
      <c r="N33" s="98">
        <f t="shared" si="0"/>
        <v>531.00000000000011</v>
      </c>
      <c r="O33" s="240">
        <v>72210</v>
      </c>
      <c r="P33" s="240" t="s">
        <v>361</v>
      </c>
      <c r="Q33" t="s">
        <v>511</v>
      </c>
    </row>
    <row r="34" spans="1:18" x14ac:dyDescent="0.35">
      <c r="A34" s="92">
        <f t="shared" si="3"/>
        <v>3</v>
      </c>
      <c r="B34" s="92" t="str">
        <f>VLOOKUP(A34,[1]Hoja3!$C$3:$D$14,2,FALSE)</f>
        <v>MARZO</v>
      </c>
      <c r="C34" s="93">
        <v>45380</v>
      </c>
      <c r="D34" s="101">
        <v>45380</v>
      </c>
      <c r="E34" s="94"/>
      <c r="F34" s="95"/>
      <c r="G34" s="96" t="s">
        <v>452</v>
      </c>
      <c r="H34" s="96" t="b">
        <f t="shared" si="6"/>
        <v>0</v>
      </c>
      <c r="I34" s="247" t="str">
        <f t="shared" si="4"/>
        <v>MARZO</v>
      </c>
      <c r="J34" s="97">
        <v>160757.6</v>
      </c>
      <c r="K34" s="98">
        <v>0</v>
      </c>
      <c r="L34" s="98"/>
      <c r="M34" s="98"/>
      <c r="N34" s="98">
        <f t="shared" si="0"/>
        <v>160757.6</v>
      </c>
      <c r="O34" s="240" t="b">
        <f t="shared" si="7"/>
        <v>0</v>
      </c>
      <c r="P34" s="240" t="b">
        <f t="shared" si="8"/>
        <v>0</v>
      </c>
    </row>
    <row r="35" spans="1:18" x14ac:dyDescent="0.35">
      <c r="A35" s="92">
        <f t="shared" si="3"/>
        <v>5</v>
      </c>
      <c r="B35" s="92" t="str">
        <f>VLOOKUP(A35,[1]Hoja3!$C$3:$D$14,2,FALSE)</f>
        <v>MAYO</v>
      </c>
      <c r="C35" s="93">
        <v>45414</v>
      </c>
      <c r="D35" s="101">
        <v>45414</v>
      </c>
      <c r="E35" s="94"/>
      <c r="F35" s="95"/>
      <c r="G35" s="96" t="s">
        <v>260</v>
      </c>
      <c r="H35" s="96" t="str">
        <f t="shared" si="6"/>
        <v>OOGM010703NX1</v>
      </c>
      <c r="I35" s="247" t="str">
        <f t="shared" si="4"/>
        <v>MAYO</v>
      </c>
      <c r="J35" s="97">
        <v>7238</v>
      </c>
      <c r="K35" s="98">
        <v>0</v>
      </c>
      <c r="L35" s="98"/>
      <c r="M35" s="98"/>
      <c r="N35" s="98">
        <f t="shared" si="0"/>
        <v>7238</v>
      </c>
      <c r="O35" s="240" t="str">
        <f t="shared" si="7"/>
        <v>37675</v>
      </c>
      <c r="P35" s="240" t="str">
        <f t="shared" si="8"/>
        <v>RESICO</v>
      </c>
    </row>
    <row r="36" spans="1:18" x14ac:dyDescent="0.35">
      <c r="A36" s="92">
        <f t="shared" si="3"/>
        <v>5</v>
      </c>
      <c r="B36" s="92" t="str">
        <f>VLOOKUP(A36,[1]Hoja3!$C$3:$D$14,2,FALSE)</f>
        <v>MAYO</v>
      </c>
      <c r="C36" s="93">
        <v>45420</v>
      </c>
      <c r="D36" s="101">
        <v>45420</v>
      </c>
      <c r="E36" s="94"/>
      <c r="F36" s="95"/>
      <c r="G36" s="96" t="s">
        <v>260</v>
      </c>
      <c r="H36" s="96" t="str">
        <f t="shared" si="6"/>
        <v>OOGM010703NX1</v>
      </c>
      <c r="I36" s="247" t="str">
        <f t="shared" si="4"/>
        <v>MAYO</v>
      </c>
      <c r="J36" s="97">
        <v>12950</v>
      </c>
      <c r="K36" s="98">
        <v>0</v>
      </c>
      <c r="L36" s="98"/>
      <c r="M36" s="98"/>
      <c r="N36" s="98">
        <f t="shared" si="0"/>
        <v>12950</v>
      </c>
      <c r="O36" s="240" t="str">
        <f>IF(G36="EFREN ABUNDEZ REYNA","37295",IF(G36="LUIS ALEJANDRO HERNANDEZ REYNA","HERL850705AL2",IF(G36="ANA BEATRIZ ESTRADA ARGOTE","EAAA860701UP2",IF(G36="SERGIO ROMERO DURAN","RODS620908QAA",IF(G36="MARIELA OLMOS GAONA","37675",IF(G36="LUCIANO MIJAIL ORTEGA MUÑOZ","37297",IF(G36="GUSTAVO HUMBERTO VELAZCO GALVAN","VEGG9211019T1",IF(G36="JESUS AGUSTIN VELAZQUEZ FLORES","VEFJ900303M65",IF(G36="KARLA ESTEFANIA SALAZAR FLORES","SAFK9807277N1",IF(G36="ANGEL TERRAZAS MONROY","TEMA7105035N4"))))))))))</f>
        <v>37675</v>
      </c>
      <c r="P36" s="240" t="str">
        <f>IF(G36="EFREN ABUNDEZ REYNA","PFAEP",IF(G36="LUIS ALEJANDRO HERNANDEZ REYNA","HERL850705AL2",IF(G36="ANA BEATRIZ ESTRADA ARGOTE","EAAA860701UP2",IF(G36="SERGIO ROMERO DURAN","RODS620908QAA",IF(G36="MARIELA OLMOS GAONA","RESICO",IF(G36="LUCIANO MIJAIL ORTEGA MUÑOZ","RIF",IF(G36="GUSTAVO HUMBERTO VELAZCO GALVAN","VEGG9211019T1",IF(G36="JESUS AGUSTIN VELAZQUEZ FLORES","VEFJ900303M65",IF(G36="KARLA ESTEFANIA SALAZAR FLORES","SAFK9807277N1",IF(G36="ANGEL TERRAZAS MONROY","TEMA7105035N4"))))))))))</f>
        <v>RESICO</v>
      </c>
    </row>
    <row r="37" spans="1:18" x14ac:dyDescent="0.35">
      <c r="A37" s="92">
        <f t="shared" si="3"/>
        <v>5</v>
      </c>
      <c r="B37" s="92" t="str">
        <f>VLOOKUP(A37,[1]Hoja3!$C$3:$D$14,2,FALSE)</f>
        <v>MAYO</v>
      </c>
      <c r="C37" s="93">
        <v>45427</v>
      </c>
      <c r="D37" s="101">
        <v>45427</v>
      </c>
      <c r="E37" s="94"/>
      <c r="F37" s="95"/>
      <c r="G37" s="96" t="s">
        <v>260</v>
      </c>
      <c r="H37" s="96" t="str">
        <f t="shared" si="6"/>
        <v>OOGM010703NX1</v>
      </c>
      <c r="I37" s="247" t="str">
        <f t="shared" si="4"/>
        <v>MAYO</v>
      </c>
      <c r="J37" s="97">
        <v>24207</v>
      </c>
      <c r="K37" s="98">
        <v>0</v>
      </c>
      <c r="L37" s="98"/>
      <c r="M37" s="98"/>
      <c r="N37" s="98">
        <f t="shared" si="0"/>
        <v>24207</v>
      </c>
      <c r="O37" s="240" t="str">
        <f>IF(G37="EFREN ABUNDEZ REYNA","37295",IF(G37="LUIS ALEJANDRO HERNANDEZ REYNA","HERL850705AL2",IF(G37="ANA BEATRIZ ESTRADA ARGOTE","EAAA860701UP2",IF(G37="SERGIO ROMERO DURAN","RODS620908QAA",IF(G37="MARIELA OLMOS GAONA","37675",IF(G37="LUCIANO MIJAIL ORTEGA MUÑOZ","37297",IF(G37="GUSTAVO HUMBERTO VELAZCO GALVAN","VEGG9211019T1",IF(G37="JESUS AGUSTIN VELAZQUEZ FLORES","VEFJ900303M65",IF(G37="KARLA ESTEFANIA SALAZAR FLORES","SAFK9807277N1",IF(G37="ANGEL TERRAZAS MONROY","TEMA7105035N4"))))))))))</f>
        <v>37675</v>
      </c>
      <c r="P37" s="240" t="str">
        <f>IF(G37="EFREN ABUNDEZ REYNA","PFAEP",IF(G37="LUIS ALEJANDRO HERNANDEZ REYNA","HERL850705AL2",IF(G37="ANA BEATRIZ ESTRADA ARGOTE","EAAA860701UP2",IF(G37="SERGIO ROMERO DURAN","RODS620908QAA",IF(G37="MARIELA OLMOS GAONA","RESICO",IF(G37="LUCIANO MIJAIL ORTEGA MUÑOZ","RIF",IF(G37="GUSTAVO HUMBERTO VELAZCO GALVAN","VEGG9211019T1",IF(G37="JESUS AGUSTIN VELAZQUEZ FLORES","VEFJ900303M65",IF(G37="KARLA ESTEFANIA SALAZAR FLORES","SAFK9807277N1",IF(G37="ANGEL TERRAZAS MONROY","TEMA7105035N4"))))))))))</f>
        <v>RESICO</v>
      </c>
    </row>
    <row r="38" spans="1:18" x14ac:dyDescent="0.35">
      <c r="A38" s="92">
        <f t="shared" si="3"/>
        <v>5</v>
      </c>
      <c r="B38" s="92" t="str">
        <f>VLOOKUP(A38,[1]Hoja3!$C$3:$D$14,2,FALSE)</f>
        <v>MAYO</v>
      </c>
      <c r="C38" s="93">
        <v>45427</v>
      </c>
      <c r="D38" s="101">
        <v>45427</v>
      </c>
      <c r="E38" s="94"/>
      <c r="F38" s="95"/>
      <c r="G38" s="96" t="s">
        <v>594</v>
      </c>
      <c r="H38" s="96" t="s">
        <v>595</v>
      </c>
      <c r="I38" s="247" t="str">
        <f t="shared" si="4"/>
        <v>MAYO</v>
      </c>
      <c r="J38" s="97">
        <v>1295.6896551724139</v>
      </c>
      <c r="K38" s="98">
        <f>+J38*0.16</f>
        <v>207.31034482758625</v>
      </c>
      <c r="L38" s="98"/>
      <c r="M38" s="98"/>
      <c r="N38" s="98">
        <f t="shared" si="0"/>
        <v>1503.0000000000002</v>
      </c>
      <c r="O38" s="240">
        <v>47882</v>
      </c>
      <c r="P38" s="240" t="s">
        <v>361</v>
      </c>
    </row>
    <row r="39" spans="1:18" x14ac:dyDescent="0.35">
      <c r="A39" s="92">
        <f t="shared" si="3"/>
        <v>5</v>
      </c>
      <c r="B39" s="92" t="str">
        <f>VLOOKUP(A39,[1]Hoja3!$C$3:$D$14,2,FALSE)</f>
        <v>MAYO</v>
      </c>
      <c r="C39" s="93">
        <v>45434</v>
      </c>
      <c r="D39" s="101">
        <v>45434</v>
      </c>
      <c r="E39" s="94"/>
      <c r="F39" s="95"/>
      <c r="G39" s="96" t="s">
        <v>260</v>
      </c>
      <c r="H39" s="96" t="str">
        <f t="shared" si="6"/>
        <v>OOGM010703NX1</v>
      </c>
      <c r="I39" s="247" t="str">
        <f t="shared" si="4"/>
        <v>MAYO</v>
      </c>
      <c r="J39" s="97">
        <v>11918</v>
      </c>
      <c r="K39" s="98">
        <v>0</v>
      </c>
      <c r="L39" s="98"/>
      <c r="M39" s="98"/>
      <c r="N39" s="98">
        <f t="shared" si="0"/>
        <v>11918</v>
      </c>
      <c r="O39" s="240" t="str">
        <f>IF(G39="EFREN ABUNDEZ REYNA","37295",IF(G39="LUIS ALEJANDRO HERNANDEZ REYNA","HERL850705AL2",IF(G39="ANA BEATRIZ ESTRADA ARGOTE","37530",IF(G39="SERGIO ROMERO DURAN","RODS620908QAA",IF(G39="MARIELA OLMOS GAONA","37675",IF(G39="LUCIANO MIJAIL ORTEGA MUÑOZ","37297",IF(G39="GUSTAVO HUMBERTO VELAZCO GALVAN","VEGG9211019T1",IF(G39="JESUS AGUSTIN VELAZQUEZ FLORES","VEFJ900303M65",IF(G39="KARLA ESTEFANIA SALAZAR FLORES","SAFK9807277N1",IF(G39="ANGEL TERRAZAS MONROY","TEMA7105035N4"))))))))))</f>
        <v>37675</v>
      </c>
      <c r="P39" s="240" t="str">
        <f>IF(G39="EFREN ABUNDEZ REYNA","PFAEP",IF(G39="LUIS ALEJANDRO HERNANDEZ REYNA","HERL850705AL2",IF(G39="ANA BEATRIZ ESTRADA ARGOTE","RIF",IF(G39="SERGIO ROMERO DURAN","RODS620908QAA",IF(G39="MARIELA OLMOS GAONA","RESICO",IF(G39="LUCIANO MIJAIL ORTEGA MUÑOZ","RIF",IF(G39="GUSTAVO HUMBERTO VELAZCO GALVAN","VEGG9211019T1",IF(G39="JESUS AGUSTIN VELAZQUEZ FLORES","VEFJ900303M65",IF(G39="KARLA ESTEFANIA SALAZAR FLORES","SAFK9807277N1",IF(G39="ANGEL TERRAZAS MONROY","TEMA7105035N4"))))))))))</f>
        <v>RESICO</v>
      </c>
      <c r="R39" s="102"/>
    </row>
    <row r="40" spans="1:18" x14ac:dyDescent="0.35">
      <c r="A40" s="92">
        <f>IF(D40&gt;0,MONTH(D40),0)</f>
        <v>6</v>
      </c>
      <c r="B40" s="92" t="str">
        <f>VLOOKUP(A40,[1]Hoja3!$C$3:$D$14,2,FALSE)</f>
        <v>JUNIO</v>
      </c>
      <c r="C40" s="93">
        <v>45457</v>
      </c>
      <c r="D40" s="101">
        <v>45457</v>
      </c>
      <c r="E40" s="94"/>
      <c r="F40" s="95"/>
      <c r="G40" s="96" t="s">
        <v>260</v>
      </c>
      <c r="H40" s="96" t="str">
        <f t="shared" si="6"/>
        <v>OOGM010703NX1</v>
      </c>
      <c r="I40" s="247" t="str">
        <f t="shared" si="4"/>
        <v>JUNIO</v>
      </c>
      <c r="J40" s="97">
        <v>6665</v>
      </c>
      <c r="K40" s="98">
        <v>0</v>
      </c>
      <c r="L40" s="98"/>
      <c r="M40" s="98"/>
      <c r="N40" s="98">
        <f t="shared" si="0"/>
        <v>6665</v>
      </c>
      <c r="O40" s="240" t="str">
        <f t="shared" ref="O40:O60" si="9">IF(G40="EFREN ABUNDEZ REYNA","37295",IF(G40="LUIS ALEJANDRO HERNANDEZ REYNA","HERL850705AL2",IF(G40="ANA BEATRIZ ESTRADA ARGOTE","37530",IF(G40="SERGIO ROMERO DURAN","RODS620908QAA",IF(G40="MARIELA OLMOS GAONA","37675",IF(G40="LUCIANO MIJAIL ORTEGA MUÑOZ","37297",IF(G40="GUSTAVO HUMBERTO VELAZCO GALVAN","VEGG9211019T1",IF(G40="JESUS AGUSTIN VELAZQUEZ FLORES","VEFJ900303M65",IF(G40="KARLA ESTEFANIA SALAZAR FLORES","SAFK9807277N1",IF(G40="ANGEL TERRAZAS MONROY","TEMA7105035N4"))))))))))</f>
        <v>37675</v>
      </c>
      <c r="P40" s="240" t="str">
        <f t="shared" ref="P40:P60" si="10">IF(G40="EFREN ABUNDEZ REYNA","PFAEP",IF(G40="LUIS ALEJANDRO HERNANDEZ REYNA","HERL850705AL2",IF(G40="ANA BEATRIZ ESTRADA ARGOTE","RIF",IF(G40="SERGIO ROMERO DURAN","RODS620908QAA",IF(G40="MARIELA OLMOS GAONA","RESICO",IF(G40="LUCIANO MIJAIL ORTEGA MUÑOZ","RIF",IF(G40="GUSTAVO HUMBERTO VELAZCO GALVAN","VEGG9211019T1",IF(G40="JESUS AGUSTIN VELAZQUEZ FLORES","VEFJ900303M65",IF(G40="KARLA ESTEFANIA SALAZAR FLORES","SAFK9807277N1",IF(G40="ANGEL TERRAZAS MONROY","TEMA7105035N4"))))))))))</f>
        <v>RESICO</v>
      </c>
    </row>
    <row r="41" spans="1:18" x14ac:dyDescent="0.35">
      <c r="A41" s="92">
        <f t="shared" si="3"/>
        <v>6</v>
      </c>
      <c r="B41" s="92" t="str">
        <f>VLOOKUP(A41,[1]Hoja3!$C$3:$D$14,2,FALSE)</f>
        <v>JUNIO</v>
      </c>
      <c r="C41" s="93">
        <v>45457</v>
      </c>
      <c r="D41" s="101">
        <v>45457</v>
      </c>
      <c r="E41" s="255"/>
      <c r="F41" s="256"/>
      <c r="G41" s="96" t="s">
        <v>260</v>
      </c>
      <c r="H41" s="96" t="str">
        <f t="shared" si="6"/>
        <v>OOGM010703NX1</v>
      </c>
      <c r="I41" s="247" t="str">
        <f t="shared" si="4"/>
        <v>JUNIO</v>
      </c>
      <c r="J41" s="97">
        <v>7775</v>
      </c>
      <c r="K41" s="98">
        <v>0</v>
      </c>
      <c r="L41" s="98"/>
      <c r="M41" s="98"/>
      <c r="N41" s="98">
        <f t="shared" si="0"/>
        <v>7775</v>
      </c>
      <c r="O41" s="240" t="str">
        <f t="shared" si="9"/>
        <v>37675</v>
      </c>
      <c r="P41" s="240" t="str">
        <f t="shared" si="10"/>
        <v>RESICO</v>
      </c>
    </row>
    <row r="42" spans="1:18" x14ac:dyDescent="0.35">
      <c r="A42" s="92">
        <f t="shared" si="3"/>
        <v>6</v>
      </c>
      <c r="B42" s="92" t="str">
        <f>VLOOKUP(A42,[1]Hoja3!$C$3:$D$14,2,FALSE)</f>
        <v>JUNIO</v>
      </c>
      <c r="C42" s="93">
        <v>45457</v>
      </c>
      <c r="D42" s="101">
        <v>45457</v>
      </c>
      <c r="E42" s="255"/>
      <c r="F42" s="256"/>
      <c r="G42" s="96" t="s">
        <v>260</v>
      </c>
      <c r="H42" s="96" t="str">
        <f t="shared" si="6"/>
        <v>OOGM010703NX1</v>
      </c>
      <c r="I42" s="247" t="str">
        <f t="shared" si="4"/>
        <v>JUNIO</v>
      </c>
      <c r="J42" s="97">
        <v>9677</v>
      </c>
      <c r="K42" s="98">
        <v>0</v>
      </c>
      <c r="L42" s="98"/>
      <c r="M42" s="98"/>
      <c r="N42" s="98">
        <f t="shared" si="0"/>
        <v>9677</v>
      </c>
      <c r="O42" s="240" t="str">
        <f t="shared" si="9"/>
        <v>37675</v>
      </c>
      <c r="P42" s="240" t="str">
        <f t="shared" si="10"/>
        <v>RESICO</v>
      </c>
    </row>
    <row r="43" spans="1:18" x14ac:dyDescent="0.35">
      <c r="A43" s="92">
        <f t="shared" si="3"/>
        <v>7</v>
      </c>
      <c r="B43" s="92" t="str">
        <f>VLOOKUP(A43,[1]Hoja3!$C$3:$D$14,2,FALSE)</f>
        <v>JULIO</v>
      </c>
      <c r="C43" s="93">
        <v>45474</v>
      </c>
      <c r="D43" s="101">
        <v>45474</v>
      </c>
      <c r="E43" s="94"/>
      <c r="F43" s="95"/>
      <c r="G43" s="96" t="s">
        <v>598</v>
      </c>
      <c r="H43" s="96" t="s">
        <v>597</v>
      </c>
      <c r="I43" s="247" t="str">
        <f t="shared" si="4"/>
        <v>JULIO</v>
      </c>
      <c r="J43" s="97">
        <v>418.10344827586209</v>
      </c>
      <c r="K43" s="98">
        <f>+J43*0.16</f>
        <v>66.896551724137936</v>
      </c>
      <c r="L43" s="98"/>
      <c r="M43" s="98"/>
      <c r="N43" s="98">
        <f t="shared" si="0"/>
        <v>485</v>
      </c>
      <c r="O43" s="240">
        <v>72830</v>
      </c>
      <c r="P43" s="240" t="s">
        <v>361</v>
      </c>
      <c r="Q43" t="s">
        <v>596</v>
      </c>
    </row>
    <row r="44" spans="1:18" x14ac:dyDescent="0.35">
      <c r="A44" s="92">
        <f t="shared" si="3"/>
        <v>7</v>
      </c>
      <c r="B44" s="92" t="str">
        <f>VLOOKUP(A44,[1]Hoja3!$C$3:$D$14,2,FALSE)</f>
        <v>JULIO</v>
      </c>
      <c r="C44" s="93">
        <v>45474</v>
      </c>
      <c r="D44" s="101">
        <v>45474</v>
      </c>
      <c r="E44" s="94"/>
      <c r="F44" s="95"/>
      <c r="G44" s="96" t="s">
        <v>260</v>
      </c>
      <c r="H44" s="96" t="str">
        <f t="shared" si="6"/>
        <v>OOGM010703NX1</v>
      </c>
      <c r="I44" s="247" t="str">
        <f t="shared" si="4"/>
        <v>JULIO</v>
      </c>
      <c r="J44" s="97">
        <v>11485</v>
      </c>
      <c r="K44" s="98">
        <v>0</v>
      </c>
      <c r="L44" s="98"/>
      <c r="M44" s="98"/>
      <c r="N44" s="98">
        <f t="shared" si="0"/>
        <v>11485</v>
      </c>
      <c r="O44" s="240" t="str">
        <f t="shared" si="9"/>
        <v>37675</v>
      </c>
      <c r="P44" s="240" t="str">
        <f t="shared" si="10"/>
        <v>RESICO</v>
      </c>
    </row>
    <row r="45" spans="1:18" x14ac:dyDescent="0.35">
      <c r="A45" s="92">
        <f t="shared" si="3"/>
        <v>7</v>
      </c>
      <c r="B45" s="92" t="str">
        <f>VLOOKUP(A45,[1]Hoja3!$C$3:$D$14,2,FALSE)</f>
        <v>JULIO</v>
      </c>
      <c r="C45" s="93">
        <v>45477</v>
      </c>
      <c r="D45" s="101">
        <v>45477</v>
      </c>
      <c r="E45" s="94"/>
      <c r="F45" s="95"/>
      <c r="G45" s="96" t="s">
        <v>260</v>
      </c>
      <c r="H45" s="96" t="str">
        <f t="shared" si="6"/>
        <v>OOGM010703NX1</v>
      </c>
      <c r="I45" s="247" t="str">
        <f t="shared" si="4"/>
        <v>JULIO</v>
      </c>
      <c r="J45" s="97">
        <v>5487</v>
      </c>
      <c r="K45" s="98">
        <v>0</v>
      </c>
      <c r="L45" s="98"/>
      <c r="M45" s="98"/>
      <c r="N45" s="98">
        <f t="shared" si="0"/>
        <v>5487</v>
      </c>
      <c r="O45" s="240" t="str">
        <f t="shared" si="9"/>
        <v>37675</v>
      </c>
      <c r="P45" s="240" t="str">
        <f t="shared" si="10"/>
        <v>RESICO</v>
      </c>
    </row>
    <row r="46" spans="1:18" x14ac:dyDescent="0.35">
      <c r="A46" s="92">
        <f t="shared" si="3"/>
        <v>7</v>
      </c>
      <c r="B46" s="92" t="str">
        <f>VLOOKUP(A46,[1]Hoja3!$C$3:$D$14,2,FALSE)</f>
        <v>JULIO</v>
      </c>
      <c r="C46" s="93">
        <v>45498</v>
      </c>
      <c r="D46" s="101">
        <v>45498</v>
      </c>
      <c r="E46" s="94"/>
      <c r="F46" s="95"/>
      <c r="G46" s="96" t="s">
        <v>260</v>
      </c>
      <c r="H46" s="96" t="str">
        <f t="shared" si="6"/>
        <v>OOGM010703NX1</v>
      </c>
      <c r="I46" s="247" t="str">
        <f t="shared" si="4"/>
        <v>JULIO</v>
      </c>
      <c r="J46" s="97">
        <v>8782</v>
      </c>
      <c r="K46" s="98">
        <v>0</v>
      </c>
      <c r="L46" s="98"/>
      <c r="M46" s="98"/>
      <c r="N46" s="98">
        <f t="shared" si="0"/>
        <v>8782</v>
      </c>
      <c r="O46" s="240" t="str">
        <f t="shared" si="9"/>
        <v>37675</v>
      </c>
      <c r="P46" s="240" t="str">
        <f t="shared" si="10"/>
        <v>RESICO</v>
      </c>
    </row>
    <row r="47" spans="1:18" x14ac:dyDescent="0.35">
      <c r="A47" s="92">
        <f t="shared" si="3"/>
        <v>7</v>
      </c>
      <c r="B47" s="92" t="str">
        <f>VLOOKUP(A47,[1]Hoja3!$C$3:$D$14,2,FALSE)</f>
        <v>JULIO</v>
      </c>
      <c r="C47" s="93">
        <v>45498</v>
      </c>
      <c r="D47" s="101">
        <v>45498</v>
      </c>
      <c r="E47" s="94"/>
      <c r="F47" s="95"/>
      <c r="G47" s="96" t="s">
        <v>260</v>
      </c>
      <c r="H47" s="96" t="str">
        <f t="shared" si="6"/>
        <v>OOGM010703NX1</v>
      </c>
      <c r="I47" s="247" t="str">
        <f t="shared" si="4"/>
        <v>JULIO</v>
      </c>
      <c r="J47" s="97">
        <v>8408</v>
      </c>
      <c r="K47" s="98">
        <v>0</v>
      </c>
      <c r="L47" s="98"/>
      <c r="M47" s="98"/>
      <c r="N47" s="98">
        <f t="shared" si="0"/>
        <v>8408</v>
      </c>
      <c r="O47" s="240" t="str">
        <f t="shared" si="9"/>
        <v>37675</v>
      </c>
      <c r="P47" s="240" t="str">
        <f t="shared" si="10"/>
        <v>RESICO</v>
      </c>
    </row>
    <row r="48" spans="1:18" x14ac:dyDescent="0.35">
      <c r="A48" s="92">
        <f t="shared" si="3"/>
        <v>7</v>
      </c>
      <c r="B48" s="92" t="str">
        <f>VLOOKUP(A48,[1]Hoja3!$C$3:$D$14,2,FALSE)</f>
        <v>JULIO</v>
      </c>
      <c r="C48" s="93">
        <v>45498</v>
      </c>
      <c r="D48" s="101">
        <v>45498</v>
      </c>
      <c r="E48" s="94"/>
      <c r="F48" s="95"/>
      <c r="G48" s="96" t="s">
        <v>260</v>
      </c>
      <c r="H48" s="96" t="str">
        <f>IF(G48="EFREN ABUNDEZ REYNA","AURE7306187IA",IF(G48="LUIS ALEJANDRO HERNANDEZ REYNA","HERL850705AL2",IF(G48="ANA BEATRIZ ESTRADA ARGOTE","EAAA860701UP2",IF(G48="SERGIO ROMERO DURAN","RODS620908QAA",IF(G48="MARIELA OLMOS GAONA","OOGM010703NX1",IF(G48="LUCIANO MIJAIL ORTEGA MUÑOZ","OEML881105IK2",IF(G48="GUSTAVO HUMBERTO VELAZCO GALVAN","VEGG9211019T1",IF(G48="JESUS AGUSTIN VELAZQUEZ FLORES","VEFJ900303M65",IF(G48="KARLA ESTEFANIA SALAZAR FLORES","SAFK9807277N1",IF(G48="ANGEL TERRAZAS MONROY","TEMA7105035N4"))))))))))</f>
        <v>OOGM010703NX1</v>
      </c>
      <c r="I48" s="247" t="str">
        <f t="shared" si="4"/>
        <v>JULIO</v>
      </c>
      <c r="J48" s="97">
        <v>8862</v>
      </c>
      <c r="K48" s="98">
        <v>0</v>
      </c>
      <c r="L48" s="98"/>
      <c r="M48" s="98"/>
      <c r="N48" s="98">
        <f t="shared" si="0"/>
        <v>8862</v>
      </c>
      <c r="O48" s="240" t="str">
        <f t="shared" si="9"/>
        <v>37675</v>
      </c>
      <c r="P48" s="240" t="str">
        <f t="shared" si="10"/>
        <v>RESICO</v>
      </c>
    </row>
    <row r="49" spans="1:17" x14ac:dyDescent="0.35">
      <c r="A49" s="92">
        <f t="shared" si="3"/>
        <v>7</v>
      </c>
      <c r="B49" s="92" t="str">
        <f>VLOOKUP(A49,[1]Hoja3!$C$3:$D$14,2,FALSE)</f>
        <v>JULIO</v>
      </c>
      <c r="C49" s="93">
        <v>45504</v>
      </c>
      <c r="D49" s="101">
        <v>45504</v>
      </c>
      <c r="E49" s="94"/>
      <c r="F49" s="95"/>
      <c r="G49" s="96" t="s">
        <v>260</v>
      </c>
      <c r="H49" s="96" t="str">
        <f t="shared" si="6"/>
        <v>OOGM010703NX1</v>
      </c>
      <c r="I49" s="247" t="str">
        <f t="shared" si="4"/>
        <v>JULIO</v>
      </c>
      <c r="J49" s="97">
        <v>15300</v>
      </c>
      <c r="K49" s="98">
        <v>0</v>
      </c>
      <c r="L49" s="98"/>
      <c r="M49" s="98"/>
      <c r="N49" s="98">
        <f t="shared" si="0"/>
        <v>15300</v>
      </c>
      <c r="O49" s="240" t="str">
        <f t="shared" si="9"/>
        <v>37675</v>
      </c>
      <c r="P49" s="240" t="str">
        <f t="shared" si="10"/>
        <v>RESICO</v>
      </c>
    </row>
    <row r="50" spans="1:17" x14ac:dyDescent="0.35">
      <c r="A50" s="92">
        <f t="shared" si="3"/>
        <v>4</v>
      </c>
      <c r="B50" s="92" t="str">
        <f>VLOOKUP(A50,[1]Hoja3!$C$3:$D$14,2,FALSE)</f>
        <v>ABRIL</v>
      </c>
      <c r="C50" s="93">
        <v>45412</v>
      </c>
      <c r="D50" s="101">
        <v>45412</v>
      </c>
      <c r="E50" s="94"/>
      <c r="F50" s="95"/>
      <c r="G50" s="96" t="s">
        <v>452</v>
      </c>
      <c r="H50" s="96" t="b">
        <f t="shared" si="6"/>
        <v>0</v>
      </c>
      <c r="I50" s="247" t="str">
        <f t="shared" si="4"/>
        <v>ABRIL</v>
      </c>
      <c r="J50" s="97">
        <v>356234</v>
      </c>
      <c r="K50" s="98">
        <v>0</v>
      </c>
      <c r="L50" s="98"/>
      <c r="M50" s="98"/>
      <c r="N50" s="98">
        <f t="shared" si="0"/>
        <v>356234</v>
      </c>
      <c r="O50" s="240" t="b">
        <f t="shared" si="9"/>
        <v>0</v>
      </c>
      <c r="P50" s="240" t="b">
        <f t="shared" si="10"/>
        <v>0</v>
      </c>
    </row>
    <row r="51" spans="1:17" x14ac:dyDescent="0.35">
      <c r="A51" s="92">
        <f t="shared" si="3"/>
        <v>5</v>
      </c>
      <c r="B51" s="92" t="str">
        <f>VLOOKUP(A51,[1]Hoja3!$C$3:$D$14,2,FALSE)</f>
        <v>MAYO</v>
      </c>
      <c r="C51" s="93">
        <v>45442</v>
      </c>
      <c r="D51" s="101">
        <v>45442</v>
      </c>
      <c r="E51" s="94"/>
      <c r="F51" s="95"/>
      <c r="G51" s="96" t="s">
        <v>452</v>
      </c>
      <c r="H51" s="96" t="b">
        <f t="shared" si="6"/>
        <v>0</v>
      </c>
      <c r="I51" s="247" t="str">
        <f t="shared" si="4"/>
        <v>MAYO</v>
      </c>
      <c r="J51" s="97">
        <v>304823</v>
      </c>
      <c r="K51" s="98">
        <v>0</v>
      </c>
      <c r="L51" s="98"/>
      <c r="M51" s="98"/>
      <c r="N51" s="98">
        <f t="shared" si="0"/>
        <v>304823</v>
      </c>
      <c r="O51" s="240" t="b">
        <f t="shared" si="9"/>
        <v>0</v>
      </c>
      <c r="P51" s="240" t="b">
        <f t="shared" si="10"/>
        <v>0</v>
      </c>
    </row>
    <row r="52" spans="1:17" x14ac:dyDescent="0.35">
      <c r="A52" s="92">
        <f t="shared" si="3"/>
        <v>6</v>
      </c>
      <c r="B52" s="92" t="str">
        <f>VLOOKUP(A52,[1]Hoja3!$C$3:$D$14,2,FALSE)</f>
        <v>JUNIO</v>
      </c>
      <c r="C52" s="93">
        <v>45473</v>
      </c>
      <c r="D52" s="101">
        <v>45473</v>
      </c>
      <c r="E52" s="94"/>
      <c r="F52" s="95"/>
      <c r="G52" s="96" t="s">
        <v>452</v>
      </c>
      <c r="H52" s="96" t="b">
        <f t="shared" si="6"/>
        <v>0</v>
      </c>
      <c r="I52" s="247" t="str">
        <f t="shared" si="4"/>
        <v>JUNIO</v>
      </c>
      <c r="J52" s="97">
        <v>400589</v>
      </c>
      <c r="K52" s="98">
        <v>0</v>
      </c>
      <c r="L52" s="98"/>
      <c r="M52" s="98"/>
      <c r="N52" s="98">
        <f t="shared" si="0"/>
        <v>400589</v>
      </c>
      <c r="O52" s="240" t="b">
        <f t="shared" si="9"/>
        <v>0</v>
      </c>
      <c r="P52" s="240" t="b">
        <f t="shared" si="10"/>
        <v>0</v>
      </c>
    </row>
    <row r="53" spans="1:17" x14ac:dyDescent="0.35">
      <c r="A53" s="92">
        <f t="shared" si="3"/>
        <v>7</v>
      </c>
      <c r="B53" s="92" t="str">
        <f>VLOOKUP(A53,[1]Hoja3!$C$3:$D$14,2,FALSE)</f>
        <v>JULIO</v>
      </c>
      <c r="C53" s="93">
        <v>45504</v>
      </c>
      <c r="D53" s="101">
        <v>45504</v>
      </c>
      <c r="E53" s="94"/>
      <c r="F53" s="95"/>
      <c r="G53" s="96" t="s">
        <v>452</v>
      </c>
      <c r="H53" s="96" t="b">
        <f t="shared" si="6"/>
        <v>0</v>
      </c>
      <c r="I53" s="247" t="str">
        <f t="shared" si="4"/>
        <v>JULIO</v>
      </c>
      <c r="J53" s="97">
        <v>213654</v>
      </c>
      <c r="K53" s="98">
        <v>0</v>
      </c>
      <c r="L53" s="98"/>
      <c r="M53" s="98"/>
      <c r="N53" s="98">
        <f t="shared" si="0"/>
        <v>213654</v>
      </c>
      <c r="O53" s="240" t="b">
        <f t="shared" si="9"/>
        <v>0</v>
      </c>
      <c r="P53" s="240" t="b">
        <f t="shared" si="10"/>
        <v>0</v>
      </c>
    </row>
    <row r="54" spans="1:17" x14ac:dyDescent="0.35">
      <c r="A54" s="92">
        <f t="shared" si="3"/>
        <v>8</v>
      </c>
      <c r="B54" s="92" t="str">
        <f>VLOOKUP(A54,[1]Hoja3!$C$3:$D$14,2,FALSE)</f>
        <v>AGOSTO</v>
      </c>
      <c r="C54" s="93">
        <v>45524</v>
      </c>
      <c r="D54" s="101">
        <v>45524</v>
      </c>
      <c r="E54" s="94"/>
      <c r="F54" s="95"/>
      <c r="G54" s="96" t="s">
        <v>260</v>
      </c>
      <c r="H54" s="96" t="str">
        <f t="shared" si="6"/>
        <v>OOGM010703NX1</v>
      </c>
      <c r="I54" s="247" t="str">
        <f t="shared" si="4"/>
        <v>AGOSTO</v>
      </c>
      <c r="J54" s="97">
        <v>11271</v>
      </c>
      <c r="K54" s="98">
        <v>0</v>
      </c>
      <c r="L54" s="98"/>
      <c r="M54" s="98"/>
      <c r="N54" s="98">
        <f t="shared" si="0"/>
        <v>11271</v>
      </c>
      <c r="O54" s="240" t="str">
        <f t="shared" si="9"/>
        <v>37675</v>
      </c>
      <c r="P54" s="240" t="str">
        <f t="shared" si="10"/>
        <v>RESICO</v>
      </c>
    </row>
    <row r="55" spans="1:17" x14ac:dyDescent="0.35">
      <c r="A55" s="92">
        <f t="shared" si="3"/>
        <v>8</v>
      </c>
      <c r="B55" s="92" t="str">
        <f>VLOOKUP(A55,[1]Hoja3!$C$3:$D$14,2,FALSE)</f>
        <v>AGOSTO</v>
      </c>
      <c r="C55" s="93">
        <v>45524</v>
      </c>
      <c r="D55" s="101">
        <v>45524</v>
      </c>
      <c r="E55" s="94"/>
      <c r="F55" s="95"/>
      <c r="G55" s="96" t="s">
        <v>260</v>
      </c>
      <c r="H55" s="96" t="str">
        <f t="shared" si="6"/>
        <v>OOGM010703NX1</v>
      </c>
      <c r="I55" s="247" t="str">
        <f t="shared" si="4"/>
        <v>AGOSTO</v>
      </c>
      <c r="J55" s="97">
        <v>13227</v>
      </c>
      <c r="K55" s="98">
        <v>0</v>
      </c>
      <c r="L55" s="98"/>
      <c r="M55" s="98"/>
      <c r="N55" s="98">
        <f t="shared" si="0"/>
        <v>13227</v>
      </c>
      <c r="O55" s="240" t="str">
        <f t="shared" si="9"/>
        <v>37675</v>
      </c>
      <c r="P55" s="240" t="str">
        <f t="shared" si="10"/>
        <v>RESICO</v>
      </c>
    </row>
    <row r="56" spans="1:17" x14ac:dyDescent="0.35">
      <c r="A56" s="92">
        <f t="shared" si="3"/>
        <v>8</v>
      </c>
      <c r="B56" s="92" t="str">
        <f>VLOOKUP(A56,[1]Hoja3!$C$3:$D$14,2,FALSE)</f>
        <v>AGOSTO</v>
      </c>
      <c r="C56" s="93">
        <v>45524</v>
      </c>
      <c r="D56" s="101">
        <v>45524</v>
      </c>
      <c r="E56" s="94"/>
      <c r="F56" s="95"/>
      <c r="G56" s="96" t="s">
        <v>260</v>
      </c>
      <c r="H56" s="96" t="str">
        <f t="shared" si="6"/>
        <v>OOGM010703NX1</v>
      </c>
      <c r="I56" s="247" t="str">
        <f t="shared" si="4"/>
        <v>AGOSTO</v>
      </c>
      <c r="J56" s="97">
        <v>8987</v>
      </c>
      <c r="K56" s="98">
        <v>0</v>
      </c>
      <c r="L56" s="98"/>
      <c r="M56" s="98"/>
      <c r="N56" s="98">
        <f t="shared" si="0"/>
        <v>8987</v>
      </c>
      <c r="O56" s="240" t="str">
        <f t="shared" si="9"/>
        <v>37675</v>
      </c>
      <c r="P56" s="240" t="str">
        <f t="shared" si="10"/>
        <v>RESICO</v>
      </c>
    </row>
    <row r="57" spans="1:17" x14ac:dyDescent="0.35">
      <c r="A57" s="92">
        <f t="shared" si="3"/>
        <v>8</v>
      </c>
      <c r="B57" s="92" t="str">
        <f>VLOOKUP(A57,[1]Hoja3!$C$3:$D$14,2,FALSE)</f>
        <v>AGOSTO</v>
      </c>
      <c r="C57" s="93">
        <v>45531</v>
      </c>
      <c r="D57" s="101">
        <v>45531</v>
      </c>
      <c r="E57" s="94"/>
      <c r="F57" s="95"/>
      <c r="G57" s="96" t="s">
        <v>739</v>
      </c>
      <c r="H57" s="96" t="s">
        <v>738</v>
      </c>
      <c r="I57" s="247" t="str">
        <f t="shared" si="4"/>
        <v>AGOSTO</v>
      </c>
      <c r="J57" s="97">
        <v>491.37931034482762</v>
      </c>
      <c r="K57" s="98">
        <f>+J57*0.16</f>
        <v>78.620689655172427</v>
      </c>
      <c r="L57" s="98"/>
      <c r="M57" s="98"/>
      <c r="N57" s="98">
        <f t="shared" si="0"/>
        <v>570</v>
      </c>
      <c r="O57" s="240">
        <v>37220</v>
      </c>
      <c r="P57" s="240" t="s">
        <v>740</v>
      </c>
    </row>
    <row r="58" spans="1:17" x14ac:dyDescent="0.35">
      <c r="A58" s="92">
        <f t="shared" si="3"/>
        <v>8</v>
      </c>
      <c r="B58" s="92" t="str">
        <f>VLOOKUP(A58,[1]Hoja3!$C$3:$D$14,2,FALSE)</f>
        <v>AGOSTO</v>
      </c>
      <c r="C58" s="93">
        <v>45531</v>
      </c>
      <c r="D58" s="101">
        <v>45531</v>
      </c>
      <c r="E58" s="94"/>
      <c r="F58" s="95"/>
      <c r="G58" s="96" t="s">
        <v>260</v>
      </c>
      <c r="H58" s="96" t="str">
        <f t="shared" si="6"/>
        <v>OOGM010703NX1</v>
      </c>
      <c r="I58" s="247" t="str">
        <f t="shared" si="4"/>
        <v>AGOSTO</v>
      </c>
      <c r="J58" s="97">
        <v>8405</v>
      </c>
      <c r="K58" s="98">
        <v>0</v>
      </c>
      <c r="L58" s="98"/>
      <c r="M58" s="98"/>
      <c r="N58" s="98">
        <f t="shared" si="0"/>
        <v>8405</v>
      </c>
      <c r="O58" s="240" t="str">
        <f t="shared" si="9"/>
        <v>37675</v>
      </c>
      <c r="P58" s="240" t="str">
        <f t="shared" si="10"/>
        <v>RESICO</v>
      </c>
    </row>
    <row r="59" spans="1:17" x14ac:dyDescent="0.35">
      <c r="A59" s="92">
        <f t="shared" si="3"/>
        <v>8</v>
      </c>
      <c r="B59" s="92" t="str">
        <f>VLOOKUP(A59,[1]Hoja3!$C$3:$D$14,2,FALSE)</f>
        <v>AGOSTO</v>
      </c>
      <c r="C59" s="93">
        <v>45531</v>
      </c>
      <c r="D59" s="101">
        <v>45531</v>
      </c>
      <c r="E59" s="94"/>
      <c r="F59" s="95"/>
      <c r="G59" s="96" t="s">
        <v>743</v>
      </c>
      <c r="H59" s="96" t="s">
        <v>742</v>
      </c>
      <c r="I59" s="247" t="str">
        <f t="shared" si="4"/>
        <v>AGOSTO</v>
      </c>
      <c r="J59" s="97">
        <v>646.55172413793105</v>
      </c>
      <c r="K59" s="98">
        <f>+J59*0.16</f>
        <v>103.44827586206897</v>
      </c>
      <c r="L59" s="98"/>
      <c r="M59" s="98"/>
      <c r="N59" s="98">
        <f t="shared" si="0"/>
        <v>750</v>
      </c>
      <c r="O59" s="240">
        <v>76116</v>
      </c>
      <c r="P59" s="240" t="s">
        <v>374</v>
      </c>
      <c r="Q59" t="s">
        <v>741</v>
      </c>
    </row>
    <row r="60" spans="1:17" x14ac:dyDescent="0.35">
      <c r="A60" s="92">
        <f t="shared" si="3"/>
        <v>9</v>
      </c>
      <c r="B60" s="92" t="str">
        <f>VLOOKUP(A60,[1]Hoja3!$C$3:$D$14,2,FALSE)</f>
        <v>SEPTIEMBRE</v>
      </c>
      <c r="C60" s="93">
        <v>45539</v>
      </c>
      <c r="D60" s="101">
        <v>45539</v>
      </c>
      <c r="E60" s="94"/>
      <c r="F60" s="95"/>
      <c r="G60" s="96" t="s">
        <v>260</v>
      </c>
      <c r="H60" s="96" t="str">
        <f t="shared" si="6"/>
        <v>OOGM010703NX1</v>
      </c>
      <c r="I60" s="247" t="str">
        <f t="shared" si="4"/>
        <v>SEPTIEMBRE</v>
      </c>
      <c r="J60" s="97">
        <v>9998</v>
      </c>
      <c r="K60" s="98">
        <v>0</v>
      </c>
      <c r="L60" s="98"/>
      <c r="M60" s="98"/>
      <c r="N60" s="98">
        <f t="shared" si="0"/>
        <v>9998</v>
      </c>
      <c r="O60" s="240" t="str">
        <f t="shared" si="9"/>
        <v>37675</v>
      </c>
      <c r="P60" s="240" t="str">
        <f t="shared" si="10"/>
        <v>RESICO</v>
      </c>
    </row>
    <row r="61" spans="1:17" x14ac:dyDescent="0.35">
      <c r="A61" s="92">
        <f t="shared" si="3"/>
        <v>8</v>
      </c>
      <c r="B61" s="92" t="str">
        <f>VLOOKUP(A61,[1]Hoja3!$C$3:$D$14,2,FALSE)</f>
        <v>AGOSTO</v>
      </c>
      <c r="C61" s="93">
        <v>45534</v>
      </c>
      <c r="D61" s="101">
        <v>45534</v>
      </c>
      <c r="E61" s="94"/>
      <c r="F61" s="95"/>
      <c r="G61" s="282" t="s">
        <v>452</v>
      </c>
      <c r="H61" s="96" t="b">
        <f t="shared" si="6"/>
        <v>0</v>
      </c>
      <c r="I61" s="247" t="str">
        <f t="shared" si="4"/>
        <v>AGOSTO</v>
      </c>
      <c r="J61" s="97">
        <v>204567</v>
      </c>
      <c r="K61" s="98">
        <v>0</v>
      </c>
      <c r="L61" s="98"/>
      <c r="M61" s="98"/>
      <c r="N61" s="98">
        <f t="shared" si="0"/>
        <v>204567</v>
      </c>
      <c r="O61" s="240" t="b">
        <f t="shared" ref="O61:O124" si="11">IF(G61="EFREN ABUNDEZ REYNA","37295",IF(G61="LUIS ALEJANDRO HERNANDEZ REYNA","HERL850705AL2",IF(G61="ANA BEATRIZ ESTRADA ARGOTE","37530",IF(G61="SERGIO ROMERO DURAN","RODS620908QAA",IF(G61="MARIELA OLMOS GAONA","37675",IF(G61="LUCIANO MIJAIL ORTEGA MUÑOZ","37297",IF(G61="GUSTAVO HUMBERTO VELAZCO GALVAN","VEGG9211019T1",IF(G61="JESUS AGUSTIN VELAZQUEZ FLORES","VEFJ900303M65",IF(G61="KARLA ESTEFANIA SALAZAR FLORES","SAFK9807277N1",IF(G61="ANGEL TERRAZAS MONROY","TEMA7105035N4"))))))))))</f>
        <v>0</v>
      </c>
      <c r="P61" s="240" t="b">
        <f t="shared" ref="P61:P124" si="12">IF(G61="EFREN ABUNDEZ REYNA","PFAEP",IF(G61="LUIS ALEJANDRO HERNANDEZ REYNA","HERL850705AL2",IF(G61="ANA BEATRIZ ESTRADA ARGOTE","RIF",IF(G61="SERGIO ROMERO DURAN","RODS620908QAA",IF(G61="MARIELA OLMOS GAONA","RESICO",IF(G61="LUCIANO MIJAIL ORTEGA MUÑOZ","RIF",IF(G61="GUSTAVO HUMBERTO VELAZCO GALVAN","VEGG9211019T1",IF(G61="JESUS AGUSTIN VELAZQUEZ FLORES","VEFJ900303M65",IF(G61="KARLA ESTEFANIA SALAZAR FLORES","SAFK9807277N1",IF(G61="ANGEL TERRAZAS MONROY","TEMA7105035N4"))))))))))</f>
        <v>0</v>
      </c>
    </row>
    <row r="62" spans="1:17" x14ac:dyDescent="0.35">
      <c r="A62" s="92">
        <f t="shared" si="3"/>
        <v>9</v>
      </c>
      <c r="B62" s="92" t="str">
        <f>VLOOKUP(A62,[1]Hoja3!$C$3:$D$14,2,FALSE)</f>
        <v>SEPTIEMBRE</v>
      </c>
      <c r="C62" s="93">
        <v>45541</v>
      </c>
      <c r="D62" s="101">
        <v>45541</v>
      </c>
      <c r="E62" s="94"/>
      <c r="F62" s="95"/>
      <c r="G62" t="s">
        <v>745</v>
      </c>
      <c r="H62" s="96" t="s">
        <v>744</v>
      </c>
      <c r="I62" s="247" t="str">
        <f t="shared" si="4"/>
        <v>SEPTIEMBRE</v>
      </c>
      <c r="J62" s="97">
        <v>60.34</v>
      </c>
      <c r="K62" s="98">
        <f>+J62*0.16</f>
        <v>9.6544000000000008</v>
      </c>
      <c r="L62" s="98"/>
      <c r="M62" s="98"/>
      <c r="N62" s="98">
        <f t="shared" si="0"/>
        <v>69.994399999999999</v>
      </c>
      <c r="O62" s="240">
        <v>54750</v>
      </c>
      <c r="P62" s="240" t="s">
        <v>361</v>
      </c>
    </row>
    <row r="63" spans="1:17" x14ac:dyDescent="0.35">
      <c r="A63" s="92">
        <f t="shared" si="3"/>
        <v>9</v>
      </c>
      <c r="B63" s="92" t="str">
        <f>VLOOKUP(A63,[1]Hoja3!$C$3:$D$14,2,FALSE)</f>
        <v>SEPTIEMBRE</v>
      </c>
      <c r="C63" s="93">
        <v>45541</v>
      </c>
      <c r="D63" s="101">
        <v>45541</v>
      </c>
      <c r="E63" s="94"/>
      <c r="F63" s="95"/>
      <c r="G63" t="s">
        <v>745</v>
      </c>
      <c r="H63" s="96" t="s">
        <v>744</v>
      </c>
      <c r="I63" s="247" t="str">
        <f t="shared" si="4"/>
        <v>SEPTIEMBRE</v>
      </c>
      <c r="J63" s="97">
        <v>120.69</v>
      </c>
      <c r="K63" s="98">
        <f>+J63*0.16</f>
        <v>19.310400000000001</v>
      </c>
      <c r="L63" s="98"/>
      <c r="M63" s="98"/>
      <c r="N63" s="98">
        <f t="shared" si="0"/>
        <v>140.00040000000001</v>
      </c>
      <c r="O63" s="240">
        <v>54750</v>
      </c>
      <c r="P63" s="240" t="s">
        <v>361</v>
      </c>
    </row>
    <row r="64" spans="1:17" x14ac:dyDescent="0.35">
      <c r="A64" s="92">
        <f t="shared" si="3"/>
        <v>9</v>
      </c>
      <c r="B64" s="92" t="str">
        <f>VLOOKUP(A64,[1]Hoja3!$C$3:$D$14,2,FALSE)</f>
        <v>SEPTIEMBRE</v>
      </c>
      <c r="C64" s="93">
        <v>45546</v>
      </c>
      <c r="D64" s="101">
        <v>45546</v>
      </c>
      <c r="E64" s="94"/>
      <c r="F64" s="95"/>
      <c r="G64" s="96" t="s">
        <v>260</v>
      </c>
      <c r="H64" s="96" t="str">
        <f t="shared" si="6"/>
        <v>OOGM010703NX1</v>
      </c>
      <c r="I64" s="247" t="str">
        <f t="shared" si="4"/>
        <v>SEPTIEMBRE</v>
      </c>
      <c r="J64" s="97">
        <v>8937</v>
      </c>
      <c r="K64" s="98">
        <v>0</v>
      </c>
      <c r="L64" s="98"/>
      <c r="M64" s="98"/>
      <c r="N64" s="98">
        <f t="shared" si="0"/>
        <v>8937</v>
      </c>
      <c r="O64" s="240" t="str">
        <f t="shared" si="11"/>
        <v>37675</v>
      </c>
      <c r="P64" s="240" t="str">
        <f t="shared" si="12"/>
        <v>RESICO</v>
      </c>
    </row>
    <row r="65" spans="1:17" x14ac:dyDescent="0.35">
      <c r="A65" s="92">
        <f t="shared" si="3"/>
        <v>9</v>
      </c>
      <c r="B65" s="92" t="str">
        <f>VLOOKUP(A65,[1]Hoja3!$C$3:$D$14,2,FALSE)</f>
        <v>SEPTIEMBRE</v>
      </c>
      <c r="C65" s="93">
        <v>45547</v>
      </c>
      <c r="D65" s="101">
        <v>45547</v>
      </c>
      <c r="E65" s="94"/>
      <c r="F65" s="95"/>
      <c r="G65" s="96" t="s">
        <v>509</v>
      </c>
      <c r="H65" s="96" t="s">
        <v>510</v>
      </c>
      <c r="I65" s="247" t="str">
        <f t="shared" si="4"/>
        <v>SEPTIEMBRE</v>
      </c>
      <c r="J65" s="97">
        <v>1230</v>
      </c>
      <c r="K65" s="98">
        <f t="shared" ref="K65:K78" si="13">+J65*0.16</f>
        <v>196.8</v>
      </c>
      <c r="L65" s="98"/>
      <c r="M65" s="98"/>
      <c r="N65" s="98">
        <f t="shared" si="0"/>
        <v>1426.8</v>
      </c>
      <c r="O65" s="240">
        <v>72210</v>
      </c>
      <c r="P65" s="240" t="s">
        <v>361</v>
      </c>
      <c r="Q65" t="s">
        <v>511</v>
      </c>
    </row>
    <row r="66" spans="1:17" x14ac:dyDescent="0.35">
      <c r="A66" s="92">
        <f t="shared" si="3"/>
        <v>9</v>
      </c>
      <c r="B66" s="92" t="str">
        <f>VLOOKUP(A66,[1]Hoja3!$C$3:$D$14,2,FALSE)</f>
        <v>SEPTIEMBRE</v>
      </c>
      <c r="C66" s="93">
        <v>45552</v>
      </c>
      <c r="D66" s="101">
        <v>45552</v>
      </c>
      <c r="E66" s="94"/>
      <c r="F66" s="95"/>
      <c r="G66" s="96" t="s">
        <v>509</v>
      </c>
      <c r="H66" s="96" t="s">
        <v>510</v>
      </c>
      <c r="I66" s="247" t="str">
        <f t="shared" si="4"/>
        <v>SEPTIEMBRE</v>
      </c>
      <c r="J66" s="97">
        <v>903.44827586206907</v>
      </c>
      <c r="K66" s="98">
        <f t="shared" si="13"/>
        <v>144.55172413793105</v>
      </c>
      <c r="L66" s="98"/>
      <c r="M66" s="98"/>
      <c r="N66" s="98">
        <f t="shared" si="0"/>
        <v>1048</v>
      </c>
      <c r="O66" s="240">
        <v>72210</v>
      </c>
      <c r="P66" s="240" t="s">
        <v>361</v>
      </c>
      <c r="Q66" t="s">
        <v>511</v>
      </c>
    </row>
    <row r="67" spans="1:17" x14ac:dyDescent="0.35">
      <c r="A67" s="92">
        <f t="shared" ref="A67:A130" si="14">IF(D67&gt;0,MONTH(D67),0)</f>
        <v>9</v>
      </c>
      <c r="B67" s="92" t="str">
        <f>VLOOKUP(A67,[1]Hoja3!$C$3:$D$14,2,FALSE)</f>
        <v>SEPTIEMBRE</v>
      </c>
      <c r="C67" s="93">
        <v>45552</v>
      </c>
      <c r="D67" s="101">
        <v>45552</v>
      </c>
      <c r="E67" s="94"/>
      <c r="F67" s="95"/>
      <c r="G67" s="96" t="s">
        <v>745</v>
      </c>
      <c r="H67" s="96" t="s">
        <v>744</v>
      </c>
      <c r="I67" s="247" t="str">
        <f t="shared" ref="I67:I130" si="15">+B67</f>
        <v>SEPTIEMBRE</v>
      </c>
      <c r="J67" s="97">
        <v>862.06896551724139</v>
      </c>
      <c r="K67" s="98">
        <f t="shared" si="13"/>
        <v>137.93103448275863</v>
      </c>
      <c r="L67" s="98"/>
      <c r="M67" s="98"/>
      <c r="N67" s="98">
        <f t="shared" ref="N67:N79" si="16">+J67+K67-L67-M67</f>
        <v>1000</v>
      </c>
      <c r="O67" s="240">
        <v>54750</v>
      </c>
      <c r="P67" s="240" t="s">
        <v>361</v>
      </c>
    </row>
    <row r="68" spans="1:17" x14ac:dyDescent="0.35">
      <c r="A68" s="92">
        <f t="shared" si="14"/>
        <v>9</v>
      </c>
      <c r="B68" s="92" t="str">
        <f>VLOOKUP(A68,[1]Hoja3!$C$3:$D$14,2,FALSE)</f>
        <v>SEPTIEMBRE</v>
      </c>
      <c r="C68" s="93">
        <v>45552</v>
      </c>
      <c r="D68" s="101">
        <v>45552</v>
      </c>
      <c r="E68" s="257"/>
      <c r="F68" s="258"/>
      <c r="G68" s="96" t="s">
        <v>747</v>
      </c>
      <c r="H68" s="96" t="s">
        <v>746</v>
      </c>
      <c r="I68" s="259" t="str">
        <f t="shared" si="15"/>
        <v>SEPTIEMBRE</v>
      </c>
      <c r="J68" s="97">
        <v>814.66</v>
      </c>
      <c r="K68" s="98">
        <f t="shared" si="13"/>
        <v>130.34559999999999</v>
      </c>
      <c r="L68" s="98"/>
      <c r="M68" s="98"/>
      <c r="N68" s="98">
        <f t="shared" si="16"/>
        <v>945.00559999999996</v>
      </c>
      <c r="O68" s="240">
        <v>36275</v>
      </c>
      <c r="P68" s="240" t="s">
        <v>361</v>
      </c>
      <c r="Q68" t="s">
        <v>748</v>
      </c>
    </row>
    <row r="69" spans="1:17" x14ac:dyDescent="0.35">
      <c r="A69" s="92">
        <f t="shared" si="14"/>
        <v>9</v>
      </c>
      <c r="B69" s="92" t="str">
        <f>VLOOKUP(A69,[1]Hoja3!$C$3:$D$14,2,FALSE)</f>
        <v>SEPTIEMBRE</v>
      </c>
      <c r="C69" s="93">
        <v>45552</v>
      </c>
      <c r="D69" s="101">
        <v>45552</v>
      </c>
      <c r="E69" s="94"/>
      <c r="F69" s="95"/>
      <c r="G69" s="96" t="s">
        <v>260</v>
      </c>
      <c r="H69" s="96" t="str">
        <f t="shared" si="6"/>
        <v>OOGM010703NX1</v>
      </c>
      <c r="I69" s="247" t="str">
        <f t="shared" si="15"/>
        <v>SEPTIEMBRE</v>
      </c>
      <c r="J69" s="97">
        <v>11980</v>
      </c>
      <c r="K69" s="98">
        <f t="shared" si="13"/>
        <v>1916.8</v>
      </c>
      <c r="L69" s="98"/>
      <c r="M69" s="98"/>
      <c r="N69" s="98">
        <f t="shared" si="16"/>
        <v>13896.8</v>
      </c>
      <c r="O69" s="240" t="str">
        <f t="shared" si="11"/>
        <v>37675</v>
      </c>
      <c r="P69" s="240" t="str">
        <f t="shared" si="12"/>
        <v>RESICO</v>
      </c>
    </row>
    <row r="70" spans="1:17" x14ac:dyDescent="0.35">
      <c r="A70" s="92">
        <f t="shared" si="14"/>
        <v>9</v>
      </c>
      <c r="B70" s="92" t="str">
        <f>VLOOKUP(A70,[1]Hoja3!$C$3:$D$14,2,FALSE)</f>
        <v>SEPTIEMBRE</v>
      </c>
      <c r="C70" s="93">
        <v>45565</v>
      </c>
      <c r="D70" s="101">
        <v>45565</v>
      </c>
      <c r="E70" s="94"/>
      <c r="F70" s="95"/>
      <c r="G70" t="s">
        <v>503</v>
      </c>
      <c r="H70" s="96" t="s">
        <v>502</v>
      </c>
      <c r="I70" s="247" t="str">
        <f t="shared" si="15"/>
        <v>SEPTIEMBRE</v>
      </c>
      <c r="J70" s="97">
        <v>250</v>
      </c>
      <c r="K70" s="98">
        <f t="shared" si="13"/>
        <v>40</v>
      </c>
      <c r="L70" s="98"/>
      <c r="M70" s="98"/>
      <c r="N70" s="98">
        <f t="shared" si="16"/>
        <v>290</v>
      </c>
      <c r="O70" s="240">
        <v>76226</v>
      </c>
      <c r="P70" s="240" t="s">
        <v>361</v>
      </c>
    </row>
    <row r="71" spans="1:17" x14ac:dyDescent="0.35">
      <c r="A71" s="92">
        <f t="shared" si="14"/>
        <v>9</v>
      </c>
      <c r="B71" s="92" t="str">
        <f>VLOOKUP(A71,[1]Hoja3!$C$3:$D$14,2,FALSE)</f>
        <v>SEPTIEMBRE</v>
      </c>
      <c r="C71" s="93">
        <v>45565</v>
      </c>
      <c r="D71" s="101">
        <v>45565</v>
      </c>
      <c r="E71" s="94"/>
      <c r="F71" s="95"/>
      <c r="G71" s="96" t="s">
        <v>745</v>
      </c>
      <c r="H71" s="96" t="s">
        <v>744</v>
      </c>
      <c r="I71" s="247" t="str">
        <f t="shared" si="15"/>
        <v>SEPTIEMBRE</v>
      </c>
      <c r="J71" s="97">
        <v>165</v>
      </c>
      <c r="K71" s="98">
        <f t="shared" si="13"/>
        <v>26.400000000000002</v>
      </c>
      <c r="L71" s="98"/>
      <c r="M71" s="98"/>
      <c r="N71" s="98">
        <f t="shared" si="16"/>
        <v>191.4</v>
      </c>
      <c r="O71" s="240">
        <v>54750</v>
      </c>
      <c r="P71" s="240" t="s">
        <v>361</v>
      </c>
    </row>
    <row r="72" spans="1:17" x14ac:dyDescent="0.35">
      <c r="A72" s="92">
        <f t="shared" si="14"/>
        <v>9</v>
      </c>
      <c r="B72" s="92" t="str">
        <f>VLOOKUP(A72,[1]Hoja3!$C$3:$D$14,2,FALSE)</f>
        <v>SEPTIEMBRE</v>
      </c>
      <c r="C72" s="93">
        <v>45565</v>
      </c>
      <c r="D72" s="101">
        <v>45565</v>
      </c>
      <c r="E72" s="94"/>
      <c r="F72" s="95"/>
      <c r="G72" s="96" t="s">
        <v>745</v>
      </c>
      <c r="H72" s="96" t="s">
        <v>744</v>
      </c>
      <c r="I72" s="247" t="str">
        <f t="shared" si="15"/>
        <v>SEPTIEMBRE</v>
      </c>
      <c r="J72" s="97">
        <v>95</v>
      </c>
      <c r="K72" s="98">
        <f t="shared" si="13"/>
        <v>15.200000000000001</v>
      </c>
      <c r="L72" s="98"/>
      <c r="M72" s="98"/>
      <c r="N72" s="98">
        <f t="shared" si="16"/>
        <v>110.2</v>
      </c>
      <c r="O72" s="240" t="b">
        <f t="shared" si="11"/>
        <v>0</v>
      </c>
      <c r="P72" s="240" t="b">
        <f t="shared" si="12"/>
        <v>0</v>
      </c>
    </row>
    <row r="73" spans="1:17" x14ac:dyDescent="0.35">
      <c r="A73" s="92">
        <f t="shared" si="14"/>
        <v>9</v>
      </c>
      <c r="B73" s="92" t="str">
        <f>VLOOKUP(A73,[1]Hoja3!$C$3:$D$14,2,FALSE)</f>
        <v>SEPTIEMBRE</v>
      </c>
      <c r="C73" s="93">
        <v>45565</v>
      </c>
      <c r="D73" s="101">
        <v>45565</v>
      </c>
      <c r="E73" s="94"/>
      <c r="F73" s="95"/>
      <c r="G73" s="96" t="s">
        <v>260</v>
      </c>
      <c r="H73" s="96" t="str">
        <f t="shared" si="6"/>
        <v>OOGM010703NX1</v>
      </c>
      <c r="I73" s="247" t="str">
        <f t="shared" si="15"/>
        <v>SEPTIEMBRE</v>
      </c>
      <c r="J73" s="97">
        <v>9660</v>
      </c>
      <c r="K73" s="98">
        <v>0</v>
      </c>
      <c r="L73" s="98"/>
      <c r="M73" s="98"/>
      <c r="N73" s="98">
        <f t="shared" si="16"/>
        <v>9660</v>
      </c>
      <c r="O73" s="240" t="str">
        <f t="shared" si="11"/>
        <v>37675</v>
      </c>
      <c r="P73" s="240" t="str">
        <f t="shared" si="12"/>
        <v>RESICO</v>
      </c>
    </row>
    <row r="74" spans="1:17" x14ac:dyDescent="0.35">
      <c r="A74" s="92">
        <f t="shared" si="14"/>
        <v>9</v>
      </c>
      <c r="B74" s="92" t="str">
        <f>VLOOKUP(A74,[1]Hoja3!$C$3:$D$14,2,FALSE)</f>
        <v>SEPTIEMBRE</v>
      </c>
      <c r="C74" s="93">
        <v>45565</v>
      </c>
      <c r="D74" s="101">
        <v>45565</v>
      </c>
      <c r="E74" s="94"/>
      <c r="F74" s="95"/>
      <c r="G74" s="96" t="s">
        <v>509</v>
      </c>
      <c r="H74" s="96" t="s">
        <v>510</v>
      </c>
      <c r="I74" s="247" t="str">
        <f t="shared" si="15"/>
        <v>SEPTIEMBRE</v>
      </c>
      <c r="J74" s="97">
        <v>1260</v>
      </c>
      <c r="K74" s="98">
        <f t="shared" si="13"/>
        <v>201.6</v>
      </c>
      <c r="L74" s="98"/>
      <c r="M74" s="98"/>
      <c r="N74" s="98">
        <f t="shared" si="16"/>
        <v>1461.6</v>
      </c>
      <c r="O74" s="240">
        <v>72210</v>
      </c>
      <c r="P74" s="240" t="s">
        <v>361</v>
      </c>
      <c r="Q74" t="s">
        <v>511</v>
      </c>
    </row>
    <row r="75" spans="1:17" x14ac:dyDescent="0.35">
      <c r="A75" s="92">
        <f t="shared" si="14"/>
        <v>9</v>
      </c>
      <c r="B75" s="92" t="str">
        <f>VLOOKUP(A75,[1]Hoja3!$C$3:$D$14,2,FALSE)</f>
        <v>SEPTIEMBRE</v>
      </c>
      <c r="C75" s="93">
        <v>45565</v>
      </c>
      <c r="D75" s="101">
        <v>45565</v>
      </c>
      <c r="E75" s="94"/>
      <c r="F75" s="95"/>
      <c r="G75" s="96" t="s">
        <v>509</v>
      </c>
      <c r="H75" s="96" t="s">
        <v>510</v>
      </c>
      <c r="I75" s="247" t="str">
        <f t="shared" si="15"/>
        <v>SEPTIEMBRE</v>
      </c>
      <c r="J75" s="97">
        <v>1535</v>
      </c>
      <c r="K75" s="98">
        <f t="shared" si="13"/>
        <v>245.6</v>
      </c>
      <c r="L75" s="98"/>
      <c r="M75" s="98"/>
      <c r="N75" s="98">
        <f t="shared" si="16"/>
        <v>1780.6</v>
      </c>
      <c r="O75" s="240">
        <v>72210</v>
      </c>
      <c r="P75" s="240" t="s">
        <v>361</v>
      </c>
    </row>
    <row r="76" spans="1:17" x14ac:dyDescent="0.35">
      <c r="A76" s="92">
        <f t="shared" si="14"/>
        <v>10</v>
      </c>
      <c r="B76" s="92" t="str">
        <f>VLOOKUP(A76,[1]Hoja3!$C$3:$D$14,2,FALSE)</f>
        <v>OCTUBRE</v>
      </c>
      <c r="C76" s="93">
        <v>45567</v>
      </c>
      <c r="D76" s="101">
        <v>45567</v>
      </c>
      <c r="E76" s="94"/>
      <c r="F76" s="95"/>
      <c r="G76" s="96" t="s">
        <v>260</v>
      </c>
      <c r="H76" s="96" t="str">
        <f t="shared" si="6"/>
        <v>OOGM010703NX1</v>
      </c>
      <c r="I76" s="247" t="str">
        <f t="shared" si="15"/>
        <v>OCTUBRE</v>
      </c>
      <c r="J76" s="97">
        <v>6955</v>
      </c>
      <c r="K76" s="98">
        <v>0</v>
      </c>
      <c r="L76" s="98"/>
      <c r="M76" s="98"/>
      <c r="N76" s="98">
        <f t="shared" si="16"/>
        <v>6955</v>
      </c>
      <c r="O76" s="240" t="str">
        <f t="shared" si="11"/>
        <v>37675</v>
      </c>
      <c r="P76" s="240" t="str">
        <f t="shared" si="12"/>
        <v>RESICO</v>
      </c>
    </row>
    <row r="77" spans="1:17" x14ac:dyDescent="0.35">
      <c r="A77" s="92">
        <f t="shared" si="14"/>
        <v>10</v>
      </c>
      <c r="B77" s="92" t="str">
        <f>VLOOKUP(A77,[1]Hoja3!$C$3:$D$14,2,FALSE)</f>
        <v>OCTUBRE</v>
      </c>
      <c r="C77" s="93">
        <v>45573</v>
      </c>
      <c r="D77" s="101">
        <v>45573</v>
      </c>
      <c r="E77" s="94"/>
      <c r="F77" s="95"/>
      <c r="G77" s="96" t="s">
        <v>800</v>
      </c>
      <c r="H77" s="96" t="s">
        <v>801</v>
      </c>
      <c r="I77" s="247" t="str">
        <f t="shared" si="15"/>
        <v>OCTUBRE</v>
      </c>
      <c r="J77" s="97">
        <v>821.55</v>
      </c>
      <c r="K77" s="98">
        <f t="shared" si="13"/>
        <v>131.44800000000001</v>
      </c>
      <c r="L77" s="98"/>
      <c r="M77" s="98"/>
      <c r="N77" s="98">
        <f t="shared" si="16"/>
        <v>952.99799999999993</v>
      </c>
      <c r="O77" s="240">
        <v>54950</v>
      </c>
      <c r="P77" s="240" t="s">
        <v>374</v>
      </c>
      <c r="Q77" s="199" t="s">
        <v>802</v>
      </c>
    </row>
    <row r="78" spans="1:17" x14ac:dyDescent="0.35">
      <c r="A78" s="92">
        <f t="shared" si="14"/>
        <v>10</v>
      </c>
      <c r="B78" s="92" t="str">
        <f>VLOOKUP(A78,[1]Hoja3!$C$3:$D$14,2,FALSE)</f>
        <v>OCTUBRE</v>
      </c>
      <c r="C78" s="93">
        <v>45573</v>
      </c>
      <c r="D78" s="101">
        <v>45573</v>
      </c>
      <c r="E78" s="94"/>
      <c r="F78" s="95"/>
      <c r="G78" s="96" t="s">
        <v>804</v>
      </c>
      <c r="H78" s="96" t="s">
        <v>803</v>
      </c>
      <c r="I78" s="247" t="str">
        <f t="shared" si="15"/>
        <v>OCTUBRE</v>
      </c>
      <c r="J78" s="97">
        <v>625</v>
      </c>
      <c r="K78" s="98">
        <f t="shared" si="13"/>
        <v>100</v>
      </c>
      <c r="L78" s="98"/>
      <c r="M78" s="98"/>
      <c r="N78" s="98">
        <f t="shared" si="16"/>
        <v>725</v>
      </c>
      <c r="O78" s="240">
        <v>22117</v>
      </c>
      <c r="P78" s="240" t="s">
        <v>374</v>
      </c>
    </row>
    <row r="79" spans="1:17" x14ac:dyDescent="0.35">
      <c r="A79" s="92">
        <f t="shared" si="14"/>
        <v>10</v>
      </c>
      <c r="B79" s="92" t="str">
        <f>VLOOKUP(A79,[1]Hoja3!$C$3:$D$14,2,FALSE)</f>
        <v>OCTUBRE</v>
      </c>
      <c r="C79" s="93">
        <v>45574</v>
      </c>
      <c r="D79" s="101">
        <v>45574</v>
      </c>
      <c r="E79" s="94"/>
      <c r="F79" s="95"/>
      <c r="G79" s="96" t="s">
        <v>260</v>
      </c>
      <c r="H79" s="96" t="str">
        <f t="shared" si="6"/>
        <v>OOGM010703NX1</v>
      </c>
      <c r="I79" s="247" t="str">
        <f t="shared" si="15"/>
        <v>OCTUBRE</v>
      </c>
      <c r="J79" s="97">
        <v>5354</v>
      </c>
      <c r="K79" s="98">
        <v>0</v>
      </c>
      <c r="L79" s="98"/>
      <c r="M79" s="98"/>
      <c r="N79" s="98">
        <f t="shared" si="16"/>
        <v>5354</v>
      </c>
      <c r="O79" s="240" t="str">
        <f t="shared" si="11"/>
        <v>37675</v>
      </c>
      <c r="P79" s="240" t="str">
        <f t="shared" si="12"/>
        <v>RESICO</v>
      </c>
    </row>
    <row r="80" spans="1:17" x14ac:dyDescent="0.35">
      <c r="A80" s="92">
        <f t="shared" si="14"/>
        <v>9</v>
      </c>
      <c r="B80" s="92" t="str">
        <f>VLOOKUP(A80,[1]Hoja3!$C$3:$D$14,2,FALSE)</f>
        <v>SEPTIEMBRE</v>
      </c>
      <c r="C80" s="93">
        <v>45565</v>
      </c>
      <c r="D80" s="101">
        <v>45565</v>
      </c>
      <c r="E80" s="94"/>
      <c r="F80" s="95"/>
      <c r="G80" s="96" t="s">
        <v>452</v>
      </c>
      <c r="H80" s="96" t="b">
        <f t="shared" ref="H80:H143" si="17">IF(G80="EFREN ABUNDEZ REYNA","AURE7306187IA",IF(G80="LUIS ALEJANDRO HERNANDEZ REYNA","HERL850705AL2",IF(G80="ANA BEATRIZ ESTRADA ARGOTE","EAAA860701UP2",IF(G80="SERGIO ROMERO DURAN","RODS620908QAA",IF(G80="MARIELA OLMOS GAONA","OOGM010703NX1",IF(G80="LUCIANO MIJAIL ORTEGA MUÑOZ","OEML881105IK2",IF(G80="GUSTAVO HUMBERTO VELAZCO GALVAN","VEGG9211019T1",IF(G80="JESUS AGUSTIN VELAZQUEZ FLORES","VEFJ900303M65",IF(G80="KARLA ESTEFANIA SALAZAR FLORES","SAFK9807277N1",IF(G80="ANGEL TERRAZAS MONROY","TEMA7105035N4"))))))))))</f>
        <v>0</v>
      </c>
      <c r="I80" s="247" t="str">
        <f t="shared" si="15"/>
        <v>SEPTIEMBRE</v>
      </c>
      <c r="J80" s="97">
        <v>288436</v>
      </c>
      <c r="K80" s="98">
        <v>0</v>
      </c>
      <c r="L80" s="98"/>
      <c r="M80" s="98"/>
      <c r="N80" s="98">
        <f>+J80+K80-L80-M80</f>
        <v>288436</v>
      </c>
      <c r="O80" s="240" t="b">
        <f t="shared" si="11"/>
        <v>0</v>
      </c>
      <c r="P80" s="240" t="b">
        <f t="shared" si="12"/>
        <v>0</v>
      </c>
    </row>
    <row r="81" spans="1:17" x14ac:dyDescent="0.35">
      <c r="A81" s="92">
        <f t="shared" si="14"/>
        <v>10</v>
      </c>
      <c r="B81" s="92" t="str">
        <f>VLOOKUP(A81,[1]Hoja3!$C$3:$D$14,2,FALSE)</f>
        <v>OCTUBRE</v>
      </c>
      <c r="C81" s="93">
        <v>45580</v>
      </c>
      <c r="D81" s="101">
        <v>45580</v>
      </c>
      <c r="E81" s="94"/>
      <c r="F81" s="95"/>
      <c r="G81" s="96" t="s">
        <v>260</v>
      </c>
      <c r="H81" s="96" t="str">
        <f t="shared" si="17"/>
        <v>OOGM010703NX1</v>
      </c>
      <c r="I81" s="247" t="str">
        <f t="shared" si="15"/>
        <v>OCTUBRE</v>
      </c>
      <c r="J81" s="97">
        <v>7070</v>
      </c>
      <c r="K81" s="98">
        <v>0</v>
      </c>
      <c r="L81" s="98"/>
      <c r="M81" s="98"/>
      <c r="N81" s="98">
        <f t="shared" ref="N81:N144" si="18">+J81+K81-L81-M81</f>
        <v>7070</v>
      </c>
      <c r="O81" s="240" t="str">
        <f t="shared" si="11"/>
        <v>37675</v>
      </c>
      <c r="P81" s="240" t="str">
        <f t="shared" si="12"/>
        <v>RESICO</v>
      </c>
    </row>
    <row r="82" spans="1:17" x14ac:dyDescent="0.35">
      <c r="A82" s="92">
        <f t="shared" si="14"/>
        <v>10</v>
      </c>
      <c r="B82" s="92" t="str">
        <f>VLOOKUP(A82,[1]Hoja3!$C$3:$D$14,2,FALSE)</f>
        <v>OCTUBRE</v>
      </c>
      <c r="C82" s="93">
        <v>45582</v>
      </c>
      <c r="D82" s="101">
        <v>45582</v>
      </c>
      <c r="E82" s="94"/>
      <c r="F82" s="95"/>
      <c r="G82" s="96" t="s">
        <v>800</v>
      </c>
      <c r="H82" s="96" t="s">
        <v>801</v>
      </c>
      <c r="I82" s="247" t="str">
        <f t="shared" si="15"/>
        <v>OCTUBRE</v>
      </c>
      <c r="J82" s="97">
        <v>825</v>
      </c>
      <c r="K82" s="98">
        <f t="shared" ref="K82" si="19">+J82*0.16</f>
        <v>132</v>
      </c>
      <c r="L82" s="98"/>
      <c r="M82" s="98"/>
      <c r="N82" s="98">
        <f t="shared" si="18"/>
        <v>957</v>
      </c>
      <c r="O82" s="240">
        <v>54950</v>
      </c>
      <c r="P82" s="240" t="s">
        <v>374</v>
      </c>
      <c r="Q82" s="199" t="s">
        <v>802</v>
      </c>
    </row>
    <row r="83" spans="1:17" x14ac:dyDescent="0.35">
      <c r="A83" s="92">
        <f t="shared" si="14"/>
        <v>10</v>
      </c>
      <c r="B83" s="92" t="str">
        <f>VLOOKUP(A83,[1]Hoja3!$C$3:$D$14,2,FALSE)</f>
        <v>OCTUBRE</v>
      </c>
      <c r="C83" s="93">
        <v>45594</v>
      </c>
      <c r="D83" s="101">
        <v>45594</v>
      </c>
      <c r="E83" s="94"/>
      <c r="F83" s="95"/>
      <c r="G83" s="96" t="s">
        <v>260</v>
      </c>
      <c r="H83" s="96" t="str">
        <f t="shared" si="17"/>
        <v>OOGM010703NX1</v>
      </c>
      <c r="I83" s="247" t="str">
        <f t="shared" si="15"/>
        <v>OCTUBRE</v>
      </c>
      <c r="J83" s="97">
        <v>11071</v>
      </c>
      <c r="K83" s="98">
        <v>0</v>
      </c>
      <c r="L83" s="98"/>
      <c r="M83" s="98"/>
      <c r="N83" s="98">
        <f t="shared" si="18"/>
        <v>11071</v>
      </c>
      <c r="O83" s="240" t="str">
        <f t="shared" si="11"/>
        <v>37675</v>
      </c>
      <c r="P83" s="240" t="str">
        <f t="shared" si="12"/>
        <v>RESICO</v>
      </c>
    </row>
    <row r="84" spans="1:17" x14ac:dyDescent="0.35">
      <c r="A84" s="92">
        <f t="shared" si="14"/>
        <v>10</v>
      </c>
      <c r="B84" s="92" t="str">
        <f>VLOOKUP(A84,[1]Hoja3!$C$3:$D$14,2,FALSE)</f>
        <v>OCTUBRE</v>
      </c>
      <c r="C84" s="93">
        <v>45594</v>
      </c>
      <c r="D84" s="101">
        <v>45594</v>
      </c>
      <c r="E84" s="94"/>
      <c r="F84" s="95"/>
      <c r="G84" s="96" t="s">
        <v>260</v>
      </c>
      <c r="H84" s="96" t="str">
        <f t="shared" si="17"/>
        <v>OOGM010703NX1</v>
      </c>
      <c r="I84" s="247" t="str">
        <f t="shared" si="15"/>
        <v>OCTUBRE</v>
      </c>
      <c r="J84" s="97">
        <v>8890</v>
      </c>
      <c r="K84" s="98">
        <v>0</v>
      </c>
      <c r="L84" s="98"/>
      <c r="M84" s="98"/>
      <c r="N84" s="98">
        <f t="shared" si="18"/>
        <v>8890</v>
      </c>
      <c r="O84" s="240" t="str">
        <f t="shared" si="11"/>
        <v>37675</v>
      </c>
      <c r="P84" s="240" t="str">
        <f t="shared" si="12"/>
        <v>RESICO</v>
      </c>
    </row>
    <row r="85" spans="1:17" x14ac:dyDescent="0.35">
      <c r="A85" s="92">
        <f t="shared" si="14"/>
        <v>11</v>
      </c>
      <c r="B85" s="92" t="str">
        <f>VLOOKUP(A85,[1]Hoja3!$C$3:$D$14,2,FALSE)</f>
        <v>NOVIEMBRE</v>
      </c>
      <c r="C85" s="93">
        <v>45608</v>
      </c>
      <c r="D85" s="101">
        <v>45608</v>
      </c>
      <c r="E85" s="94"/>
      <c r="F85" s="95"/>
      <c r="G85" s="96" t="s">
        <v>260</v>
      </c>
      <c r="H85" s="96" t="str">
        <f t="shared" si="17"/>
        <v>OOGM010703NX1</v>
      </c>
      <c r="I85" s="247" t="str">
        <f t="shared" si="15"/>
        <v>NOVIEMBRE</v>
      </c>
      <c r="J85" s="97">
        <v>7820</v>
      </c>
      <c r="K85" s="98">
        <v>0</v>
      </c>
      <c r="L85" s="98"/>
      <c r="M85" s="98"/>
      <c r="N85" s="98">
        <f t="shared" si="18"/>
        <v>7820</v>
      </c>
      <c r="O85" s="240" t="str">
        <f t="shared" si="11"/>
        <v>37675</v>
      </c>
      <c r="P85" s="240" t="str">
        <f t="shared" si="12"/>
        <v>RESICO</v>
      </c>
    </row>
    <row r="86" spans="1:17" x14ac:dyDescent="0.35">
      <c r="A86" s="92">
        <f t="shared" si="14"/>
        <v>11</v>
      </c>
      <c r="B86" s="92" t="str">
        <f>VLOOKUP(A86,[1]Hoja3!$C$3:$D$14,2,FALSE)</f>
        <v>NOVIEMBRE</v>
      </c>
      <c r="C86" s="93">
        <v>45608</v>
      </c>
      <c r="D86" s="101">
        <v>45608</v>
      </c>
      <c r="E86" s="94"/>
      <c r="F86" s="95"/>
      <c r="G86" s="96" t="s">
        <v>509</v>
      </c>
      <c r="H86" s="96" t="s">
        <v>510</v>
      </c>
      <c r="I86" s="247" t="str">
        <f t="shared" si="15"/>
        <v>NOVIEMBRE</v>
      </c>
      <c r="J86" s="97">
        <v>1182.7586206896553</v>
      </c>
      <c r="K86" s="98">
        <f t="shared" ref="K86:K90" si="20">+J86*0.16</f>
        <v>189.24137931034485</v>
      </c>
      <c r="L86" s="98"/>
      <c r="M86" s="98"/>
      <c r="N86" s="98">
        <f t="shared" si="18"/>
        <v>1372.0000000000002</v>
      </c>
      <c r="O86" s="240">
        <v>72210</v>
      </c>
      <c r="P86" s="240" t="s">
        <v>361</v>
      </c>
    </row>
    <row r="87" spans="1:17" x14ac:dyDescent="0.35">
      <c r="A87" s="92">
        <f t="shared" si="14"/>
        <v>11</v>
      </c>
      <c r="B87" s="92" t="str">
        <f>VLOOKUP(A87,[1]Hoja3!$C$3:$D$14,2,FALSE)</f>
        <v>NOVIEMBRE</v>
      </c>
      <c r="C87" s="93">
        <v>45617</v>
      </c>
      <c r="D87" s="101">
        <v>45617</v>
      </c>
      <c r="E87" s="94"/>
      <c r="F87" s="95"/>
      <c r="G87" s="96" t="s">
        <v>800</v>
      </c>
      <c r="H87" s="96" t="s">
        <v>801</v>
      </c>
      <c r="I87" s="247" t="str">
        <f t="shared" si="15"/>
        <v>NOVIEMBRE</v>
      </c>
      <c r="J87" s="97">
        <v>380</v>
      </c>
      <c r="K87" s="98">
        <f t="shared" si="20"/>
        <v>60.800000000000004</v>
      </c>
      <c r="L87" s="98"/>
      <c r="M87" s="98"/>
      <c r="N87" s="98">
        <f t="shared" si="18"/>
        <v>440.8</v>
      </c>
      <c r="O87" s="240">
        <v>54950</v>
      </c>
      <c r="P87" s="240" t="s">
        <v>374</v>
      </c>
    </row>
    <row r="88" spans="1:17" x14ac:dyDescent="0.35">
      <c r="A88" s="92">
        <f t="shared" si="14"/>
        <v>11</v>
      </c>
      <c r="B88" s="92" t="str">
        <f>VLOOKUP(A88,[1]Hoja3!$C$3:$D$14,2,FALSE)</f>
        <v>NOVIEMBRE</v>
      </c>
      <c r="C88" s="93">
        <v>45617</v>
      </c>
      <c r="D88" s="101">
        <v>45617</v>
      </c>
      <c r="E88" s="94"/>
      <c r="F88" s="95"/>
      <c r="G88" s="96" t="s">
        <v>811</v>
      </c>
      <c r="H88" s="96" t="s">
        <v>810</v>
      </c>
      <c r="I88" s="247" t="str">
        <f t="shared" si="15"/>
        <v>NOVIEMBRE</v>
      </c>
      <c r="J88" s="97">
        <v>450</v>
      </c>
      <c r="K88" s="98">
        <f t="shared" si="20"/>
        <v>72</v>
      </c>
      <c r="L88" s="98"/>
      <c r="M88" s="98"/>
      <c r="N88" s="98">
        <f t="shared" si="18"/>
        <v>522</v>
      </c>
      <c r="O88" s="240">
        <v>53390</v>
      </c>
      <c r="P88" s="240" t="s">
        <v>361</v>
      </c>
      <c r="Q88" s="199" t="s">
        <v>812</v>
      </c>
    </row>
    <row r="89" spans="1:17" x14ac:dyDescent="0.35">
      <c r="A89" s="92">
        <f t="shared" si="14"/>
        <v>11</v>
      </c>
      <c r="B89" s="92" t="str">
        <f>VLOOKUP(A89,[1]Hoja3!$C$3:$D$14,2,FALSE)</f>
        <v>NOVIEMBRE</v>
      </c>
      <c r="C89" s="93">
        <v>45617</v>
      </c>
      <c r="D89" s="101">
        <v>45617</v>
      </c>
      <c r="E89" s="94"/>
      <c r="F89" s="95"/>
      <c r="G89" s="96" t="s">
        <v>260</v>
      </c>
      <c r="H89" s="96" t="str">
        <f t="shared" si="17"/>
        <v>OOGM010703NX1</v>
      </c>
      <c r="I89" s="247" t="str">
        <f t="shared" si="15"/>
        <v>NOVIEMBRE</v>
      </c>
      <c r="J89" s="97">
        <v>6135</v>
      </c>
      <c r="K89" s="98">
        <v>0</v>
      </c>
      <c r="L89" s="98"/>
      <c r="M89" s="98"/>
      <c r="N89" s="98">
        <f t="shared" si="18"/>
        <v>6135</v>
      </c>
      <c r="O89" s="240" t="str">
        <f t="shared" si="11"/>
        <v>37675</v>
      </c>
      <c r="P89" s="240" t="str">
        <f t="shared" si="12"/>
        <v>RESICO</v>
      </c>
    </row>
    <row r="90" spans="1:17" x14ac:dyDescent="0.35">
      <c r="A90" s="92">
        <f t="shared" si="14"/>
        <v>11</v>
      </c>
      <c r="B90" s="92" t="str">
        <f>VLOOKUP(A90,[1]Hoja3!$C$3:$D$14,2,FALSE)</f>
        <v>NOVIEMBRE</v>
      </c>
      <c r="C90" s="93">
        <v>45617</v>
      </c>
      <c r="D90" s="101">
        <v>45617</v>
      </c>
      <c r="E90" s="94"/>
      <c r="F90" s="95"/>
      <c r="G90" s="96" t="s">
        <v>811</v>
      </c>
      <c r="H90" s="96" t="s">
        <v>810</v>
      </c>
      <c r="I90" s="247" t="str">
        <f t="shared" si="15"/>
        <v>NOVIEMBRE</v>
      </c>
      <c r="J90" s="97">
        <v>960</v>
      </c>
      <c r="K90" s="98">
        <f t="shared" si="20"/>
        <v>153.6</v>
      </c>
      <c r="L90" s="98"/>
      <c r="M90" s="98"/>
      <c r="N90" s="98">
        <f t="shared" si="18"/>
        <v>1113.5999999999999</v>
      </c>
      <c r="O90" s="240">
        <v>53390</v>
      </c>
      <c r="P90" s="240" t="s">
        <v>361</v>
      </c>
      <c r="Q90" s="199" t="s">
        <v>812</v>
      </c>
    </row>
    <row r="91" spans="1:17" x14ac:dyDescent="0.35">
      <c r="A91" s="92">
        <f t="shared" si="14"/>
        <v>11</v>
      </c>
      <c r="B91" s="92" t="str">
        <f>VLOOKUP(A91,[1]Hoja3!$C$3:$D$14,2,FALSE)</f>
        <v>NOVIEMBRE</v>
      </c>
      <c r="C91" s="93">
        <v>45621</v>
      </c>
      <c r="D91" s="101">
        <v>45621</v>
      </c>
      <c r="E91" s="94"/>
      <c r="F91" s="95"/>
      <c r="G91" s="96" t="s">
        <v>814</v>
      </c>
      <c r="H91" s="96" t="s">
        <v>813</v>
      </c>
      <c r="I91" s="247" t="str">
        <f t="shared" si="15"/>
        <v>NOVIEMBRE</v>
      </c>
      <c r="J91" s="97">
        <v>254.31034482758622</v>
      </c>
      <c r="K91" s="98">
        <f>+J91*0.16</f>
        <v>40.689655172413794</v>
      </c>
      <c r="L91" s="98"/>
      <c r="M91" s="98"/>
      <c r="N91" s="98">
        <f t="shared" si="18"/>
        <v>295</v>
      </c>
      <c r="O91" s="240">
        <v>27297</v>
      </c>
      <c r="P91" s="240" t="s">
        <v>361</v>
      </c>
    </row>
    <row r="92" spans="1:17" x14ac:dyDescent="0.35">
      <c r="A92" s="92">
        <f t="shared" si="14"/>
        <v>11</v>
      </c>
      <c r="B92" s="92" t="str">
        <f>VLOOKUP(A92,[1]Hoja3!$C$3:$D$14,2,FALSE)</f>
        <v>NOVIEMBRE</v>
      </c>
      <c r="C92" s="93">
        <v>45621</v>
      </c>
      <c r="D92" s="101">
        <v>45621</v>
      </c>
      <c r="E92" s="94"/>
      <c r="F92" s="95"/>
      <c r="G92" s="96" t="s">
        <v>816</v>
      </c>
      <c r="H92" s="96" t="s">
        <v>815</v>
      </c>
      <c r="I92" s="247" t="str">
        <f t="shared" si="15"/>
        <v>NOVIEMBRE</v>
      </c>
      <c r="J92" s="97">
        <v>1133.6206896551726</v>
      </c>
      <c r="K92" s="98">
        <f>+J92*0.16</f>
        <v>181.37931034482762</v>
      </c>
      <c r="L92" s="98"/>
      <c r="M92" s="98"/>
      <c r="N92" s="98">
        <f t="shared" si="18"/>
        <v>1315.0000000000002</v>
      </c>
      <c r="O92" s="240">
        <v>50010</v>
      </c>
      <c r="P92" s="240" t="s">
        <v>374</v>
      </c>
    </row>
    <row r="93" spans="1:17" x14ac:dyDescent="0.35">
      <c r="A93" s="92">
        <f t="shared" si="14"/>
        <v>12</v>
      </c>
      <c r="B93" s="92" t="str">
        <f>VLOOKUP(A93,[1]Hoja3!$C$3:$D$14,2,FALSE)</f>
        <v>DICIEMBRE</v>
      </c>
      <c r="C93" s="93">
        <v>45631</v>
      </c>
      <c r="D93" s="101">
        <v>45631</v>
      </c>
      <c r="E93" s="94"/>
      <c r="F93" s="95"/>
      <c r="G93" s="96" t="s">
        <v>260</v>
      </c>
      <c r="H93" s="96" t="str">
        <f t="shared" si="17"/>
        <v>OOGM010703NX1</v>
      </c>
      <c r="I93" s="247" t="str">
        <f t="shared" si="15"/>
        <v>DICIEMBRE</v>
      </c>
      <c r="J93" s="97">
        <v>6035</v>
      </c>
      <c r="K93" s="98">
        <v>0</v>
      </c>
      <c r="L93" s="98"/>
      <c r="M93" s="98"/>
      <c r="N93" s="98">
        <f t="shared" si="18"/>
        <v>6035</v>
      </c>
      <c r="O93" s="240" t="str">
        <f t="shared" si="11"/>
        <v>37675</v>
      </c>
      <c r="P93" s="240" t="str">
        <f t="shared" si="12"/>
        <v>RESICO</v>
      </c>
    </row>
    <row r="94" spans="1:17" x14ac:dyDescent="0.35">
      <c r="A94" s="92">
        <f t="shared" si="14"/>
        <v>12</v>
      </c>
      <c r="B94" s="92" t="str">
        <f>VLOOKUP(A94,[1]Hoja3!$C$3:$D$14,2,FALSE)</f>
        <v>DICIEMBRE</v>
      </c>
      <c r="C94" s="93">
        <v>45631</v>
      </c>
      <c r="D94" s="101">
        <v>45631</v>
      </c>
      <c r="E94" s="94"/>
      <c r="F94" s="95"/>
      <c r="G94" s="96" t="s">
        <v>818</v>
      </c>
      <c r="H94" s="96" t="s">
        <v>817</v>
      </c>
      <c r="I94" s="247" t="str">
        <f t="shared" si="15"/>
        <v>DICIEMBRE</v>
      </c>
      <c r="J94" s="97">
        <v>198.28</v>
      </c>
      <c r="K94" s="98">
        <f>+J94*0.16</f>
        <v>31.724800000000002</v>
      </c>
      <c r="L94" s="98"/>
      <c r="M94" s="98"/>
      <c r="N94" s="98">
        <f t="shared" si="18"/>
        <v>230.00479999999999</v>
      </c>
      <c r="O94" s="240">
        <v>76907</v>
      </c>
      <c r="P94" s="240" t="s">
        <v>374</v>
      </c>
    </row>
    <row r="95" spans="1:17" x14ac:dyDescent="0.35">
      <c r="A95" s="92">
        <f t="shared" si="14"/>
        <v>12</v>
      </c>
      <c r="B95" s="92" t="str">
        <f>VLOOKUP(A95,[1]Hoja3!$C$3:$D$14,2,FALSE)</f>
        <v>DICIEMBRE</v>
      </c>
      <c r="C95" s="93">
        <v>45631</v>
      </c>
      <c r="D95" s="101">
        <v>45631</v>
      </c>
      <c r="E95" s="94"/>
      <c r="F95" s="95"/>
      <c r="G95" s="96" t="s">
        <v>260</v>
      </c>
      <c r="H95" s="96" t="str">
        <f t="shared" si="17"/>
        <v>OOGM010703NX1</v>
      </c>
      <c r="I95" s="247" t="str">
        <f t="shared" si="15"/>
        <v>DICIEMBRE</v>
      </c>
      <c r="J95" s="97">
        <v>4065</v>
      </c>
      <c r="K95" s="98">
        <v>0</v>
      </c>
      <c r="L95" s="98"/>
      <c r="M95" s="98"/>
      <c r="N95" s="98">
        <f t="shared" si="18"/>
        <v>4065</v>
      </c>
      <c r="O95" s="240" t="str">
        <f t="shared" si="11"/>
        <v>37675</v>
      </c>
      <c r="P95" s="240" t="str">
        <f t="shared" si="12"/>
        <v>RESICO</v>
      </c>
    </row>
    <row r="96" spans="1:17" x14ac:dyDescent="0.35">
      <c r="A96" s="92">
        <f t="shared" si="14"/>
        <v>12</v>
      </c>
      <c r="B96" s="92" t="str">
        <f>VLOOKUP(A96,[1]Hoja3!$C$3:$D$14,2,FALSE)</f>
        <v>DICIEMBRE</v>
      </c>
      <c r="C96" s="93">
        <v>45631</v>
      </c>
      <c r="D96" s="101">
        <v>45631</v>
      </c>
      <c r="E96" s="94"/>
      <c r="F96" s="95"/>
      <c r="G96" s="96" t="s">
        <v>453</v>
      </c>
      <c r="H96" s="96" t="s">
        <v>454</v>
      </c>
      <c r="I96" s="247" t="str">
        <f t="shared" si="15"/>
        <v>DICIEMBRE</v>
      </c>
      <c r="J96" s="97">
        <v>790</v>
      </c>
      <c r="K96" s="98">
        <f t="shared" ref="K96:K102" si="21">+J96*0.16</f>
        <v>126.4</v>
      </c>
      <c r="L96" s="98"/>
      <c r="M96" s="98"/>
      <c r="N96" s="98">
        <f t="shared" si="18"/>
        <v>916.4</v>
      </c>
      <c r="O96" s="240">
        <v>44610</v>
      </c>
      <c r="P96" s="240" t="s">
        <v>361</v>
      </c>
    </row>
    <row r="97" spans="1:17" x14ac:dyDescent="0.35">
      <c r="A97" s="92">
        <f t="shared" si="14"/>
        <v>12</v>
      </c>
      <c r="B97" s="92" t="str">
        <f>VLOOKUP(A97,[1]Hoja3!$C$3:$D$14,2,FALSE)</f>
        <v>DICIEMBRE</v>
      </c>
      <c r="C97" s="93">
        <v>45631</v>
      </c>
      <c r="D97" s="101">
        <v>45631</v>
      </c>
      <c r="E97" s="94"/>
      <c r="F97" s="95"/>
      <c r="G97" t="s">
        <v>820</v>
      </c>
      <c r="H97" t="s">
        <v>819</v>
      </c>
      <c r="I97" s="247" t="str">
        <f t="shared" si="15"/>
        <v>DICIEMBRE</v>
      </c>
      <c r="J97" s="97">
        <v>320</v>
      </c>
      <c r="K97" s="98">
        <f t="shared" si="21"/>
        <v>51.2</v>
      </c>
      <c r="L97" s="98"/>
      <c r="M97" s="98"/>
      <c r="N97" s="98">
        <f t="shared" si="18"/>
        <v>371.2</v>
      </c>
      <c r="O97" s="240">
        <v>11000</v>
      </c>
      <c r="P97" s="240" t="s">
        <v>361</v>
      </c>
    </row>
    <row r="98" spans="1:17" x14ac:dyDescent="0.35">
      <c r="A98" s="92">
        <f t="shared" si="14"/>
        <v>12</v>
      </c>
      <c r="B98" s="92" t="str">
        <f>VLOOKUP(A98,[1]Hoja3!$C$3:$D$14,2,FALSE)</f>
        <v>DICIEMBRE</v>
      </c>
      <c r="C98" s="93">
        <v>45632</v>
      </c>
      <c r="D98" s="101">
        <v>45632</v>
      </c>
      <c r="E98" s="94"/>
      <c r="F98" s="95"/>
      <c r="G98" s="96" t="s">
        <v>822</v>
      </c>
      <c r="H98" s="96" t="s">
        <v>821</v>
      </c>
      <c r="I98" s="247" t="str">
        <f t="shared" si="15"/>
        <v>DICIEMBRE</v>
      </c>
      <c r="J98" s="97">
        <v>172.41</v>
      </c>
      <c r="K98" s="98">
        <f t="shared" si="21"/>
        <v>27.585599999999999</v>
      </c>
      <c r="L98" s="98"/>
      <c r="M98" s="98"/>
      <c r="N98" s="98">
        <f t="shared" si="18"/>
        <v>199.9956</v>
      </c>
      <c r="O98" s="240">
        <v>2120</v>
      </c>
      <c r="P98" s="240" t="s">
        <v>361</v>
      </c>
      <c r="Q98" t="s">
        <v>823</v>
      </c>
    </row>
    <row r="99" spans="1:17" x14ac:dyDescent="0.35">
      <c r="A99" s="92">
        <f t="shared" si="14"/>
        <v>12</v>
      </c>
      <c r="B99" s="92" t="str">
        <f>VLOOKUP(A99,[1]Hoja3!$C$3:$D$14,2,FALSE)</f>
        <v>DICIEMBRE</v>
      </c>
      <c r="C99" s="93">
        <v>45632</v>
      </c>
      <c r="D99" s="101">
        <v>45632</v>
      </c>
      <c r="E99" s="94"/>
      <c r="F99" s="95"/>
      <c r="G99" s="96" t="s">
        <v>822</v>
      </c>
      <c r="H99" s="96" t="s">
        <v>821</v>
      </c>
      <c r="I99" s="247" t="str">
        <f t="shared" si="15"/>
        <v>DICIEMBRE</v>
      </c>
      <c r="J99" s="97">
        <v>297.41000000000003</v>
      </c>
      <c r="K99" s="98">
        <f t="shared" si="21"/>
        <v>47.585600000000007</v>
      </c>
      <c r="L99" s="98"/>
      <c r="M99" s="98"/>
      <c r="N99" s="98">
        <f t="shared" si="18"/>
        <v>344.99560000000002</v>
      </c>
      <c r="O99" s="240">
        <v>2120</v>
      </c>
      <c r="P99" s="240" t="s">
        <v>361</v>
      </c>
      <c r="Q99" t="s">
        <v>823</v>
      </c>
    </row>
    <row r="100" spans="1:17" x14ac:dyDescent="0.35">
      <c r="A100" s="92">
        <f t="shared" si="14"/>
        <v>12</v>
      </c>
      <c r="B100" s="92" t="str">
        <f>VLOOKUP(A100,[1]Hoja3!$C$3:$D$14,2,FALSE)</f>
        <v>DICIEMBRE</v>
      </c>
      <c r="C100" s="93">
        <v>45632</v>
      </c>
      <c r="D100" s="101">
        <v>45632</v>
      </c>
      <c r="E100" s="94"/>
      <c r="F100" s="95"/>
      <c r="G100" s="96" t="s">
        <v>822</v>
      </c>
      <c r="H100" s="96" t="s">
        <v>821</v>
      </c>
      <c r="I100" s="247" t="str">
        <f t="shared" si="15"/>
        <v>DICIEMBRE</v>
      </c>
      <c r="J100" s="97">
        <v>198.28</v>
      </c>
      <c r="K100" s="98">
        <f t="shared" si="21"/>
        <v>31.724800000000002</v>
      </c>
      <c r="L100" s="98"/>
      <c r="M100" s="98"/>
      <c r="N100" s="98">
        <f t="shared" si="18"/>
        <v>230.00479999999999</v>
      </c>
      <c r="O100" s="240">
        <v>2120</v>
      </c>
      <c r="P100" s="240" t="s">
        <v>361</v>
      </c>
      <c r="Q100" t="s">
        <v>823</v>
      </c>
    </row>
    <row r="101" spans="1:17" x14ac:dyDescent="0.35">
      <c r="A101" s="92">
        <f t="shared" si="14"/>
        <v>12</v>
      </c>
      <c r="B101" s="92" t="str">
        <f>VLOOKUP(A101,[1]Hoja3!$C$3:$D$14,2,FALSE)</f>
        <v>DICIEMBRE</v>
      </c>
      <c r="C101" s="93">
        <v>45632</v>
      </c>
      <c r="D101" s="101">
        <v>45632</v>
      </c>
      <c r="E101" s="94"/>
      <c r="F101" s="95"/>
      <c r="G101" s="96" t="s">
        <v>822</v>
      </c>
      <c r="H101" s="96" t="s">
        <v>821</v>
      </c>
      <c r="I101" s="247" t="str">
        <f t="shared" si="15"/>
        <v>DICIEMBRE</v>
      </c>
      <c r="J101" s="97">
        <v>198.28</v>
      </c>
      <c r="K101" s="98">
        <f t="shared" si="21"/>
        <v>31.724800000000002</v>
      </c>
      <c r="L101" s="98"/>
      <c r="M101" s="98"/>
      <c r="N101" s="98">
        <f t="shared" si="18"/>
        <v>230.00479999999999</v>
      </c>
      <c r="O101" s="240">
        <v>2120</v>
      </c>
      <c r="P101" s="240" t="s">
        <v>361</v>
      </c>
      <c r="Q101" t="s">
        <v>823</v>
      </c>
    </row>
    <row r="102" spans="1:17" x14ac:dyDescent="0.35">
      <c r="A102" s="92">
        <f t="shared" si="14"/>
        <v>12</v>
      </c>
      <c r="B102" s="92" t="str">
        <f>VLOOKUP(A102,[1]Hoja3!$C$3:$D$14,2,FALSE)</f>
        <v>DICIEMBRE</v>
      </c>
      <c r="C102" s="93">
        <v>45632</v>
      </c>
      <c r="D102" s="101">
        <v>45632</v>
      </c>
      <c r="E102" s="94"/>
      <c r="F102" s="95"/>
      <c r="G102" s="96" t="s">
        <v>822</v>
      </c>
      <c r="H102" s="96" t="s">
        <v>821</v>
      </c>
      <c r="I102" s="247" t="str">
        <f t="shared" si="15"/>
        <v>DICIEMBRE</v>
      </c>
      <c r="J102" s="97">
        <v>211.21</v>
      </c>
      <c r="K102" s="98">
        <f t="shared" si="21"/>
        <v>33.793600000000005</v>
      </c>
      <c r="L102" s="98"/>
      <c r="M102" s="98"/>
      <c r="N102" s="98">
        <f t="shared" si="18"/>
        <v>245.00360000000001</v>
      </c>
      <c r="O102" s="240">
        <v>2120</v>
      </c>
      <c r="P102" s="240" t="s">
        <v>361</v>
      </c>
      <c r="Q102" t="s">
        <v>823</v>
      </c>
    </row>
    <row r="103" spans="1:17" x14ac:dyDescent="0.35">
      <c r="A103" s="92">
        <f t="shared" si="14"/>
        <v>12</v>
      </c>
      <c r="B103" s="92" t="str">
        <f>VLOOKUP(A103,[1]Hoja3!$C$3:$D$14,2,FALSE)</f>
        <v>DICIEMBRE</v>
      </c>
      <c r="C103" s="93">
        <v>45644</v>
      </c>
      <c r="D103" s="101">
        <v>45644</v>
      </c>
      <c r="E103" s="94"/>
      <c r="F103" s="95"/>
      <c r="G103" s="96" t="s">
        <v>260</v>
      </c>
      <c r="H103" s="96" t="str">
        <f t="shared" si="17"/>
        <v>OOGM010703NX1</v>
      </c>
      <c r="I103" s="247" t="str">
        <f t="shared" si="15"/>
        <v>DICIEMBRE</v>
      </c>
      <c r="J103" s="97">
        <v>6701</v>
      </c>
      <c r="K103" s="98">
        <v>0</v>
      </c>
      <c r="L103" s="98"/>
      <c r="M103" s="98"/>
      <c r="N103" s="98">
        <f t="shared" si="18"/>
        <v>6701</v>
      </c>
      <c r="O103" s="240" t="str">
        <f t="shared" si="11"/>
        <v>37675</v>
      </c>
      <c r="P103" s="240" t="str">
        <f t="shared" si="12"/>
        <v>RESICO</v>
      </c>
    </row>
    <row r="104" spans="1:17" x14ac:dyDescent="0.35">
      <c r="A104" s="92">
        <f t="shared" si="14"/>
        <v>12</v>
      </c>
      <c r="B104" s="92" t="str">
        <f>VLOOKUP(A104,[1]Hoja3!$C$3:$D$14,2,FALSE)</f>
        <v>DICIEMBRE</v>
      </c>
      <c r="C104" s="93">
        <v>45644</v>
      </c>
      <c r="D104" s="101">
        <v>45644</v>
      </c>
      <c r="E104" s="94"/>
      <c r="F104" s="95"/>
      <c r="G104" s="96" t="s">
        <v>260</v>
      </c>
      <c r="H104" s="96" t="str">
        <f t="shared" si="17"/>
        <v>OOGM010703NX1</v>
      </c>
      <c r="I104" s="247" t="str">
        <f t="shared" si="15"/>
        <v>DICIEMBRE</v>
      </c>
      <c r="J104" s="97">
        <v>9525</v>
      </c>
      <c r="K104" s="98">
        <v>0</v>
      </c>
      <c r="L104" s="98"/>
      <c r="M104" s="98"/>
      <c r="N104" s="98">
        <f t="shared" si="18"/>
        <v>9525</v>
      </c>
      <c r="O104" s="240" t="str">
        <f t="shared" si="11"/>
        <v>37675</v>
      </c>
      <c r="P104" s="240" t="str">
        <f t="shared" si="12"/>
        <v>RESICO</v>
      </c>
    </row>
    <row r="105" spans="1:17" x14ac:dyDescent="0.35">
      <c r="A105" s="92">
        <f t="shared" si="14"/>
        <v>12</v>
      </c>
      <c r="B105" s="92" t="str">
        <f>VLOOKUP(A105,[1]Hoja3!$C$3:$D$14,2,FALSE)</f>
        <v>DICIEMBRE</v>
      </c>
      <c r="C105" s="93">
        <v>45644</v>
      </c>
      <c r="D105" s="101">
        <v>45644</v>
      </c>
      <c r="E105" s="94"/>
      <c r="F105" s="95"/>
      <c r="G105" s="96" t="s">
        <v>825</v>
      </c>
      <c r="H105" s="96" t="s">
        <v>824</v>
      </c>
      <c r="I105" s="247" t="str">
        <f t="shared" si="15"/>
        <v>DICIEMBRE</v>
      </c>
      <c r="J105" s="97">
        <v>435.34482758620692</v>
      </c>
      <c r="K105" s="98">
        <f t="shared" ref="K105:K106" si="22">+J105*0.16</f>
        <v>69.65517241379311</v>
      </c>
      <c r="L105" s="98"/>
      <c r="M105" s="98"/>
      <c r="N105" s="98">
        <f t="shared" si="18"/>
        <v>505</v>
      </c>
      <c r="O105" s="240">
        <v>66603</v>
      </c>
      <c r="P105" s="240" t="s">
        <v>361</v>
      </c>
      <c r="Q105" t="s">
        <v>826</v>
      </c>
    </row>
    <row r="106" spans="1:17" x14ac:dyDescent="0.35">
      <c r="A106" s="92">
        <f t="shared" si="14"/>
        <v>12</v>
      </c>
      <c r="B106" s="92" t="str">
        <f>VLOOKUP(A106,[1]Hoja3!$C$3:$D$14,2,FALSE)</f>
        <v>DICIEMBRE</v>
      </c>
      <c r="C106" s="93">
        <v>45646</v>
      </c>
      <c r="D106" s="101">
        <v>45646</v>
      </c>
      <c r="E106" s="94"/>
      <c r="F106" s="95"/>
      <c r="G106" s="96" t="s">
        <v>828</v>
      </c>
      <c r="H106" s="96" t="s">
        <v>827</v>
      </c>
      <c r="I106" s="247" t="str">
        <f t="shared" si="15"/>
        <v>DICIEMBRE</v>
      </c>
      <c r="J106" s="97">
        <v>642.24</v>
      </c>
      <c r="K106" s="98">
        <f t="shared" si="22"/>
        <v>102.75840000000001</v>
      </c>
      <c r="L106" s="98"/>
      <c r="M106" s="98"/>
      <c r="N106" s="98">
        <f t="shared" si="18"/>
        <v>744.99840000000006</v>
      </c>
      <c r="O106" s="240">
        <v>31060</v>
      </c>
      <c r="P106" s="240" t="s">
        <v>374</v>
      </c>
    </row>
    <row r="107" spans="1:17" x14ac:dyDescent="0.35">
      <c r="A107" s="92">
        <f t="shared" si="14"/>
        <v>12</v>
      </c>
      <c r="B107" s="92" t="str">
        <f>VLOOKUP(A107,[1]Hoja3!$C$3:$D$14,2,FALSE)</f>
        <v>DICIEMBRE</v>
      </c>
      <c r="C107" s="93">
        <v>45657</v>
      </c>
      <c r="D107" s="101">
        <v>45657</v>
      </c>
      <c r="E107" s="94"/>
      <c r="F107" s="95"/>
      <c r="G107" s="96" t="s">
        <v>260</v>
      </c>
      <c r="H107" s="96" t="str">
        <f t="shared" si="17"/>
        <v>OOGM010703NX1</v>
      </c>
      <c r="I107" s="247" t="str">
        <f t="shared" si="15"/>
        <v>DICIEMBRE</v>
      </c>
      <c r="J107" s="97">
        <v>11025</v>
      </c>
      <c r="K107" s="98">
        <v>0</v>
      </c>
      <c r="L107" s="98"/>
      <c r="M107" s="98"/>
      <c r="N107" s="98">
        <f t="shared" si="18"/>
        <v>11025</v>
      </c>
      <c r="O107" s="240" t="str">
        <f t="shared" si="11"/>
        <v>37675</v>
      </c>
      <c r="P107" s="240" t="str">
        <f t="shared" si="12"/>
        <v>RESICO</v>
      </c>
    </row>
    <row r="108" spans="1:17" x14ac:dyDescent="0.35">
      <c r="A108" s="92">
        <f t="shared" si="14"/>
        <v>12</v>
      </c>
      <c r="B108" s="92" t="str">
        <f>VLOOKUP(A108,[1]Hoja3!$C$3:$D$14,2,FALSE)</f>
        <v>DICIEMBRE</v>
      </c>
      <c r="C108" s="93">
        <v>45657</v>
      </c>
      <c r="D108" s="101">
        <v>45657</v>
      </c>
      <c r="E108" s="94"/>
      <c r="F108" s="95"/>
      <c r="G108" s="96" t="s">
        <v>739</v>
      </c>
      <c r="H108" s="96" t="s">
        <v>738</v>
      </c>
      <c r="I108" s="247" t="str">
        <f t="shared" si="15"/>
        <v>DICIEMBRE</v>
      </c>
      <c r="J108" s="97">
        <v>1329</v>
      </c>
      <c r="K108" s="98">
        <f>+J108*0.16</f>
        <v>212.64000000000001</v>
      </c>
      <c r="L108" s="98"/>
      <c r="M108" s="98"/>
      <c r="N108" s="98">
        <f t="shared" si="18"/>
        <v>1541.64</v>
      </c>
      <c r="O108" s="240">
        <v>37220</v>
      </c>
      <c r="P108" s="240" t="s">
        <v>740</v>
      </c>
    </row>
    <row r="109" spans="1:17" x14ac:dyDescent="0.35">
      <c r="A109" s="92">
        <f t="shared" si="14"/>
        <v>12</v>
      </c>
      <c r="B109" s="92" t="str">
        <f>VLOOKUP(A109,[1]Hoja3!$C$3:$D$14,2,FALSE)</f>
        <v>DICIEMBRE</v>
      </c>
      <c r="C109" s="93">
        <v>45657</v>
      </c>
      <c r="D109" s="101">
        <v>45657</v>
      </c>
      <c r="E109" s="94"/>
      <c r="F109" s="95"/>
      <c r="G109" s="96" t="s">
        <v>503</v>
      </c>
      <c r="H109" s="96" t="s">
        <v>502</v>
      </c>
      <c r="I109" s="247" t="str">
        <f t="shared" si="15"/>
        <v>DICIEMBRE</v>
      </c>
      <c r="J109" s="97">
        <v>460</v>
      </c>
      <c r="K109" s="98">
        <f>+J109*0.16</f>
        <v>73.600000000000009</v>
      </c>
      <c r="L109" s="98"/>
      <c r="M109" s="98"/>
      <c r="N109" s="98">
        <f t="shared" si="18"/>
        <v>533.6</v>
      </c>
      <c r="O109" s="240">
        <v>76226</v>
      </c>
      <c r="P109" s="240" t="s">
        <v>361</v>
      </c>
    </row>
    <row r="110" spans="1:17" x14ac:dyDescent="0.35">
      <c r="A110" s="92">
        <f t="shared" si="14"/>
        <v>12</v>
      </c>
      <c r="B110" s="92" t="str">
        <f>VLOOKUP(A110,[1]Hoja3!$C$3:$D$14,2,FALSE)</f>
        <v>DICIEMBRE</v>
      </c>
      <c r="C110" s="93">
        <v>45657</v>
      </c>
      <c r="D110" s="101">
        <v>45657</v>
      </c>
      <c r="E110" s="94"/>
      <c r="F110" s="95"/>
      <c r="G110" s="96" t="s">
        <v>830</v>
      </c>
      <c r="H110" s="96" t="s">
        <v>829</v>
      </c>
      <c r="I110" s="247" t="str">
        <f t="shared" si="15"/>
        <v>DICIEMBRE</v>
      </c>
      <c r="J110" s="97">
        <v>1535</v>
      </c>
      <c r="K110" s="98">
        <f>+J110*0.16</f>
        <v>245.6</v>
      </c>
      <c r="L110" s="98"/>
      <c r="M110" s="98"/>
      <c r="N110" s="98">
        <f t="shared" si="18"/>
        <v>1780.6</v>
      </c>
      <c r="O110" s="240">
        <v>36700</v>
      </c>
      <c r="P110" s="240" t="s">
        <v>361</v>
      </c>
    </row>
    <row r="111" spans="1:17" x14ac:dyDescent="0.35">
      <c r="A111" s="92">
        <f t="shared" si="14"/>
        <v>12</v>
      </c>
      <c r="B111" s="92" t="str">
        <f>VLOOKUP(A111,[1]Hoja3!$C$3:$D$14,2,FALSE)</f>
        <v>DICIEMBRE</v>
      </c>
      <c r="C111" s="93">
        <v>45657</v>
      </c>
      <c r="D111" s="101">
        <v>45657</v>
      </c>
      <c r="E111" s="94"/>
      <c r="F111" s="95"/>
      <c r="G111" s="96" t="s">
        <v>832</v>
      </c>
      <c r="H111" s="96" t="s">
        <v>831</v>
      </c>
      <c r="I111" s="247" t="str">
        <f t="shared" si="15"/>
        <v>DICIEMBRE</v>
      </c>
      <c r="J111" s="97">
        <v>534.48</v>
      </c>
      <c r="K111" s="98">
        <f>+J111*0.16</f>
        <v>85.516800000000003</v>
      </c>
      <c r="L111" s="98"/>
      <c r="M111" s="98"/>
      <c r="N111" s="98">
        <f t="shared" si="18"/>
        <v>619.99680000000001</v>
      </c>
      <c r="O111" s="240">
        <v>52924</v>
      </c>
      <c r="P111" s="240" t="s">
        <v>374</v>
      </c>
      <c r="Q111" t="s">
        <v>833</v>
      </c>
    </row>
    <row r="112" spans="1:17" x14ac:dyDescent="0.35">
      <c r="A112" s="92">
        <f t="shared" si="14"/>
        <v>10</v>
      </c>
      <c r="B112" s="92" t="str">
        <f>VLOOKUP(A112,[1]Hoja3!$C$3:$D$14,2,FALSE)</f>
        <v>OCTUBRE</v>
      </c>
      <c r="C112" s="93">
        <v>45596</v>
      </c>
      <c r="D112" s="101">
        <v>45596</v>
      </c>
      <c r="E112" s="94"/>
      <c r="F112" s="95"/>
      <c r="G112" s="96" t="s">
        <v>452</v>
      </c>
      <c r="H112" s="96" t="b">
        <f t="shared" si="17"/>
        <v>0</v>
      </c>
      <c r="I112" s="247" t="str">
        <f t="shared" si="15"/>
        <v>OCTUBRE</v>
      </c>
      <c r="J112" s="97">
        <v>318271</v>
      </c>
      <c r="K112" s="98">
        <v>0</v>
      </c>
      <c r="L112" s="98"/>
      <c r="M112" s="98"/>
      <c r="N112" s="98">
        <f t="shared" si="18"/>
        <v>318271</v>
      </c>
      <c r="O112" s="240" t="b">
        <f t="shared" si="11"/>
        <v>0</v>
      </c>
      <c r="P112" s="240" t="b">
        <f t="shared" si="12"/>
        <v>0</v>
      </c>
    </row>
    <row r="113" spans="1:16" x14ac:dyDescent="0.35">
      <c r="A113" s="92">
        <f t="shared" si="14"/>
        <v>11</v>
      </c>
      <c r="B113" s="92" t="str">
        <f>VLOOKUP(A113,[1]Hoja3!$C$3:$D$14,2,FALSE)</f>
        <v>NOVIEMBRE</v>
      </c>
      <c r="C113" s="93">
        <v>45626</v>
      </c>
      <c r="D113" s="101">
        <v>45626</v>
      </c>
      <c r="E113" s="94"/>
      <c r="F113" s="95"/>
      <c r="G113" s="96" t="s">
        <v>452</v>
      </c>
      <c r="H113" s="96" t="b">
        <f t="shared" si="17"/>
        <v>0</v>
      </c>
      <c r="I113" s="247" t="str">
        <f t="shared" si="15"/>
        <v>NOVIEMBRE</v>
      </c>
      <c r="J113" s="97">
        <v>261235</v>
      </c>
      <c r="K113" s="98">
        <v>0</v>
      </c>
      <c r="L113" s="98"/>
      <c r="M113" s="98"/>
      <c r="N113" s="98">
        <f t="shared" si="18"/>
        <v>261235</v>
      </c>
      <c r="O113" s="240" t="b">
        <f t="shared" si="11"/>
        <v>0</v>
      </c>
      <c r="P113" s="240" t="b">
        <f t="shared" si="12"/>
        <v>0</v>
      </c>
    </row>
    <row r="114" spans="1:16" x14ac:dyDescent="0.35">
      <c r="A114" s="92">
        <f t="shared" si="14"/>
        <v>12</v>
      </c>
      <c r="B114" s="92" t="str">
        <f>VLOOKUP(A114,[1]Hoja3!$C$3:$D$14,2,FALSE)</f>
        <v>DICIEMBRE</v>
      </c>
      <c r="C114" s="93">
        <v>45657</v>
      </c>
      <c r="D114" s="101">
        <v>45657</v>
      </c>
      <c r="E114" s="94"/>
      <c r="F114" s="95"/>
      <c r="G114" s="96" t="s">
        <v>452</v>
      </c>
      <c r="H114" s="96" t="b">
        <f t="shared" si="17"/>
        <v>0</v>
      </c>
      <c r="I114" s="247" t="str">
        <f t="shared" si="15"/>
        <v>DICIEMBRE</v>
      </c>
      <c r="J114" s="97">
        <v>480123</v>
      </c>
      <c r="K114" s="98">
        <v>0</v>
      </c>
      <c r="L114" s="98"/>
      <c r="M114" s="98"/>
      <c r="N114" s="98">
        <f t="shared" si="18"/>
        <v>480123</v>
      </c>
      <c r="O114" s="240" t="b">
        <f t="shared" si="11"/>
        <v>0</v>
      </c>
      <c r="P114" s="240" t="b">
        <f t="shared" si="12"/>
        <v>0</v>
      </c>
    </row>
    <row r="115" spans="1:16" x14ac:dyDescent="0.35">
      <c r="A115" s="92">
        <f t="shared" si="14"/>
        <v>0</v>
      </c>
      <c r="B115" s="92" t="e">
        <f>VLOOKUP(A115,[1]Hoja3!$C$3:$D$14,2,FALSE)</f>
        <v>#N/A</v>
      </c>
      <c r="C115" s="93"/>
      <c r="D115" s="101"/>
      <c r="E115" s="94"/>
      <c r="F115" s="95"/>
      <c r="G115" s="96"/>
      <c r="H115" s="96" t="b">
        <f t="shared" si="17"/>
        <v>0</v>
      </c>
      <c r="I115" s="247" t="e">
        <f t="shared" si="15"/>
        <v>#N/A</v>
      </c>
      <c r="J115" s="97">
        <v>0</v>
      </c>
      <c r="K115" s="98">
        <v>0</v>
      </c>
      <c r="L115" s="98"/>
      <c r="M115" s="98"/>
      <c r="N115" s="98">
        <f t="shared" si="18"/>
        <v>0</v>
      </c>
      <c r="O115" s="240" t="b">
        <f t="shared" si="11"/>
        <v>0</v>
      </c>
      <c r="P115" s="240" t="b">
        <f t="shared" si="12"/>
        <v>0</v>
      </c>
    </row>
    <row r="116" spans="1:16" x14ac:dyDescent="0.35">
      <c r="A116" s="92">
        <f t="shared" si="14"/>
        <v>0</v>
      </c>
      <c r="B116" s="92" t="e">
        <f>VLOOKUP(A116,[1]Hoja3!$C$3:$D$14,2,FALSE)</f>
        <v>#N/A</v>
      </c>
      <c r="C116" s="93"/>
      <c r="D116" s="101"/>
      <c r="E116" s="94"/>
      <c r="F116" s="95"/>
      <c r="G116" s="96"/>
      <c r="H116" s="96" t="b">
        <f t="shared" si="17"/>
        <v>0</v>
      </c>
      <c r="I116" s="247" t="e">
        <f t="shared" si="15"/>
        <v>#N/A</v>
      </c>
      <c r="J116" s="97">
        <v>0</v>
      </c>
      <c r="K116" s="98">
        <v>0</v>
      </c>
      <c r="L116" s="98"/>
      <c r="M116" s="98"/>
      <c r="N116" s="98">
        <f t="shared" si="18"/>
        <v>0</v>
      </c>
      <c r="O116" s="240" t="b">
        <f t="shared" si="11"/>
        <v>0</v>
      </c>
      <c r="P116" s="240" t="b">
        <f t="shared" si="12"/>
        <v>0</v>
      </c>
    </row>
    <row r="117" spans="1:16" x14ac:dyDescent="0.35">
      <c r="A117" s="92">
        <f t="shared" si="14"/>
        <v>0</v>
      </c>
      <c r="B117" s="92" t="e">
        <f>VLOOKUP(A117,[1]Hoja3!$C$3:$D$14,2,FALSE)</f>
        <v>#N/A</v>
      </c>
      <c r="C117" s="93"/>
      <c r="D117" s="101"/>
      <c r="E117" s="94"/>
      <c r="F117" s="95"/>
      <c r="G117" s="96"/>
      <c r="H117" s="96" t="b">
        <f t="shared" si="17"/>
        <v>0</v>
      </c>
      <c r="I117" s="247" t="e">
        <f t="shared" si="15"/>
        <v>#N/A</v>
      </c>
      <c r="J117" s="97">
        <v>0</v>
      </c>
      <c r="K117" s="98">
        <v>0</v>
      </c>
      <c r="L117" s="98"/>
      <c r="M117" s="98"/>
      <c r="N117" s="98">
        <f t="shared" si="18"/>
        <v>0</v>
      </c>
      <c r="O117" s="240" t="b">
        <f t="shared" si="11"/>
        <v>0</v>
      </c>
      <c r="P117" s="240" t="b">
        <f t="shared" si="12"/>
        <v>0</v>
      </c>
    </row>
    <row r="118" spans="1:16" x14ac:dyDescent="0.35">
      <c r="A118" s="92">
        <f t="shared" si="14"/>
        <v>0</v>
      </c>
      <c r="B118" s="92" t="e">
        <f>VLOOKUP(A118,[1]Hoja3!$C$3:$D$14,2,FALSE)</f>
        <v>#N/A</v>
      </c>
      <c r="C118" s="93"/>
      <c r="D118" s="101"/>
      <c r="E118" s="94"/>
      <c r="F118" s="95"/>
      <c r="G118" s="96"/>
      <c r="H118" s="96" t="b">
        <f t="shared" si="17"/>
        <v>0</v>
      </c>
      <c r="I118" s="247" t="e">
        <f t="shared" si="15"/>
        <v>#N/A</v>
      </c>
      <c r="J118" s="97">
        <v>0</v>
      </c>
      <c r="K118" s="98">
        <v>0</v>
      </c>
      <c r="L118" s="98"/>
      <c r="M118" s="98"/>
      <c r="N118" s="98">
        <f t="shared" si="18"/>
        <v>0</v>
      </c>
      <c r="O118" s="240" t="b">
        <f t="shared" si="11"/>
        <v>0</v>
      </c>
      <c r="P118" s="240" t="b">
        <f t="shared" si="12"/>
        <v>0</v>
      </c>
    </row>
    <row r="119" spans="1:16" x14ac:dyDescent="0.35">
      <c r="A119" s="92">
        <f t="shared" si="14"/>
        <v>0</v>
      </c>
      <c r="B119" s="92" t="e">
        <f>VLOOKUP(A119,[1]Hoja3!$C$3:$D$14,2,FALSE)</f>
        <v>#N/A</v>
      </c>
      <c r="C119" s="93"/>
      <c r="D119" s="101"/>
      <c r="E119" s="94"/>
      <c r="F119" s="95"/>
      <c r="G119" s="96"/>
      <c r="H119" s="96" t="b">
        <f t="shared" si="17"/>
        <v>0</v>
      </c>
      <c r="I119" s="247" t="e">
        <f t="shared" si="15"/>
        <v>#N/A</v>
      </c>
      <c r="J119" s="97">
        <v>0</v>
      </c>
      <c r="K119" s="98">
        <v>0</v>
      </c>
      <c r="L119" s="98"/>
      <c r="M119" s="98"/>
      <c r="N119" s="98">
        <f t="shared" si="18"/>
        <v>0</v>
      </c>
      <c r="O119" s="240" t="b">
        <f t="shared" si="11"/>
        <v>0</v>
      </c>
      <c r="P119" s="240" t="b">
        <f t="shared" si="12"/>
        <v>0</v>
      </c>
    </row>
    <row r="120" spans="1:16" x14ac:dyDescent="0.35">
      <c r="A120" s="92">
        <f t="shared" si="14"/>
        <v>0</v>
      </c>
      <c r="B120" s="92" t="e">
        <f>VLOOKUP(A120,[1]Hoja3!$C$3:$D$14,2,FALSE)</f>
        <v>#N/A</v>
      </c>
      <c r="C120" s="93"/>
      <c r="D120" s="101"/>
      <c r="E120" s="94"/>
      <c r="F120" s="95"/>
      <c r="G120" s="96"/>
      <c r="H120" s="96" t="b">
        <f t="shared" si="17"/>
        <v>0</v>
      </c>
      <c r="I120" s="247" t="e">
        <f t="shared" si="15"/>
        <v>#N/A</v>
      </c>
      <c r="J120" s="97">
        <v>0</v>
      </c>
      <c r="K120" s="98">
        <v>0</v>
      </c>
      <c r="L120" s="98"/>
      <c r="M120" s="98"/>
      <c r="N120" s="98">
        <f t="shared" si="18"/>
        <v>0</v>
      </c>
      <c r="O120" s="240" t="b">
        <f t="shared" si="11"/>
        <v>0</v>
      </c>
      <c r="P120" s="240" t="b">
        <f t="shared" si="12"/>
        <v>0</v>
      </c>
    </row>
    <row r="121" spans="1:16" x14ac:dyDescent="0.35">
      <c r="A121" s="92">
        <f t="shared" si="14"/>
        <v>0</v>
      </c>
      <c r="B121" s="92" t="e">
        <f>VLOOKUP(A121,[1]Hoja3!$C$3:$D$14,2,FALSE)</f>
        <v>#N/A</v>
      </c>
      <c r="C121" s="93"/>
      <c r="D121" s="101"/>
      <c r="E121" s="94"/>
      <c r="F121" s="95"/>
      <c r="G121" s="96"/>
      <c r="H121" s="96" t="b">
        <f t="shared" si="17"/>
        <v>0</v>
      </c>
      <c r="I121" s="247" t="e">
        <f t="shared" si="15"/>
        <v>#N/A</v>
      </c>
      <c r="J121" s="97">
        <v>0</v>
      </c>
      <c r="K121" s="98">
        <v>0</v>
      </c>
      <c r="L121" s="98"/>
      <c r="M121" s="98"/>
      <c r="N121" s="98">
        <f t="shared" si="18"/>
        <v>0</v>
      </c>
      <c r="O121" s="240" t="b">
        <f t="shared" si="11"/>
        <v>0</v>
      </c>
      <c r="P121" s="240" t="b">
        <f t="shared" si="12"/>
        <v>0</v>
      </c>
    </row>
    <row r="122" spans="1:16" x14ac:dyDescent="0.35">
      <c r="A122" s="92">
        <f t="shared" si="14"/>
        <v>0</v>
      </c>
      <c r="B122" s="92" t="e">
        <f>VLOOKUP(A122,[1]Hoja3!$C$3:$D$14,2,FALSE)</f>
        <v>#N/A</v>
      </c>
      <c r="C122" s="93"/>
      <c r="D122" s="101"/>
      <c r="E122" s="94"/>
      <c r="F122" s="95"/>
      <c r="G122" s="96"/>
      <c r="H122" s="96" t="b">
        <f t="shared" si="17"/>
        <v>0</v>
      </c>
      <c r="I122" s="247" t="e">
        <f t="shared" si="15"/>
        <v>#N/A</v>
      </c>
      <c r="J122" s="97">
        <v>0</v>
      </c>
      <c r="K122" s="98">
        <v>0</v>
      </c>
      <c r="L122" s="98"/>
      <c r="M122" s="98"/>
      <c r="N122" s="98">
        <f t="shared" si="18"/>
        <v>0</v>
      </c>
      <c r="O122" s="240" t="b">
        <f t="shared" si="11"/>
        <v>0</v>
      </c>
      <c r="P122" s="240" t="b">
        <f t="shared" si="12"/>
        <v>0</v>
      </c>
    </row>
    <row r="123" spans="1:16" x14ac:dyDescent="0.35">
      <c r="A123" s="92">
        <f t="shared" si="14"/>
        <v>0</v>
      </c>
      <c r="B123" s="92" t="e">
        <f>VLOOKUP(A123,[1]Hoja3!$C$3:$D$14,2,FALSE)</f>
        <v>#N/A</v>
      </c>
      <c r="C123" s="93"/>
      <c r="D123" s="101"/>
      <c r="E123" s="94"/>
      <c r="F123" s="95"/>
      <c r="G123" s="96"/>
      <c r="H123" s="96" t="b">
        <f t="shared" si="17"/>
        <v>0</v>
      </c>
      <c r="I123" s="247" t="e">
        <f t="shared" si="15"/>
        <v>#N/A</v>
      </c>
      <c r="J123" s="97">
        <v>0</v>
      </c>
      <c r="K123" s="98">
        <f>+J123*0.16</f>
        <v>0</v>
      </c>
      <c r="L123" s="98"/>
      <c r="M123" s="98"/>
      <c r="N123" s="98">
        <f t="shared" si="18"/>
        <v>0</v>
      </c>
      <c r="O123" s="240" t="b">
        <f t="shared" si="11"/>
        <v>0</v>
      </c>
      <c r="P123" s="240" t="b">
        <f t="shared" si="12"/>
        <v>0</v>
      </c>
    </row>
    <row r="124" spans="1:16" x14ac:dyDescent="0.35">
      <c r="A124" s="92">
        <f t="shared" si="14"/>
        <v>0</v>
      </c>
      <c r="B124" s="92" t="e">
        <f>VLOOKUP(A124,[1]Hoja3!$C$3:$D$14,2,FALSE)</f>
        <v>#N/A</v>
      </c>
      <c r="C124" s="93"/>
      <c r="D124" s="101"/>
      <c r="E124" s="94"/>
      <c r="F124" s="95"/>
      <c r="G124" s="96"/>
      <c r="H124" s="96" t="b">
        <f t="shared" si="17"/>
        <v>0</v>
      </c>
      <c r="I124" s="247" t="e">
        <f t="shared" si="15"/>
        <v>#N/A</v>
      </c>
      <c r="J124" s="97">
        <v>0</v>
      </c>
      <c r="K124" s="98">
        <v>0</v>
      </c>
      <c r="L124" s="98"/>
      <c r="M124" s="98"/>
      <c r="N124" s="98">
        <f t="shared" si="18"/>
        <v>0</v>
      </c>
      <c r="O124" s="240" t="b">
        <f t="shared" si="11"/>
        <v>0</v>
      </c>
      <c r="P124" s="240" t="b">
        <f t="shared" si="12"/>
        <v>0</v>
      </c>
    </row>
    <row r="125" spans="1:16" x14ac:dyDescent="0.35">
      <c r="A125" s="92">
        <f t="shared" si="14"/>
        <v>0</v>
      </c>
      <c r="B125" s="92" t="e">
        <f>VLOOKUP(A125,[1]Hoja3!$C$3:$D$14,2,FALSE)</f>
        <v>#N/A</v>
      </c>
      <c r="C125" s="93"/>
      <c r="D125" s="101"/>
      <c r="E125" s="94"/>
      <c r="F125" s="95"/>
      <c r="G125" s="96"/>
      <c r="H125" s="96" t="b">
        <f t="shared" si="17"/>
        <v>0</v>
      </c>
      <c r="I125" s="247" t="e">
        <f t="shared" si="15"/>
        <v>#N/A</v>
      </c>
      <c r="J125" s="97">
        <v>0</v>
      </c>
      <c r="K125" s="98">
        <v>0</v>
      </c>
      <c r="L125" s="98"/>
      <c r="M125" s="98"/>
      <c r="N125" s="98">
        <f t="shared" si="18"/>
        <v>0</v>
      </c>
      <c r="O125" s="240" t="b">
        <f t="shared" ref="O125:O188" si="23">IF(G125="EFREN ABUNDEZ REYNA","37295",IF(G125="LUIS ALEJANDRO HERNANDEZ REYNA","HERL850705AL2",IF(G125="ANA BEATRIZ ESTRADA ARGOTE","37530",IF(G125="SERGIO ROMERO DURAN","RODS620908QAA",IF(G125="MARIELA OLMOS GAONA","37675",IF(G125="LUCIANO MIJAIL ORTEGA MUÑOZ","37297",IF(G125="GUSTAVO HUMBERTO VELAZCO GALVAN","VEGG9211019T1",IF(G125="JESUS AGUSTIN VELAZQUEZ FLORES","VEFJ900303M65",IF(G125="KARLA ESTEFANIA SALAZAR FLORES","SAFK9807277N1",IF(G125="ANGEL TERRAZAS MONROY","TEMA7105035N4"))))))))))</f>
        <v>0</v>
      </c>
      <c r="P125" s="240" t="b">
        <f t="shared" ref="P125:P188" si="24">IF(G125="EFREN ABUNDEZ REYNA","PFAEP",IF(G125="LUIS ALEJANDRO HERNANDEZ REYNA","HERL850705AL2",IF(G125="ANA BEATRIZ ESTRADA ARGOTE","RIF",IF(G125="SERGIO ROMERO DURAN","RODS620908QAA",IF(G125="MARIELA OLMOS GAONA","RESICO",IF(G125="LUCIANO MIJAIL ORTEGA MUÑOZ","RIF",IF(G125="GUSTAVO HUMBERTO VELAZCO GALVAN","VEGG9211019T1",IF(G125="JESUS AGUSTIN VELAZQUEZ FLORES","VEFJ900303M65",IF(G125="KARLA ESTEFANIA SALAZAR FLORES","SAFK9807277N1",IF(G125="ANGEL TERRAZAS MONROY","TEMA7105035N4"))))))))))</f>
        <v>0</v>
      </c>
    </row>
    <row r="126" spans="1:16" x14ac:dyDescent="0.35">
      <c r="A126" s="92">
        <f t="shared" si="14"/>
        <v>0</v>
      </c>
      <c r="B126" s="92" t="e">
        <f>VLOOKUP(A126,[1]Hoja3!$C$3:$D$14,2,FALSE)</f>
        <v>#N/A</v>
      </c>
      <c r="C126" s="93"/>
      <c r="D126" s="101"/>
      <c r="E126" s="94"/>
      <c r="F126" s="95"/>
      <c r="G126" s="96"/>
      <c r="H126" s="96" t="b">
        <f t="shared" si="17"/>
        <v>0</v>
      </c>
      <c r="I126" s="247" t="e">
        <f t="shared" si="15"/>
        <v>#N/A</v>
      </c>
      <c r="J126" s="97">
        <v>0</v>
      </c>
      <c r="K126" s="98">
        <f>+J126*0.16</f>
        <v>0</v>
      </c>
      <c r="L126" s="98"/>
      <c r="M126" s="98"/>
      <c r="N126" s="98">
        <f t="shared" si="18"/>
        <v>0</v>
      </c>
      <c r="O126" s="240" t="b">
        <f t="shared" si="23"/>
        <v>0</v>
      </c>
      <c r="P126" s="240" t="b">
        <f t="shared" si="24"/>
        <v>0</v>
      </c>
    </row>
    <row r="127" spans="1:16" x14ac:dyDescent="0.35">
      <c r="A127" s="92">
        <f t="shared" si="14"/>
        <v>0</v>
      </c>
      <c r="B127" s="92" t="e">
        <f>VLOOKUP(A127,[1]Hoja3!$C$3:$D$14,2,FALSE)</f>
        <v>#N/A</v>
      </c>
      <c r="C127" s="93"/>
      <c r="D127" s="101"/>
      <c r="E127" s="94"/>
      <c r="F127" s="95"/>
      <c r="G127" s="96"/>
      <c r="H127" s="96" t="b">
        <f t="shared" si="17"/>
        <v>0</v>
      </c>
      <c r="I127" s="247" t="e">
        <f t="shared" si="15"/>
        <v>#N/A</v>
      </c>
      <c r="J127" s="97">
        <v>0</v>
      </c>
      <c r="K127" s="98">
        <v>0</v>
      </c>
      <c r="L127" s="98"/>
      <c r="M127" s="98"/>
      <c r="N127" s="98">
        <f t="shared" si="18"/>
        <v>0</v>
      </c>
      <c r="O127" s="240" t="b">
        <f t="shared" si="23"/>
        <v>0</v>
      </c>
      <c r="P127" s="240" t="b">
        <f t="shared" si="24"/>
        <v>0</v>
      </c>
    </row>
    <row r="128" spans="1:16" x14ac:dyDescent="0.35">
      <c r="A128" s="92">
        <f t="shared" si="14"/>
        <v>0</v>
      </c>
      <c r="B128" s="92" t="e">
        <f>VLOOKUP(A128,[1]Hoja3!$C$3:$D$14,2,FALSE)</f>
        <v>#N/A</v>
      </c>
      <c r="C128" s="93"/>
      <c r="D128" s="101"/>
      <c r="E128" s="94"/>
      <c r="F128" s="95"/>
      <c r="G128" s="96"/>
      <c r="H128" s="96" t="b">
        <f t="shared" si="17"/>
        <v>0</v>
      </c>
      <c r="I128" s="247" t="e">
        <f t="shared" si="15"/>
        <v>#N/A</v>
      </c>
      <c r="J128" s="97">
        <v>0</v>
      </c>
      <c r="K128" s="98">
        <f>+J128*0.16</f>
        <v>0</v>
      </c>
      <c r="L128" s="98"/>
      <c r="M128" s="98"/>
      <c r="N128" s="98">
        <f t="shared" si="18"/>
        <v>0</v>
      </c>
      <c r="O128" s="240" t="b">
        <f t="shared" si="23"/>
        <v>0</v>
      </c>
      <c r="P128" s="240" t="b">
        <f t="shared" si="24"/>
        <v>0</v>
      </c>
    </row>
    <row r="129" spans="1:16" x14ac:dyDescent="0.35">
      <c r="A129" s="92">
        <f t="shared" si="14"/>
        <v>0</v>
      </c>
      <c r="B129" s="92" t="e">
        <f>VLOOKUP(A129,[1]Hoja3!$C$3:$D$14,2,FALSE)</f>
        <v>#N/A</v>
      </c>
      <c r="C129" s="93"/>
      <c r="D129" s="101"/>
      <c r="E129" s="94"/>
      <c r="F129" s="95"/>
      <c r="G129" s="96"/>
      <c r="H129" s="96" t="b">
        <f t="shared" si="17"/>
        <v>0</v>
      </c>
      <c r="I129" s="247" t="e">
        <f t="shared" si="15"/>
        <v>#N/A</v>
      </c>
      <c r="J129" s="97">
        <v>0</v>
      </c>
      <c r="K129" s="98">
        <v>0</v>
      </c>
      <c r="L129" s="98"/>
      <c r="M129" s="98"/>
      <c r="N129" s="98">
        <f t="shared" si="18"/>
        <v>0</v>
      </c>
      <c r="O129" s="240" t="b">
        <f t="shared" si="23"/>
        <v>0</v>
      </c>
      <c r="P129" s="240" t="b">
        <f t="shared" si="24"/>
        <v>0</v>
      </c>
    </row>
    <row r="130" spans="1:16" x14ac:dyDescent="0.35">
      <c r="A130" s="92">
        <f t="shared" si="14"/>
        <v>0</v>
      </c>
      <c r="B130" s="92" t="e">
        <f>VLOOKUP(A130,[1]Hoja3!$C$3:$D$14,2,FALSE)</f>
        <v>#N/A</v>
      </c>
      <c r="C130" s="93"/>
      <c r="D130" s="101"/>
      <c r="E130" s="94"/>
      <c r="F130" s="95"/>
      <c r="G130" s="96"/>
      <c r="H130" s="96" t="b">
        <f t="shared" si="17"/>
        <v>0</v>
      </c>
      <c r="I130" s="247" t="e">
        <f t="shared" si="15"/>
        <v>#N/A</v>
      </c>
      <c r="J130" s="97">
        <v>0</v>
      </c>
      <c r="K130" s="98">
        <f>+J130*0.16</f>
        <v>0</v>
      </c>
      <c r="L130" s="98"/>
      <c r="M130" s="98"/>
      <c r="N130" s="98">
        <f t="shared" si="18"/>
        <v>0</v>
      </c>
      <c r="O130" s="240" t="b">
        <f t="shared" si="23"/>
        <v>0</v>
      </c>
      <c r="P130" s="240" t="b">
        <f t="shared" si="24"/>
        <v>0</v>
      </c>
    </row>
    <row r="131" spans="1:16" x14ac:dyDescent="0.35">
      <c r="A131" s="92">
        <f t="shared" ref="A131:A169" si="25">IF(D131&gt;0,MONTH(D131),0)</f>
        <v>0</v>
      </c>
      <c r="B131" s="92" t="e">
        <f>VLOOKUP(A131,[1]Hoja3!$C$3:$D$14,2,FALSE)</f>
        <v>#N/A</v>
      </c>
      <c r="C131" s="93"/>
      <c r="D131" s="101"/>
      <c r="E131" s="94"/>
      <c r="F131" s="95"/>
      <c r="G131" s="96"/>
      <c r="H131" s="96" t="b">
        <f t="shared" si="17"/>
        <v>0</v>
      </c>
      <c r="I131" s="247" t="e">
        <f t="shared" ref="I131:I169" si="26">+B131</f>
        <v>#N/A</v>
      </c>
      <c r="J131" s="97">
        <v>0</v>
      </c>
      <c r="K131" s="98">
        <v>0</v>
      </c>
      <c r="L131" s="98"/>
      <c r="M131" s="98"/>
      <c r="N131" s="98">
        <f t="shared" si="18"/>
        <v>0</v>
      </c>
      <c r="O131" s="240" t="b">
        <f t="shared" si="23"/>
        <v>0</v>
      </c>
      <c r="P131" s="240" t="b">
        <f t="shared" si="24"/>
        <v>0</v>
      </c>
    </row>
    <row r="132" spans="1:16" x14ac:dyDescent="0.35">
      <c r="A132" s="92">
        <f t="shared" si="25"/>
        <v>0</v>
      </c>
      <c r="B132" s="92" t="e">
        <f>VLOOKUP(A132,[1]Hoja3!$C$3:$D$14,2,FALSE)</f>
        <v>#N/A</v>
      </c>
      <c r="C132" s="93"/>
      <c r="D132" s="101"/>
      <c r="E132" s="94"/>
      <c r="F132" s="95"/>
      <c r="G132" s="96"/>
      <c r="H132" s="96" t="b">
        <f t="shared" si="17"/>
        <v>0</v>
      </c>
      <c r="I132" s="247" t="e">
        <f t="shared" si="26"/>
        <v>#N/A</v>
      </c>
      <c r="J132" s="97">
        <v>0</v>
      </c>
      <c r="K132" s="98">
        <v>0</v>
      </c>
      <c r="L132" s="98"/>
      <c r="M132" s="98"/>
      <c r="N132" s="98">
        <f t="shared" si="18"/>
        <v>0</v>
      </c>
      <c r="O132" s="240" t="b">
        <f t="shared" si="23"/>
        <v>0</v>
      </c>
      <c r="P132" s="240" t="b">
        <f t="shared" si="24"/>
        <v>0</v>
      </c>
    </row>
    <row r="133" spans="1:16" x14ac:dyDescent="0.35">
      <c r="A133" s="92">
        <f t="shared" si="25"/>
        <v>0</v>
      </c>
      <c r="B133" s="92" t="e">
        <f>VLOOKUP(A133,[1]Hoja3!$C$3:$D$14,2,FALSE)</f>
        <v>#N/A</v>
      </c>
      <c r="C133" s="93"/>
      <c r="D133" s="101"/>
      <c r="E133" s="94"/>
      <c r="F133" s="95"/>
      <c r="G133" s="96"/>
      <c r="H133" s="96" t="b">
        <f t="shared" si="17"/>
        <v>0</v>
      </c>
      <c r="I133" s="247" t="e">
        <f t="shared" si="26"/>
        <v>#N/A</v>
      </c>
      <c r="J133" s="97">
        <v>0</v>
      </c>
      <c r="K133" s="98">
        <v>0</v>
      </c>
      <c r="L133" s="98"/>
      <c r="M133" s="98"/>
      <c r="N133" s="98">
        <f t="shared" si="18"/>
        <v>0</v>
      </c>
      <c r="O133" s="240" t="b">
        <f t="shared" si="23"/>
        <v>0</v>
      </c>
      <c r="P133" s="240" t="b">
        <f t="shared" si="24"/>
        <v>0</v>
      </c>
    </row>
    <row r="134" spans="1:16" x14ac:dyDescent="0.35">
      <c r="A134" s="92">
        <f t="shared" si="25"/>
        <v>0</v>
      </c>
      <c r="B134" s="92" t="e">
        <f>VLOOKUP(A134,[1]Hoja3!$C$3:$D$14,2,FALSE)</f>
        <v>#N/A</v>
      </c>
      <c r="C134" s="93"/>
      <c r="D134" s="101"/>
      <c r="E134" s="94"/>
      <c r="F134" s="95"/>
      <c r="G134" s="96"/>
      <c r="H134" s="96" t="b">
        <f t="shared" si="17"/>
        <v>0</v>
      </c>
      <c r="I134" s="247" t="e">
        <f t="shared" si="26"/>
        <v>#N/A</v>
      </c>
      <c r="J134" s="97">
        <v>0</v>
      </c>
      <c r="K134" s="98">
        <v>0</v>
      </c>
      <c r="L134" s="98"/>
      <c r="M134" s="98"/>
      <c r="N134" s="98">
        <f t="shared" si="18"/>
        <v>0</v>
      </c>
      <c r="O134" s="240" t="b">
        <f t="shared" si="23"/>
        <v>0</v>
      </c>
      <c r="P134" s="240" t="b">
        <f t="shared" si="24"/>
        <v>0</v>
      </c>
    </row>
    <row r="135" spans="1:16" x14ac:dyDescent="0.35">
      <c r="A135" s="92">
        <f t="shared" si="25"/>
        <v>0</v>
      </c>
      <c r="B135" s="92" t="e">
        <f>VLOOKUP(A135,[1]Hoja3!$C$3:$D$14,2,FALSE)</f>
        <v>#N/A</v>
      </c>
      <c r="C135" s="93"/>
      <c r="D135" s="101"/>
      <c r="E135" s="94"/>
      <c r="F135" s="95"/>
      <c r="G135" s="96"/>
      <c r="H135" s="96" t="b">
        <f t="shared" si="17"/>
        <v>0</v>
      </c>
      <c r="I135" s="247" t="e">
        <f t="shared" si="26"/>
        <v>#N/A</v>
      </c>
      <c r="J135" s="97">
        <v>0</v>
      </c>
      <c r="K135" s="98">
        <v>0</v>
      </c>
      <c r="L135" s="98"/>
      <c r="M135" s="98"/>
      <c r="N135" s="98">
        <f t="shared" si="18"/>
        <v>0</v>
      </c>
      <c r="O135" s="240" t="b">
        <f t="shared" si="23"/>
        <v>0</v>
      </c>
      <c r="P135" s="240" t="b">
        <f t="shared" si="24"/>
        <v>0</v>
      </c>
    </row>
    <row r="136" spans="1:16" x14ac:dyDescent="0.35">
      <c r="A136" s="92">
        <f t="shared" si="25"/>
        <v>0</v>
      </c>
      <c r="B136" s="92" t="e">
        <f>VLOOKUP(A136,[1]Hoja3!$C$3:$D$14,2,FALSE)</f>
        <v>#N/A</v>
      </c>
      <c r="C136" s="93"/>
      <c r="D136" s="101"/>
      <c r="E136" s="94"/>
      <c r="F136" s="95"/>
      <c r="G136" s="96"/>
      <c r="H136" s="96" t="b">
        <f t="shared" si="17"/>
        <v>0</v>
      </c>
      <c r="I136" s="247" t="e">
        <f t="shared" si="26"/>
        <v>#N/A</v>
      </c>
      <c r="J136" s="97">
        <v>0</v>
      </c>
      <c r="K136" s="98">
        <v>0</v>
      </c>
      <c r="L136" s="98"/>
      <c r="M136" s="98"/>
      <c r="N136" s="98">
        <f t="shared" si="18"/>
        <v>0</v>
      </c>
      <c r="O136" s="240" t="b">
        <f t="shared" si="23"/>
        <v>0</v>
      </c>
      <c r="P136" s="240" t="b">
        <f t="shared" si="24"/>
        <v>0</v>
      </c>
    </row>
    <row r="137" spans="1:16" x14ac:dyDescent="0.35">
      <c r="A137" s="92">
        <f t="shared" si="25"/>
        <v>0</v>
      </c>
      <c r="B137" s="92" t="e">
        <f>VLOOKUP(A137,[1]Hoja3!$C$3:$D$14,2,FALSE)</f>
        <v>#N/A</v>
      </c>
      <c r="C137" s="93"/>
      <c r="D137" s="101"/>
      <c r="E137" s="94"/>
      <c r="F137" s="95"/>
      <c r="G137" s="96"/>
      <c r="H137" s="96" t="b">
        <f t="shared" si="17"/>
        <v>0</v>
      </c>
      <c r="I137" s="247" t="e">
        <f t="shared" si="26"/>
        <v>#N/A</v>
      </c>
      <c r="J137" s="97">
        <v>0</v>
      </c>
      <c r="K137" s="98">
        <v>0</v>
      </c>
      <c r="L137" s="98"/>
      <c r="M137" s="98"/>
      <c r="N137" s="98">
        <f t="shared" si="18"/>
        <v>0</v>
      </c>
      <c r="O137" s="240" t="b">
        <f t="shared" si="23"/>
        <v>0</v>
      </c>
      <c r="P137" s="240" t="b">
        <f t="shared" si="24"/>
        <v>0</v>
      </c>
    </row>
    <row r="138" spans="1:16" x14ac:dyDescent="0.35">
      <c r="A138" s="92">
        <f t="shared" si="25"/>
        <v>0</v>
      </c>
      <c r="B138" s="92" t="e">
        <f>VLOOKUP(A138,[1]Hoja3!$C$3:$D$14,2,FALSE)</f>
        <v>#N/A</v>
      </c>
      <c r="C138" s="93"/>
      <c r="D138" s="101"/>
      <c r="E138" s="94"/>
      <c r="F138" s="95"/>
      <c r="G138" s="96"/>
      <c r="H138" s="96" t="b">
        <f t="shared" si="17"/>
        <v>0</v>
      </c>
      <c r="I138" s="247" t="e">
        <f t="shared" si="26"/>
        <v>#N/A</v>
      </c>
      <c r="J138" s="97">
        <v>0</v>
      </c>
      <c r="K138" s="98">
        <v>0</v>
      </c>
      <c r="L138" s="98"/>
      <c r="M138" s="98"/>
      <c r="N138" s="98">
        <f t="shared" si="18"/>
        <v>0</v>
      </c>
      <c r="O138" s="240" t="b">
        <f t="shared" si="23"/>
        <v>0</v>
      </c>
      <c r="P138" s="240" t="b">
        <f t="shared" si="24"/>
        <v>0</v>
      </c>
    </row>
    <row r="139" spans="1:16" x14ac:dyDescent="0.35">
      <c r="A139" s="92">
        <f t="shared" si="25"/>
        <v>0</v>
      </c>
      <c r="B139" s="92" t="e">
        <f>VLOOKUP(A139,[1]Hoja3!$C$3:$D$14,2,FALSE)</f>
        <v>#N/A</v>
      </c>
      <c r="C139" s="93"/>
      <c r="D139" s="101"/>
      <c r="E139" s="94"/>
      <c r="F139" s="95"/>
      <c r="G139" s="96"/>
      <c r="H139" s="96" t="b">
        <f t="shared" si="17"/>
        <v>0</v>
      </c>
      <c r="I139" s="247" t="e">
        <f t="shared" si="26"/>
        <v>#N/A</v>
      </c>
      <c r="J139" s="97">
        <v>0</v>
      </c>
      <c r="K139" s="98">
        <v>0</v>
      </c>
      <c r="L139" s="98"/>
      <c r="M139" s="98"/>
      <c r="N139" s="98">
        <f t="shared" si="18"/>
        <v>0</v>
      </c>
      <c r="O139" s="240" t="b">
        <f t="shared" si="23"/>
        <v>0</v>
      </c>
      <c r="P139" s="240" t="b">
        <f t="shared" si="24"/>
        <v>0</v>
      </c>
    </row>
    <row r="140" spans="1:16" x14ac:dyDescent="0.35">
      <c r="A140" s="92">
        <f t="shared" si="25"/>
        <v>0</v>
      </c>
      <c r="B140" s="92" t="e">
        <f>VLOOKUP(A140,[1]Hoja3!$C$3:$D$14,2,FALSE)</f>
        <v>#N/A</v>
      </c>
      <c r="C140" s="93"/>
      <c r="D140" s="101"/>
      <c r="E140" s="94"/>
      <c r="F140" s="95"/>
      <c r="G140" s="96"/>
      <c r="H140" s="96" t="b">
        <f t="shared" si="17"/>
        <v>0</v>
      </c>
      <c r="I140" s="247" t="e">
        <f t="shared" si="26"/>
        <v>#N/A</v>
      </c>
      <c r="J140" s="97">
        <v>0</v>
      </c>
      <c r="K140" s="98">
        <v>0</v>
      </c>
      <c r="L140" s="98"/>
      <c r="M140" s="98"/>
      <c r="N140" s="98">
        <f t="shared" si="18"/>
        <v>0</v>
      </c>
      <c r="O140" s="240" t="b">
        <f t="shared" si="23"/>
        <v>0</v>
      </c>
      <c r="P140" s="240" t="b">
        <f t="shared" si="24"/>
        <v>0</v>
      </c>
    </row>
    <row r="141" spans="1:16" x14ac:dyDescent="0.35">
      <c r="A141" s="92">
        <f t="shared" si="25"/>
        <v>0</v>
      </c>
      <c r="B141" s="92" t="e">
        <f>VLOOKUP(A141,[1]Hoja3!$C$3:$D$14,2,FALSE)</f>
        <v>#N/A</v>
      </c>
      <c r="C141" s="93"/>
      <c r="D141" s="101"/>
      <c r="E141" s="94"/>
      <c r="F141" s="95"/>
      <c r="G141" s="96"/>
      <c r="H141" s="96" t="b">
        <f t="shared" si="17"/>
        <v>0</v>
      </c>
      <c r="I141" s="247" t="e">
        <f t="shared" si="26"/>
        <v>#N/A</v>
      </c>
      <c r="J141" s="97">
        <v>0</v>
      </c>
      <c r="K141" s="98">
        <v>0</v>
      </c>
      <c r="L141" s="98"/>
      <c r="M141" s="98"/>
      <c r="N141" s="98">
        <f t="shared" si="18"/>
        <v>0</v>
      </c>
      <c r="O141" s="240" t="b">
        <f t="shared" si="23"/>
        <v>0</v>
      </c>
      <c r="P141" s="240" t="b">
        <f t="shared" si="24"/>
        <v>0</v>
      </c>
    </row>
    <row r="142" spans="1:16" x14ac:dyDescent="0.35">
      <c r="A142" s="92">
        <f t="shared" si="25"/>
        <v>0</v>
      </c>
      <c r="B142" s="92" t="e">
        <f>VLOOKUP(A142,[1]Hoja3!$C$3:$D$14,2,FALSE)</f>
        <v>#N/A</v>
      </c>
      <c r="C142" s="93"/>
      <c r="D142" s="101"/>
      <c r="E142" s="94"/>
      <c r="F142" s="95"/>
      <c r="G142" s="96"/>
      <c r="H142" s="96" t="b">
        <f t="shared" si="17"/>
        <v>0</v>
      </c>
      <c r="I142" s="247" t="e">
        <f t="shared" si="26"/>
        <v>#N/A</v>
      </c>
      <c r="J142" s="97">
        <v>0</v>
      </c>
      <c r="K142" s="98">
        <v>0</v>
      </c>
      <c r="L142" s="98"/>
      <c r="M142" s="98"/>
      <c r="N142" s="98">
        <f t="shared" si="18"/>
        <v>0</v>
      </c>
      <c r="O142" s="240" t="b">
        <f t="shared" si="23"/>
        <v>0</v>
      </c>
      <c r="P142" s="240" t="b">
        <f t="shared" si="24"/>
        <v>0</v>
      </c>
    </row>
    <row r="143" spans="1:16" x14ac:dyDescent="0.35">
      <c r="A143" s="92">
        <f t="shared" si="25"/>
        <v>0</v>
      </c>
      <c r="B143" s="92" t="e">
        <f>VLOOKUP(A143,[1]Hoja3!$C$3:$D$14,2,FALSE)</f>
        <v>#N/A</v>
      </c>
      <c r="C143" s="93"/>
      <c r="D143" s="101"/>
      <c r="E143" s="94"/>
      <c r="F143" s="95"/>
      <c r="G143" s="96"/>
      <c r="H143" s="96" t="b">
        <f t="shared" si="17"/>
        <v>0</v>
      </c>
      <c r="I143" s="247" t="e">
        <f t="shared" si="26"/>
        <v>#N/A</v>
      </c>
      <c r="J143" s="97">
        <v>0</v>
      </c>
      <c r="K143" s="98">
        <v>0</v>
      </c>
      <c r="L143" s="98"/>
      <c r="M143" s="98"/>
      <c r="N143" s="98">
        <f t="shared" si="18"/>
        <v>0</v>
      </c>
      <c r="O143" s="240" t="b">
        <f t="shared" si="23"/>
        <v>0</v>
      </c>
      <c r="P143" s="240" t="b">
        <f t="shared" si="24"/>
        <v>0</v>
      </c>
    </row>
    <row r="144" spans="1:16" x14ac:dyDescent="0.35">
      <c r="A144" s="92">
        <f t="shared" si="25"/>
        <v>0</v>
      </c>
      <c r="B144" s="92" t="e">
        <f>VLOOKUP(A144,[1]Hoja3!$C$3:$D$14,2,FALSE)</f>
        <v>#N/A</v>
      </c>
      <c r="C144" s="93"/>
      <c r="D144" s="101"/>
      <c r="E144" s="94"/>
      <c r="F144" s="95"/>
      <c r="G144" s="96"/>
      <c r="H144" s="96" t="b">
        <f t="shared" ref="H144:H207" si="27">IF(G144="EFREN ABUNDEZ REYNA","AURE7306187IA",IF(G144="LUIS ALEJANDRO HERNANDEZ REYNA","HERL850705AL2",IF(G144="ANA BEATRIZ ESTRADA ARGOTE","EAAA860701UP2",IF(G144="SERGIO ROMERO DURAN","RODS620908QAA",IF(G144="MARIELA OLMOS GAONA","OOGM010703NX1",IF(G144="LUCIANO MIJAIL ORTEGA MUÑOZ","OEML881105IK2",IF(G144="GUSTAVO HUMBERTO VELAZCO GALVAN","VEGG9211019T1",IF(G144="JESUS AGUSTIN VELAZQUEZ FLORES","VEFJ900303M65",IF(G144="KARLA ESTEFANIA SALAZAR FLORES","SAFK9807277N1",IF(G144="ANGEL TERRAZAS MONROY","TEMA7105035N4"))))))))))</f>
        <v>0</v>
      </c>
      <c r="I144" s="247" t="e">
        <f t="shared" si="26"/>
        <v>#N/A</v>
      </c>
      <c r="J144" s="97">
        <v>0</v>
      </c>
      <c r="K144" s="98">
        <v>0</v>
      </c>
      <c r="L144" s="98"/>
      <c r="M144" s="98"/>
      <c r="N144" s="98">
        <f t="shared" si="18"/>
        <v>0</v>
      </c>
      <c r="O144" s="240" t="b">
        <f t="shared" si="23"/>
        <v>0</v>
      </c>
      <c r="P144" s="240" t="b">
        <f t="shared" si="24"/>
        <v>0</v>
      </c>
    </row>
    <row r="145" spans="1:16" x14ac:dyDescent="0.35">
      <c r="A145" s="92">
        <f t="shared" si="25"/>
        <v>0</v>
      </c>
      <c r="B145" s="92" t="e">
        <f>VLOOKUP(A145,[1]Hoja3!$C$3:$D$14,2,FALSE)</f>
        <v>#N/A</v>
      </c>
      <c r="C145" s="93"/>
      <c r="D145" s="101"/>
      <c r="E145" s="94"/>
      <c r="F145" s="95"/>
      <c r="G145" s="96"/>
      <c r="H145" s="96" t="b">
        <f t="shared" si="27"/>
        <v>0</v>
      </c>
      <c r="I145" s="247" t="e">
        <f t="shared" si="26"/>
        <v>#N/A</v>
      </c>
      <c r="J145" s="97">
        <v>0</v>
      </c>
      <c r="K145" s="98">
        <v>0</v>
      </c>
      <c r="L145" s="98"/>
      <c r="M145" s="98"/>
      <c r="N145" s="98">
        <f t="shared" ref="N145:N169" si="28">+J145+K145-L145-M145</f>
        <v>0</v>
      </c>
      <c r="O145" s="240" t="b">
        <f t="shared" si="23"/>
        <v>0</v>
      </c>
      <c r="P145" s="240" t="b">
        <f t="shared" si="24"/>
        <v>0</v>
      </c>
    </row>
    <row r="146" spans="1:16" x14ac:dyDescent="0.35">
      <c r="A146" s="92">
        <f t="shared" si="25"/>
        <v>0</v>
      </c>
      <c r="B146" s="92" t="e">
        <f>VLOOKUP(A146,[1]Hoja3!$C$3:$D$14,2,FALSE)</f>
        <v>#N/A</v>
      </c>
      <c r="C146" s="93"/>
      <c r="D146" s="101"/>
      <c r="E146" s="94"/>
      <c r="F146" s="95"/>
      <c r="G146" s="96"/>
      <c r="H146" s="96" t="b">
        <f t="shared" si="27"/>
        <v>0</v>
      </c>
      <c r="I146" s="247" t="e">
        <f t="shared" si="26"/>
        <v>#N/A</v>
      </c>
      <c r="J146" s="97">
        <v>0</v>
      </c>
      <c r="K146" s="98">
        <v>0</v>
      </c>
      <c r="L146" s="98"/>
      <c r="M146" s="98"/>
      <c r="N146" s="98">
        <f t="shared" si="28"/>
        <v>0</v>
      </c>
      <c r="O146" s="240" t="b">
        <f t="shared" si="23"/>
        <v>0</v>
      </c>
      <c r="P146" s="240" t="b">
        <f t="shared" si="24"/>
        <v>0</v>
      </c>
    </row>
    <row r="147" spans="1:16" x14ac:dyDescent="0.35">
      <c r="A147" s="92">
        <f t="shared" si="25"/>
        <v>0</v>
      </c>
      <c r="B147" s="92" t="e">
        <f>VLOOKUP(A147,[1]Hoja3!$C$3:$D$14,2,FALSE)</f>
        <v>#N/A</v>
      </c>
      <c r="C147" s="93"/>
      <c r="D147" s="101"/>
      <c r="E147" s="94"/>
      <c r="F147" s="95"/>
      <c r="G147" s="96"/>
      <c r="H147" s="96" t="b">
        <f t="shared" si="27"/>
        <v>0</v>
      </c>
      <c r="I147" s="247" t="e">
        <f t="shared" si="26"/>
        <v>#N/A</v>
      </c>
      <c r="J147" s="97">
        <v>0</v>
      </c>
      <c r="K147" s="98">
        <v>0</v>
      </c>
      <c r="L147" s="98"/>
      <c r="M147" s="98"/>
      <c r="N147" s="98">
        <f t="shared" si="28"/>
        <v>0</v>
      </c>
      <c r="O147" s="240" t="b">
        <f t="shared" si="23"/>
        <v>0</v>
      </c>
      <c r="P147" s="240" t="b">
        <f t="shared" si="24"/>
        <v>0</v>
      </c>
    </row>
    <row r="148" spans="1:16" x14ac:dyDescent="0.35">
      <c r="A148" s="92">
        <f t="shared" si="25"/>
        <v>0</v>
      </c>
      <c r="B148" s="92" t="e">
        <f>VLOOKUP(A148,[1]Hoja3!$C$3:$D$14,2,FALSE)</f>
        <v>#N/A</v>
      </c>
      <c r="C148" s="93"/>
      <c r="D148" s="101"/>
      <c r="E148" s="94"/>
      <c r="F148" s="95"/>
      <c r="G148" s="96"/>
      <c r="H148" s="96" t="b">
        <f t="shared" si="27"/>
        <v>0</v>
      </c>
      <c r="I148" s="247" t="e">
        <f t="shared" si="26"/>
        <v>#N/A</v>
      </c>
      <c r="J148" s="97">
        <v>0</v>
      </c>
      <c r="K148" s="98">
        <f>+J148*0.16</f>
        <v>0</v>
      </c>
      <c r="L148" s="98"/>
      <c r="M148" s="98"/>
      <c r="N148" s="98">
        <f t="shared" si="28"/>
        <v>0</v>
      </c>
      <c r="O148" s="240" t="b">
        <f t="shared" si="23"/>
        <v>0</v>
      </c>
      <c r="P148" s="240" t="b">
        <f t="shared" si="24"/>
        <v>0</v>
      </c>
    </row>
    <row r="149" spans="1:16" x14ac:dyDescent="0.35">
      <c r="A149" s="92">
        <f t="shared" si="25"/>
        <v>0</v>
      </c>
      <c r="B149" s="92" t="e">
        <f>VLOOKUP(A149,[1]Hoja3!$C$3:$D$14,2,FALSE)</f>
        <v>#N/A</v>
      </c>
      <c r="C149" s="93"/>
      <c r="D149" s="101"/>
      <c r="E149" s="94"/>
      <c r="F149" s="95"/>
      <c r="G149" s="96"/>
      <c r="H149" s="96" t="b">
        <f t="shared" si="27"/>
        <v>0</v>
      </c>
      <c r="I149" s="247" t="e">
        <f t="shared" si="26"/>
        <v>#N/A</v>
      </c>
      <c r="J149" s="97">
        <v>0</v>
      </c>
      <c r="K149" s="98">
        <f>+J149*0.16</f>
        <v>0</v>
      </c>
      <c r="L149" s="98"/>
      <c r="M149" s="98"/>
      <c r="N149" s="98">
        <f t="shared" si="28"/>
        <v>0</v>
      </c>
      <c r="O149" s="240" t="b">
        <f t="shared" si="23"/>
        <v>0</v>
      </c>
      <c r="P149" s="240" t="b">
        <f t="shared" si="24"/>
        <v>0</v>
      </c>
    </row>
    <row r="150" spans="1:16" x14ac:dyDescent="0.35">
      <c r="A150" s="92">
        <f t="shared" si="25"/>
        <v>0</v>
      </c>
      <c r="B150" s="92" t="e">
        <f>VLOOKUP(A150,[1]Hoja3!$C$3:$D$14,2,FALSE)</f>
        <v>#N/A</v>
      </c>
      <c r="C150" s="93"/>
      <c r="D150" s="101"/>
      <c r="E150" s="94"/>
      <c r="F150" s="95"/>
      <c r="G150" s="96"/>
      <c r="H150" s="96" t="b">
        <f t="shared" si="27"/>
        <v>0</v>
      </c>
      <c r="I150" s="247" t="e">
        <f t="shared" si="26"/>
        <v>#N/A</v>
      </c>
      <c r="J150" s="97">
        <v>0</v>
      </c>
      <c r="K150" s="98">
        <f>+J150*0.16</f>
        <v>0</v>
      </c>
      <c r="L150" s="98"/>
      <c r="M150" s="98"/>
      <c r="N150" s="98">
        <f t="shared" si="28"/>
        <v>0</v>
      </c>
      <c r="O150" s="240" t="b">
        <f t="shared" si="23"/>
        <v>0</v>
      </c>
      <c r="P150" s="240" t="b">
        <f t="shared" si="24"/>
        <v>0</v>
      </c>
    </row>
    <row r="151" spans="1:16" x14ac:dyDescent="0.35">
      <c r="A151" s="92">
        <f t="shared" si="25"/>
        <v>0</v>
      </c>
      <c r="B151" s="92" t="e">
        <f>VLOOKUP(A151,[1]Hoja3!$C$3:$D$14,2,FALSE)</f>
        <v>#N/A</v>
      </c>
      <c r="C151" s="93"/>
      <c r="D151" s="101"/>
      <c r="E151" s="94"/>
      <c r="F151" s="95"/>
      <c r="G151" s="96"/>
      <c r="H151" s="96" t="b">
        <f t="shared" si="27"/>
        <v>0</v>
      </c>
      <c r="I151" s="247" t="e">
        <f t="shared" si="26"/>
        <v>#N/A</v>
      </c>
      <c r="J151" s="97">
        <v>0</v>
      </c>
      <c r="K151" s="98">
        <f>+J151*0.16</f>
        <v>0</v>
      </c>
      <c r="L151" s="98"/>
      <c r="M151" s="98"/>
      <c r="N151" s="98">
        <f t="shared" si="28"/>
        <v>0</v>
      </c>
      <c r="O151" s="240" t="b">
        <f t="shared" si="23"/>
        <v>0</v>
      </c>
      <c r="P151" s="240" t="b">
        <f t="shared" si="24"/>
        <v>0</v>
      </c>
    </row>
    <row r="152" spans="1:16" x14ac:dyDescent="0.35">
      <c r="A152" s="92">
        <f t="shared" si="25"/>
        <v>0</v>
      </c>
      <c r="B152" s="92" t="e">
        <f>VLOOKUP(A152,[1]Hoja3!$C$3:$D$14,2,FALSE)</f>
        <v>#N/A</v>
      </c>
      <c r="C152" s="93"/>
      <c r="D152" s="101"/>
      <c r="E152" s="94"/>
      <c r="F152" s="95"/>
      <c r="G152" s="96"/>
      <c r="H152" s="96" t="b">
        <f t="shared" si="27"/>
        <v>0</v>
      </c>
      <c r="I152" s="247" t="e">
        <f t="shared" si="26"/>
        <v>#N/A</v>
      </c>
      <c r="J152" s="97">
        <v>0</v>
      </c>
      <c r="K152" s="98">
        <v>0</v>
      </c>
      <c r="L152" s="98"/>
      <c r="M152" s="98"/>
      <c r="N152" s="98">
        <f t="shared" si="28"/>
        <v>0</v>
      </c>
      <c r="O152" s="240" t="b">
        <f t="shared" si="23"/>
        <v>0</v>
      </c>
      <c r="P152" s="240" t="b">
        <f t="shared" si="24"/>
        <v>0</v>
      </c>
    </row>
    <row r="153" spans="1:16" x14ac:dyDescent="0.35">
      <c r="A153" s="92">
        <f t="shared" si="25"/>
        <v>0</v>
      </c>
      <c r="B153" s="92" t="e">
        <f>VLOOKUP(A153,[1]Hoja3!$C$3:$D$14,2,FALSE)</f>
        <v>#N/A</v>
      </c>
      <c r="C153" s="93"/>
      <c r="D153" s="101"/>
      <c r="E153" s="94"/>
      <c r="F153" s="95"/>
      <c r="G153" s="96"/>
      <c r="H153" s="96" t="b">
        <f t="shared" si="27"/>
        <v>0</v>
      </c>
      <c r="I153" s="247" t="e">
        <f t="shared" si="26"/>
        <v>#N/A</v>
      </c>
      <c r="J153" s="97">
        <v>0</v>
      </c>
      <c r="K153" s="98">
        <v>0</v>
      </c>
      <c r="L153" s="98"/>
      <c r="M153" s="98"/>
      <c r="N153" s="98">
        <f t="shared" si="28"/>
        <v>0</v>
      </c>
      <c r="O153" s="240" t="b">
        <f t="shared" si="23"/>
        <v>0</v>
      </c>
      <c r="P153" s="240" t="b">
        <f t="shared" si="24"/>
        <v>0</v>
      </c>
    </row>
    <row r="154" spans="1:16" x14ac:dyDescent="0.35">
      <c r="A154" s="92">
        <f t="shared" si="25"/>
        <v>0</v>
      </c>
      <c r="B154" s="92" t="e">
        <f>VLOOKUP(A154,[1]Hoja3!$C$3:$D$14,2,FALSE)</f>
        <v>#N/A</v>
      </c>
      <c r="C154" s="93"/>
      <c r="D154" s="101"/>
      <c r="E154" s="94"/>
      <c r="F154" s="95"/>
      <c r="G154" s="96"/>
      <c r="H154" s="96" t="b">
        <f t="shared" si="27"/>
        <v>0</v>
      </c>
      <c r="I154" s="247" t="e">
        <f t="shared" si="26"/>
        <v>#N/A</v>
      </c>
      <c r="J154" s="97">
        <v>0</v>
      </c>
      <c r="K154" s="98">
        <v>0</v>
      </c>
      <c r="L154" s="98"/>
      <c r="M154" s="98"/>
      <c r="N154" s="98">
        <f t="shared" si="28"/>
        <v>0</v>
      </c>
      <c r="O154" s="240" t="b">
        <f t="shared" si="23"/>
        <v>0</v>
      </c>
      <c r="P154" s="240" t="b">
        <f t="shared" si="24"/>
        <v>0</v>
      </c>
    </row>
    <row r="155" spans="1:16" x14ac:dyDescent="0.35">
      <c r="A155" s="92">
        <f t="shared" si="25"/>
        <v>0</v>
      </c>
      <c r="B155" s="92" t="e">
        <f>VLOOKUP(A155,[1]Hoja3!$C$3:$D$14,2,FALSE)</f>
        <v>#N/A</v>
      </c>
      <c r="C155" s="93"/>
      <c r="D155" s="101"/>
      <c r="E155" s="94"/>
      <c r="F155" s="95"/>
      <c r="G155" s="96"/>
      <c r="H155" s="96" t="b">
        <f t="shared" si="27"/>
        <v>0</v>
      </c>
      <c r="I155" s="247" t="e">
        <f t="shared" si="26"/>
        <v>#N/A</v>
      </c>
      <c r="J155" s="97">
        <v>0</v>
      </c>
      <c r="K155" s="98">
        <v>0</v>
      </c>
      <c r="L155" s="98"/>
      <c r="M155" s="98"/>
      <c r="N155" s="98">
        <f t="shared" si="28"/>
        <v>0</v>
      </c>
      <c r="O155" s="240" t="b">
        <f t="shared" si="23"/>
        <v>0</v>
      </c>
      <c r="P155" s="240" t="b">
        <f t="shared" si="24"/>
        <v>0</v>
      </c>
    </row>
    <row r="156" spans="1:16" x14ac:dyDescent="0.35">
      <c r="A156" s="92">
        <f t="shared" si="25"/>
        <v>0</v>
      </c>
      <c r="B156" s="92" t="e">
        <f>VLOOKUP(A156,[1]Hoja3!$C$3:$D$14,2,FALSE)</f>
        <v>#N/A</v>
      </c>
      <c r="C156" s="93"/>
      <c r="D156" s="101"/>
      <c r="E156" s="94"/>
      <c r="F156" s="95"/>
      <c r="G156" s="96"/>
      <c r="H156" s="96" t="b">
        <f t="shared" si="27"/>
        <v>0</v>
      </c>
      <c r="I156" s="247" t="e">
        <f t="shared" si="26"/>
        <v>#N/A</v>
      </c>
      <c r="J156" s="97">
        <v>0</v>
      </c>
      <c r="K156" s="98">
        <v>0</v>
      </c>
      <c r="L156" s="98"/>
      <c r="M156" s="98"/>
      <c r="N156" s="98">
        <f t="shared" si="28"/>
        <v>0</v>
      </c>
      <c r="O156" s="240" t="b">
        <f t="shared" si="23"/>
        <v>0</v>
      </c>
      <c r="P156" s="240" t="b">
        <f t="shared" si="24"/>
        <v>0</v>
      </c>
    </row>
    <row r="157" spans="1:16" x14ac:dyDescent="0.35">
      <c r="A157" s="92">
        <f t="shared" si="25"/>
        <v>0</v>
      </c>
      <c r="B157" s="92" t="e">
        <f>VLOOKUP(A157,[1]Hoja3!$C$3:$D$14,2,FALSE)</f>
        <v>#N/A</v>
      </c>
      <c r="C157" s="93"/>
      <c r="D157" s="101"/>
      <c r="E157" s="94"/>
      <c r="F157" s="95"/>
      <c r="G157" s="96"/>
      <c r="H157" s="96" t="b">
        <f t="shared" si="27"/>
        <v>0</v>
      </c>
      <c r="I157" s="247" t="e">
        <f t="shared" si="26"/>
        <v>#N/A</v>
      </c>
      <c r="J157" s="97">
        <v>0</v>
      </c>
      <c r="K157" s="98">
        <v>0</v>
      </c>
      <c r="L157" s="98"/>
      <c r="M157" s="98"/>
      <c r="N157" s="98">
        <f t="shared" si="28"/>
        <v>0</v>
      </c>
      <c r="O157" s="240" t="b">
        <f t="shared" si="23"/>
        <v>0</v>
      </c>
      <c r="P157" s="240" t="b">
        <f t="shared" si="24"/>
        <v>0</v>
      </c>
    </row>
    <row r="158" spans="1:16" x14ac:dyDescent="0.35">
      <c r="A158" s="92">
        <f t="shared" si="25"/>
        <v>0</v>
      </c>
      <c r="B158" s="92" t="e">
        <f>VLOOKUP(A158,[1]Hoja3!$C$3:$D$14,2,FALSE)</f>
        <v>#N/A</v>
      </c>
      <c r="C158" s="93"/>
      <c r="D158" s="101"/>
      <c r="E158" s="94"/>
      <c r="F158" s="95"/>
      <c r="G158" s="96"/>
      <c r="H158" s="96" t="b">
        <f t="shared" si="27"/>
        <v>0</v>
      </c>
      <c r="I158" s="247" t="e">
        <f t="shared" si="26"/>
        <v>#N/A</v>
      </c>
      <c r="J158" s="97">
        <v>0</v>
      </c>
      <c r="K158" s="98">
        <v>0</v>
      </c>
      <c r="L158" s="98"/>
      <c r="M158" s="98"/>
      <c r="N158" s="98">
        <f t="shared" si="28"/>
        <v>0</v>
      </c>
      <c r="O158" s="240" t="b">
        <f t="shared" si="23"/>
        <v>0</v>
      </c>
      <c r="P158" s="240" t="b">
        <f t="shared" si="24"/>
        <v>0</v>
      </c>
    </row>
    <row r="159" spans="1:16" x14ac:dyDescent="0.35">
      <c r="A159" s="92">
        <f t="shared" si="25"/>
        <v>0</v>
      </c>
      <c r="B159" s="92" t="e">
        <f>VLOOKUP(A159,[1]Hoja3!$C$3:$D$14,2,FALSE)</f>
        <v>#N/A</v>
      </c>
      <c r="C159" s="93"/>
      <c r="D159" s="101"/>
      <c r="E159" s="94"/>
      <c r="F159" s="95"/>
      <c r="G159" s="96"/>
      <c r="H159" s="96" t="b">
        <f t="shared" si="27"/>
        <v>0</v>
      </c>
      <c r="I159" s="247" t="e">
        <f t="shared" si="26"/>
        <v>#N/A</v>
      </c>
      <c r="J159" s="97">
        <v>0</v>
      </c>
      <c r="K159" s="98">
        <v>0</v>
      </c>
      <c r="L159" s="98"/>
      <c r="M159" s="98"/>
      <c r="N159" s="98">
        <f t="shared" si="28"/>
        <v>0</v>
      </c>
      <c r="O159" s="240" t="b">
        <f t="shared" si="23"/>
        <v>0</v>
      </c>
      <c r="P159" s="240" t="b">
        <f t="shared" si="24"/>
        <v>0</v>
      </c>
    </row>
    <row r="160" spans="1:16" x14ac:dyDescent="0.35">
      <c r="A160" s="92">
        <f t="shared" si="25"/>
        <v>0</v>
      </c>
      <c r="B160" s="92" t="e">
        <f>VLOOKUP(A160,[1]Hoja3!$C$3:$D$14,2,FALSE)</f>
        <v>#N/A</v>
      </c>
      <c r="C160" s="93"/>
      <c r="D160" s="101"/>
      <c r="E160" s="94"/>
      <c r="F160" s="95"/>
      <c r="G160" s="96"/>
      <c r="H160" s="96" t="b">
        <f t="shared" si="27"/>
        <v>0</v>
      </c>
      <c r="I160" s="247" t="e">
        <f t="shared" si="26"/>
        <v>#N/A</v>
      </c>
      <c r="J160" s="97">
        <v>0</v>
      </c>
      <c r="K160" s="98">
        <v>0</v>
      </c>
      <c r="L160" s="98"/>
      <c r="M160" s="98"/>
      <c r="N160" s="98">
        <f t="shared" si="28"/>
        <v>0</v>
      </c>
      <c r="O160" s="240" t="b">
        <f t="shared" si="23"/>
        <v>0</v>
      </c>
      <c r="P160" s="240" t="b">
        <f t="shared" si="24"/>
        <v>0</v>
      </c>
    </row>
    <row r="161" spans="1:16" x14ac:dyDescent="0.35">
      <c r="A161" s="92">
        <f t="shared" si="25"/>
        <v>0</v>
      </c>
      <c r="B161" s="92" t="e">
        <f>VLOOKUP(A161,[1]Hoja3!$C$3:$D$14,2,FALSE)</f>
        <v>#N/A</v>
      </c>
      <c r="C161" s="93"/>
      <c r="D161" s="101"/>
      <c r="E161" s="94"/>
      <c r="F161" s="95"/>
      <c r="G161" s="96"/>
      <c r="H161" s="96" t="b">
        <f t="shared" si="27"/>
        <v>0</v>
      </c>
      <c r="I161" s="247" t="e">
        <f t="shared" si="26"/>
        <v>#N/A</v>
      </c>
      <c r="J161" s="97">
        <v>0</v>
      </c>
      <c r="K161" s="98">
        <v>0</v>
      </c>
      <c r="L161" s="98"/>
      <c r="M161" s="98"/>
      <c r="N161" s="98">
        <f t="shared" si="28"/>
        <v>0</v>
      </c>
      <c r="O161" s="240" t="b">
        <f t="shared" si="23"/>
        <v>0</v>
      </c>
      <c r="P161" s="240" t="b">
        <f t="shared" si="24"/>
        <v>0</v>
      </c>
    </row>
    <row r="162" spans="1:16" x14ac:dyDescent="0.35">
      <c r="A162" s="92">
        <f t="shared" si="25"/>
        <v>0</v>
      </c>
      <c r="B162" s="92" t="e">
        <f>VLOOKUP(A162,[1]Hoja3!$C$3:$D$14,2,FALSE)</f>
        <v>#N/A</v>
      </c>
      <c r="C162" s="93"/>
      <c r="D162" s="101"/>
      <c r="E162" s="94"/>
      <c r="F162" s="95"/>
      <c r="G162" s="96"/>
      <c r="H162" s="96" t="b">
        <f t="shared" si="27"/>
        <v>0</v>
      </c>
      <c r="I162" s="247" t="e">
        <f t="shared" si="26"/>
        <v>#N/A</v>
      </c>
      <c r="J162" s="97">
        <v>0</v>
      </c>
      <c r="K162" s="98">
        <v>0</v>
      </c>
      <c r="L162" s="98"/>
      <c r="M162" s="98"/>
      <c r="N162" s="98">
        <f t="shared" si="28"/>
        <v>0</v>
      </c>
      <c r="O162" s="240" t="b">
        <f t="shared" si="23"/>
        <v>0</v>
      </c>
      <c r="P162" s="240" t="b">
        <f t="shared" si="24"/>
        <v>0</v>
      </c>
    </row>
    <row r="163" spans="1:16" x14ac:dyDescent="0.35">
      <c r="A163" s="92">
        <f t="shared" si="25"/>
        <v>0</v>
      </c>
      <c r="B163" s="92" t="e">
        <f>VLOOKUP(A163,[1]Hoja3!$C$3:$D$14,2,FALSE)</f>
        <v>#N/A</v>
      </c>
      <c r="C163" s="93"/>
      <c r="D163" s="101"/>
      <c r="E163" s="94"/>
      <c r="F163" s="95"/>
      <c r="G163" s="96"/>
      <c r="H163" s="96" t="b">
        <f t="shared" si="27"/>
        <v>0</v>
      </c>
      <c r="I163" s="247" t="e">
        <f t="shared" si="26"/>
        <v>#N/A</v>
      </c>
      <c r="J163" s="97">
        <v>0</v>
      </c>
      <c r="K163" s="98">
        <v>0</v>
      </c>
      <c r="L163" s="98"/>
      <c r="M163" s="98"/>
      <c r="N163" s="98">
        <f t="shared" si="28"/>
        <v>0</v>
      </c>
      <c r="O163" s="240" t="b">
        <f t="shared" si="23"/>
        <v>0</v>
      </c>
      <c r="P163" s="240" t="b">
        <f t="shared" si="24"/>
        <v>0</v>
      </c>
    </row>
    <row r="164" spans="1:16" x14ac:dyDescent="0.35">
      <c r="A164" s="92">
        <f t="shared" si="25"/>
        <v>0</v>
      </c>
      <c r="B164" s="92" t="e">
        <f>VLOOKUP(A164,[1]Hoja3!$C$3:$D$14,2,FALSE)</f>
        <v>#N/A</v>
      </c>
      <c r="C164" s="93"/>
      <c r="D164" s="101"/>
      <c r="E164" s="94"/>
      <c r="F164" s="95"/>
      <c r="G164" s="96"/>
      <c r="H164" s="96" t="b">
        <f t="shared" si="27"/>
        <v>0</v>
      </c>
      <c r="I164" s="247" t="e">
        <f t="shared" si="26"/>
        <v>#N/A</v>
      </c>
      <c r="J164" s="97">
        <v>0</v>
      </c>
      <c r="K164" s="98">
        <v>0</v>
      </c>
      <c r="L164" s="98"/>
      <c r="M164" s="98"/>
      <c r="N164" s="98">
        <f t="shared" si="28"/>
        <v>0</v>
      </c>
      <c r="O164" s="240" t="b">
        <f t="shared" si="23"/>
        <v>0</v>
      </c>
      <c r="P164" s="240" t="b">
        <f t="shared" si="24"/>
        <v>0</v>
      </c>
    </row>
    <row r="165" spans="1:16" x14ac:dyDescent="0.35">
      <c r="A165" s="92">
        <f t="shared" si="25"/>
        <v>0</v>
      </c>
      <c r="B165" s="92" t="e">
        <f>VLOOKUP(A165,[1]Hoja3!$C$3:$D$14,2,FALSE)</f>
        <v>#N/A</v>
      </c>
      <c r="C165" s="93"/>
      <c r="D165" s="101"/>
      <c r="E165" s="94"/>
      <c r="F165" s="95"/>
      <c r="G165" s="96"/>
      <c r="H165" s="96" t="b">
        <f t="shared" si="27"/>
        <v>0</v>
      </c>
      <c r="I165" s="247" t="e">
        <f t="shared" si="26"/>
        <v>#N/A</v>
      </c>
      <c r="J165" s="97">
        <v>0</v>
      </c>
      <c r="K165" s="98">
        <v>0</v>
      </c>
      <c r="L165" s="98"/>
      <c r="M165" s="98"/>
      <c r="N165" s="98">
        <f t="shared" si="28"/>
        <v>0</v>
      </c>
      <c r="O165" s="240" t="b">
        <f t="shared" si="23"/>
        <v>0</v>
      </c>
      <c r="P165" s="240" t="b">
        <f t="shared" si="24"/>
        <v>0</v>
      </c>
    </row>
    <row r="166" spans="1:16" x14ac:dyDescent="0.35">
      <c r="A166" s="92">
        <f t="shared" si="25"/>
        <v>0</v>
      </c>
      <c r="B166" s="92" t="e">
        <f>VLOOKUP(A166,[1]Hoja3!$C$3:$D$14,2,FALSE)</f>
        <v>#N/A</v>
      </c>
      <c r="C166" s="93"/>
      <c r="D166" s="101"/>
      <c r="E166" s="94"/>
      <c r="F166" s="95"/>
      <c r="G166" s="96"/>
      <c r="H166" s="96" t="b">
        <f t="shared" si="27"/>
        <v>0</v>
      </c>
      <c r="I166" s="247" t="e">
        <f t="shared" si="26"/>
        <v>#N/A</v>
      </c>
      <c r="J166" s="97">
        <v>0</v>
      </c>
      <c r="K166" s="98">
        <v>0</v>
      </c>
      <c r="L166" s="98"/>
      <c r="M166" s="98"/>
      <c r="N166" s="98">
        <f t="shared" si="28"/>
        <v>0</v>
      </c>
      <c r="O166" s="240" t="b">
        <f t="shared" si="23"/>
        <v>0</v>
      </c>
      <c r="P166" s="240" t="b">
        <f t="shared" si="24"/>
        <v>0</v>
      </c>
    </row>
    <row r="167" spans="1:16" x14ac:dyDescent="0.35">
      <c r="A167" s="92">
        <f t="shared" si="25"/>
        <v>0</v>
      </c>
      <c r="B167" s="92" t="e">
        <f>VLOOKUP(A167,[1]Hoja3!$C$3:$D$14,2,FALSE)</f>
        <v>#N/A</v>
      </c>
      <c r="C167" s="93"/>
      <c r="D167" s="101"/>
      <c r="E167" s="94"/>
      <c r="F167" s="95"/>
      <c r="G167" s="96"/>
      <c r="H167" s="96" t="b">
        <f t="shared" si="27"/>
        <v>0</v>
      </c>
      <c r="I167" s="247" t="e">
        <f t="shared" si="26"/>
        <v>#N/A</v>
      </c>
      <c r="J167" s="97">
        <v>0</v>
      </c>
      <c r="K167" s="98">
        <v>0</v>
      </c>
      <c r="L167" s="98"/>
      <c r="M167" s="98"/>
      <c r="N167" s="98">
        <f t="shared" si="28"/>
        <v>0</v>
      </c>
      <c r="O167" s="240" t="b">
        <f t="shared" si="23"/>
        <v>0</v>
      </c>
      <c r="P167" s="240" t="b">
        <f t="shared" si="24"/>
        <v>0</v>
      </c>
    </row>
    <row r="168" spans="1:16" x14ac:dyDescent="0.35">
      <c r="A168" s="92">
        <f t="shared" si="25"/>
        <v>0</v>
      </c>
      <c r="B168" s="92" t="e">
        <f>VLOOKUP(A168,[1]Hoja3!$C$3:$D$14,2,FALSE)</f>
        <v>#N/A</v>
      </c>
      <c r="C168" s="93"/>
      <c r="D168" s="101"/>
      <c r="E168" s="94"/>
      <c r="F168" s="95"/>
      <c r="G168" s="96"/>
      <c r="H168" s="96" t="b">
        <f t="shared" si="27"/>
        <v>0</v>
      </c>
      <c r="I168" s="247" t="e">
        <f t="shared" si="26"/>
        <v>#N/A</v>
      </c>
      <c r="J168" s="97">
        <v>0</v>
      </c>
      <c r="K168" s="98">
        <v>0</v>
      </c>
      <c r="L168" s="98"/>
      <c r="M168" s="98"/>
      <c r="N168" s="98">
        <f t="shared" si="28"/>
        <v>0</v>
      </c>
      <c r="O168" s="240" t="b">
        <f t="shared" si="23"/>
        <v>0</v>
      </c>
      <c r="P168" s="240" t="b">
        <f t="shared" si="24"/>
        <v>0</v>
      </c>
    </row>
    <row r="169" spans="1:16" x14ac:dyDescent="0.35">
      <c r="A169" s="92">
        <f t="shared" si="25"/>
        <v>0</v>
      </c>
      <c r="B169" s="92" t="e">
        <f>VLOOKUP(A169,[1]Hoja3!$C$3:$D$14,2,FALSE)</f>
        <v>#N/A</v>
      </c>
      <c r="C169" s="93"/>
      <c r="D169" s="101"/>
      <c r="E169" s="94"/>
      <c r="F169" s="95"/>
      <c r="G169" s="96"/>
      <c r="H169" s="96" t="b">
        <f t="shared" si="27"/>
        <v>0</v>
      </c>
      <c r="I169" s="247" t="e">
        <f t="shared" si="26"/>
        <v>#N/A</v>
      </c>
      <c r="J169" s="97">
        <v>0</v>
      </c>
      <c r="K169" s="98">
        <v>0</v>
      </c>
      <c r="L169" s="98"/>
      <c r="M169" s="98"/>
      <c r="N169" s="98">
        <f t="shared" si="28"/>
        <v>0</v>
      </c>
      <c r="O169" s="240" t="b">
        <f t="shared" si="23"/>
        <v>0</v>
      </c>
      <c r="P169" s="240" t="b">
        <f t="shared" si="24"/>
        <v>0</v>
      </c>
    </row>
    <row r="170" spans="1:16" x14ac:dyDescent="0.35">
      <c r="A170" s="92">
        <f t="shared" ref="A170:A233" si="29">IF(D170&gt;0,MONTH(D170),0)</f>
        <v>0</v>
      </c>
      <c r="B170" s="92" t="e">
        <f>VLOOKUP(A170,[1]Hoja3!$C$3:$D$14,2,FALSE)</f>
        <v>#N/A</v>
      </c>
      <c r="C170" s="93"/>
      <c r="D170" s="101"/>
      <c r="E170" s="94"/>
      <c r="F170" s="95"/>
      <c r="G170" s="96"/>
      <c r="H170" s="96" t="b">
        <f t="shared" si="27"/>
        <v>0</v>
      </c>
      <c r="I170" s="247" t="e">
        <f t="shared" ref="I170:I233" si="30">+B170</f>
        <v>#N/A</v>
      </c>
      <c r="J170" s="97">
        <v>0</v>
      </c>
      <c r="K170" s="98">
        <v>0</v>
      </c>
      <c r="L170" s="98"/>
      <c r="M170" s="98"/>
      <c r="N170" s="98">
        <f t="shared" ref="N170:N233" si="31">+J170+K170-L170-M170</f>
        <v>0</v>
      </c>
      <c r="O170" s="240" t="b">
        <f t="shared" si="23"/>
        <v>0</v>
      </c>
      <c r="P170" s="240" t="b">
        <f t="shared" si="24"/>
        <v>0</v>
      </c>
    </row>
    <row r="171" spans="1:16" x14ac:dyDescent="0.35">
      <c r="A171" s="92">
        <f t="shared" si="29"/>
        <v>0</v>
      </c>
      <c r="B171" s="92" t="e">
        <f>VLOOKUP(A171,[1]Hoja3!$C$3:$D$14,2,FALSE)</f>
        <v>#N/A</v>
      </c>
      <c r="C171" s="93"/>
      <c r="D171" s="101"/>
      <c r="E171" s="94"/>
      <c r="F171" s="95"/>
      <c r="G171" s="96"/>
      <c r="H171" s="96" t="b">
        <f t="shared" si="27"/>
        <v>0</v>
      </c>
      <c r="I171" s="247" t="e">
        <f t="shared" si="30"/>
        <v>#N/A</v>
      </c>
      <c r="J171" s="97">
        <v>0</v>
      </c>
      <c r="K171" s="98">
        <v>0</v>
      </c>
      <c r="L171" s="98"/>
      <c r="M171" s="98"/>
      <c r="N171" s="98">
        <f t="shared" si="31"/>
        <v>0</v>
      </c>
      <c r="O171" s="240" t="b">
        <f t="shared" si="23"/>
        <v>0</v>
      </c>
      <c r="P171" s="240" t="b">
        <f t="shared" si="24"/>
        <v>0</v>
      </c>
    </row>
    <row r="172" spans="1:16" x14ac:dyDescent="0.35">
      <c r="A172" s="92">
        <f t="shared" si="29"/>
        <v>0</v>
      </c>
      <c r="B172" s="92" t="e">
        <f>VLOOKUP(A172,[1]Hoja3!$C$3:$D$14,2,FALSE)</f>
        <v>#N/A</v>
      </c>
      <c r="C172" s="93"/>
      <c r="D172" s="101"/>
      <c r="E172" s="94"/>
      <c r="F172" s="95"/>
      <c r="G172" s="96"/>
      <c r="H172" s="96" t="b">
        <f t="shared" si="27"/>
        <v>0</v>
      </c>
      <c r="I172" s="247" t="e">
        <f t="shared" si="30"/>
        <v>#N/A</v>
      </c>
      <c r="J172" s="97">
        <v>0</v>
      </c>
      <c r="K172" s="98">
        <v>0</v>
      </c>
      <c r="L172" s="98"/>
      <c r="M172" s="98"/>
      <c r="N172" s="98">
        <f t="shared" si="31"/>
        <v>0</v>
      </c>
      <c r="O172" s="240" t="b">
        <f t="shared" si="23"/>
        <v>0</v>
      </c>
      <c r="P172" s="240" t="b">
        <f t="shared" si="24"/>
        <v>0</v>
      </c>
    </row>
    <row r="173" spans="1:16" x14ac:dyDescent="0.35">
      <c r="A173" s="92">
        <f t="shared" si="29"/>
        <v>0</v>
      </c>
      <c r="B173" s="92" t="e">
        <f>VLOOKUP(A173,[1]Hoja3!$C$3:$D$14,2,FALSE)</f>
        <v>#N/A</v>
      </c>
      <c r="C173" s="93"/>
      <c r="D173" s="101"/>
      <c r="E173" s="94"/>
      <c r="F173" s="95"/>
      <c r="G173" s="96"/>
      <c r="H173" s="96" t="b">
        <f t="shared" si="27"/>
        <v>0</v>
      </c>
      <c r="I173" s="247" t="e">
        <f t="shared" si="30"/>
        <v>#N/A</v>
      </c>
      <c r="J173" s="97">
        <v>0</v>
      </c>
      <c r="K173" s="98">
        <v>0</v>
      </c>
      <c r="L173" s="98"/>
      <c r="M173" s="98"/>
      <c r="N173" s="98">
        <f t="shared" si="31"/>
        <v>0</v>
      </c>
      <c r="O173" s="240" t="b">
        <f t="shared" si="23"/>
        <v>0</v>
      </c>
      <c r="P173" s="240" t="b">
        <f t="shared" si="24"/>
        <v>0</v>
      </c>
    </row>
    <row r="174" spans="1:16" x14ac:dyDescent="0.35">
      <c r="A174" s="92">
        <f t="shared" si="29"/>
        <v>0</v>
      </c>
      <c r="B174" s="92" t="e">
        <f>VLOOKUP(A174,[1]Hoja3!$C$3:$D$14,2,FALSE)</f>
        <v>#N/A</v>
      </c>
      <c r="C174" s="93"/>
      <c r="D174" s="101"/>
      <c r="E174" s="94"/>
      <c r="F174" s="95"/>
      <c r="G174" s="96"/>
      <c r="H174" s="96" t="b">
        <f t="shared" si="27"/>
        <v>0</v>
      </c>
      <c r="I174" s="247" t="e">
        <f t="shared" si="30"/>
        <v>#N/A</v>
      </c>
      <c r="J174" s="97">
        <v>0</v>
      </c>
      <c r="K174" s="98">
        <v>0</v>
      </c>
      <c r="L174" s="98"/>
      <c r="M174" s="98"/>
      <c r="N174" s="98">
        <f t="shared" si="31"/>
        <v>0</v>
      </c>
      <c r="O174" s="240" t="b">
        <f t="shared" si="23"/>
        <v>0</v>
      </c>
      <c r="P174" s="240" t="b">
        <f t="shared" si="24"/>
        <v>0</v>
      </c>
    </row>
    <row r="175" spans="1:16" x14ac:dyDescent="0.35">
      <c r="A175" s="92">
        <f t="shared" si="29"/>
        <v>0</v>
      </c>
      <c r="B175" s="92" t="e">
        <f>VLOOKUP(A175,[1]Hoja3!$C$3:$D$14,2,FALSE)</f>
        <v>#N/A</v>
      </c>
      <c r="C175" s="93"/>
      <c r="D175" s="101"/>
      <c r="E175" s="94"/>
      <c r="F175" s="95"/>
      <c r="G175" s="96"/>
      <c r="H175" s="96" t="b">
        <f t="shared" si="27"/>
        <v>0</v>
      </c>
      <c r="I175" s="247" t="e">
        <f t="shared" si="30"/>
        <v>#N/A</v>
      </c>
      <c r="J175" s="97">
        <v>0</v>
      </c>
      <c r="K175" s="98">
        <v>0</v>
      </c>
      <c r="L175" s="98"/>
      <c r="M175" s="98"/>
      <c r="N175" s="98">
        <f t="shared" si="31"/>
        <v>0</v>
      </c>
      <c r="O175" s="240" t="b">
        <f t="shared" si="23"/>
        <v>0</v>
      </c>
      <c r="P175" s="240" t="b">
        <f t="shared" si="24"/>
        <v>0</v>
      </c>
    </row>
    <row r="176" spans="1:16" x14ac:dyDescent="0.35">
      <c r="A176" s="92">
        <f t="shared" si="29"/>
        <v>0</v>
      </c>
      <c r="B176" s="92" t="e">
        <f>VLOOKUP(A176,[1]Hoja3!$C$3:$D$14,2,FALSE)</f>
        <v>#N/A</v>
      </c>
      <c r="C176" s="93"/>
      <c r="D176" s="101"/>
      <c r="E176" s="94"/>
      <c r="F176" s="95"/>
      <c r="G176" s="96"/>
      <c r="H176" s="96" t="b">
        <f t="shared" si="27"/>
        <v>0</v>
      </c>
      <c r="I176" s="247" t="e">
        <f t="shared" si="30"/>
        <v>#N/A</v>
      </c>
      <c r="J176" s="97">
        <v>0</v>
      </c>
      <c r="K176" s="98">
        <v>0</v>
      </c>
      <c r="L176" s="98"/>
      <c r="M176" s="98"/>
      <c r="N176" s="98">
        <f t="shared" si="31"/>
        <v>0</v>
      </c>
      <c r="O176" s="240" t="b">
        <f t="shared" si="23"/>
        <v>0</v>
      </c>
      <c r="P176" s="240" t="b">
        <f t="shared" si="24"/>
        <v>0</v>
      </c>
    </row>
    <row r="177" spans="1:16" x14ac:dyDescent="0.35">
      <c r="A177" s="92">
        <f t="shared" si="29"/>
        <v>0</v>
      </c>
      <c r="B177" s="92" t="e">
        <f>VLOOKUP(A177,[1]Hoja3!$C$3:$D$14,2,FALSE)</f>
        <v>#N/A</v>
      </c>
      <c r="C177" s="93"/>
      <c r="D177" s="101"/>
      <c r="E177" s="94"/>
      <c r="F177" s="95"/>
      <c r="G177" s="96"/>
      <c r="H177" s="96" t="b">
        <f t="shared" si="27"/>
        <v>0</v>
      </c>
      <c r="I177" s="247" t="e">
        <f t="shared" si="30"/>
        <v>#N/A</v>
      </c>
      <c r="J177" s="97">
        <v>0</v>
      </c>
      <c r="K177" s="98">
        <v>0</v>
      </c>
      <c r="L177" s="98"/>
      <c r="M177" s="98"/>
      <c r="N177" s="98">
        <f t="shared" si="31"/>
        <v>0</v>
      </c>
      <c r="O177" s="240" t="b">
        <f t="shared" si="23"/>
        <v>0</v>
      </c>
      <c r="P177" s="240" t="b">
        <f t="shared" si="24"/>
        <v>0</v>
      </c>
    </row>
    <row r="178" spans="1:16" x14ac:dyDescent="0.35">
      <c r="A178" s="92">
        <f t="shared" si="29"/>
        <v>0</v>
      </c>
      <c r="B178" s="92" t="e">
        <f>VLOOKUP(A178,[1]Hoja3!$C$3:$D$14,2,FALSE)</f>
        <v>#N/A</v>
      </c>
      <c r="C178" s="93"/>
      <c r="D178" s="101"/>
      <c r="E178" s="94"/>
      <c r="F178" s="95"/>
      <c r="G178" s="96"/>
      <c r="H178" s="96" t="b">
        <f t="shared" si="27"/>
        <v>0</v>
      </c>
      <c r="I178" s="247" t="e">
        <f t="shared" si="30"/>
        <v>#N/A</v>
      </c>
      <c r="J178" s="97">
        <v>0</v>
      </c>
      <c r="K178" s="98">
        <v>0</v>
      </c>
      <c r="L178" s="98"/>
      <c r="M178" s="98"/>
      <c r="N178" s="98">
        <f t="shared" si="31"/>
        <v>0</v>
      </c>
      <c r="O178" s="240" t="b">
        <f t="shared" si="23"/>
        <v>0</v>
      </c>
      <c r="P178" s="240" t="b">
        <f t="shared" si="24"/>
        <v>0</v>
      </c>
    </row>
    <row r="179" spans="1:16" x14ac:dyDescent="0.35">
      <c r="A179" s="92">
        <f t="shared" si="29"/>
        <v>0</v>
      </c>
      <c r="B179" s="92" t="e">
        <f>VLOOKUP(A179,[1]Hoja3!$C$3:$D$14,2,FALSE)</f>
        <v>#N/A</v>
      </c>
      <c r="C179" s="93"/>
      <c r="D179" s="101"/>
      <c r="E179" s="94"/>
      <c r="F179" s="95"/>
      <c r="G179" s="96"/>
      <c r="H179" s="96" t="b">
        <f t="shared" si="27"/>
        <v>0</v>
      </c>
      <c r="I179" s="247" t="e">
        <f t="shared" si="30"/>
        <v>#N/A</v>
      </c>
      <c r="J179" s="97">
        <v>0</v>
      </c>
      <c r="K179" s="98">
        <v>0</v>
      </c>
      <c r="L179" s="98"/>
      <c r="M179" s="98"/>
      <c r="N179" s="98">
        <f t="shared" si="31"/>
        <v>0</v>
      </c>
      <c r="O179" s="240" t="b">
        <f t="shared" si="23"/>
        <v>0</v>
      </c>
      <c r="P179" s="240" t="b">
        <f t="shared" si="24"/>
        <v>0</v>
      </c>
    </row>
    <row r="180" spans="1:16" x14ac:dyDescent="0.35">
      <c r="A180" s="92">
        <f t="shared" si="29"/>
        <v>0</v>
      </c>
      <c r="B180" s="92" t="e">
        <f>VLOOKUP(A180,[1]Hoja3!$C$3:$D$14,2,FALSE)</f>
        <v>#N/A</v>
      </c>
      <c r="C180" s="93"/>
      <c r="D180" s="101"/>
      <c r="E180" s="94"/>
      <c r="F180" s="95"/>
      <c r="G180" s="96"/>
      <c r="H180" s="96" t="b">
        <f t="shared" si="27"/>
        <v>0</v>
      </c>
      <c r="I180" s="247" t="e">
        <f t="shared" si="30"/>
        <v>#N/A</v>
      </c>
      <c r="J180" s="97">
        <v>0</v>
      </c>
      <c r="K180" s="98">
        <v>0</v>
      </c>
      <c r="L180" s="98"/>
      <c r="M180" s="98"/>
      <c r="N180" s="98">
        <f t="shared" si="31"/>
        <v>0</v>
      </c>
      <c r="O180" s="240" t="b">
        <f t="shared" si="23"/>
        <v>0</v>
      </c>
      <c r="P180" s="240" t="b">
        <f t="shared" si="24"/>
        <v>0</v>
      </c>
    </row>
    <row r="181" spans="1:16" x14ac:dyDescent="0.35">
      <c r="A181" s="92">
        <f t="shared" si="29"/>
        <v>0</v>
      </c>
      <c r="B181" s="92" t="e">
        <f>VLOOKUP(A181,[1]Hoja3!$C$3:$D$14,2,FALSE)</f>
        <v>#N/A</v>
      </c>
      <c r="C181" s="93"/>
      <c r="D181" s="101"/>
      <c r="E181" s="94"/>
      <c r="F181" s="95"/>
      <c r="G181" s="96"/>
      <c r="H181" s="96" t="b">
        <f t="shared" si="27"/>
        <v>0</v>
      </c>
      <c r="I181" s="247" t="e">
        <f t="shared" si="30"/>
        <v>#N/A</v>
      </c>
      <c r="J181" s="97">
        <v>0</v>
      </c>
      <c r="K181" s="98">
        <v>0</v>
      </c>
      <c r="L181" s="98"/>
      <c r="M181" s="98"/>
      <c r="N181" s="98">
        <f t="shared" si="31"/>
        <v>0</v>
      </c>
      <c r="O181" s="240" t="b">
        <f t="shared" si="23"/>
        <v>0</v>
      </c>
      <c r="P181" s="240" t="b">
        <f t="shared" si="24"/>
        <v>0</v>
      </c>
    </row>
    <row r="182" spans="1:16" x14ac:dyDescent="0.35">
      <c r="A182" s="92">
        <f t="shared" si="29"/>
        <v>0</v>
      </c>
      <c r="B182" s="92" t="e">
        <f>VLOOKUP(A182,[1]Hoja3!$C$3:$D$14,2,FALSE)</f>
        <v>#N/A</v>
      </c>
      <c r="C182" s="93"/>
      <c r="D182" s="101"/>
      <c r="E182" s="94"/>
      <c r="F182" s="95"/>
      <c r="G182" s="96"/>
      <c r="H182" s="96" t="b">
        <f t="shared" si="27"/>
        <v>0</v>
      </c>
      <c r="I182" s="247" t="e">
        <f t="shared" si="30"/>
        <v>#N/A</v>
      </c>
      <c r="J182" s="97">
        <v>0</v>
      </c>
      <c r="K182" s="98">
        <v>0</v>
      </c>
      <c r="L182" s="98"/>
      <c r="M182" s="98"/>
      <c r="N182" s="98">
        <f t="shared" si="31"/>
        <v>0</v>
      </c>
      <c r="O182" s="240" t="b">
        <f t="shared" si="23"/>
        <v>0</v>
      </c>
      <c r="P182" s="240" t="b">
        <f t="shared" si="24"/>
        <v>0</v>
      </c>
    </row>
    <row r="183" spans="1:16" x14ac:dyDescent="0.35">
      <c r="A183" s="92">
        <f t="shared" si="29"/>
        <v>0</v>
      </c>
      <c r="B183" s="92" t="e">
        <f>VLOOKUP(A183,[1]Hoja3!$C$3:$D$14,2,FALSE)</f>
        <v>#N/A</v>
      </c>
      <c r="C183" s="93"/>
      <c r="D183" s="101"/>
      <c r="E183" s="94"/>
      <c r="F183" s="95"/>
      <c r="G183" s="96"/>
      <c r="H183" s="96" t="b">
        <f t="shared" si="27"/>
        <v>0</v>
      </c>
      <c r="I183" s="247" t="e">
        <f t="shared" si="30"/>
        <v>#N/A</v>
      </c>
      <c r="J183" s="97">
        <v>0</v>
      </c>
      <c r="K183" s="98">
        <v>0</v>
      </c>
      <c r="L183" s="98"/>
      <c r="M183" s="98"/>
      <c r="N183" s="98">
        <f t="shared" si="31"/>
        <v>0</v>
      </c>
      <c r="O183" s="240" t="b">
        <f t="shared" si="23"/>
        <v>0</v>
      </c>
      <c r="P183" s="240" t="b">
        <f t="shared" si="24"/>
        <v>0</v>
      </c>
    </row>
    <row r="184" spans="1:16" x14ac:dyDescent="0.35">
      <c r="A184" s="92">
        <f t="shared" si="29"/>
        <v>0</v>
      </c>
      <c r="B184" s="92" t="e">
        <f>VLOOKUP(A184,[1]Hoja3!$C$3:$D$14,2,FALSE)</f>
        <v>#N/A</v>
      </c>
      <c r="C184" s="93"/>
      <c r="D184" s="101"/>
      <c r="E184" s="94"/>
      <c r="F184" s="95"/>
      <c r="G184" s="96"/>
      <c r="H184" s="96" t="b">
        <f t="shared" si="27"/>
        <v>0</v>
      </c>
      <c r="I184" s="247" t="e">
        <f t="shared" si="30"/>
        <v>#N/A</v>
      </c>
      <c r="J184" s="97">
        <v>0</v>
      </c>
      <c r="K184" s="98">
        <v>0</v>
      </c>
      <c r="L184" s="98"/>
      <c r="M184" s="98"/>
      <c r="N184" s="98">
        <f t="shared" si="31"/>
        <v>0</v>
      </c>
      <c r="O184" s="240" t="b">
        <f t="shared" si="23"/>
        <v>0</v>
      </c>
      <c r="P184" s="240" t="b">
        <f t="shared" si="24"/>
        <v>0</v>
      </c>
    </row>
    <row r="185" spans="1:16" x14ac:dyDescent="0.35">
      <c r="A185" s="92">
        <f t="shared" si="29"/>
        <v>0</v>
      </c>
      <c r="B185" s="92" t="e">
        <f>VLOOKUP(A185,[1]Hoja3!$C$3:$D$14,2,FALSE)</f>
        <v>#N/A</v>
      </c>
      <c r="C185" s="93"/>
      <c r="D185" s="101"/>
      <c r="E185" s="94"/>
      <c r="F185" s="95"/>
      <c r="G185" s="96"/>
      <c r="H185" s="96" t="b">
        <f t="shared" si="27"/>
        <v>0</v>
      </c>
      <c r="I185" s="247" t="e">
        <f t="shared" si="30"/>
        <v>#N/A</v>
      </c>
      <c r="J185" s="97">
        <v>0</v>
      </c>
      <c r="K185" s="98">
        <v>0</v>
      </c>
      <c r="L185" s="98"/>
      <c r="M185" s="98"/>
      <c r="N185" s="98">
        <f t="shared" si="31"/>
        <v>0</v>
      </c>
      <c r="O185" s="240" t="b">
        <f t="shared" si="23"/>
        <v>0</v>
      </c>
      <c r="P185" s="240" t="b">
        <f t="shared" si="24"/>
        <v>0</v>
      </c>
    </row>
    <row r="186" spans="1:16" x14ac:dyDescent="0.35">
      <c r="A186" s="92">
        <f t="shared" si="29"/>
        <v>0</v>
      </c>
      <c r="B186" s="92" t="e">
        <f>VLOOKUP(A186,[1]Hoja3!$C$3:$D$14,2,FALSE)</f>
        <v>#N/A</v>
      </c>
      <c r="C186" s="93"/>
      <c r="D186" s="101"/>
      <c r="E186" s="94"/>
      <c r="F186" s="95"/>
      <c r="G186" s="96"/>
      <c r="H186" s="96" t="b">
        <f t="shared" si="27"/>
        <v>0</v>
      </c>
      <c r="I186" s="247" t="e">
        <f t="shared" si="30"/>
        <v>#N/A</v>
      </c>
      <c r="J186" s="97">
        <v>0</v>
      </c>
      <c r="K186" s="98">
        <v>0</v>
      </c>
      <c r="L186" s="98"/>
      <c r="M186" s="98"/>
      <c r="N186" s="98">
        <f t="shared" si="31"/>
        <v>0</v>
      </c>
      <c r="O186" s="240" t="b">
        <f t="shared" si="23"/>
        <v>0</v>
      </c>
      <c r="P186" s="240" t="b">
        <f t="shared" si="24"/>
        <v>0</v>
      </c>
    </row>
    <row r="187" spans="1:16" x14ac:dyDescent="0.35">
      <c r="A187" s="92">
        <f t="shared" si="29"/>
        <v>0</v>
      </c>
      <c r="B187" s="92" t="e">
        <f>VLOOKUP(A187,[1]Hoja3!$C$3:$D$14,2,FALSE)</f>
        <v>#N/A</v>
      </c>
      <c r="C187" s="93"/>
      <c r="D187" s="101"/>
      <c r="E187" s="94"/>
      <c r="F187" s="95"/>
      <c r="G187" s="96"/>
      <c r="H187" s="96" t="b">
        <f t="shared" si="27"/>
        <v>0</v>
      </c>
      <c r="I187" s="247" t="e">
        <f t="shared" si="30"/>
        <v>#N/A</v>
      </c>
      <c r="J187" s="97">
        <v>0</v>
      </c>
      <c r="K187" s="98">
        <v>0</v>
      </c>
      <c r="L187" s="98"/>
      <c r="M187" s="98"/>
      <c r="N187" s="98">
        <f t="shared" si="31"/>
        <v>0</v>
      </c>
      <c r="O187" s="240" t="b">
        <f t="shared" si="23"/>
        <v>0</v>
      </c>
      <c r="P187" s="240" t="b">
        <f t="shared" si="24"/>
        <v>0</v>
      </c>
    </row>
    <row r="188" spans="1:16" x14ac:dyDescent="0.35">
      <c r="A188" s="92">
        <f t="shared" si="29"/>
        <v>0</v>
      </c>
      <c r="B188" s="92" t="e">
        <f>VLOOKUP(A188,[1]Hoja3!$C$3:$D$14,2,FALSE)</f>
        <v>#N/A</v>
      </c>
      <c r="C188" s="93"/>
      <c r="D188" s="101"/>
      <c r="E188" s="94"/>
      <c r="F188" s="95"/>
      <c r="G188" s="96"/>
      <c r="H188" s="96" t="b">
        <f t="shared" si="27"/>
        <v>0</v>
      </c>
      <c r="I188" s="247" t="e">
        <f t="shared" si="30"/>
        <v>#N/A</v>
      </c>
      <c r="J188" s="97">
        <v>0</v>
      </c>
      <c r="K188" s="98">
        <v>0</v>
      </c>
      <c r="L188" s="98"/>
      <c r="M188" s="98"/>
      <c r="N188" s="98">
        <f t="shared" si="31"/>
        <v>0</v>
      </c>
      <c r="O188" s="240" t="b">
        <f t="shared" si="23"/>
        <v>0</v>
      </c>
      <c r="P188" s="240" t="b">
        <f t="shared" si="24"/>
        <v>0</v>
      </c>
    </row>
    <row r="189" spans="1:16" x14ac:dyDescent="0.35">
      <c r="A189" s="92">
        <f t="shared" si="29"/>
        <v>0</v>
      </c>
      <c r="B189" s="92" t="e">
        <f>VLOOKUP(A189,[1]Hoja3!$C$3:$D$14,2,FALSE)</f>
        <v>#N/A</v>
      </c>
      <c r="C189" s="93"/>
      <c r="D189" s="101"/>
      <c r="E189" s="94"/>
      <c r="F189" s="95"/>
      <c r="G189" s="96"/>
      <c r="H189" s="96" t="b">
        <f t="shared" si="27"/>
        <v>0</v>
      </c>
      <c r="I189" s="247" t="e">
        <f t="shared" si="30"/>
        <v>#N/A</v>
      </c>
      <c r="J189" s="97">
        <v>0</v>
      </c>
      <c r="K189" s="98">
        <v>0</v>
      </c>
      <c r="L189" s="98"/>
      <c r="M189" s="98"/>
      <c r="N189" s="98">
        <f t="shared" si="31"/>
        <v>0</v>
      </c>
      <c r="O189" s="240" t="b">
        <f t="shared" ref="O189:O252" si="32">IF(G189="EFREN ABUNDEZ REYNA","37295",IF(G189="LUIS ALEJANDRO HERNANDEZ REYNA","HERL850705AL2",IF(G189="ANA BEATRIZ ESTRADA ARGOTE","37530",IF(G189="SERGIO ROMERO DURAN","RODS620908QAA",IF(G189="MARIELA OLMOS GAONA","37675",IF(G189="LUCIANO MIJAIL ORTEGA MUÑOZ","37297",IF(G189="GUSTAVO HUMBERTO VELAZCO GALVAN","VEGG9211019T1",IF(G189="JESUS AGUSTIN VELAZQUEZ FLORES","VEFJ900303M65",IF(G189="KARLA ESTEFANIA SALAZAR FLORES","SAFK9807277N1",IF(G189="ANGEL TERRAZAS MONROY","TEMA7105035N4"))))))))))</f>
        <v>0</v>
      </c>
      <c r="P189" s="240" t="b">
        <f t="shared" ref="P189:P252" si="33">IF(G189="EFREN ABUNDEZ REYNA","PFAEP",IF(G189="LUIS ALEJANDRO HERNANDEZ REYNA","HERL850705AL2",IF(G189="ANA BEATRIZ ESTRADA ARGOTE","RIF",IF(G189="SERGIO ROMERO DURAN","RODS620908QAA",IF(G189="MARIELA OLMOS GAONA","RESICO",IF(G189="LUCIANO MIJAIL ORTEGA MUÑOZ","RIF",IF(G189="GUSTAVO HUMBERTO VELAZCO GALVAN","VEGG9211019T1",IF(G189="JESUS AGUSTIN VELAZQUEZ FLORES","VEFJ900303M65",IF(G189="KARLA ESTEFANIA SALAZAR FLORES","SAFK9807277N1",IF(G189="ANGEL TERRAZAS MONROY","TEMA7105035N4"))))))))))</f>
        <v>0</v>
      </c>
    </row>
    <row r="190" spans="1:16" x14ac:dyDescent="0.35">
      <c r="A190" s="92">
        <f t="shared" si="29"/>
        <v>0</v>
      </c>
      <c r="B190" s="92" t="e">
        <f>VLOOKUP(A190,[1]Hoja3!$C$3:$D$14,2,FALSE)</f>
        <v>#N/A</v>
      </c>
      <c r="C190" s="93"/>
      <c r="D190" s="101"/>
      <c r="E190" s="94"/>
      <c r="F190" s="95"/>
      <c r="G190" s="96"/>
      <c r="H190" s="96" t="b">
        <f t="shared" si="27"/>
        <v>0</v>
      </c>
      <c r="I190" s="247" t="e">
        <f t="shared" si="30"/>
        <v>#N/A</v>
      </c>
      <c r="J190" s="97">
        <v>0</v>
      </c>
      <c r="K190" s="98">
        <v>0</v>
      </c>
      <c r="L190" s="98"/>
      <c r="M190" s="98"/>
      <c r="N190" s="98">
        <f t="shared" si="31"/>
        <v>0</v>
      </c>
      <c r="O190" s="240" t="b">
        <f t="shared" si="32"/>
        <v>0</v>
      </c>
      <c r="P190" s="240" t="b">
        <f t="shared" si="33"/>
        <v>0</v>
      </c>
    </row>
    <row r="191" spans="1:16" x14ac:dyDescent="0.35">
      <c r="A191" s="92">
        <f t="shared" si="29"/>
        <v>0</v>
      </c>
      <c r="B191" s="92" t="e">
        <f>VLOOKUP(A191,[1]Hoja3!$C$3:$D$14,2,FALSE)</f>
        <v>#N/A</v>
      </c>
      <c r="C191" s="93"/>
      <c r="D191" s="101"/>
      <c r="E191" s="94"/>
      <c r="F191" s="95"/>
      <c r="G191" s="96"/>
      <c r="H191" s="96" t="b">
        <f t="shared" si="27"/>
        <v>0</v>
      </c>
      <c r="I191" s="247" t="e">
        <f t="shared" si="30"/>
        <v>#N/A</v>
      </c>
      <c r="J191" s="97">
        <v>0</v>
      </c>
      <c r="K191" s="98">
        <v>0</v>
      </c>
      <c r="L191" s="98"/>
      <c r="M191" s="98"/>
      <c r="N191" s="98">
        <f t="shared" si="31"/>
        <v>0</v>
      </c>
      <c r="O191" s="240" t="b">
        <f t="shared" si="32"/>
        <v>0</v>
      </c>
      <c r="P191" s="240" t="b">
        <f t="shared" si="33"/>
        <v>0</v>
      </c>
    </row>
    <row r="192" spans="1:16" x14ac:dyDescent="0.35">
      <c r="A192" s="92">
        <f t="shared" si="29"/>
        <v>0</v>
      </c>
      <c r="B192" s="92" t="e">
        <f>VLOOKUP(A192,[1]Hoja3!$C$3:$D$14,2,FALSE)</f>
        <v>#N/A</v>
      </c>
      <c r="C192" s="93"/>
      <c r="D192" s="101"/>
      <c r="E192" s="94"/>
      <c r="F192" s="95"/>
      <c r="G192" s="96"/>
      <c r="H192" s="96" t="b">
        <f t="shared" si="27"/>
        <v>0</v>
      </c>
      <c r="I192" s="247" t="e">
        <f t="shared" si="30"/>
        <v>#N/A</v>
      </c>
      <c r="J192" s="97">
        <v>0</v>
      </c>
      <c r="K192" s="98">
        <v>0</v>
      </c>
      <c r="L192" s="98"/>
      <c r="M192" s="98"/>
      <c r="N192" s="98">
        <f t="shared" si="31"/>
        <v>0</v>
      </c>
      <c r="O192" s="240" t="b">
        <f t="shared" si="32"/>
        <v>0</v>
      </c>
      <c r="P192" s="240" t="b">
        <f t="shared" si="33"/>
        <v>0</v>
      </c>
    </row>
    <row r="193" spans="1:16" x14ac:dyDescent="0.35">
      <c r="A193" s="92">
        <f t="shared" si="29"/>
        <v>0</v>
      </c>
      <c r="B193" s="92" t="e">
        <f>VLOOKUP(A193,[1]Hoja3!$C$3:$D$14,2,FALSE)</f>
        <v>#N/A</v>
      </c>
      <c r="C193" s="93"/>
      <c r="D193" s="101"/>
      <c r="E193" s="94"/>
      <c r="F193" s="95"/>
      <c r="G193" s="96"/>
      <c r="H193" s="96" t="b">
        <f t="shared" si="27"/>
        <v>0</v>
      </c>
      <c r="I193" s="247" t="e">
        <f t="shared" si="30"/>
        <v>#N/A</v>
      </c>
      <c r="J193" s="97">
        <v>0</v>
      </c>
      <c r="K193" s="98">
        <v>0</v>
      </c>
      <c r="L193" s="98"/>
      <c r="M193" s="98"/>
      <c r="N193" s="98">
        <f t="shared" si="31"/>
        <v>0</v>
      </c>
      <c r="O193" s="240" t="b">
        <f t="shared" si="32"/>
        <v>0</v>
      </c>
      <c r="P193" s="240" t="b">
        <f t="shared" si="33"/>
        <v>0</v>
      </c>
    </row>
    <row r="194" spans="1:16" x14ac:dyDescent="0.35">
      <c r="A194" s="92">
        <f t="shared" si="29"/>
        <v>0</v>
      </c>
      <c r="B194" s="92" t="e">
        <f>VLOOKUP(A194,[1]Hoja3!$C$3:$D$14,2,FALSE)</f>
        <v>#N/A</v>
      </c>
      <c r="C194" s="93"/>
      <c r="D194" s="101"/>
      <c r="E194" s="94"/>
      <c r="F194" s="95"/>
      <c r="G194" s="96"/>
      <c r="H194" s="96" t="b">
        <f t="shared" si="27"/>
        <v>0</v>
      </c>
      <c r="I194" s="247" t="e">
        <f t="shared" si="30"/>
        <v>#N/A</v>
      </c>
      <c r="J194" s="97">
        <v>0</v>
      </c>
      <c r="K194" s="98">
        <v>0</v>
      </c>
      <c r="L194" s="98"/>
      <c r="M194" s="98"/>
      <c r="N194" s="98">
        <f t="shared" si="31"/>
        <v>0</v>
      </c>
      <c r="O194" s="240" t="b">
        <f t="shared" si="32"/>
        <v>0</v>
      </c>
      <c r="P194" s="240" t="b">
        <f t="shared" si="33"/>
        <v>0</v>
      </c>
    </row>
    <row r="195" spans="1:16" x14ac:dyDescent="0.35">
      <c r="A195" s="92">
        <f t="shared" si="29"/>
        <v>0</v>
      </c>
      <c r="B195" s="92" t="e">
        <f>VLOOKUP(A195,[1]Hoja3!$C$3:$D$14,2,FALSE)</f>
        <v>#N/A</v>
      </c>
      <c r="C195" s="93"/>
      <c r="D195" s="101"/>
      <c r="E195" s="94"/>
      <c r="F195" s="95"/>
      <c r="G195" s="96"/>
      <c r="H195" s="96" t="b">
        <f t="shared" si="27"/>
        <v>0</v>
      </c>
      <c r="I195" s="247" t="e">
        <f t="shared" si="30"/>
        <v>#N/A</v>
      </c>
      <c r="J195" s="97">
        <v>0</v>
      </c>
      <c r="K195" s="98">
        <v>0</v>
      </c>
      <c r="L195" s="98"/>
      <c r="M195" s="98"/>
      <c r="N195" s="98">
        <f t="shared" si="31"/>
        <v>0</v>
      </c>
      <c r="O195" s="240" t="b">
        <f t="shared" si="32"/>
        <v>0</v>
      </c>
      <c r="P195" s="240" t="b">
        <f t="shared" si="33"/>
        <v>0</v>
      </c>
    </row>
    <row r="196" spans="1:16" x14ac:dyDescent="0.35">
      <c r="A196" s="92">
        <f t="shared" si="29"/>
        <v>0</v>
      </c>
      <c r="B196" s="92" t="e">
        <f>VLOOKUP(A196,[1]Hoja3!$C$3:$D$14,2,FALSE)</f>
        <v>#N/A</v>
      </c>
      <c r="C196" s="93"/>
      <c r="D196" s="101"/>
      <c r="E196" s="94"/>
      <c r="F196" s="95"/>
      <c r="G196" s="96"/>
      <c r="H196" s="96" t="b">
        <f t="shared" si="27"/>
        <v>0</v>
      </c>
      <c r="I196" s="247" t="e">
        <f t="shared" si="30"/>
        <v>#N/A</v>
      </c>
      <c r="J196" s="97">
        <v>0</v>
      </c>
      <c r="K196" s="98">
        <v>0</v>
      </c>
      <c r="L196" s="98"/>
      <c r="M196" s="98"/>
      <c r="N196" s="98">
        <f t="shared" si="31"/>
        <v>0</v>
      </c>
      <c r="O196" s="240" t="b">
        <f t="shared" si="32"/>
        <v>0</v>
      </c>
      <c r="P196" s="240" t="b">
        <f t="shared" si="33"/>
        <v>0</v>
      </c>
    </row>
    <row r="197" spans="1:16" x14ac:dyDescent="0.35">
      <c r="A197" s="92">
        <f t="shared" si="29"/>
        <v>0</v>
      </c>
      <c r="B197" s="92" t="e">
        <f>VLOOKUP(A197,[1]Hoja3!$C$3:$D$14,2,FALSE)</f>
        <v>#N/A</v>
      </c>
      <c r="C197" s="93"/>
      <c r="D197" s="101"/>
      <c r="E197" s="94"/>
      <c r="F197" s="95"/>
      <c r="G197" s="96"/>
      <c r="H197" s="96" t="b">
        <f t="shared" si="27"/>
        <v>0</v>
      </c>
      <c r="I197" s="247" t="e">
        <f t="shared" si="30"/>
        <v>#N/A</v>
      </c>
      <c r="J197" s="97">
        <v>0</v>
      </c>
      <c r="K197" s="98">
        <v>0</v>
      </c>
      <c r="L197" s="98"/>
      <c r="M197" s="98"/>
      <c r="N197" s="98">
        <f t="shared" si="31"/>
        <v>0</v>
      </c>
      <c r="O197" s="240" t="b">
        <f t="shared" si="32"/>
        <v>0</v>
      </c>
      <c r="P197" s="240" t="b">
        <f t="shared" si="33"/>
        <v>0</v>
      </c>
    </row>
    <row r="198" spans="1:16" x14ac:dyDescent="0.35">
      <c r="A198" s="92">
        <f t="shared" si="29"/>
        <v>0</v>
      </c>
      <c r="B198" s="92" t="e">
        <f>VLOOKUP(A198,[1]Hoja3!$C$3:$D$14,2,FALSE)</f>
        <v>#N/A</v>
      </c>
      <c r="C198" s="93"/>
      <c r="D198" s="101"/>
      <c r="E198" s="94"/>
      <c r="F198" s="95"/>
      <c r="G198" s="96"/>
      <c r="H198" s="96" t="b">
        <f t="shared" si="27"/>
        <v>0</v>
      </c>
      <c r="I198" s="247" t="e">
        <f t="shared" si="30"/>
        <v>#N/A</v>
      </c>
      <c r="J198" s="97">
        <v>0</v>
      </c>
      <c r="K198" s="98">
        <v>0</v>
      </c>
      <c r="L198" s="98"/>
      <c r="M198" s="98"/>
      <c r="N198" s="98">
        <f t="shared" si="31"/>
        <v>0</v>
      </c>
      <c r="O198" s="240" t="b">
        <f t="shared" si="32"/>
        <v>0</v>
      </c>
      <c r="P198" s="240" t="b">
        <f t="shared" si="33"/>
        <v>0</v>
      </c>
    </row>
    <row r="199" spans="1:16" x14ac:dyDescent="0.35">
      <c r="A199" s="92">
        <f t="shared" si="29"/>
        <v>0</v>
      </c>
      <c r="B199" s="92" t="e">
        <f>VLOOKUP(A199,[1]Hoja3!$C$3:$D$14,2,FALSE)</f>
        <v>#N/A</v>
      </c>
      <c r="C199" s="93"/>
      <c r="D199" s="101"/>
      <c r="E199" s="94"/>
      <c r="F199" s="95"/>
      <c r="G199" s="96"/>
      <c r="H199" s="96" t="b">
        <f t="shared" si="27"/>
        <v>0</v>
      </c>
      <c r="I199" s="247" t="e">
        <f t="shared" si="30"/>
        <v>#N/A</v>
      </c>
      <c r="J199" s="97">
        <v>0</v>
      </c>
      <c r="K199" s="98">
        <v>0</v>
      </c>
      <c r="L199" s="98"/>
      <c r="M199" s="98"/>
      <c r="N199" s="98">
        <f t="shared" si="31"/>
        <v>0</v>
      </c>
      <c r="O199" s="240" t="b">
        <f t="shared" si="32"/>
        <v>0</v>
      </c>
      <c r="P199" s="240" t="b">
        <f t="shared" si="33"/>
        <v>0</v>
      </c>
    </row>
    <row r="200" spans="1:16" x14ac:dyDescent="0.35">
      <c r="A200" s="92">
        <f t="shared" si="29"/>
        <v>0</v>
      </c>
      <c r="B200" s="92" t="e">
        <f>VLOOKUP(A200,[1]Hoja3!$C$3:$D$14,2,FALSE)</f>
        <v>#N/A</v>
      </c>
      <c r="C200" s="93"/>
      <c r="D200" s="101"/>
      <c r="E200" s="94"/>
      <c r="F200" s="95"/>
      <c r="G200" s="96"/>
      <c r="H200" s="96" t="b">
        <f t="shared" si="27"/>
        <v>0</v>
      </c>
      <c r="I200" s="247" t="e">
        <f t="shared" si="30"/>
        <v>#N/A</v>
      </c>
      <c r="J200" s="97">
        <v>0</v>
      </c>
      <c r="K200" s="98">
        <v>0</v>
      </c>
      <c r="L200" s="98"/>
      <c r="M200" s="98"/>
      <c r="N200" s="98">
        <f t="shared" si="31"/>
        <v>0</v>
      </c>
      <c r="O200" s="240" t="b">
        <f t="shared" si="32"/>
        <v>0</v>
      </c>
      <c r="P200" s="240" t="b">
        <f t="shared" si="33"/>
        <v>0</v>
      </c>
    </row>
    <row r="201" spans="1:16" x14ac:dyDescent="0.35">
      <c r="A201" s="92">
        <f t="shared" si="29"/>
        <v>0</v>
      </c>
      <c r="B201" s="92" t="e">
        <f>VLOOKUP(A201,[1]Hoja3!$C$3:$D$14,2,FALSE)</f>
        <v>#N/A</v>
      </c>
      <c r="C201" s="93"/>
      <c r="D201" s="101"/>
      <c r="E201" s="94"/>
      <c r="F201" s="95"/>
      <c r="G201" s="96"/>
      <c r="H201" s="96" t="b">
        <f t="shared" si="27"/>
        <v>0</v>
      </c>
      <c r="I201" s="247" t="e">
        <f t="shared" si="30"/>
        <v>#N/A</v>
      </c>
      <c r="J201" s="97">
        <v>0</v>
      </c>
      <c r="K201" s="98">
        <v>0</v>
      </c>
      <c r="L201" s="98"/>
      <c r="M201" s="98"/>
      <c r="N201" s="98">
        <f t="shared" si="31"/>
        <v>0</v>
      </c>
      <c r="O201" s="240" t="b">
        <f t="shared" si="32"/>
        <v>0</v>
      </c>
      <c r="P201" s="240" t="b">
        <f t="shared" si="33"/>
        <v>0</v>
      </c>
    </row>
    <row r="202" spans="1:16" x14ac:dyDescent="0.35">
      <c r="A202" s="92">
        <f t="shared" si="29"/>
        <v>0</v>
      </c>
      <c r="B202" s="92" t="e">
        <f>VLOOKUP(A202,[1]Hoja3!$C$3:$D$14,2,FALSE)</f>
        <v>#N/A</v>
      </c>
      <c r="C202" s="93"/>
      <c r="D202" s="101"/>
      <c r="E202" s="94"/>
      <c r="F202" s="95"/>
      <c r="G202" s="96"/>
      <c r="H202" s="96" t="b">
        <f t="shared" si="27"/>
        <v>0</v>
      </c>
      <c r="I202" s="247" t="e">
        <f t="shared" si="30"/>
        <v>#N/A</v>
      </c>
      <c r="J202" s="97">
        <v>0</v>
      </c>
      <c r="K202" s="98">
        <v>0</v>
      </c>
      <c r="L202" s="98"/>
      <c r="M202" s="98"/>
      <c r="N202" s="98">
        <f t="shared" si="31"/>
        <v>0</v>
      </c>
      <c r="O202" s="240" t="b">
        <f t="shared" si="32"/>
        <v>0</v>
      </c>
      <c r="P202" s="240" t="b">
        <f t="shared" si="33"/>
        <v>0</v>
      </c>
    </row>
    <row r="203" spans="1:16" x14ac:dyDescent="0.35">
      <c r="A203" s="92">
        <f t="shared" si="29"/>
        <v>0</v>
      </c>
      <c r="B203" s="92" t="e">
        <f>VLOOKUP(A203,[1]Hoja3!$C$3:$D$14,2,FALSE)</f>
        <v>#N/A</v>
      </c>
      <c r="C203" s="93"/>
      <c r="D203" s="101"/>
      <c r="E203" s="94"/>
      <c r="F203" s="95"/>
      <c r="G203" s="96"/>
      <c r="H203" s="96" t="b">
        <f t="shared" si="27"/>
        <v>0</v>
      </c>
      <c r="I203" s="247" t="e">
        <f t="shared" si="30"/>
        <v>#N/A</v>
      </c>
      <c r="J203" s="97">
        <v>0</v>
      </c>
      <c r="K203" s="98">
        <v>0</v>
      </c>
      <c r="L203" s="98"/>
      <c r="M203" s="98"/>
      <c r="N203" s="98">
        <f t="shared" si="31"/>
        <v>0</v>
      </c>
      <c r="O203" s="240" t="b">
        <f t="shared" si="32"/>
        <v>0</v>
      </c>
      <c r="P203" s="240" t="b">
        <f t="shared" si="33"/>
        <v>0</v>
      </c>
    </row>
    <row r="204" spans="1:16" x14ac:dyDescent="0.35">
      <c r="A204" s="92">
        <f t="shared" si="29"/>
        <v>0</v>
      </c>
      <c r="B204" s="92" t="e">
        <f>VLOOKUP(A204,[1]Hoja3!$C$3:$D$14,2,FALSE)</f>
        <v>#N/A</v>
      </c>
      <c r="C204" s="93"/>
      <c r="D204" s="101"/>
      <c r="E204" s="94"/>
      <c r="F204" s="95"/>
      <c r="G204" s="96"/>
      <c r="H204" s="96" t="b">
        <f t="shared" si="27"/>
        <v>0</v>
      </c>
      <c r="I204" s="247" t="e">
        <f t="shared" si="30"/>
        <v>#N/A</v>
      </c>
      <c r="J204" s="97">
        <v>0</v>
      </c>
      <c r="K204" s="98">
        <v>0</v>
      </c>
      <c r="L204" s="98"/>
      <c r="M204" s="98"/>
      <c r="N204" s="98">
        <f t="shared" si="31"/>
        <v>0</v>
      </c>
      <c r="O204" s="240" t="b">
        <f t="shared" si="32"/>
        <v>0</v>
      </c>
      <c r="P204" s="240" t="b">
        <f t="shared" si="33"/>
        <v>0</v>
      </c>
    </row>
    <row r="205" spans="1:16" x14ac:dyDescent="0.35">
      <c r="A205" s="92">
        <f t="shared" si="29"/>
        <v>0</v>
      </c>
      <c r="B205" s="92" t="e">
        <f>VLOOKUP(A205,[1]Hoja3!$C$3:$D$14,2,FALSE)</f>
        <v>#N/A</v>
      </c>
      <c r="C205" s="93"/>
      <c r="D205" s="101"/>
      <c r="E205" s="94"/>
      <c r="F205" s="95"/>
      <c r="G205" s="96"/>
      <c r="H205" s="96" t="b">
        <f t="shared" si="27"/>
        <v>0</v>
      </c>
      <c r="I205" s="247" t="e">
        <f t="shared" si="30"/>
        <v>#N/A</v>
      </c>
      <c r="J205" s="97">
        <v>0</v>
      </c>
      <c r="K205" s="98">
        <v>0</v>
      </c>
      <c r="L205" s="98"/>
      <c r="M205" s="98"/>
      <c r="N205" s="98">
        <f t="shared" si="31"/>
        <v>0</v>
      </c>
      <c r="O205" s="240" t="b">
        <f t="shared" si="32"/>
        <v>0</v>
      </c>
      <c r="P205" s="240" t="b">
        <f t="shared" si="33"/>
        <v>0</v>
      </c>
    </row>
    <row r="206" spans="1:16" x14ac:dyDescent="0.35">
      <c r="A206" s="92">
        <f t="shared" si="29"/>
        <v>0</v>
      </c>
      <c r="B206" s="92" t="e">
        <f>VLOOKUP(A206,[1]Hoja3!$C$3:$D$14,2,FALSE)</f>
        <v>#N/A</v>
      </c>
      <c r="C206" s="93"/>
      <c r="D206" s="101"/>
      <c r="E206" s="94"/>
      <c r="F206" s="95"/>
      <c r="G206" s="96"/>
      <c r="H206" s="96" t="b">
        <f t="shared" si="27"/>
        <v>0</v>
      </c>
      <c r="I206" s="247" t="e">
        <f t="shared" si="30"/>
        <v>#N/A</v>
      </c>
      <c r="J206" s="97">
        <v>0</v>
      </c>
      <c r="K206" s="98">
        <v>0</v>
      </c>
      <c r="L206" s="98"/>
      <c r="M206" s="98"/>
      <c r="N206" s="98">
        <f t="shared" si="31"/>
        <v>0</v>
      </c>
      <c r="O206" s="240" t="b">
        <f t="shared" si="32"/>
        <v>0</v>
      </c>
      <c r="P206" s="240" t="b">
        <f t="shared" si="33"/>
        <v>0</v>
      </c>
    </row>
    <row r="207" spans="1:16" x14ac:dyDescent="0.35">
      <c r="A207" s="92">
        <f t="shared" si="29"/>
        <v>0</v>
      </c>
      <c r="B207" s="92" t="e">
        <f>VLOOKUP(A207,[1]Hoja3!$C$3:$D$14,2,FALSE)</f>
        <v>#N/A</v>
      </c>
      <c r="C207" s="93"/>
      <c r="D207" s="101"/>
      <c r="E207" s="94"/>
      <c r="F207" s="95"/>
      <c r="G207" s="96"/>
      <c r="H207" s="96" t="b">
        <f t="shared" si="27"/>
        <v>0</v>
      </c>
      <c r="I207" s="247" t="e">
        <f t="shared" si="30"/>
        <v>#N/A</v>
      </c>
      <c r="J207" s="97">
        <v>0</v>
      </c>
      <c r="K207" s="98">
        <v>0</v>
      </c>
      <c r="L207" s="98"/>
      <c r="M207" s="98"/>
      <c r="N207" s="98">
        <f t="shared" si="31"/>
        <v>0</v>
      </c>
      <c r="O207" s="240" t="b">
        <f t="shared" si="32"/>
        <v>0</v>
      </c>
      <c r="P207" s="240" t="b">
        <f t="shared" si="33"/>
        <v>0</v>
      </c>
    </row>
    <row r="208" spans="1:16" x14ac:dyDescent="0.35">
      <c r="A208" s="92">
        <f t="shared" si="29"/>
        <v>0</v>
      </c>
      <c r="B208" s="92" t="e">
        <f>VLOOKUP(A208,[1]Hoja3!$C$3:$D$14,2,FALSE)</f>
        <v>#N/A</v>
      </c>
      <c r="C208" s="93"/>
      <c r="D208" s="101"/>
      <c r="E208" s="94"/>
      <c r="F208" s="95"/>
      <c r="G208" s="96"/>
      <c r="H208" s="96" t="b">
        <f t="shared" ref="H208:H271" si="34">IF(G208="EFREN ABUNDEZ REYNA","AURE7306187IA",IF(G208="LUIS ALEJANDRO HERNANDEZ REYNA","HERL850705AL2",IF(G208="ANA BEATRIZ ESTRADA ARGOTE","EAAA860701UP2",IF(G208="SERGIO ROMERO DURAN","RODS620908QAA",IF(G208="MARIELA OLMOS GAONA","OOGM010703NX1",IF(G208="LUCIANO MIJAIL ORTEGA MUÑOZ","OEML881105IK2",IF(G208="GUSTAVO HUMBERTO VELAZCO GALVAN","VEGG9211019T1",IF(G208="JESUS AGUSTIN VELAZQUEZ FLORES","VEFJ900303M65",IF(G208="KARLA ESTEFANIA SALAZAR FLORES","SAFK9807277N1",IF(G208="ANGEL TERRAZAS MONROY","TEMA7105035N4"))))))))))</f>
        <v>0</v>
      </c>
      <c r="I208" s="247" t="e">
        <f t="shared" si="30"/>
        <v>#N/A</v>
      </c>
      <c r="J208" s="97">
        <v>0</v>
      </c>
      <c r="K208" s="98">
        <v>0</v>
      </c>
      <c r="L208" s="98"/>
      <c r="M208" s="98"/>
      <c r="N208" s="98">
        <f t="shared" si="31"/>
        <v>0</v>
      </c>
      <c r="O208" s="240" t="b">
        <f t="shared" si="32"/>
        <v>0</v>
      </c>
      <c r="P208" s="240" t="b">
        <f t="shared" si="33"/>
        <v>0</v>
      </c>
    </row>
    <row r="209" spans="1:16" x14ac:dyDescent="0.35">
      <c r="A209" s="92">
        <f t="shared" si="29"/>
        <v>0</v>
      </c>
      <c r="B209" s="92" t="e">
        <f>VLOOKUP(A209,[1]Hoja3!$C$3:$D$14,2,FALSE)</f>
        <v>#N/A</v>
      </c>
      <c r="C209" s="93"/>
      <c r="D209" s="101"/>
      <c r="E209" s="94"/>
      <c r="F209" s="95"/>
      <c r="G209" s="96"/>
      <c r="H209" s="96" t="b">
        <f t="shared" si="34"/>
        <v>0</v>
      </c>
      <c r="I209" s="247" t="e">
        <f t="shared" si="30"/>
        <v>#N/A</v>
      </c>
      <c r="J209" s="97">
        <v>0</v>
      </c>
      <c r="K209" s="98">
        <v>0</v>
      </c>
      <c r="L209" s="98"/>
      <c r="M209" s="98"/>
      <c r="N209" s="98">
        <f t="shared" si="31"/>
        <v>0</v>
      </c>
      <c r="O209" s="240" t="b">
        <f t="shared" si="32"/>
        <v>0</v>
      </c>
      <c r="P209" s="240" t="b">
        <f t="shared" si="33"/>
        <v>0</v>
      </c>
    </row>
    <row r="210" spans="1:16" x14ac:dyDescent="0.35">
      <c r="A210" s="92">
        <f t="shared" si="29"/>
        <v>0</v>
      </c>
      <c r="B210" s="92" t="e">
        <f>VLOOKUP(A210,[1]Hoja3!$C$3:$D$14,2,FALSE)</f>
        <v>#N/A</v>
      </c>
      <c r="C210" s="93"/>
      <c r="D210" s="101"/>
      <c r="E210" s="94"/>
      <c r="F210" s="95"/>
      <c r="G210" s="96"/>
      <c r="H210" s="96" t="b">
        <f t="shared" si="34"/>
        <v>0</v>
      </c>
      <c r="I210" s="247" t="e">
        <f t="shared" si="30"/>
        <v>#N/A</v>
      </c>
      <c r="J210" s="97">
        <v>0</v>
      </c>
      <c r="K210" s="98">
        <v>0</v>
      </c>
      <c r="L210" s="98"/>
      <c r="M210" s="98"/>
      <c r="N210" s="98">
        <f t="shared" si="31"/>
        <v>0</v>
      </c>
      <c r="O210" s="240" t="b">
        <f t="shared" si="32"/>
        <v>0</v>
      </c>
      <c r="P210" s="240" t="b">
        <f t="shared" si="33"/>
        <v>0</v>
      </c>
    </row>
    <row r="211" spans="1:16" x14ac:dyDescent="0.35">
      <c r="A211" s="92">
        <f t="shared" si="29"/>
        <v>0</v>
      </c>
      <c r="B211" s="92" t="e">
        <f>VLOOKUP(A211,[1]Hoja3!$C$3:$D$14,2,FALSE)</f>
        <v>#N/A</v>
      </c>
      <c r="C211" s="93"/>
      <c r="D211" s="101"/>
      <c r="E211" s="94"/>
      <c r="F211" s="95"/>
      <c r="G211" s="96"/>
      <c r="H211" s="96" t="b">
        <f t="shared" si="34"/>
        <v>0</v>
      </c>
      <c r="I211" s="247" t="e">
        <f t="shared" si="30"/>
        <v>#N/A</v>
      </c>
      <c r="J211" s="97">
        <v>0</v>
      </c>
      <c r="K211" s="98">
        <v>0</v>
      </c>
      <c r="L211" s="98"/>
      <c r="M211" s="98"/>
      <c r="N211" s="98">
        <f t="shared" si="31"/>
        <v>0</v>
      </c>
      <c r="O211" s="240" t="b">
        <f t="shared" si="32"/>
        <v>0</v>
      </c>
      <c r="P211" s="240" t="b">
        <f t="shared" si="33"/>
        <v>0</v>
      </c>
    </row>
    <row r="212" spans="1:16" x14ac:dyDescent="0.35">
      <c r="A212" s="92">
        <f t="shared" si="29"/>
        <v>0</v>
      </c>
      <c r="B212" s="92" t="e">
        <f>VLOOKUP(A212,[1]Hoja3!$C$3:$D$14,2,FALSE)</f>
        <v>#N/A</v>
      </c>
      <c r="C212" s="93"/>
      <c r="D212" s="101"/>
      <c r="E212" s="94"/>
      <c r="F212" s="95"/>
      <c r="G212" s="96"/>
      <c r="H212" s="96" t="b">
        <f t="shared" si="34"/>
        <v>0</v>
      </c>
      <c r="I212" s="247" t="e">
        <f t="shared" si="30"/>
        <v>#N/A</v>
      </c>
      <c r="J212" s="97">
        <v>0</v>
      </c>
      <c r="K212" s="98">
        <v>0</v>
      </c>
      <c r="L212" s="98"/>
      <c r="M212" s="98"/>
      <c r="N212" s="98">
        <f t="shared" si="31"/>
        <v>0</v>
      </c>
      <c r="O212" s="240" t="b">
        <f t="shared" si="32"/>
        <v>0</v>
      </c>
      <c r="P212" s="240" t="b">
        <f t="shared" si="33"/>
        <v>0</v>
      </c>
    </row>
    <row r="213" spans="1:16" x14ac:dyDescent="0.35">
      <c r="A213" s="92">
        <f t="shared" si="29"/>
        <v>0</v>
      </c>
      <c r="B213" s="92" t="e">
        <f>VLOOKUP(A213,[1]Hoja3!$C$3:$D$14,2,FALSE)</f>
        <v>#N/A</v>
      </c>
      <c r="C213" s="93"/>
      <c r="D213" s="101"/>
      <c r="E213" s="94"/>
      <c r="F213" s="95"/>
      <c r="G213" s="96"/>
      <c r="H213" s="96" t="b">
        <f t="shared" si="34"/>
        <v>0</v>
      </c>
      <c r="I213" s="247" t="e">
        <f t="shared" si="30"/>
        <v>#N/A</v>
      </c>
      <c r="J213" s="97">
        <v>0</v>
      </c>
      <c r="K213" s="98">
        <v>0</v>
      </c>
      <c r="L213" s="98"/>
      <c r="M213" s="98"/>
      <c r="N213" s="98">
        <f t="shared" si="31"/>
        <v>0</v>
      </c>
      <c r="O213" s="240" t="b">
        <f t="shared" si="32"/>
        <v>0</v>
      </c>
      <c r="P213" s="240" t="b">
        <f t="shared" si="33"/>
        <v>0</v>
      </c>
    </row>
    <row r="214" spans="1:16" x14ac:dyDescent="0.35">
      <c r="A214" s="92">
        <f t="shared" si="29"/>
        <v>0</v>
      </c>
      <c r="B214" s="92" t="e">
        <f>VLOOKUP(A214,[1]Hoja3!$C$3:$D$14,2,FALSE)</f>
        <v>#N/A</v>
      </c>
      <c r="C214" s="93"/>
      <c r="D214" s="101"/>
      <c r="E214" s="94"/>
      <c r="F214" s="95"/>
      <c r="G214" s="96"/>
      <c r="H214" s="96" t="b">
        <f t="shared" si="34"/>
        <v>0</v>
      </c>
      <c r="I214" s="247" t="e">
        <f t="shared" si="30"/>
        <v>#N/A</v>
      </c>
      <c r="J214" s="97">
        <v>0</v>
      </c>
      <c r="K214" s="98">
        <v>0</v>
      </c>
      <c r="L214" s="98"/>
      <c r="M214" s="98"/>
      <c r="N214" s="98">
        <f t="shared" si="31"/>
        <v>0</v>
      </c>
      <c r="O214" s="240" t="b">
        <f t="shared" si="32"/>
        <v>0</v>
      </c>
      <c r="P214" s="240" t="b">
        <f t="shared" si="33"/>
        <v>0</v>
      </c>
    </row>
    <row r="215" spans="1:16" x14ac:dyDescent="0.35">
      <c r="A215" s="92">
        <f t="shared" si="29"/>
        <v>0</v>
      </c>
      <c r="B215" s="92" t="e">
        <f>VLOOKUP(A215,[1]Hoja3!$C$3:$D$14,2,FALSE)</f>
        <v>#N/A</v>
      </c>
      <c r="C215" s="93"/>
      <c r="D215" s="101"/>
      <c r="E215" s="94"/>
      <c r="F215" s="95"/>
      <c r="G215" s="96"/>
      <c r="H215" s="96" t="b">
        <f t="shared" si="34"/>
        <v>0</v>
      </c>
      <c r="I215" s="247" t="e">
        <f t="shared" si="30"/>
        <v>#N/A</v>
      </c>
      <c r="J215" s="97">
        <v>0</v>
      </c>
      <c r="K215" s="98">
        <v>0</v>
      </c>
      <c r="L215" s="98"/>
      <c r="M215" s="98"/>
      <c r="N215" s="98">
        <f t="shared" si="31"/>
        <v>0</v>
      </c>
      <c r="O215" s="240" t="b">
        <f t="shared" si="32"/>
        <v>0</v>
      </c>
      <c r="P215" s="240" t="b">
        <f t="shared" si="33"/>
        <v>0</v>
      </c>
    </row>
    <row r="216" spans="1:16" x14ac:dyDescent="0.35">
      <c r="A216" s="92">
        <f t="shared" si="29"/>
        <v>0</v>
      </c>
      <c r="B216" s="92" t="e">
        <f>VLOOKUP(A216,[1]Hoja3!$C$3:$D$14,2,FALSE)</f>
        <v>#N/A</v>
      </c>
      <c r="C216" s="93"/>
      <c r="D216" s="101"/>
      <c r="E216" s="94"/>
      <c r="F216" s="95"/>
      <c r="G216" s="96"/>
      <c r="H216" s="96" t="b">
        <f t="shared" si="34"/>
        <v>0</v>
      </c>
      <c r="I216" s="247" t="e">
        <f t="shared" si="30"/>
        <v>#N/A</v>
      </c>
      <c r="J216" s="97">
        <v>0</v>
      </c>
      <c r="K216" s="98">
        <v>0</v>
      </c>
      <c r="L216" s="98"/>
      <c r="M216" s="98"/>
      <c r="N216" s="98">
        <f t="shared" si="31"/>
        <v>0</v>
      </c>
      <c r="O216" s="240" t="b">
        <f t="shared" si="32"/>
        <v>0</v>
      </c>
      <c r="P216" s="240" t="b">
        <f t="shared" si="33"/>
        <v>0</v>
      </c>
    </row>
    <row r="217" spans="1:16" x14ac:dyDescent="0.35">
      <c r="A217" s="92">
        <f t="shared" si="29"/>
        <v>0</v>
      </c>
      <c r="B217" s="92" t="e">
        <f>VLOOKUP(A217,[1]Hoja3!$C$3:$D$14,2,FALSE)</f>
        <v>#N/A</v>
      </c>
      <c r="C217" s="93"/>
      <c r="D217" s="101"/>
      <c r="E217" s="94"/>
      <c r="F217" s="95"/>
      <c r="G217" s="96"/>
      <c r="H217" s="96" t="b">
        <f t="shared" si="34"/>
        <v>0</v>
      </c>
      <c r="I217" s="247" t="e">
        <f t="shared" si="30"/>
        <v>#N/A</v>
      </c>
      <c r="J217" s="97">
        <v>0</v>
      </c>
      <c r="K217" s="98">
        <v>0</v>
      </c>
      <c r="L217" s="98"/>
      <c r="M217" s="98"/>
      <c r="N217" s="98">
        <f t="shared" si="31"/>
        <v>0</v>
      </c>
      <c r="O217" s="240" t="b">
        <f t="shared" si="32"/>
        <v>0</v>
      </c>
      <c r="P217" s="240" t="b">
        <f t="shared" si="33"/>
        <v>0</v>
      </c>
    </row>
    <row r="218" spans="1:16" x14ac:dyDescent="0.35">
      <c r="A218" s="92">
        <f t="shared" si="29"/>
        <v>0</v>
      </c>
      <c r="B218" s="92" t="e">
        <f>VLOOKUP(A218,[1]Hoja3!$C$3:$D$14,2,FALSE)</f>
        <v>#N/A</v>
      </c>
      <c r="C218" s="93"/>
      <c r="D218" s="101"/>
      <c r="E218" s="94"/>
      <c r="F218" s="95"/>
      <c r="G218" s="96"/>
      <c r="H218" s="96" t="b">
        <f t="shared" si="34"/>
        <v>0</v>
      </c>
      <c r="I218" s="247" t="e">
        <f t="shared" si="30"/>
        <v>#N/A</v>
      </c>
      <c r="J218" s="97">
        <v>0</v>
      </c>
      <c r="K218" s="98">
        <v>0</v>
      </c>
      <c r="L218" s="98"/>
      <c r="M218" s="98"/>
      <c r="N218" s="98">
        <f t="shared" si="31"/>
        <v>0</v>
      </c>
      <c r="O218" s="240" t="b">
        <f t="shared" si="32"/>
        <v>0</v>
      </c>
      <c r="P218" s="240" t="b">
        <f t="shared" si="33"/>
        <v>0</v>
      </c>
    </row>
    <row r="219" spans="1:16" x14ac:dyDescent="0.35">
      <c r="A219" s="92">
        <f t="shared" si="29"/>
        <v>0</v>
      </c>
      <c r="B219" s="92" t="e">
        <f>VLOOKUP(A219,[1]Hoja3!$C$3:$D$14,2,FALSE)</f>
        <v>#N/A</v>
      </c>
      <c r="C219" s="93"/>
      <c r="D219" s="101"/>
      <c r="E219" s="94"/>
      <c r="F219" s="95"/>
      <c r="G219" s="96"/>
      <c r="H219" s="96" t="b">
        <f t="shared" si="34"/>
        <v>0</v>
      </c>
      <c r="I219" s="247" t="e">
        <f t="shared" si="30"/>
        <v>#N/A</v>
      </c>
      <c r="J219" s="97">
        <v>0</v>
      </c>
      <c r="K219" s="98">
        <v>0</v>
      </c>
      <c r="L219" s="98"/>
      <c r="M219" s="98"/>
      <c r="N219" s="98">
        <f t="shared" si="31"/>
        <v>0</v>
      </c>
      <c r="O219" s="240" t="b">
        <f t="shared" si="32"/>
        <v>0</v>
      </c>
      <c r="P219" s="240" t="b">
        <f t="shared" si="33"/>
        <v>0</v>
      </c>
    </row>
    <row r="220" spans="1:16" x14ac:dyDescent="0.35">
      <c r="A220" s="92">
        <f t="shared" si="29"/>
        <v>0</v>
      </c>
      <c r="B220" s="92" t="e">
        <f>VLOOKUP(A220,[1]Hoja3!$C$3:$D$14,2,FALSE)</f>
        <v>#N/A</v>
      </c>
      <c r="C220" s="93"/>
      <c r="D220" s="101"/>
      <c r="E220" s="94"/>
      <c r="F220" s="95"/>
      <c r="G220" s="96"/>
      <c r="H220" s="96" t="b">
        <f t="shared" si="34"/>
        <v>0</v>
      </c>
      <c r="I220" s="247" t="e">
        <f t="shared" si="30"/>
        <v>#N/A</v>
      </c>
      <c r="J220" s="97">
        <v>0</v>
      </c>
      <c r="K220" s="98">
        <v>0</v>
      </c>
      <c r="L220" s="98"/>
      <c r="M220" s="98"/>
      <c r="N220" s="98">
        <f t="shared" si="31"/>
        <v>0</v>
      </c>
      <c r="O220" s="240" t="b">
        <f t="shared" si="32"/>
        <v>0</v>
      </c>
      <c r="P220" s="240" t="b">
        <f t="shared" si="33"/>
        <v>0</v>
      </c>
    </row>
    <row r="221" spans="1:16" x14ac:dyDescent="0.35">
      <c r="A221" s="92">
        <f t="shared" si="29"/>
        <v>0</v>
      </c>
      <c r="B221" s="92" t="e">
        <f>VLOOKUP(A221,[1]Hoja3!$C$3:$D$14,2,FALSE)</f>
        <v>#N/A</v>
      </c>
      <c r="C221" s="93"/>
      <c r="D221" s="101"/>
      <c r="E221" s="94"/>
      <c r="F221" s="95"/>
      <c r="G221" s="96"/>
      <c r="H221" s="96" t="b">
        <f t="shared" si="34"/>
        <v>0</v>
      </c>
      <c r="I221" s="247" t="e">
        <f t="shared" si="30"/>
        <v>#N/A</v>
      </c>
      <c r="J221" s="97">
        <v>0</v>
      </c>
      <c r="K221" s="98">
        <v>0</v>
      </c>
      <c r="L221" s="98"/>
      <c r="M221" s="98"/>
      <c r="N221" s="98">
        <f t="shared" si="31"/>
        <v>0</v>
      </c>
      <c r="O221" s="240" t="b">
        <f t="shared" si="32"/>
        <v>0</v>
      </c>
      <c r="P221" s="240" t="b">
        <f t="shared" si="33"/>
        <v>0</v>
      </c>
    </row>
    <row r="222" spans="1:16" x14ac:dyDescent="0.35">
      <c r="A222" s="92">
        <f t="shared" si="29"/>
        <v>0</v>
      </c>
      <c r="B222" s="92" t="e">
        <f>VLOOKUP(A222,[1]Hoja3!$C$3:$D$14,2,FALSE)</f>
        <v>#N/A</v>
      </c>
      <c r="C222" s="93"/>
      <c r="D222" s="101"/>
      <c r="E222" s="94"/>
      <c r="F222" s="95"/>
      <c r="G222" s="96"/>
      <c r="H222" s="96" t="b">
        <f t="shared" si="34"/>
        <v>0</v>
      </c>
      <c r="I222" s="247" t="e">
        <f t="shared" si="30"/>
        <v>#N/A</v>
      </c>
      <c r="J222" s="97">
        <v>0</v>
      </c>
      <c r="K222" s="98">
        <v>0</v>
      </c>
      <c r="L222" s="98"/>
      <c r="M222" s="98"/>
      <c r="N222" s="98">
        <f t="shared" si="31"/>
        <v>0</v>
      </c>
      <c r="O222" s="240" t="b">
        <f t="shared" si="32"/>
        <v>0</v>
      </c>
      <c r="P222" s="240" t="b">
        <f t="shared" si="33"/>
        <v>0</v>
      </c>
    </row>
    <row r="223" spans="1:16" x14ac:dyDescent="0.35">
      <c r="A223" s="92">
        <f t="shared" si="29"/>
        <v>0</v>
      </c>
      <c r="B223" s="92" t="e">
        <f>VLOOKUP(A223,[1]Hoja3!$C$3:$D$14,2,FALSE)</f>
        <v>#N/A</v>
      </c>
      <c r="C223" s="93"/>
      <c r="D223" s="101"/>
      <c r="E223" s="94"/>
      <c r="F223" s="95"/>
      <c r="G223" s="96"/>
      <c r="H223" s="96" t="b">
        <f t="shared" si="34"/>
        <v>0</v>
      </c>
      <c r="I223" s="247" t="e">
        <f t="shared" si="30"/>
        <v>#N/A</v>
      </c>
      <c r="J223" s="97">
        <v>0</v>
      </c>
      <c r="K223" s="98">
        <v>0</v>
      </c>
      <c r="L223" s="98"/>
      <c r="M223" s="98"/>
      <c r="N223" s="98">
        <f t="shared" si="31"/>
        <v>0</v>
      </c>
      <c r="O223" s="240" t="b">
        <f t="shared" si="32"/>
        <v>0</v>
      </c>
      <c r="P223" s="240" t="b">
        <f t="shared" si="33"/>
        <v>0</v>
      </c>
    </row>
    <row r="224" spans="1:16" x14ac:dyDescent="0.35">
      <c r="A224" s="92">
        <f t="shared" si="29"/>
        <v>0</v>
      </c>
      <c r="B224" s="92" t="e">
        <f>VLOOKUP(A224,[1]Hoja3!$C$3:$D$14,2,FALSE)</f>
        <v>#N/A</v>
      </c>
      <c r="C224" s="93"/>
      <c r="D224" s="101"/>
      <c r="E224" s="94"/>
      <c r="F224" s="95"/>
      <c r="G224" s="96"/>
      <c r="H224" s="96" t="b">
        <f t="shared" si="34"/>
        <v>0</v>
      </c>
      <c r="I224" s="247" t="e">
        <f t="shared" si="30"/>
        <v>#N/A</v>
      </c>
      <c r="J224" s="97">
        <v>0</v>
      </c>
      <c r="K224" s="98">
        <v>0</v>
      </c>
      <c r="L224" s="98"/>
      <c r="M224" s="98"/>
      <c r="N224" s="98">
        <f t="shared" si="31"/>
        <v>0</v>
      </c>
      <c r="O224" s="240" t="b">
        <f t="shared" si="32"/>
        <v>0</v>
      </c>
      <c r="P224" s="240" t="b">
        <f t="shared" si="33"/>
        <v>0</v>
      </c>
    </row>
    <row r="225" spans="1:16" x14ac:dyDescent="0.35">
      <c r="A225" s="92">
        <f t="shared" si="29"/>
        <v>0</v>
      </c>
      <c r="B225" s="92" t="e">
        <f>VLOOKUP(A225,[1]Hoja3!$C$3:$D$14,2,FALSE)</f>
        <v>#N/A</v>
      </c>
      <c r="C225" s="93"/>
      <c r="D225" s="101"/>
      <c r="E225" s="94"/>
      <c r="F225" s="95"/>
      <c r="G225" s="96"/>
      <c r="H225" s="96" t="b">
        <f t="shared" si="34"/>
        <v>0</v>
      </c>
      <c r="I225" s="247" t="e">
        <f t="shared" si="30"/>
        <v>#N/A</v>
      </c>
      <c r="J225" s="97">
        <v>0</v>
      </c>
      <c r="K225" s="98">
        <v>0</v>
      </c>
      <c r="L225" s="98"/>
      <c r="M225" s="98"/>
      <c r="N225" s="98">
        <f t="shared" si="31"/>
        <v>0</v>
      </c>
      <c r="O225" s="240" t="b">
        <f t="shared" si="32"/>
        <v>0</v>
      </c>
      <c r="P225" s="240" t="b">
        <f t="shared" si="33"/>
        <v>0</v>
      </c>
    </row>
    <row r="226" spans="1:16" x14ac:dyDescent="0.35">
      <c r="A226" s="92">
        <f t="shared" si="29"/>
        <v>0</v>
      </c>
      <c r="B226" s="92" t="e">
        <f>VLOOKUP(A226,[1]Hoja3!$C$3:$D$14,2,FALSE)</f>
        <v>#N/A</v>
      </c>
      <c r="C226" s="93"/>
      <c r="D226" s="101"/>
      <c r="E226" s="94"/>
      <c r="F226" s="95"/>
      <c r="G226" s="96"/>
      <c r="H226" s="96" t="b">
        <f t="shared" si="34"/>
        <v>0</v>
      </c>
      <c r="I226" s="247" t="e">
        <f t="shared" si="30"/>
        <v>#N/A</v>
      </c>
      <c r="J226" s="97">
        <v>0</v>
      </c>
      <c r="K226" s="98">
        <v>0</v>
      </c>
      <c r="L226" s="98"/>
      <c r="M226" s="98"/>
      <c r="N226" s="98">
        <f t="shared" si="31"/>
        <v>0</v>
      </c>
      <c r="O226" s="240" t="b">
        <f t="shared" si="32"/>
        <v>0</v>
      </c>
      <c r="P226" s="240" t="b">
        <f t="shared" si="33"/>
        <v>0</v>
      </c>
    </row>
    <row r="227" spans="1:16" x14ac:dyDescent="0.35">
      <c r="A227" s="92">
        <f t="shared" si="29"/>
        <v>0</v>
      </c>
      <c r="B227" s="92" t="e">
        <f>VLOOKUP(A227,[1]Hoja3!$C$3:$D$14,2,FALSE)</f>
        <v>#N/A</v>
      </c>
      <c r="C227" s="93"/>
      <c r="D227" s="101"/>
      <c r="E227" s="94"/>
      <c r="F227" s="95"/>
      <c r="G227" s="96"/>
      <c r="H227" s="96" t="b">
        <f t="shared" si="34"/>
        <v>0</v>
      </c>
      <c r="I227" s="247" t="e">
        <f t="shared" si="30"/>
        <v>#N/A</v>
      </c>
      <c r="J227" s="97">
        <v>0</v>
      </c>
      <c r="K227" s="98">
        <v>0</v>
      </c>
      <c r="L227" s="98"/>
      <c r="M227" s="98"/>
      <c r="N227" s="98">
        <f t="shared" si="31"/>
        <v>0</v>
      </c>
      <c r="O227" s="240" t="b">
        <f t="shared" si="32"/>
        <v>0</v>
      </c>
      <c r="P227" s="240" t="b">
        <f t="shared" si="33"/>
        <v>0</v>
      </c>
    </row>
    <row r="228" spans="1:16" x14ac:dyDescent="0.35">
      <c r="A228" s="92">
        <f t="shared" si="29"/>
        <v>0</v>
      </c>
      <c r="B228" s="92" t="e">
        <f>VLOOKUP(A228,[1]Hoja3!$C$3:$D$14,2,FALSE)</f>
        <v>#N/A</v>
      </c>
      <c r="C228" s="93"/>
      <c r="D228" s="101"/>
      <c r="E228" s="94"/>
      <c r="F228" s="95"/>
      <c r="G228" s="96"/>
      <c r="H228" s="96" t="b">
        <f t="shared" si="34"/>
        <v>0</v>
      </c>
      <c r="I228" s="247" t="e">
        <f t="shared" si="30"/>
        <v>#N/A</v>
      </c>
      <c r="J228" s="97">
        <v>0</v>
      </c>
      <c r="K228" s="98">
        <v>0</v>
      </c>
      <c r="L228" s="98"/>
      <c r="M228" s="98"/>
      <c r="N228" s="98">
        <f t="shared" si="31"/>
        <v>0</v>
      </c>
      <c r="O228" s="240" t="b">
        <f t="shared" si="32"/>
        <v>0</v>
      </c>
      <c r="P228" s="240" t="b">
        <f t="shared" si="33"/>
        <v>0</v>
      </c>
    </row>
    <row r="229" spans="1:16" x14ac:dyDescent="0.35">
      <c r="A229" s="92">
        <f t="shared" si="29"/>
        <v>0</v>
      </c>
      <c r="B229" s="92" t="e">
        <f>VLOOKUP(A229,[1]Hoja3!$C$3:$D$14,2,FALSE)</f>
        <v>#N/A</v>
      </c>
      <c r="C229" s="93"/>
      <c r="D229" s="101"/>
      <c r="E229" s="94"/>
      <c r="F229" s="95"/>
      <c r="G229" s="96"/>
      <c r="H229" s="96" t="b">
        <f t="shared" si="34"/>
        <v>0</v>
      </c>
      <c r="I229" s="247" t="e">
        <f t="shared" si="30"/>
        <v>#N/A</v>
      </c>
      <c r="J229" s="97">
        <v>0</v>
      </c>
      <c r="K229" s="98">
        <v>0</v>
      </c>
      <c r="L229" s="98"/>
      <c r="M229" s="98"/>
      <c r="N229" s="98">
        <f t="shared" si="31"/>
        <v>0</v>
      </c>
      <c r="O229" s="240" t="b">
        <f t="shared" si="32"/>
        <v>0</v>
      </c>
      <c r="P229" s="240" t="b">
        <f t="shared" si="33"/>
        <v>0</v>
      </c>
    </row>
    <row r="230" spans="1:16" x14ac:dyDescent="0.35">
      <c r="A230" s="92">
        <f t="shared" si="29"/>
        <v>0</v>
      </c>
      <c r="B230" s="92" t="e">
        <f>VLOOKUP(A230,[1]Hoja3!$C$3:$D$14,2,FALSE)</f>
        <v>#N/A</v>
      </c>
      <c r="C230" s="93"/>
      <c r="D230" s="101"/>
      <c r="E230" s="94"/>
      <c r="F230" s="95"/>
      <c r="G230" s="96"/>
      <c r="H230" s="96" t="b">
        <f t="shared" si="34"/>
        <v>0</v>
      </c>
      <c r="I230" s="247" t="e">
        <f t="shared" si="30"/>
        <v>#N/A</v>
      </c>
      <c r="J230" s="97">
        <v>0</v>
      </c>
      <c r="K230" s="98">
        <v>0</v>
      </c>
      <c r="L230" s="98"/>
      <c r="M230" s="98"/>
      <c r="N230" s="98">
        <f t="shared" si="31"/>
        <v>0</v>
      </c>
      <c r="O230" s="240" t="b">
        <f t="shared" si="32"/>
        <v>0</v>
      </c>
      <c r="P230" s="240" t="b">
        <f t="shared" si="33"/>
        <v>0</v>
      </c>
    </row>
    <row r="231" spans="1:16" x14ac:dyDescent="0.35">
      <c r="A231" s="92">
        <f t="shared" si="29"/>
        <v>0</v>
      </c>
      <c r="B231" s="92" t="e">
        <f>VLOOKUP(A231,[1]Hoja3!$C$3:$D$14,2,FALSE)</f>
        <v>#N/A</v>
      </c>
      <c r="C231" s="93"/>
      <c r="D231" s="101"/>
      <c r="E231" s="94"/>
      <c r="F231" s="95"/>
      <c r="G231" s="96"/>
      <c r="H231" s="96" t="b">
        <f t="shared" si="34"/>
        <v>0</v>
      </c>
      <c r="I231" s="247" t="e">
        <f t="shared" si="30"/>
        <v>#N/A</v>
      </c>
      <c r="J231" s="97">
        <v>0</v>
      </c>
      <c r="K231" s="98">
        <v>0</v>
      </c>
      <c r="L231" s="98"/>
      <c r="M231" s="98"/>
      <c r="N231" s="98">
        <f t="shared" si="31"/>
        <v>0</v>
      </c>
      <c r="O231" s="240" t="b">
        <f t="shared" si="32"/>
        <v>0</v>
      </c>
      <c r="P231" s="240" t="b">
        <f t="shared" si="33"/>
        <v>0</v>
      </c>
    </row>
    <row r="232" spans="1:16" x14ac:dyDescent="0.35">
      <c r="A232" s="92">
        <f t="shared" si="29"/>
        <v>0</v>
      </c>
      <c r="B232" s="92" t="e">
        <f>VLOOKUP(A232,[1]Hoja3!$C$3:$D$14,2,FALSE)</f>
        <v>#N/A</v>
      </c>
      <c r="C232" s="93"/>
      <c r="D232" s="101"/>
      <c r="E232" s="94"/>
      <c r="F232" s="95"/>
      <c r="G232" s="96"/>
      <c r="H232" s="96" t="b">
        <f t="shared" si="34"/>
        <v>0</v>
      </c>
      <c r="I232" s="247" t="e">
        <f t="shared" si="30"/>
        <v>#N/A</v>
      </c>
      <c r="J232" s="97">
        <v>0</v>
      </c>
      <c r="K232" s="98">
        <v>0</v>
      </c>
      <c r="L232" s="98"/>
      <c r="M232" s="98"/>
      <c r="N232" s="98">
        <f t="shared" si="31"/>
        <v>0</v>
      </c>
      <c r="O232" s="240" t="b">
        <f t="shared" si="32"/>
        <v>0</v>
      </c>
      <c r="P232" s="240" t="b">
        <f t="shared" si="33"/>
        <v>0</v>
      </c>
    </row>
    <row r="233" spans="1:16" x14ac:dyDescent="0.35">
      <c r="A233" s="92">
        <f t="shared" si="29"/>
        <v>0</v>
      </c>
      <c r="B233" s="92" t="e">
        <f>VLOOKUP(A233,[1]Hoja3!$C$3:$D$14,2,FALSE)</f>
        <v>#N/A</v>
      </c>
      <c r="C233" s="93"/>
      <c r="D233" s="101"/>
      <c r="E233" s="94"/>
      <c r="F233" s="95"/>
      <c r="G233" s="96"/>
      <c r="H233" s="96" t="b">
        <f t="shared" si="34"/>
        <v>0</v>
      </c>
      <c r="I233" s="247" t="e">
        <f t="shared" si="30"/>
        <v>#N/A</v>
      </c>
      <c r="J233" s="97">
        <v>0</v>
      </c>
      <c r="K233" s="98">
        <v>0</v>
      </c>
      <c r="L233" s="98"/>
      <c r="M233" s="98"/>
      <c r="N233" s="98">
        <f t="shared" si="31"/>
        <v>0</v>
      </c>
      <c r="O233" s="240" t="b">
        <f t="shared" si="32"/>
        <v>0</v>
      </c>
      <c r="P233" s="240" t="b">
        <f t="shared" si="33"/>
        <v>0</v>
      </c>
    </row>
    <row r="234" spans="1:16" x14ac:dyDescent="0.35">
      <c r="A234" s="92">
        <f t="shared" ref="A234:A297" si="35">IF(D234&gt;0,MONTH(D234),0)</f>
        <v>0</v>
      </c>
      <c r="B234" s="92" t="e">
        <f>VLOOKUP(A234,[1]Hoja3!$C$3:$D$14,2,FALSE)</f>
        <v>#N/A</v>
      </c>
      <c r="C234" s="93"/>
      <c r="D234" s="101"/>
      <c r="E234" s="94"/>
      <c r="F234" s="95"/>
      <c r="G234" s="96"/>
      <c r="H234" s="96" t="b">
        <f t="shared" si="34"/>
        <v>0</v>
      </c>
      <c r="I234" s="247" t="e">
        <f t="shared" ref="I234:I297" si="36">+B234</f>
        <v>#N/A</v>
      </c>
      <c r="J234" s="97">
        <v>0</v>
      </c>
      <c r="K234" s="98">
        <v>0</v>
      </c>
      <c r="L234" s="98"/>
      <c r="M234" s="98"/>
      <c r="N234" s="98">
        <f t="shared" ref="N234:N297" si="37">+J234+K234-L234-M234</f>
        <v>0</v>
      </c>
      <c r="O234" s="240" t="b">
        <f t="shared" si="32"/>
        <v>0</v>
      </c>
      <c r="P234" s="240" t="b">
        <f t="shared" si="33"/>
        <v>0</v>
      </c>
    </row>
    <row r="235" spans="1:16" x14ac:dyDescent="0.35">
      <c r="A235" s="92">
        <f t="shared" si="35"/>
        <v>0</v>
      </c>
      <c r="B235" s="92" t="e">
        <f>VLOOKUP(A235,[1]Hoja3!$C$3:$D$14,2,FALSE)</f>
        <v>#N/A</v>
      </c>
      <c r="C235" s="93"/>
      <c r="D235" s="101"/>
      <c r="E235" s="94"/>
      <c r="F235" s="95"/>
      <c r="G235" s="96"/>
      <c r="H235" s="96" t="b">
        <f t="shared" si="34"/>
        <v>0</v>
      </c>
      <c r="I235" s="247" t="e">
        <f t="shared" si="36"/>
        <v>#N/A</v>
      </c>
      <c r="J235" s="97">
        <v>0</v>
      </c>
      <c r="K235" s="98">
        <v>0</v>
      </c>
      <c r="L235" s="98"/>
      <c r="M235" s="98"/>
      <c r="N235" s="98">
        <f t="shared" si="37"/>
        <v>0</v>
      </c>
      <c r="O235" s="240" t="b">
        <f t="shared" si="32"/>
        <v>0</v>
      </c>
      <c r="P235" s="240" t="b">
        <f t="shared" si="33"/>
        <v>0</v>
      </c>
    </row>
    <row r="236" spans="1:16" x14ac:dyDescent="0.35">
      <c r="A236" s="92">
        <f t="shared" si="35"/>
        <v>0</v>
      </c>
      <c r="B236" s="92" t="e">
        <f>VLOOKUP(A236,[1]Hoja3!$C$3:$D$14,2,FALSE)</f>
        <v>#N/A</v>
      </c>
      <c r="C236" s="93"/>
      <c r="D236" s="101"/>
      <c r="E236" s="94"/>
      <c r="F236" s="95"/>
      <c r="G236" s="96"/>
      <c r="H236" s="96" t="b">
        <f t="shared" si="34"/>
        <v>0</v>
      </c>
      <c r="I236" s="247" t="e">
        <f t="shared" si="36"/>
        <v>#N/A</v>
      </c>
      <c r="J236" s="97">
        <v>0</v>
      </c>
      <c r="K236" s="98">
        <v>0</v>
      </c>
      <c r="L236" s="98"/>
      <c r="M236" s="98"/>
      <c r="N236" s="98">
        <f t="shared" si="37"/>
        <v>0</v>
      </c>
      <c r="O236" s="240" t="b">
        <f t="shared" si="32"/>
        <v>0</v>
      </c>
      <c r="P236" s="240" t="b">
        <f t="shared" si="33"/>
        <v>0</v>
      </c>
    </row>
    <row r="237" spans="1:16" x14ac:dyDescent="0.35">
      <c r="A237" s="92">
        <f t="shared" si="35"/>
        <v>0</v>
      </c>
      <c r="B237" s="92" t="e">
        <f>VLOOKUP(A237,[1]Hoja3!$C$3:$D$14,2,FALSE)</f>
        <v>#N/A</v>
      </c>
      <c r="C237" s="93"/>
      <c r="D237" s="101"/>
      <c r="E237" s="94"/>
      <c r="F237" s="95"/>
      <c r="G237" s="96"/>
      <c r="H237" s="96" t="b">
        <f t="shared" si="34"/>
        <v>0</v>
      </c>
      <c r="I237" s="247" t="e">
        <f t="shared" si="36"/>
        <v>#N/A</v>
      </c>
      <c r="J237" s="97">
        <v>0</v>
      </c>
      <c r="K237" s="98">
        <v>0</v>
      </c>
      <c r="L237" s="98"/>
      <c r="M237" s="98"/>
      <c r="N237" s="98">
        <f t="shared" si="37"/>
        <v>0</v>
      </c>
      <c r="O237" s="240" t="b">
        <f t="shared" si="32"/>
        <v>0</v>
      </c>
      <c r="P237" s="240" t="b">
        <f t="shared" si="33"/>
        <v>0</v>
      </c>
    </row>
    <row r="238" spans="1:16" x14ac:dyDescent="0.35">
      <c r="A238" s="92">
        <f t="shared" si="35"/>
        <v>0</v>
      </c>
      <c r="B238" s="92" t="e">
        <f>VLOOKUP(A238,[1]Hoja3!$C$3:$D$14,2,FALSE)</f>
        <v>#N/A</v>
      </c>
      <c r="C238" s="93"/>
      <c r="D238" s="101"/>
      <c r="E238" s="94"/>
      <c r="F238" s="95"/>
      <c r="G238" s="96"/>
      <c r="H238" s="96" t="b">
        <f t="shared" si="34"/>
        <v>0</v>
      </c>
      <c r="I238" s="247" t="e">
        <f t="shared" si="36"/>
        <v>#N/A</v>
      </c>
      <c r="J238" s="97">
        <v>0</v>
      </c>
      <c r="K238" s="98">
        <v>0</v>
      </c>
      <c r="L238" s="98"/>
      <c r="M238" s="98"/>
      <c r="N238" s="98">
        <f t="shared" si="37"/>
        <v>0</v>
      </c>
      <c r="O238" s="240" t="b">
        <f t="shared" si="32"/>
        <v>0</v>
      </c>
      <c r="P238" s="240" t="b">
        <f t="shared" si="33"/>
        <v>0</v>
      </c>
    </row>
    <row r="239" spans="1:16" x14ac:dyDescent="0.35">
      <c r="A239" s="92">
        <f t="shared" si="35"/>
        <v>0</v>
      </c>
      <c r="B239" s="92" t="e">
        <f>VLOOKUP(A239,[1]Hoja3!$C$3:$D$14,2,FALSE)</f>
        <v>#N/A</v>
      </c>
      <c r="C239" s="93"/>
      <c r="D239" s="101"/>
      <c r="E239" s="94"/>
      <c r="F239" s="95"/>
      <c r="G239" s="96"/>
      <c r="H239" s="96" t="b">
        <f t="shared" si="34"/>
        <v>0</v>
      </c>
      <c r="I239" s="247" t="e">
        <f t="shared" si="36"/>
        <v>#N/A</v>
      </c>
      <c r="J239" s="97">
        <v>0</v>
      </c>
      <c r="K239" s="98">
        <v>0</v>
      </c>
      <c r="L239" s="98"/>
      <c r="M239" s="98"/>
      <c r="N239" s="98">
        <f t="shared" si="37"/>
        <v>0</v>
      </c>
      <c r="O239" s="240" t="b">
        <f t="shared" si="32"/>
        <v>0</v>
      </c>
      <c r="P239" s="240" t="b">
        <f t="shared" si="33"/>
        <v>0</v>
      </c>
    </row>
    <row r="240" spans="1:16" x14ac:dyDescent="0.35">
      <c r="A240" s="92">
        <f t="shared" si="35"/>
        <v>0</v>
      </c>
      <c r="B240" s="92" t="e">
        <f>VLOOKUP(A240,[1]Hoja3!$C$3:$D$14,2,FALSE)</f>
        <v>#N/A</v>
      </c>
      <c r="C240" s="93"/>
      <c r="D240" s="101"/>
      <c r="E240" s="94"/>
      <c r="F240" s="95"/>
      <c r="G240" s="96"/>
      <c r="H240" s="96" t="b">
        <f t="shared" si="34"/>
        <v>0</v>
      </c>
      <c r="I240" s="247" t="e">
        <f t="shared" si="36"/>
        <v>#N/A</v>
      </c>
      <c r="J240" s="97">
        <v>0</v>
      </c>
      <c r="K240" s="98">
        <v>0</v>
      </c>
      <c r="L240" s="98"/>
      <c r="M240" s="98"/>
      <c r="N240" s="98">
        <f t="shared" si="37"/>
        <v>0</v>
      </c>
      <c r="O240" s="240" t="b">
        <f t="shared" si="32"/>
        <v>0</v>
      </c>
      <c r="P240" s="240" t="b">
        <f t="shared" si="33"/>
        <v>0</v>
      </c>
    </row>
    <row r="241" spans="1:16" x14ac:dyDescent="0.35">
      <c r="A241" s="92">
        <f t="shared" si="35"/>
        <v>0</v>
      </c>
      <c r="B241" s="92" t="e">
        <f>VLOOKUP(A241,[1]Hoja3!$C$3:$D$14,2,FALSE)</f>
        <v>#N/A</v>
      </c>
      <c r="C241" s="93"/>
      <c r="D241" s="101"/>
      <c r="E241" s="94"/>
      <c r="F241" s="95"/>
      <c r="G241" s="96"/>
      <c r="H241" s="96" t="b">
        <f t="shared" si="34"/>
        <v>0</v>
      </c>
      <c r="I241" s="247" t="e">
        <f t="shared" si="36"/>
        <v>#N/A</v>
      </c>
      <c r="J241" s="97">
        <v>0</v>
      </c>
      <c r="K241" s="98">
        <v>0</v>
      </c>
      <c r="L241" s="98"/>
      <c r="M241" s="98"/>
      <c r="N241" s="98">
        <f t="shared" si="37"/>
        <v>0</v>
      </c>
      <c r="O241" s="240" t="b">
        <f t="shared" si="32"/>
        <v>0</v>
      </c>
      <c r="P241" s="240" t="b">
        <f t="shared" si="33"/>
        <v>0</v>
      </c>
    </row>
    <row r="242" spans="1:16" x14ac:dyDescent="0.35">
      <c r="A242" s="92">
        <f t="shared" si="35"/>
        <v>0</v>
      </c>
      <c r="B242" s="92" t="e">
        <f>VLOOKUP(A242,[1]Hoja3!$C$3:$D$14,2,FALSE)</f>
        <v>#N/A</v>
      </c>
      <c r="C242" s="93"/>
      <c r="D242" s="101"/>
      <c r="E242" s="94"/>
      <c r="F242" s="95"/>
      <c r="G242" s="96"/>
      <c r="H242" s="96" t="b">
        <f t="shared" si="34"/>
        <v>0</v>
      </c>
      <c r="I242" s="247" t="e">
        <f t="shared" si="36"/>
        <v>#N/A</v>
      </c>
      <c r="J242" s="97">
        <v>0</v>
      </c>
      <c r="K242" s="98">
        <v>0</v>
      </c>
      <c r="L242" s="98"/>
      <c r="M242" s="98"/>
      <c r="N242" s="98">
        <f t="shared" si="37"/>
        <v>0</v>
      </c>
      <c r="O242" s="240" t="b">
        <f t="shared" si="32"/>
        <v>0</v>
      </c>
      <c r="P242" s="240" t="b">
        <f t="shared" si="33"/>
        <v>0</v>
      </c>
    </row>
    <row r="243" spans="1:16" x14ac:dyDescent="0.35">
      <c r="A243" s="92">
        <f t="shared" si="35"/>
        <v>0</v>
      </c>
      <c r="B243" s="92" t="e">
        <f>VLOOKUP(A243,[1]Hoja3!$C$3:$D$14,2,FALSE)</f>
        <v>#N/A</v>
      </c>
      <c r="C243" s="93"/>
      <c r="D243" s="101"/>
      <c r="E243" s="94"/>
      <c r="F243" s="95"/>
      <c r="G243" s="96"/>
      <c r="H243" s="96" t="b">
        <f t="shared" si="34"/>
        <v>0</v>
      </c>
      <c r="I243" s="247" t="e">
        <f t="shared" si="36"/>
        <v>#N/A</v>
      </c>
      <c r="J243" s="97">
        <v>0</v>
      </c>
      <c r="K243" s="98">
        <v>0</v>
      </c>
      <c r="L243" s="98"/>
      <c r="M243" s="98"/>
      <c r="N243" s="98">
        <f t="shared" si="37"/>
        <v>0</v>
      </c>
      <c r="O243" s="240" t="b">
        <f t="shared" si="32"/>
        <v>0</v>
      </c>
      <c r="P243" s="240" t="b">
        <f t="shared" si="33"/>
        <v>0</v>
      </c>
    </row>
    <row r="244" spans="1:16" x14ac:dyDescent="0.35">
      <c r="A244" s="92">
        <f t="shared" si="35"/>
        <v>0</v>
      </c>
      <c r="B244" s="92" t="e">
        <f>VLOOKUP(A244,[1]Hoja3!$C$3:$D$14,2,FALSE)</f>
        <v>#N/A</v>
      </c>
      <c r="C244" s="93"/>
      <c r="D244" s="101"/>
      <c r="E244" s="94"/>
      <c r="F244" s="95"/>
      <c r="G244" s="96"/>
      <c r="H244" s="96" t="b">
        <f t="shared" si="34"/>
        <v>0</v>
      </c>
      <c r="I244" s="247" t="e">
        <f t="shared" si="36"/>
        <v>#N/A</v>
      </c>
      <c r="J244" s="97">
        <v>0</v>
      </c>
      <c r="K244" s="98">
        <v>0</v>
      </c>
      <c r="L244" s="98"/>
      <c r="M244" s="98"/>
      <c r="N244" s="98">
        <f t="shared" si="37"/>
        <v>0</v>
      </c>
      <c r="O244" s="240" t="b">
        <f t="shared" si="32"/>
        <v>0</v>
      </c>
      <c r="P244" s="240" t="b">
        <f t="shared" si="33"/>
        <v>0</v>
      </c>
    </row>
    <row r="245" spans="1:16" x14ac:dyDescent="0.35">
      <c r="A245" s="92">
        <f t="shared" si="35"/>
        <v>0</v>
      </c>
      <c r="B245" s="92" t="e">
        <f>VLOOKUP(A245,[1]Hoja3!$C$3:$D$14,2,FALSE)</f>
        <v>#N/A</v>
      </c>
      <c r="C245" s="93"/>
      <c r="D245" s="101"/>
      <c r="E245" s="94"/>
      <c r="F245" s="95"/>
      <c r="G245" s="96"/>
      <c r="H245" s="96" t="b">
        <f t="shared" si="34"/>
        <v>0</v>
      </c>
      <c r="I245" s="247" t="e">
        <f t="shared" si="36"/>
        <v>#N/A</v>
      </c>
      <c r="J245" s="97">
        <v>0</v>
      </c>
      <c r="K245" s="98">
        <v>0</v>
      </c>
      <c r="L245" s="98"/>
      <c r="M245" s="98"/>
      <c r="N245" s="98">
        <f t="shared" si="37"/>
        <v>0</v>
      </c>
      <c r="O245" s="240" t="b">
        <f t="shared" si="32"/>
        <v>0</v>
      </c>
      <c r="P245" s="240" t="b">
        <f t="shared" si="33"/>
        <v>0</v>
      </c>
    </row>
    <row r="246" spans="1:16" x14ac:dyDescent="0.35">
      <c r="A246" s="92">
        <f t="shared" si="35"/>
        <v>0</v>
      </c>
      <c r="B246" s="92" t="e">
        <f>VLOOKUP(A246,[1]Hoja3!$C$3:$D$14,2,FALSE)</f>
        <v>#N/A</v>
      </c>
      <c r="C246" s="93"/>
      <c r="D246" s="101"/>
      <c r="E246" s="94"/>
      <c r="F246" s="95"/>
      <c r="G246" s="96"/>
      <c r="H246" s="96" t="b">
        <f t="shared" si="34"/>
        <v>0</v>
      </c>
      <c r="I246" s="247" t="e">
        <f t="shared" si="36"/>
        <v>#N/A</v>
      </c>
      <c r="J246" s="97">
        <v>0</v>
      </c>
      <c r="K246" s="98">
        <v>0</v>
      </c>
      <c r="L246" s="98"/>
      <c r="M246" s="98"/>
      <c r="N246" s="98">
        <f t="shared" si="37"/>
        <v>0</v>
      </c>
      <c r="O246" s="240" t="b">
        <f t="shared" si="32"/>
        <v>0</v>
      </c>
      <c r="P246" s="240" t="b">
        <f t="shared" si="33"/>
        <v>0</v>
      </c>
    </row>
    <row r="247" spans="1:16" x14ac:dyDescent="0.35">
      <c r="A247" s="92">
        <f t="shared" si="35"/>
        <v>0</v>
      </c>
      <c r="B247" s="92" t="e">
        <f>VLOOKUP(A247,[1]Hoja3!$C$3:$D$14,2,FALSE)</f>
        <v>#N/A</v>
      </c>
      <c r="C247" s="93"/>
      <c r="D247" s="101"/>
      <c r="E247" s="94"/>
      <c r="F247" s="95"/>
      <c r="G247" s="96"/>
      <c r="H247" s="96" t="b">
        <f t="shared" si="34"/>
        <v>0</v>
      </c>
      <c r="I247" s="247" t="e">
        <f t="shared" si="36"/>
        <v>#N/A</v>
      </c>
      <c r="J247" s="97">
        <v>0</v>
      </c>
      <c r="K247" s="98">
        <v>0</v>
      </c>
      <c r="L247" s="98"/>
      <c r="M247" s="98"/>
      <c r="N247" s="98">
        <f t="shared" si="37"/>
        <v>0</v>
      </c>
      <c r="O247" s="240" t="b">
        <f t="shared" si="32"/>
        <v>0</v>
      </c>
      <c r="P247" s="240" t="b">
        <f t="shared" si="33"/>
        <v>0</v>
      </c>
    </row>
    <row r="248" spans="1:16" x14ac:dyDescent="0.35">
      <c r="A248" s="92">
        <f t="shared" si="35"/>
        <v>0</v>
      </c>
      <c r="B248" s="92" t="e">
        <f>VLOOKUP(A248,[1]Hoja3!$C$3:$D$14,2,FALSE)</f>
        <v>#N/A</v>
      </c>
      <c r="C248" s="93"/>
      <c r="D248" s="101"/>
      <c r="E248" s="94"/>
      <c r="F248" s="95"/>
      <c r="G248" s="96"/>
      <c r="H248" s="96" t="b">
        <f t="shared" si="34"/>
        <v>0</v>
      </c>
      <c r="I248" s="247" t="e">
        <f t="shared" si="36"/>
        <v>#N/A</v>
      </c>
      <c r="J248" s="97">
        <v>0</v>
      </c>
      <c r="K248" s="98">
        <v>0</v>
      </c>
      <c r="L248" s="98"/>
      <c r="M248" s="98"/>
      <c r="N248" s="98">
        <f t="shared" si="37"/>
        <v>0</v>
      </c>
      <c r="O248" s="240" t="b">
        <f t="shared" si="32"/>
        <v>0</v>
      </c>
      <c r="P248" s="240" t="b">
        <f t="shared" si="33"/>
        <v>0</v>
      </c>
    </row>
    <row r="249" spans="1:16" x14ac:dyDescent="0.35">
      <c r="A249" s="92">
        <f t="shared" si="35"/>
        <v>0</v>
      </c>
      <c r="B249" s="92" t="e">
        <f>VLOOKUP(A249,[1]Hoja3!$C$3:$D$14,2,FALSE)</f>
        <v>#N/A</v>
      </c>
      <c r="C249" s="93"/>
      <c r="D249" s="101"/>
      <c r="E249" s="94"/>
      <c r="F249" s="95"/>
      <c r="G249" s="96"/>
      <c r="H249" s="96" t="b">
        <f t="shared" si="34"/>
        <v>0</v>
      </c>
      <c r="I249" s="247" t="e">
        <f t="shared" si="36"/>
        <v>#N/A</v>
      </c>
      <c r="J249" s="97">
        <v>0</v>
      </c>
      <c r="K249" s="98">
        <v>0</v>
      </c>
      <c r="L249" s="98"/>
      <c r="M249" s="98"/>
      <c r="N249" s="98">
        <f t="shared" si="37"/>
        <v>0</v>
      </c>
      <c r="O249" s="240" t="b">
        <f t="shared" si="32"/>
        <v>0</v>
      </c>
      <c r="P249" s="240" t="b">
        <f t="shared" si="33"/>
        <v>0</v>
      </c>
    </row>
    <row r="250" spans="1:16" x14ac:dyDescent="0.35">
      <c r="A250" s="92">
        <f t="shared" si="35"/>
        <v>0</v>
      </c>
      <c r="B250" s="92" t="e">
        <f>VLOOKUP(A250,[1]Hoja3!$C$3:$D$14,2,FALSE)</f>
        <v>#N/A</v>
      </c>
      <c r="C250" s="93"/>
      <c r="D250" s="101"/>
      <c r="E250" s="94"/>
      <c r="F250" s="95"/>
      <c r="G250" s="96"/>
      <c r="H250" s="96" t="b">
        <f t="shared" si="34"/>
        <v>0</v>
      </c>
      <c r="I250" s="247" t="e">
        <f t="shared" si="36"/>
        <v>#N/A</v>
      </c>
      <c r="J250" s="97">
        <v>0</v>
      </c>
      <c r="K250" s="98">
        <v>0</v>
      </c>
      <c r="L250" s="98"/>
      <c r="M250" s="98"/>
      <c r="N250" s="98">
        <f t="shared" si="37"/>
        <v>0</v>
      </c>
      <c r="O250" s="240" t="b">
        <f t="shared" si="32"/>
        <v>0</v>
      </c>
      <c r="P250" s="240" t="b">
        <f t="shared" si="33"/>
        <v>0</v>
      </c>
    </row>
    <row r="251" spans="1:16" x14ac:dyDescent="0.35">
      <c r="A251" s="92">
        <f t="shared" si="35"/>
        <v>0</v>
      </c>
      <c r="B251" s="92" t="e">
        <f>VLOOKUP(A251,[1]Hoja3!$C$3:$D$14,2,FALSE)</f>
        <v>#N/A</v>
      </c>
      <c r="C251" s="93"/>
      <c r="D251" s="101"/>
      <c r="E251" s="94"/>
      <c r="F251" s="95"/>
      <c r="G251" s="96"/>
      <c r="H251" s="96" t="b">
        <f t="shared" si="34"/>
        <v>0</v>
      </c>
      <c r="I251" s="247" t="e">
        <f t="shared" si="36"/>
        <v>#N/A</v>
      </c>
      <c r="J251" s="97">
        <v>0</v>
      </c>
      <c r="K251" s="98">
        <v>0</v>
      </c>
      <c r="L251" s="98"/>
      <c r="M251" s="98"/>
      <c r="N251" s="98">
        <f t="shared" si="37"/>
        <v>0</v>
      </c>
      <c r="O251" s="240" t="b">
        <f t="shared" si="32"/>
        <v>0</v>
      </c>
      <c r="P251" s="240" t="b">
        <f t="shared" si="33"/>
        <v>0</v>
      </c>
    </row>
    <row r="252" spans="1:16" x14ac:dyDescent="0.35">
      <c r="A252" s="92">
        <f t="shared" si="35"/>
        <v>0</v>
      </c>
      <c r="B252" s="92" t="e">
        <f>VLOOKUP(A252,[1]Hoja3!$C$3:$D$14,2,FALSE)</f>
        <v>#N/A</v>
      </c>
      <c r="C252" s="93"/>
      <c r="D252" s="101"/>
      <c r="E252" s="94"/>
      <c r="F252" s="95"/>
      <c r="G252" s="96"/>
      <c r="H252" s="96" t="b">
        <f t="shared" si="34"/>
        <v>0</v>
      </c>
      <c r="I252" s="247" t="e">
        <f t="shared" si="36"/>
        <v>#N/A</v>
      </c>
      <c r="J252" s="97">
        <v>0</v>
      </c>
      <c r="K252" s="98">
        <v>0</v>
      </c>
      <c r="L252" s="98"/>
      <c r="M252" s="98"/>
      <c r="N252" s="98">
        <f t="shared" si="37"/>
        <v>0</v>
      </c>
      <c r="O252" s="240" t="b">
        <f t="shared" si="32"/>
        <v>0</v>
      </c>
      <c r="P252" s="240" t="b">
        <f t="shared" si="33"/>
        <v>0</v>
      </c>
    </row>
    <row r="253" spans="1:16" x14ac:dyDescent="0.35">
      <c r="A253" s="92">
        <f t="shared" si="35"/>
        <v>0</v>
      </c>
      <c r="B253" s="92" t="e">
        <f>VLOOKUP(A253,[1]Hoja3!$C$3:$D$14,2,FALSE)</f>
        <v>#N/A</v>
      </c>
      <c r="C253" s="93"/>
      <c r="D253" s="101"/>
      <c r="E253" s="94"/>
      <c r="F253" s="95"/>
      <c r="G253" s="96"/>
      <c r="H253" s="96" t="b">
        <f t="shared" si="34"/>
        <v>0</v>
      </c>
      <c r="I253" s="247" t="e">
        <f t="shared" si="36"/>
        <v>#N/A</v>
      </c>
      <c r="J253" s="97">
        <v>0</v>
      </c>
      <c r="K253" s="98">
        <v>0</v>
      </c>
      <c r="L253" s="98"/>
      <c r="M253" s="98"/>
      <c r="N253" s="98">
        <f t="shared" si="37"/>
        <v>0</v>
      </c>
      <c r="O253" s="240" t="b">
        <f t="shared" ref="O253:O316" si="38">IF(G253="EFREN ABUNDEZ REYNA","37295",IF(G253="LUIS ALEJANDRO HERNANDEZ REYNA","HERL850705AL2",IF(G253="ANA BEATRIZ ESTRADA ARGOTE","37530",IF(G253="SERGIO ROMERO DURAN","RODS620908QAA",IF(G253="MARIELA OLMOS GAONA","37675",IF(G253="LUCIANO MIJAIL ORTEGA MUÑOZ","37297",IF(G253="GUSTAVO HUMBERTO VELAZCO GALVAN","VEGG9211019T1",IF(G253="JESUS AGUSTIN VELAZQUEZ FLORES","VEFJ900303M65",IF(G253="KARLA ESTEFANIA SALAZAR FLORES","SAFK9807277N1",IF(G253="ANGEL TERRAZAS MONROY","TEMA7105035N4"))))))))))</f>
        <v>0</v>
      </c>
      <c r="P253" s="240" t="b">
        <f t="shared" ref="P253:P316" si="39">IF(G253="EFREN ABUNDEZ REYNA","PFAEP",IF(G253="LUIS ALEJANDRO HERNANDEZ REYNA","HERL850705AL2",IF(G253="ANA BEATRIZ ESTRADA ARGOTE","RIF",IF(G253="SERGIO ROMERO DURAN","RODS620908QAA",IF(G253="MARIELA OLMOS GAONA","RESICO",IF(G253="LUCIANO MIJAIL ORTEGA MUÑOZ","RIF",IF(G253="GUSTAVO HUMBERTO VELAZCO GALVAN","VEGG9211019T1",IF(G253="JESUS AGUSTIN VELAZQUEZ FLORES","VEFJ900303M65",IF(G253="KARLA ESTEFANIA SALAZAR FLORES","SAFK9807277N1",IF(G253="ANGEL TERRAZAS MONROY","TEMA7105035N4"))))))))))</f>
        <v>0</v>
      </c>
    </row>
    <row r="254" spans="1:16" x14ac:dyDescent="0.35">
      <c r="A254" s="92">
        <f t="shared" si="35"/>
        <v>0</v>
      </c>
      <c r="B254" s="92" t="e">
        <f>VLOOKUP(A254,[1]Hoja3!$C$3:$D$14,2,FALSE)</f>
        <v>#N/A</v>
      </c>
      <c r="C254" s="93"/>
      <c r="D254" s="101"/>
      <c r="E254" s="94"/>
      <c r="F254" s="95"/>
      <c r="G254" s="96"/>
      <c r="H254" s="96" t="b">
        <f t="shared" si="34"/>
        <v>0</v>
      </c>
      <c r="I254" s="247" t="e">
        <f t="shared" si="36"/>
        <v>#N/A</v>
      </c>
      <c r="J254" s="97">
        <v>0</v>
      </c>
      <c r="K254" s="98">
        <v>0</v>
      </c>
      <c r="L254" s="98"/>
      <c r="M254" s="98"/>
      <c r="N254" s="98">
        <f t="shared" si="37"/>
        <v>0</v>
      </c>
      <c r="O254" s="240" t="b">
        <f t="shared" si="38"/>
        <v>0</v>
      </c>
      <c r="P254" s="240" t="b">
        <f t="shared" si="39"/>
        <v>0</v>
      </c>
    </row>
    <row r="255" spans="1:16" x14ac:dyDescent="0.35">
      <c r="A255" s="92">
        <f t="shared" si="35"/>
        <v>0</v>
      </c>
      <c r="B255" s="92" t="e">
        <f>VLOOKUP(A255,[1]Hoja3!$C$3:$D$14,2,FALSE)</f>
        <v>#N/A</v>
      </c>
      <c r="C255" s="93"/>
      <c r="D255" s="101"/>
      <c r="E255" s="94"/>
      <c r="F255" s="95"/>
      <c r="G255" s="96"/>
      <c r="H255" s="96" t="b">
        <f t="shared" si="34"/>
        <v>0</v>
      </c>
      <c r="I255" s="247" t="e">
        <f t="shared" si="36"/>
        <v>#N/A</v>
      </c>
      <c r="J255" s="97">
        <v>0</v>
      </c>
      <c r="K255" s="98">
        <v>0</v>
      </c>
      <c r="L255" s="98"/>
      <c r="M255" s="98"/>
      <c r="N255" s="98">
        <f t="shared" si="37"/>
        <v>0</v>
      </c>
      <c r="O255" s="240" t="b">
        <f t="shared" si="38"/>
        <v>0</v>
      </c>
      <c r="P255" s="240" t="b">
        <f t="shared" si="39"/>
        <v>0</v>
      </c>
    </row>
    <row r="256" spans="1:16" x14ac:dyDescent="0.35">
      <c r="A256" s="92">
        <f t="shared" si="35"/>
        <v>0</v>
      </c>
      <c r="B256" s="92" t="e">
        <f>VLOOKUP(A256,[1]Hoja3!$C$3:$D$14,2,FALSE)</f>
        <v>#N/A</v>
      </c>
      <c r="C256" s="93"/>
      <c r="D256" s="101"/>
      <c r="E256" s="94"/>
      <c r="F256" s="95"/>
      <c r="G256" s="96"/>
      <c r="H256" s="96" t="b">
        <f t="shared" si="34"/>
        <v>0</v>
      </c>
      <c r="I256" s="247" t="e">
        <f t="shared" si="36"/>
        <v>#N/A</v>
      </c>
      <c r="J256" s="97">
        <v>0</v>
      </c>
      <c r="K256" s="98">
        <v>0</v>
      </c>
      <c r="L256" s="98"/>
      <c r="M256" s="98"/>
      <c r="N256" s="98">
        <f t="shared" si="37"/>
        <v>0</v>
      </c>
      <c r="O256" s="240" t="b">
        <f t="shared" si="38"/>
        <v>0</v>
      </c>
      <c r="P256" s="240" t="b">
        <f t="shared" si="39"/>
        <v>0</v>
      </c>
    </row>
    <row r="257" spans="1:16" x14ac:dyDescent="0.35">
      <c r="A257" s="92">
        <f t="shared" si="35"/>
        <v>0</v>
      </c>
      <c r="B257" s="92" t="e">
        <f>VLOOKUP(A257,[1]Hoja3!$C$3:$D$14,2,FALSE)</f>
        <v>#N/A</v>
      </c>
      <c r="C257" s="93"/>
      <c r="D257" s="101"/>
      <c r="E257" s="94"/>
      <c r="F257" s="95"/>
      <c r="G257" s="96"/>
      <c r="H257" s="96" t="b">
        <f t="shared" si="34"/>
        <v>0</v>
      </c>
      <c r="I257" s="247" t="e">
        <f t="shared" si="36"/>
        <v>#N/A</v>
      </c>
      <c r="J257" s="97">
        <v>0</v>
      </c>
      <c r="K257" s="98">
        <v>0</v>
      </c>
      <c r="L257" s="98"/>
      <c r="M257" s="98"/>
      <c r="N257" s="98">
        <f t="shared" si="37"/>
        <v>0</v>
      </c>
      <c r="O257" s="240" t="b">
        <f t="shared" si="38"/>
        <v>0</v>
      </c>
      <c r="P257" s="240" t="b">
        <f t="shared" si="39"/>
        <v>0</v>
      </c>
    </row>
    <row r="258" spans="1:16" x14ac:dyDescent="0.35">
      <c r="A258" s="92">
        <f t="shared" si="35"/>
        <v>0</v>
      </c>
      <c r="B258" s="92" t="e">
        <f>VLOOKUP(A258,[1]Hoja3!$C$3:$D$14,2,FALSE)</f>
        <v>#N/A</v>
      </c>
      <c r="C258" s="93"/>
      <c r="D258" s="101"/>
      <c r="E258" s="94"/>
      <c r="F258" s="95"/>
      <c r="G258" s="96"/>
      <c r="H258" s="96" t="b">
        <f t="shared" si="34"/>
        <v>0</v>
      </c>
      <c r="I258" s="247" t="e">
        <f t="shared" si="36"/>
        <v>#N/A</v>
      </c>
      <c r="J258" s="97">
        <v>0</v>
      </c>
      <c r="K258" s="98">
        <v>0</v>
      </c>
      <c r="L258" s="98"/>
      <c r="M258" s="98"/>
      <c r="N258" s="98">
        <f t="shared" si="37"/>
        <v>0</v>
      </c>
      <c r="O258" s="240" t="b">
        <f t="shared" si="38"/>
        <v>0</v>
      </c>
      <c r="P258" s="240" t="b">
        <f t="shared" si="39"/>
        <v>0</v>
      </c>
    </row>
    <row r="259" spans="1:16" x14ac:dyDescent="0.35">
      <c r="A259" s="92">
        <f t="shared" si="35"/>
        <v>0</v>
      </c>
      <c r="B259" s="92" t="e">
        <f>VLOOKUP(A259,[1]Hoja3!$C$3:$D$14,2,FALSE)</f>
        <v>#N/A</v>
      </c>
      <c r="C259" s="93"/>
      <c r="D259" s="101"/>
      <c r="E259" s="94"/>
      <c r="F259" s="95"/>
      <c r="G259" s="96"/>
      <c r="H259" s="96" t="b">
        <f t="shared" si="34"/>
        <v>0</v>
      </c>
      <c r="I259" s="247" t="e">
        <f t="shared" si="36"/>
        <v>#N/A</v>
      </c>
      <c r="J259" s="97">
        <v>0</v>
      </c>
      <c r="K259" s="98">
        <v>0</v>
      </c>
      <c r="L259" s="98"/>
      <c r="M259" s="98"/>
      <c r="N259" s="98">
        <f t="shared" si="37"/>
        <v>0</v>
      </c>
      <c r="O259" s="240" t="b">
        <f t="shared" si="38"/>
        <v>0</v>
      </c>
      <c r="P259" s="240" t="b">
        <f t="shared" si="39"/>
        <v>0</v>
      </c>
    </row>
    <row r="260" spans="1:16" x14ac:dyDescent="0.35">
      <c r="A260" s="92">
        <f t="shared" si="35"/>
        <v>0</v>
      </c>
      <c r="B260" s="92" t="e">
        <f>VLOOKUP(A260,[1]Hoja3!$C$3:$D$14,2,FALSE)</f>
        <v>#N/A</v>
      </c>
      <c r="C260" s="93"/>
      <c r="D260" s="101"/>
      <c r="E260" s="94"/>
      <c r="F260" s="95"/>
      <c r="G260" s="96"/>
      <c r="H260" s="96" t="b">
        <f t="shared" si="34"/>
        <v>0</v>
      </c>
      <c r="I260" s="247" t="e">
        <f t="shared" si="36"/>
        <v>#N/A</v>
      </c>
      <c r="J260" s="97">
        <v>0</v>
      </c>
      <c r="K260" s="98">
        <v>0</v>
      </c>
      <c r="L260" s="98"/>
      <c r="M260" s="98"/>
      <c r="N260" s="98">
        <f t="shared" si="37"/>
        <v>0</v>
      </c>
      <c r="O260" s="240" t="b">
        <f t="shared" si="38"/>
        <v>0</v>
      </c>
      <c r="P260" s="240" t="b">
        <f t="shared" si="39"/>
        <v>0</v>
      </c>
    </row>
    <row r="261" spans="1:16" x14ac:dyDescent="0.35">
      <c r="A261" s="92">
        <f t="shared" si="35"/>
        <v>0</v>
      </c>
      <c r="B261" s="92" t="e">
        <f>VLOOKUP(A261,[1]Hoja3!$C$3:$D$14,2,FALSE)</f>
        <v>#N/A</v>
      </c>
      <c r="C261" s="93"/>
      <c r="D261" s="101"/>
      <c r="E261" s="94"/>
      <c r="F261" s="95"/>
      <c r="G261" s="96"/>
      <c r="H261" s="96" t="b">
        <f t="shared" si="34"/>
        <v>0</v>
      </c>
      <c r="I261" s="247" t="e">
        <f t="shared" si="36"/>
        <v>#N/A</v>
      </c>
      <c r="J261" s="97">
        <v>0</v>
      </c>
      <c r="K261" s="98">
        <v>0</v>
      </c>
      <c r="L261" s="98"/>
      <c r="M261" s="98"/>
      <c r="N261" s="98">
        <f t="shared" si="37"/>
        <v>0</v>
      </c>
      <c r="O261" s="240" t="b">
        <f t="shared" si="38"/>
        <v>0</v>
      </c>
      <c r="P261" s="240" t="b">
        <f t="shared" si="39"/>
        <v>0</v>
      </c>
    </row>
    <row r="262" spans="1:16" x14ac:dyDescent="0.35">
      <c r="A262" s="92">
        <f t="shared" si="35"/>
        <v>0</v>
      </c>
      <c r="B262" s="92" t="e">
        <f>VLOOKUP(A262,[1]Hoja3!$C$3:$D$14,2,FALSE)</f>
        <v>#N/A</v>
      </c>
      <c r="C262" s="93"/>
      <c r="D262" s="101"/>
      <c r="E262" s="94"/>
      <c r="F262" s="95"/>
      <c r="G262" s="96"/>
      <c r="H262" s="96" t="b">
        <f t="shared" si="34"/>
        <v>0</v>
      </c>
      <c r="I262" s="247" t="e">
        <f t="shared" si="36"/>
        <v>#N/A</v>
      </c>
      <c r="J262" s="97">
        <v>0</v>
      </c>
      <c r="K262" s="98">
        <v>0</v>
      </c>
      <c r="L262" s="98"/>
      <c r="M262" s="98"/>
      <c r="N262" s="98">
        <f t="shared" si="37"/>
        <v>0</v>
      </c>
      <c r="O262" s="240" t="b">
        <f t="shared" si="38"/>
        <v>0</v>
      </c>
      <c r="P262" s="240" t="b">
        <f t="shared" si="39"/>
        <v>0</v>
      </c>
    </row>
    <row r="263" spans="1:16" x14ac:dyDescent="0.35">
      <c r="A263" s="92">
        <f t="shared" si="35"/>
        <v>0</v>
      </c>
      <c r="B263" s="92" t="e">
        <f>VLOOKUP(A263,[1]Hoja3!$C$3:$D$14,2,FALSE)</f>
        <v>#N/A</v>
      </c>
      <c r="C263" s="93"/>
      <c r="D263" s="101"/>
      <c r="E263" s="94"/>
      <c r="F263" s="95"/>
      <c r="G263" s="96"/>
      <c r="H263" s="96" t="b">
        <f t="shared" si="34"/>
        <v>0</v>
      </c>
      <c r="I263" s="247" t="e">
        <f t="shared" si="36"/>
        <v>#N/A</v>
      </c>
      <c r="J263" s="97">
        <v>0</v>
      </c>
      <c r="K263" s="98">
        <v>0</v>
      </c>
      <c r="L263" s="98"/>
      <c r="M263" s="98"/>
      <c r="N263" s="98">
        <f t="shared" si="37"/>
        <v>0</v>
      </c>
      <c r="O263" s="240" t="b">
        <f t="shared" si="38"/>
        <v>0</v>
      </c>
      <c r="P263" s="240" t="b">
        <f t="shared" si="39"/>
        <v>0</v>
      </c>
    </row>
    <row r="264" spans="1:16" x14ac:dyDescent="0.35">
      <c r="A264" s="92">
        <f t="shared" si="35"/>
        <v>0</v>
      </c>
      <c r="B264" s="92" t="e">
        <f>VLOOKUP(A264,[1]Hoja3!$C$3:$D$14,2,FALSE)</f>
        <v>#N/A</v>
      </c>
      <c r="C264" s="93"/>
      <c r="D264" s="101"/>
      <c r="E264" s="94"/>
      <c r="F264" s="95"/>
      <c r="G264" s="96"/>
      <c r="H264" s="96" t="b">
        <f t="shared" si="34"/>
        <v>0</v>
      </c>
      <c r="I264" s="247" t="e">
        <f t="shared" si="36"/>
        <v>#N/A</v>
      </c>
      <c r="J264" s="97">
        <v>0</v>
      </c>
      <c r="K264" s="98">
        <v>0</v>
      </c>
      <c r="L264" s="98"/>
      <c r="M264" s="98"/>
      <c r="N264" s="98">
        <f t="shared" si="37"/>
        <v>0</v>
      </c>
      <c r="O264" s="240" t="b">
        <f t="shared" si="38"/>
        <v>0</v>
      </c>
      <c r="P264" s="240" t="b">
        <f t="shared" si="39"/>
        <v>0</v>
      </c>
    </row>
    <row r="265" spans="1:16" x14ac:dyDescent="0.35">
      <c r="A265" s="92">
        <f t="shared" si="35"/>
        <v>0</v>
      </c>
      <c r="B265" s="92" t="e">
        <f>VLOOKUP(A265,[1]Hoja3!$C$3:$D$14,2,FALSE)</f>
        <v>#N/A</v>
      </c>
      <c r="C265" s="93"/>
      <c r="D265" s="101"/>
      <c r="E265" s="94"/>
      <c r="F265" s="95"/>
      <c r="G265" s="96"/>
      <c r="H265" s="96" t="b">
        <f t="shared" si="34"/>
        <v>0</v>
      </c>
      <c r="I265" s="247" t="e">
        <f t="shared" si="36"/>
        <v>#N/A</v>
      </c>
      <c r="J265" s="97">
        <v>0</v>
      </c>
      <c r="K265" s="98">
        <v>0</v>
      </c>
      <c r="L265" s="98"/>
      <c r="M265" s="98"/>
      <c r="N265" s="98">
        <f t="shared" si="37"/>
        <v>0</v>
      </c>
      <c r="O265" s="240" t="b">
        <f t="shared" si="38"/>
        <v>0</v>
      </c>
      <c r="P265" s="240" t="b">
        <f t="shared" si="39"/>
        <v>0</v>
      </c>
    </row>
    <row r="266" spans="1:16" x14ac:dyDescent="0.35">
      <c r="A266" s="92">
        <f t="shared" si="35"/>
        <v>0</v>
      </c>
      <c r="B266" s="92" t="e">
        <f>VLOOKUP(A266,[1]Hoja3!$C$3:$D$14,2,FALSE)</f>
        <v>#N/A</v>
      </c>
      <c r="C266" s="93"/>
      <c r="D266" s="101"/>
      <c r="E266" s="94"/>
      <c r="F266" s="95"/>
      <c r="G266" s="96"/>
      <c r="H266" s="96" t="b">
        <f t="shared" si="34"/>
        <v>0</v>
      </c>
      <c r="I266" s="247" t="e">
        <f t="shared" si="36"/>
        <v>#N/A</v>
      </c>
      <c r="J266" s="97">
        <v>0</v>
      </c>
      <c r="K266" s="98">
        <v>0</v>
      </c>
      <c r="L266" s="98"/>
      <c r="M266" s="98"/>
      <c r="N266" s="98">
        <f t="shared" si="37"/>
        <v>0</v>
      </c>
      <c r="O266" s="240" t="b">
        <f t="shared" si="38"/>
        <v>0</v>
      </c>
      <c r="P266" s="240" t="b">
        <f t="shared" si="39"/>
        <v>0</v>
      </c>
    </row>
    <row r="267" spans="1:16" x14ac:dyDescent="0.35">
      <c r="A267" s="92">
        <f t="shared" si="35"/>
        <v>0</v>
      </c>
      <c r="B267" s="92" t="e">
        <f>VLOOKUP(A267,[1]Hoja3!$C$3:$D$14,2,FALSE)</f>
        <v>#N/A</v>
      </c>
      <c r="C267" s="93"/>
      <c r="D267" s="101"/>
      <c r="E267" s="94"/>
      <c r="F267" s="95"/>
      <c r="G267" s="96"/>
      <c r="H267" s="96" t="b">
        <f t="shared" si="34"/>
        <v>0</v>
      </c>
      <c r="I267" s="247" t="e">
        <f t="shared" si="36"/>
        <v>#N/A</v>
      </c>
      <c r="J267" s="97">
        <v>0</v>
      </c>
      <c r="K267" s="98">
        <v>0</v>
      </c>
      <c r="L267" s="98"/>
      <c r="M267" s="98"/>
      <c r="N267" s="98">
        <f t="shared" si="37"/>
        <v>0</v>
      </c>
      <c r="O267" s="240" t="b">
        <f t="shared" si="38"/>
        <v>0</v>
      </c>
      <c r="P267" s="240" t="b">
        <f t="shared" si="39"/>
        <v>0</v>
      </c>
    </row>
    <row r="268" spans="1:16" x14ac:dyDescent="0.35">
      <c r="A268" s="92">
        <f t="shared" si="35"/>
        <v>0</v>
      </c>
      <c r="B268" s="92" t="e">
        <f>VLOOKUP(A268,[1]Hoja3!$C$3:$D$14,2,FALSE)</f>
        <v>#N/A</v>
      </c>
      <c r="C268" s="93"/>
      <c r="D268" s="101"/>
      <c r="E268" s="94"/>
      <c r="F268" s="95"/>
      <c r="G268" s="96"/>
      <c r="H268" s="96" t="b">
        <f t="shared" si="34"/>
        <v>0</v>
      </c>
      <c r="I268" s="247" t="e">
        <f t="shared" si="36"/>
        <v>#N/A</v>
      </c>
      <c r="J268" s="97">
        <v>0</v>
      </c>
      <c r="K268" s="98">
        <v>0</v>
      </c>
      <c r="L268" s="98"/>
      <c r="M268" s="98"/>
      <c r="N268" s="98">
        <f t="shared" si="37"/>
        <v>0</v>
      </c>
      <c r="O268" s="240" t="b">
        <f t="shared" si="38"/>
        <v>0</v>
      </c>
      <c r="P268" s="240" t="b">
        <f t="shared" si="39"/>
        <v>0</v>
      </c>
    </row>
    <row r="269" spans="1:16" x14ac:dyDescent="0.35">
      <c r="A269" s="92">
        <f t="shared" si="35"/>
        <v>0</v>
      </c>
      <c r="B269" s="92" t="e">
        <f>VLOOKUP(A269,[1]Hoja3!$C$3:$D$14,2,FALSE)</f>
        <v>#N/A</v>
      </c>
      <c r="C269" s="93"/>
      <c r="D269" s="101"/>
      <c r="E269" s="94"/>
      <c r="F269" s="95"/>
      <c r="G269" s="96"/>
      <c r="H269" s="96" t="b">
        <f t="shared" si="34"/>
        <v>0</v>
      </c>
      <c r="I269" s="247" t="e">
        <f t="shared" si="36"/>
        <v>#N/A</v>
      </c>
      <c r="J269" s="97">
        <v>0</v>
      </c>
      <c r="K269" s="98">
        <v>0</v>
      </c>
      <c r="L269" s="98"/>
      <c r="M269" s="98"/>
      <c r="N269" s="98">
        <f t="shared" si="37"/>
        <v>0</v>
      </c>
      <c r="O269" s="240" t="b">
        <f t="shared" si="38"/>
        <v>0</v>
      </c>
      <c r="P269" s="240" t="b">
        <f t="shared" si="39"/>
        <v>0</v>
      </c>
    </row>
    <row r="270" spans="1:16" x14ac:dyDescent="0.35">
      <c r="A270" s="92">
        <f t="shared" si="35"/>
        <v>0</v>
      </c>
      <c r="B270" s="92" t="e">
        <f>VLOOKUP(A270,[1]Hoja3!$C$3:$D$14,2,FALSE)</f>
        <v>#N/A</v>
      </c>
      <c r="C270" s="93"/>
      <c r="D270" s="101"/>
      <c r="E270" s="94"/>
      <c r="F270" s="95"/>
      <c r="G270" s="96"/>
      <c r="H270" s="96" t="b">
        <f t="shared" si="34"/>
        <v>0</v>
      </c>
      <c r="I270" s="247" t="e">
        <f t="shared" si="36"/>
        <v>#N/A</v>
      </c>
      <c r="J270" s="97">
        <v>0</v>
      </c>
      <c r="K270" s="98">
        <v>0</v>
      </c>
      <c r="L270" s="98"/>
      <c r="M270" s="98"/>
      <c r="N270" s="98">
        <f t="shared" si="37"/>
        <v>0</v>
      </c>
      <c r="O270" s="240" t="b">
        <f t="shared" si="38"/>
        <v>0</v>
      </c>
      <c r="P270" s="240" t="b">
        <f t="shared" si="39"/>
        <v>0</v>
      </c>
    </row>
    <row r="271" spans="1:16" x14ac:dyDescent="0.35">
      <c r="A271" s="92">
        <f t="shared" si="35"/>
        <v>0</v>
      </c>
      <c r="B271" s="92" t="e">
        <f>VLOOKUP(A271,[1]Hoja3!$C$3:$D$14,2,FALSE)</f>
        <v>#N/A</v>
      </c>
      <c r="C271" s="93"/>
      <c r="D271" s="101"/>
      <c r="E271" s="94"/>
      <c r="F271" s="95"/>
      <c r="G271" s="96"/>
      <c r="H271" s="96" t="b">
        <f t="shared" si="34"/>
        <v>0</v>
      </c>
      <c r="I271" s="247" t="e">
        <f t="shared" si="36"/>
        <v>#N/A</v>
      </c>
      <c r="J271" s="97">
        <v>0</v>
      </c>
      <c r="K271" s="98">
        <v>0</v>
      </c>
      <c r="L271" s="98"/>
      <c r="M271" s="98"/>
      <c r="N271" s="98">
        <f t="shared" si="37"/>
        <v>0</v>
      </c>
      <c r="O271" s="240" t="b">
        <f t="shared" si="38"/>
        <v>0</v>
      </c>
      <c r="P271" s="240" t="b">
        <f t="shared" si="39"/>
        <v>0</v>
      </c>
    </row>
    <row r="272" spans="1:16" x14ac:dyDescent="0.35">
      <c r="A272" s="92">
        <f t="shared" si="35"/>
        <v>0</v>
      </c>
      <c r="B272" s="92" t="e">
        <f>VLOOKUP(A272,[1]Hoja3!$C$3:$D$14,2,FALSE)</f>
        <v>#N/A</v>
      </c>
      <c r="C272" s="93"/>
      <c r="D272" s="101"/>
      <c r="E272" s="94"/>
      <c r="F272" s="95"/>
      <c r="G272" s="96"/>
      <c r="H272" s="96" t="b">
        <f t="shared" ref="H272:H335" si="40">IF(G272="EFREN ABUNDEZ REYNA","AURE7306187IA",IF(G272="LUIS ALEJANDRO HERNANDEZ REYNA","HERL850705AL2",IF(G272="ANA BEATRIZ ESTRADA ARGOTE","EAAA860701UP2",IF(G272="SERGIO ROMERO DURAN","RODS620908QAA",IF(G272="MARIELA OLMOS GAONA","OOGM010703NX1",IF(G272="LUCIANO MIJAIL ORTEGA MUÑOZ","OEML881105IK2",IF(G272="GUSTAVO HUMBERTO VELAZCO GALVAN","VEGG9211019T1",IF(G272="JESUS AGUSTIN VELAZQUEZ FLORES","VEFJ900303M65",IF(G272="KARLA ESTEFANIA SALAZAR FLORES","SAFK9807277N1",IF(G272="ANGEL TERRAZAS MONROY","TEMA7105035N4"))))))))))</f>
        <v>0</v>
      </c>
      <c r="I272" s="247" t="e">
        <f t="shared" si="36"/>
        <v>#N/A</v>
      </c>
      <c r="J272" s="97">
        <v>0</v>
      </c>
      <c r="K272" s="98">
        <v>0</v>
      </c>
      <c r="L272" s="98"/>
      <c r="M272" s="98"/>
      <c r="N272" s="98">
        <f t="shared" si="37"/>
        <v>0</v>
      </c>
      <c r="O272" s="240" t="b">
        <f t="shared" si="38"/>
        <v>0</v>
      </c>
      <c r="P272" s="240" t="b">
        <f t="shared" si="39"/>
        <v>0</v>
      </c>
    </row>
    <row r="273" spans="1:16" x14ac:dyDescent="0.35">
      <c r="A273" s="92">
        <f t="shared" si="35"/>
        <v>0</v>
      </c>
      <c r="B273" s="92" t="e">
        <f>VLOOKUP(A273,[1]Hoja3!$C$3:$D$14,2,FALSE)</f>
        <v>#N/A</v>
      </c>
      <c r="C273" s="93"/>
      <c r="D273" s="101"/>
      <c r="E273" s="94"/>
      <c r="F273" s="95"/>
      <c r="G273" s="96"/>
      <c r="H273" s="96" t="b">
        <f t="shared" si="40"/>
        <v>0</v>
      </c>
      <c r="I273" s="247" t="e">
        <f t="shared" si="36"/>
        <v>#N/A</v>
      </c>
      <c r="J273" s="97">
        <v>0</v>
      </c>
      <c r="K273" s="98">
        <v>0</v>
      </c>
      <c r="L273" s="98"/>
      <c r="M273" s="98"/>
      <c r="N273" s="98">
        <f t="shared" si="37"/>
        <v>0</v>
      </c>
      <c r="O273" s="240" t="b">
        <f t="shared" si="38"/>
        <v>0</v>
      </c>
      <c r="P273" s="240" t="b">
        <f t="shared" si="39"/>
        <v>0</v>
      </c>
    </row>
    <row r="274" spans="1:16" x14ac:dyDescent="0.35">
      <c r="A274" s="92">
        <f t="shared" si="35"/>
        <v>0</v>
      </c>
      <c r="B274" s="92" t="e">
        <f>VLOOKUP(A274,[1]Hoja3!$C$3:$D$14,2,FALSE)</f>
        <v>#N/A</v>
      </c>
      <c r="C274" s="93"/>
      <c r="D274" s="101"/>
      <c r="E274" s="94"/>
      <c r="F274" s="95"/>
      <c r="G274" s="96"/>
      <c r="H274" s="96" t="b">
        <f t="shared" si="40"/>
        <v>0</v>
      </c>
      <c r="I274" s="247" t="e">
        <f t="shared" si="36"/>
        <v>#N/A</v>
      </c>
      <c r="J274" s="97">
        <v>0</v>
      </c>
      <c r="K274" s="98">
        <v>0</v>
      </c>
      <c r="L274" s="98"/>
      <c r="M274" s="98"/>
      <c r="N274" s="98">
        <f t="shared" si="37"/>
        <v>0</v>
      </c>
      <c r="O274" s="240" t="b">
        <f t="shared" si="38"/>
        <v>0</v>
      </c>
      <c r="P274" s="240" t="b">
        <f t="shared" si="39"/>
        <v>0</v>
      </c>
    </row>
    <row r="275" spans="1:16" x14ac:dyDescent="0.35">
      <c r="A275" s="92">
        <f t="shared" si="35"/>
        <v>0</v>
      </c>
      <c r="B275" s="92" t="e">
        <f>VLOOKUP(A275,[1]Hoja3!$C$3:$D$14,2,FALSE)</f>
        <v>#N/A</v>
      </c>
      <c r="C275" s="93"/>
      <c r="D275" s="101"/>
      <c r="E275" s="94"/>
      <c r="F275" s="95"/>
      <c r="G275" s="96"/>
      <c r="H275" s="96" t="b">
        <f t="shared" si="40"/>
        <v>0</v>
      </c>
      <c r="I275" s="247" t="e">
        <f t="shared" si="36"/>
        <v>#N/A</v>
      </c>
      <c r="J275" s="97">
        <v>0</v>
      </c>
      <c r="K275" s="98">
        <v>0</v>
      </c>
      <c r="L275" s="98"/>
      <c r="M275" s="98"/>
      <c r="N275" s="98">
        <f t="shared" si="37"/>
        <v>0</v>
      </c>
      <c r="O275" s="240" t="b">
        <f t="shared" si="38"/>
        <v>0</v>
      </c>
      <c r="P275" s="240" t="b">
        <f t="shared" si="39"/>
        <v>0</v>
      </c>
    </row>
    <row r="276" spans="1:16" x14ac:dyDescent="0.35">
      <c r="A276" s="92">
        <f t="shared" si="35"/>
        <v>0</v>
      </c>
      <c r="B276" s="92" t="e">
        <f>VLOOKUP(A276,[1]Hoja3!$C$3:$D$14,2,FALSE)</f>
        <v>#N/A</v>
      </c>
      <c r="C276" s="93"/>
      <c r="D276" s="101"/>
      <c r="E276" s="94"/>
      <c r="F276" s="95"/>
      <c r="G276" s="96"/>
      <c r="H276" s="96" t="b">
        <f t="shared" si="40"/>
        <v>0</v>
      </c>
      <c r="I276" s="247" t="e">
        <f t="shared" si="36"/>
        <v>#N/A</v>
      </c>
      <c r="J276" s="97">
        <v>0</v>
      </c>
      <c r="K276" s="98">
        <v>0</v>
      </c>
      <c r="L276" s="98"/>
      <c r="M276" s="98"/>
      <c r="N276" s="98">
        <f t="shared" si="37"/>
        <v>0</v>
      </c>
      <c r="O276" s="240" t="b">
        <f t="shared" si="38"/>
        <v>0</v>
      </c>
      <c r="P276" s="240" t="b">
        <f t="shared" si="39"/>
        <v>0</v>
      </c>
    </row>
    <row r="277" spans="1:16" x14ac:dyDescent="0.35">
      <c r="A277" s="92">
        <f t="shared" si="35"/>
        <v>0</v>
      </c>
      <c r="B277" s="92" t="e">
        <f>VLOOKUP(A277,[1]Hoja3!$C$3:$D$14,2,FALSE)</f>
        <v>#N/A</v>
      </c>
      <c r="C277" s="93"/>
      <c r="D277" s="101"/>
      <c r="E277" s="94"/>
      <c r="F277" s="95"/>
      <c r="G277" s="96"/>
      <c r="H277" s="96" t="b">
        <f t="shared" si="40"/>
        <v>0</v>
      </c>
      <c r="I277" s="247" t="e">
        <f t="shared" si="36"/>
        <v>#N/A</v>
      </c>
      <c r="J277" s="97">
        <v>0</v>
      </c>
      <c r="K277" s="98">
        <v>0</v>
      </c>
      <c r="L277" s="98"/>
      <c r="M277" s="98"/>
      <c r="N277" s="98">
        <f t="shared" si="37"/>
        <v>0</v>
      </c>
      <c r="O277" s="240" t="b">
        <f t="shared" si="38"/>
        <v>0</v>
      </c>
      <c r="P277" s="240" t="b">
        <f t="shared" si="39"/>
        <v>0</v>
      </c>
    </row>
    <row r="278" spans="1:16" x14ac:dyDescent="0.35">
      <c r="A278" s="92">
        <f t="shared" si="35"/>
        <v>0</v>
      </c>
      <c r="B278" s="92" t="e">
        <f>VLOOKUP(A278,[1]Hoja3!$C$3:$D$14,2,FALSE)</f>
        <v>#N/A</v>
      </c>
      <c r="C278" s="93"/>
      <c r="D278" s="101"/>
      <c r="E278" s="94"/>
      <c r="F278" s="95"/>
      <c r="G278" s="96"/>
      <c r="H278" s="96" t="b">
        <f t="shared" si="40"/>
        <v>0</v>
      </c>
      <c r="I278" s="247" t="e">
        <f t="shared" si="36"/>
        <v>#N/A</v>
      </c>
      <c r="J278" s="97">
        <v>0</v>
      </c>
      <c r="K278" s="98">
        <v>0</v>
      </c>
      <c r="L278" s="98"/>
      <c r="M278" s="98"/>
      <c r="N278" s="98">
        <f t="shared" si="37"/>
        <v>0</v>
      </c>
      <c r="O278" s="240" t="b">
        <f t="shared" si="38"/>
        <v>0</v>
      </c>
      <c r="P278" s="240" t="b">
        <f t="shared" si="39"/>
        <v>0</v>
      </c>
    </row>
    <row r="279" spans="1:16" x14ac:dyDescent="0.35">
      <c r="A279" s="92">
        <f t="shared" si="35"/>
        <v>0</v>
      </c>
      <c r="B279" s="92" t="e">
        <f>VLOOKUP(A279,[1]Hoja3!$C$3:$D$14,2,FALSE)</f>
        <v>#N/A</v>
      </c>
      <c r="C279" s="93"/>
      <c r="D279" s="101"/>
      <c r="E279" s="94"/>
      <c r="F279" s="95"/>
      <c r="G279" s="96"/>
      <c r="H279" s="96" t="b">
        <f t="shared" si="40"/>
        <v>0</v>
      </c>
      <c r="I279" s="247" t="e">
        <f t="shared" si="36"/>
        <v>#N/A</v>
      </c>
      <c r="J279" s="97">
        <v>0</v>
      </c>
      <c r="K279" s="98">
        <v>0</v>
      </c>
      <c r="L279" s="98"/>
      <c r="M279" s="98"/>
      <c r="N279" s="98">
        <f t="shared" si="37"/>
        <v>0</v>
      </c>
      <c r="O279" s="240" t="b">
        <f t="shared" si="38"/>
        <v>0</v>
      </c>
      <c r="P279" s="240" t="b">
        <f t="shared" si="39"/>
        <v>0</v>
      </c>
    </row>
    <row r="280" spans="1:16" x14ac:dyDescent="0.35">
      <c r="A280" s="92">
        <f t="shared" si="35"/>
        <v>0</v>
      </c>
      <c r="B280" s="92" t="e">
        <f>VLOOKUP(A280,[1]Hoja3!$C$3:$D$14,2,FALSE)</f>
        <v>#N/A</v>
      </c>
      <c r="C280" s="93"/>
      <c r="D280" s="101"/>
      <c r="E280" s="94"/>
      <c r="F280" s="95"/>
      <c r="G280" s="96"/>
      <c r="H280" s="96" t="b">
        <f t="shared" si="40"/>
        <v>0</v>
      </c>
      <c r="I280" s="247" t="e">
        <f t="shared" si="36"/>
        <v>#N/A</v>
      </c>
      <c r="J280" s="97">
        <v>0</v>
      </c>
      <c r="K280" s="98">
        <v>0</v>
      </c>
      <c r="L280" s="98"/>
      <c r="M280" s="98"/>
      <c r="N280" s="98">
        <f t="shared" si="37"/>
        <v>0</v>
      </c>
      <c r="O280" s="240" t="b">
        <f t="shared" si="38"/>
        <v>0</v>
      </c>
      <c r="P280" s="240" t="b">
        <f t="shared" si="39"/>
        <v>0</v>
      </c>
    </row>
    <row r="281" spans="1:16" x14ac:dyDescent="0.35">
      <c r="A281" s="92">
        <f t="shared" si="35"/>
        <v>0</v>
      </c>
      <c r="B281" s="92" t="e">
        <f>VLOOKUP(A281,[1]Hoja3!$C$3:$D$14,2,FALSE)</f>
        <v>#N/A</v>
      </c>
      <c r="C281" s="93"/>
      <c r="D281" s="101"/>
      <c r="E281" s="94"/>
      <c r="F281" s="95"/>
      <c r="G281" s="96"/>
      <c r="H281" s="96" t="b">
        <f t="shared" si="40"/>
        <v>0</v>
      </c>
      <c r="I281" s="247" t="e">
        <f t="shared" si="36"/>
        <v>#N/A</v>
      </c>
      <c r="J281" s="97">
        <v>0</v>
      </c>
      <c r="K281" s="98">
        <v>0</v>
      </c>
      <c r="L281" s="98"/>
      <c r="M281" s="98"/>
      <c r="N281" s="98">
        <f t="shared" si="37"/>
        <v>0</v>
      </c>
      <c r="O281" s="240" t="b">
        <f t="shared" si="38"/>
        <v>0</v>
      </c>
      <c r="P281" s="240" t="b">
        <f t="shared" si="39"/>
        <v>0</v>
      </c>
    </row>
    <row r="282" spans="1:16" x14ac:dyDescent="0.35">
      <c r="A282" s="92">
        <f t="shared" si="35"/>
        <v>0</v>
      </c>
      <c r="B282" s="92" t="e">
        <f>VLOOKUP(A282,[1]Hoja3!$C$3:$D$14,2,FALSE)</f>
        <v>#N/A</v>
      </c>
      <c r="C282" s="93"/>
      <c r="D282" s="101"/>
      <c r="E282" s="94"/>
      <c r="F282" s="95"/>
      <c r="G282" s="96"/>
      <c r="H282" s="96" t="b">
        <f t="shared" si="40"/>
        <v>0</v>
      </c>
      <c r="I282" s="247" t="e">
        <f t="shared" si="36"/>
        <v>#N/A</v>
      </c>
      <c r="J282" s="97">
        <v>0</v>
      </c>
      <c r="K282" s="98">
        <v>0</v>
      </c>
      <c r="L282" s="98"/>
      <c r="M282" s="98"/>
      <c r="N282" s="98">
        <f t="shared" si="37"/>
        <v>0</v>
      </c>
      <c r="O282" s="240" t="b">
        <f t="shared" si="38"/>
        <v>0</v>
      </c>
      <c r="P282" s="240" t="b">
        <f t="shared" si="39"/>
        <v>0</v>
      </c>
    </row>
    <row r="283" spans="1:16" x14ac:dyDescent="0.35">
      <c r="A283" s="92">
        <f t="shared" si="35"/>
        <v>0</v>
      </c>
      <c r="B283" s="92" t="e">
        <f>VLOOKUP(A283,[1]Hoja3!$C$3:$D$14,2,FALSE)</f>
        <v>#N/A</v>
      </c>
      <c r="C283" s="93"/>
      <c r="D283" s="101"/>
      <c r="E283" s="94"/>
      <c r="F283" s="95"/>
      <c r="G283" s="96"/>
      <c r="H283" s="96" t="b">
        <f t="shared" si="40"/>
        <v>0</v>
      </c>
      <c r="I283" s="247" t="e">
        <f t="shared" si="36"/>
        <v>#N/A</v>
      </c>
      <c r="J283" s="97">
        <v>0</v>
      </c>
      <c r="K283" s="98">
        <v>0</v>
      </c>
      <c r="L283" s="98"/>
      <c r="M283" s="98"/>
      <c r="N283" s="98">
        <f t="shared" si="37"/>
        <v>0</v>
      </c>
      <c r="O283" s="240" t="b">
        <f t="shared" si="38"/>
        <v>0</v>
      </c>
      <c r="P283" s="240" t="b">
        <f t="shared" si="39"/>
        <v>0</v>
      </c>
    </row>
    <row r="284" spans="1:16" x14ac:dyDescent="0.35">
      <c r="A284" s="92">
        <f t="shared" si="35"/>
        <v>0</v>
      </c>
      <c r="B284" s="92" t="e">
        <f>VLOOKUP(A284,[1]Hoja3!$C$3:$D$14,2,FALSE)</f>
        <v>#N/A</v>
      </c>
      <c r="C284" s="93"/>
      <c r="D284" s="101"/>
      <c r="E284" s="94"/>
      <c r="F284" s="95"/>
      <c r="G284" s="96"/>
      <c r="H284" s="96" t="b">
        <f t="shared" si="40"/>
        <v>0</v>
      </c>
      <c r="I284" s="247" t="e">
        <f t="shared" si="36"/>
        <v>#N/A</v>
      </c>
      <c r="J284" s="97">
        <v>0</v>
      </c>
      <c r="K284" s="98">
        <v>0</v>
      </c>
      <c r="L284" s="98"/>
      <c r="M284" s="98"/>
      <c r="N284" s="98">
        <f t="shared" si="37"/>
        <v>0</v>
      </c>
      <c r="O284" s="240" t="b">
        <f t="shared" si="38"/>
        <v>0</v>
      </c>
      <c r="P284" s="240" t="b">
        <f t="shared" si="39"/>
        <v>0</v>
      </c>
    </row>
    <row r="285" spans="1:16" x14ac:dyDescent="0.35">
      <c r="A285" s="92">
        <f t="shared" si="35"/>
        <v>0</v>
      </c>
      <c r="B285" s="92" t="e">
        <f>VLOOKUP(A285,[1]Hoja3!$C$3:$D$14,2,FALSE)</f>
        <v>#N/A</v>
      </c>
      <c r="C285" s="93"/>
      <c r="D285" s="101"/>
      <c r="E285" s="94"/>
      <c r="F285" s="95"/>
      <c r="G285" s="96"/>
      <c r="H285" s="96" t="b">
        <f t="shared" si="40"/>
        <v>0</v>
      </c>
      <c r="I285" s="247" t="e">
        <f t="shared" si="36"/>
        <v>#N/A</v>
      </c>
      <c r="J285" s="97">
        <v>0</v>
      </c>
      <c r="K285" s="98">
        <v>0</v>
      </c>
      <c r="L285" s="98"/>
      <c r="M285" s="98"/>
      <c r="N285" s="98">
        <f t="shared" si="37"/>
        <v>0</v>
      </c>
      <c r="O285" s="240" t="b">
        <f t="shared" si="38"/>
        <v>0</v>
      </c>
      <c r="P285" s="240" t="b">
        <f t="shared" si="39"/>
        <v>0</v>
      </c>
    </row>
    <row r="286" spans="1:16" x14ac:dyDescent="0.35">
      <c r="A286" s="92">
        <f t="shared" si="35"/>
        <v>0</v>
      </c>
      <c r="B286" s="92" t="e">
        <f>VLOOKUP(A286,[1]Hoja3!$C$3:$D$14,2,FALSE)</f>
        <v>#N/A</v>
      </c>
      <c r="C286" s="93"/>
      <c r="D286" s="101"/>
      <c r="E286" s="94"/>
      <c r="F286" s="95"/>
      <c r="G286" s="96"/>
      <c r="H286" s="96" t="b">
        <f t="shared" si="40"/>
        <v>0</v>
      </c>
      <c r="I286" s="247" t="e">
        <f t="shared" si="36"/>
        <v>#N/A</v>
      </c>
      <c r="J286" s="97">
        <v>0</v>
      </c>
      <c r="K286" s="98">
        <v>0</v>
      </c>
      <c r="L286" s="98"/>
      <c r="M286" s="98"/>
      <c r="N286" s="98">
        <f t="shared" si="37"/>
        <v>0</v>
      </c>
      <c r="O286" s="240" t="b">
        <f t="shared" si="38"/>
        <v>0</v>
      </c>
      <c r="P286" s="240" t="b">
        <f t="shared" si="39"/>
        <v>0</v>
      </c>
    </row>
    <row r="287" spans="1:16" x14ac:dyDescent="0.35">
      <c r="A287" s="92">
        <f t="shared" si="35"/>
        <v>0</v>
      </c>
      <c r="B287" s="92" t="e">
        <f>VLOOKUP(A287,[1]Hoja3!$C$3:$D$14,2,FALSE)</f>
        <v>#N/A</v>
      </c>
      <c r="C287" s="93"/>
      <c r="D287" s="101"/>
      <c r="E287" s="94"/>
      <c r="F287" s="95"/>
      <c r="G287" s="96"/>
      <c r="H287" s="96" t="b">
        <f t="shared" si="40"/>
        <v>0</v>
      </c>
      <c r="I287" s="247" t="e">
        <f t="shared" si="36"/>
        <v>#N/A</v>
      </c>
      <c r="J287" s="97">
        <v>0</v>
      </c>
      <c r="K287" s="98">
        <v>0</v>
      </c>
      <c r="L287" s="98"/>
      <c r="M287" s="98"/>
      <c r="N287" s="98">
        <f t="shared" si="37"/>
        <v>0</v>
      </c>
      <c r="O287" s="240" t="b">
        <f t="shared" si="38"/>
        <v>0</v>
      </c>
      <c r="P287" s="240" t="b">
        <f t="shared" si="39"/>
        <v>0</v>
      </c>
    </row>
    <row r="288" spans="1:16" x14ac:dyDescent="0.35">
      <c r="A288" s="92">
        <f t="shared" si="35"/>
        <v>0</v>
      </c>
      <c r="B288" s="92" t="e">
        <f>VLOOKUP(A288,[1]Hoja3!$C$3:$D$14,2,FALSE)</f>
        <v>#N/A</v>
      </c>
      <c r="C288" s="93"/>
      <c r="D288" s="101"/>
      <c r="E288" s="94"/>
      <c r="F288" s="95"/>
      <c r="G288" s="96"/>
      <c r="H288" s="96" t="b">
        <f t="shared" si="40"/>
        <v>0</v>
      </c>
      <c r="I288" s="247" t="e">
        <f t="shared" si="36"/>
        <v>#N/A</v>
      </c>
      <c r="J288" s="97">
        <v>0</v>
      </c>
      <c r="K288" s="98">
        <v>0</v>
      </c>
      <c r="L288" s="98"/>
      <c r="M288" s="98"/>
      <c r="N288" s="98">
        <f t="shared" si="37"/>
        <v>0</v>
      </c>
      <c r="O288" s="240" t="b">
        <f t="shared" si="38"/>
        <v>0</v>
      </c>
      <c r="P288" s="240" t="b">
        <f t="shared" si="39"/>
        <v>0</v>
      </c>
    </row>
    <row r="289" spans="1:16" x14ac:dyDescent="0.35">
      <c r="A289" s="92">
        <f t="shared" si="35"/>
        <v>0</v>
      </c>
      <c r="B289" s="92" t="e">
        <f>VLOOKUP(A289,[1]Hoja3!$C$3:$D$14,2,FALSE)</f>
        <v>#N/A</v>
      </c>
      <c r="C289" s="93"/>
      <c r="D289" s="101"/>
      <c r="E289" s="94"/>
      <c r="F289" s="95"/>
      <c r="G289" s="96"/>
      <c r="H289" s="96" t="b">
        <f t="shared" si="40"/>
        <v>0</v>
      </c>
      <c r="I289" s="247" t="e">
        <f t="shared" si="36"/>
        <v>#N/A</v>
      </c>
      <c r="J289" s="97">
        <v>0</v>
      </c>
      <c r="K289" s="98">
        <v>0</v>
      </c>
      <c r="L289" s="98"/>
      <c r="M289" s="98"/>
      <c r="N289" s="98">
        <f t="shared" si="37"/>
        <v>0</v>
      </c>
      <c r="O289" s="240" t="b">
        <f t="shared" si="38"/>
        <v>0</v>
      </c>
      <c r="P289" s="240" t="b">
        <f t="shared" si="39"/>
        <v>0</v>
      </c>
    </row>
    <row r="290" spans="1:16" x14ac:dyDescent="0.35">
      <c r="A290" s="92">
        <f t="shared" si="35"/>
        <v>0</v>
      </c>
      <c r="B290" s="92" t="e">
        <f>VLOOKUP(A290,[1]Hoja3!$C$3:$D$14,2,FALSE)</f>
        <v>#N/A</v>
      </c>
      <c r="C290" s="93"/>
      <c r="D290" s="101"/>
      <c r="E290" s="94"/>
      <c r="F290" s="95"/>
      <c r="G290" s="96"/>
      <c r="H290" s="96" t="b">
        <f t="shared" si="40"/>
        <v>0</v>
      </c>
      <c r="I290" s="247" t="e">
        <f t="shared" si="36"/>
        <v>#N/A</v>
      </c>
      <c r="J290" s="97">
        <v>0</v>
      </c>
      <c r="K290" s="98">
        <v>0</v>
      </c>
      <c r="L290" s="98"/>
      <c r="M290" s="98"/>
      <c r="N290" s="98">
        <f t="shared" si="37"/>
        <v>0</v>
      </c>
      <c r="O290" s="240" t="b">
        <f t="shared" si="38"/>
        <v>0</v>
      </c>
      <c r="P290" s="240" t="b">
        <f t="shared" si="39"/>
        <v>0</v>
      </c>
    </row>
    <row r="291" spans="1:16" x14ac:dyDescent="0.35">
      <c r="A291" s="92">
        <f t="shared" si="35"/>
        <v>0</v>
      </c>
      <c r="B291" s="92" t="e">
        <f>VLOOKUP(A291,[1]Hoja3!$C$3:$D$14,2,FALSE)</f>
        <v>#N/A</v>
      </c>
      <c r="C291" s="93"/>
      <c r="D291" s="101"/>
      <c r="E291" s="94"/>
      <c r="F291" s="95"/>
      <c r="G291" s="96"/>
      <c r="H291" s="96" t="b">
        <f t="shared" si="40"/>
        <v>0</v>
      </c>
      <c r="I291" s="247" t="e">
        <f t="shared" si="36"/>
        <v>#N/A</v>
      </c>
      <c r="J291" s="97">
        <v>0</v>
      </c>
      <c r="K291" s="98">
        <v>0</v>
      </c>
      <c r="L291" s="98"/>
      <c r="M291" s="98"/>
      <c r="N291" s="98">
        <f t="shared" si="37"/>
        <v>0</v>
      </c>
      <c r="O291" s="240" t="b">
        <f t="shared" si="38"/>
        <v>0</v>
      </c>
      <c r="P291" s="240" t="b">
        <f t="shared" si="39"/>
        <v>0</v>
      </c>
    </row>
    <row r="292" spans="1:16" x14ac:dyDescent="0.35">
      <c r="A292" s="92">
        <f t="shared" si="35"/>
        <v>0</v>
      </c>
      <c r="B292" s="92" t="e">
        <f>VLOOKUP(A292,[1]Hoja3!$C$3:$D$14,2,FALSE)</f>
        <v>#N/A</v>
      </c>
      <c r="C292" s="93"/>
      <c r="D292" s="101"/>
      <c r="E292" s="94"/>
      <c r="F292" s="95"/>
      <c r="G292" s="96"/>
      <c r="H292" s="96" t="b">
        <f t="shared" si="40"/>
        <v>0</v>
      </c>
      <c r="I292" s="247" t="e">
        <f t="shared" si="36"/>
        <v>#N/A</v>
      </c>
      <c r="J292" s="97">
        <v>0</v>
      </c>
      <c r="K292" s="98">
        <v>0</v>
      </c>
      <c r="L292" s="98"/>
      <c r="M292" s="98"/>
      <c r="N292" s="98">
        <f t="shared" si="37"/>
        <v>0</v>
      </c>
      <c r="O292" s="240" t="b">
        <f t="shared" si="38"/>
        <v>0</v>
      </c>
      <c r="P292" s="240" t="b">
        <f t="shared" si="39"/>
        <v>0</v>
      </c>
    </row>
    <row r="293" spans="1:16" x14ac:dyDescent="0.35">
      <c r="A293" s="92">
        <f t="shared" si="35"/>
        <v>0</v>
      </c>
      <c r="B293" s="92" t="e">
        <f>VLOOKUP(A293,[1]Hoja3!$C$3:$D$14,2,FALSE)</f>
        <v>#N/A</v>
      </c>
      <c r="C293" s="93"/>
      <c r="D293" s="101"/>
      <c r="E293" s="94"/>
      <c r="F293" s="95"/>
      <c r="G293" s="96"/>
      <c r="H293" s="96" t="b">
        <f t="shared" si="40"/>
        <v>0</v>
      </c>
      <c r="I293" s="247" t="e">
        <f t="shared" si="36"/>
        <v>#N/A</v>
      </c>
      <c r="J293" s="97">
        <v>0</v>
      </c>
      <c r="K293" s="98">
        <v>0</v>
      </c>
      <c r="L293" s="98"/>
      <c r="M293" s="98"/>
      <c r="N293" s="98">
        <f t="shared" si="37"/>
        <v>0</v>
      </c>
      <c r="O293" s="240" t="b">
        <f t="shared" si="38"/>
        <v>0</v>
      </c>
      <c r="P293" s="240" t="b">
        <f t="shared" si="39"/>
        <v>0</v>
      </c>
    </row>
    <row r="294" spans="1:16" x14ac:dyDescent="0.35">
      <c r="A294" s="92">
        <f t="shared" si="35"/>
        <v>0</v>
      </c>
      <c r="B294" s="92" t="e">
        <f>VLOOKUP(A294,[1]Hoja3!$C$3:$D$14,2,FALSE)</f>
        <v>#N/A</v>
      </c>
      <c r="C294" s="93"/>
      <c r="D294" s="101"/>
      <c r="E294" s="94"/>
      <c r="F294" s="95"/>
      <c r="G294" s="96"/>
      <c r="H294" s="96" t="b">
        <f t="shared" si="40"/>
        <v>0</v>
      </c>
      <c r="I294" s="247" t="e">
        <f t="shared" si="36"/>
        <v>#N/A</v>
      </c>
      <c r="J294" s="97">
        <v>0</v>
      </c>
      <c r="K294" s="98">
        <v>0</v>
      </c>
      <c r="L294" s="98"/>
      <c r="M294" s="98"/>
      <c r="N294" s="98">
        <f t="shared" si="37"/>
        <v>0</v>
      </c>
      <c r="O294" s="240" t="b">
        <f t="shared" si="38"/>
        <v>0</v>
      </c>
      <c r="P294" s="240" t="b">
        <f t="shared" si="39"/>
        <v>0</v>
      </c>
    </row>
    <row r="295" spans="1:16" x14ac:dyDescent="0.35">
      <c r="A295" s="92">
        <f t="shared" si="35"/>
        <v>0</v>
      </c>
      <c r="B295" s="92" t="e">
        <f>VLOOKUP(A295,[1]Hoja3!$C$3:$D$14,2,FALSE)</f>
        <v>#N/A</v>
      </c>
      <c r="C295" s="93"/>
      <c r="D295" s="101"/>
      <c r="E295" s="94"/>
      <c r="F295" s="95"/>
      <c r="G295" s="96"/>
      <c r="H295" s="96" t="b">
        <f t="shared" si="40"/>
        <v>0</v>
      </c>
      <c r="I295" s="247" t="e">
        <f t="shared" si="36"/>
        <v>#N/A</v>
      </c>
      <c r="J295" s="97">
        <v>0</v>
      </c>
      <c r="K295" s="98">
        <v>0</v>
      </c>
      <c r="L295" s="98"/>
      <c r="M295" s="98"/>
      <c r="N295" s="98">
        <f t="shared" si="37"/>
        <v>0</v>
      </c>
      <c r="O295" s="240" t="b">
        <f t="shared" si="38"/>
        <v>0</v>
      </c>
      <c r="P295" s="240" t="b">
        <f t="shared" si="39"/>
        <v>0</v>
      </c>
    </row>
    <row r="296" spans="1:16" x14ac:dyDescent="0.35">
      <c r="A296" s="92">
        <f t="shared" si="35"/>
        <v>0</v>
      </c>
      <c r="B296" s="92" t="e">
        <f>VLOOKUP(A296,[1]Hoja3!$C$3:$D$14,2,FALSE)</f>
        <v>#N/A</v>
      </c>
      <c r="C296" s="93"/>
      <c r="D296" s="101"/>
      <c r="E296" s="94"/>
      <c r="F296" s="95"/>
      <c r="G296" s="96"/>
      <c r="H296" s="96" t="b">
        <f t="shared" si="40"/>
        <v>0</v>
      </c>
      <c r="I296" s="247" t="e">
        <f t="shared" si="36"/>
        <v>#N/A</v>
      </c>
      <c r="J296" s="97">
        <v>0</v>
      </c>
      <c r="K296" s="98">
        <v>0</v>
      </c>
      <c r="L296" s="98"/>
      <c r="M296" s="98"/>
      <c r="N296" s="98">
        <f t="shared" si="37"/>
        <v>0</v>
      </c>
      <c r="O296" s="240" t="b">
        <f t="shared" si="38"/>
        <v>0</v>
      </c>
      <c r="P296" s="240" t="b">
        <f t="shared" si="39"/>
        <v>0</v>
      </c>
    </row>
    <row r="297" spans="1:16" x14ac:dyDescent="0.35">
      <c r="A297" s="92">
        <f t="shared" si="35"/>
        <v>0</v>
      </c>
      <c r="B297" s="92" t="e">
        <f>VLOOKUP(A297,[1]Hoja3!$C$3:$D$14,2,FALSE)</f>
        <v>#N/A</v>
      </c>
      <c r="C297" s="93"/>
      <c r="D297" s="101"/>
      <c r="E297" s="94"/>
      <c r="F297" s="95"/>
      <c r="G297" s="96"/>
      <c r="H297" s="96" t="b">
        <f t="shared" si="40"/>
        <v>0</v>
      </c>
      <c r="I297" s="247" t="e">
        <f t="shared" si="36"/>
        <v>#N/A</v>
      </c>
      <c r="J297" s="97">
        <v>0</v>
      </c>
      <c r="K297" s="98">
        <v>0</v>
      </c>
      <c r="L297" s="98"/>
      <c r="M297" s="98"/>
      <c r="N297" s="98">
        <f t="shared" si="37"/>
        <v>0</v>
      </c>
      <c r="O297" s="240" t="b">
        <f t="shared" si="38"/>
        <v>0</v>
      </c>
      <c r="P297" s="240" t="b">
        <f t="shared" si="39"/>
        <v>0</v>
      </c>
    </row>
    <row r="298" spans="1:16" x14ac:dyDescent="0.35">
      <c r="A298" s="92">
        <f t="shared" ref="A298:A361" si="41">IF(D298&gt;0,MONTH(D298),0)</f>
        <v>0</v>
      </c>
      <c r="B298" s="92" t="e">
        <f>VLOOKUP(A298,[1]Hoja3!$C$3:$D$14,2,FALSE)</f>
        <v>#N/A</v>
      </c>
      <c r="C298" s="93"/>
      <c r="D298" s="101"/>
      <c r="E298" s="94"/>
      <c r="F298" s="95"/>
      <c r="G298" s="96"/>
      <c r="H298" s="96" t="b">
        <f t="shared" si="40"/>
        <v>0</v>
      </c>
      <c r="I298" s="247" t="e">
        <f t="shared" ref="I298:I361" si="42">+B298</f>
        <v>#N/A</v>
      </c>
      <c r="J298" s="97">
        <v>0</v>
      </c>
      <c r="K298" s="98">
        <v>0</v>
      </c>
      <c r="L298" s="98"/>
      <c r="M298" s="98"/>
      <c r="N298" s="98">
        <f t="shared" ref="N298:N361" si="43">+J298+K298-L298-M298</f>
        <v>0</v>
      </c>
      <c r="O298" s="240" t="b">
        <f t="shared" si="38"/>
        <v>0</v>
      </c>
      <c r="P298" s="240" t="b">
        <f t="shared" si="39"/>
        <v>0</v>
      </c>
    </row>
    <row r="299" spans="1:16" x14ac:dyDescent="0.35">
      <c r="A299" s="92">
        <f t="shared" si="41"/>
        <v>0</v>
      </c>
      <c r="B299" s="92" t="e">
        <f>VLOOKUP(A299,[1]Hoja3!$C$3:$D$14,2,FALSE)</f>
        <v>#N/A</v>
      </c>
      <c r="C299" s="93"/>
      <c r="D299" s="101"/>
      <c r="E299" s="94"/>
      <c r="F299" s="95"/>
      <c r="G299" s="96"/>
      <c r="H299" s="96" t="b">
        <f t="shared" si="40"/>
        <v>0</v>
      </c>
      <c r="I299" s="247" t="e">
        <f t="shared" si="42"/>
        <v>#N/A</v>
      </c>
      <c r="J299" s="97">
        <v>0</v>
      </c>
      <c r="K299" s="98">
        <v>0</v>
      </c>
      <c r="L299" s="98"/>
      <c r="M299" s="98"/>
      <c r="N299" s="98">
        <f t="shared" si="43"/>
        <v>0</v>
      </c>
      <c r="O299" s="240" t="b">
        <f t="shared" si="38"/>
        <v>0</v>
      </c>
      <c r="P299" s="240" t="b">
        <f t="shared" si="39"/>
        <v>0</v>
      </c>
    </row>
    <row r="300" spans="1:16" x14ac:dyDescent="0.35">
      <c r="A300" s="92">
        <f t="shared" si="41"/>
        <v>0</v>
      </c>
      <c r="B300" s="92" t="e">
        <f>VLOOKUP(A300,[1]Hoja3!$C$3:$D$14,2,FALSE)</f>
        <v>#N/A</v>
      </c>
      <c r="C300" s="93"/>
      <c r="D300" s="101"/>
      <c r="E300" s="94"/>
      <c r="F300" s="95"/>
      <c r="G300" s="96"/>
      <c r="H300" s="96" t="b">
        <f t="shared" si="40"/>
        <v>0</v>
      </c>
      <c r="I300" s="247" t="e">
        <f t="shared" si="42"/>
        <v>#N/A</v>
      </c>
      <c r="J300" s="97">
        <v>0</v>
      </c>
      <c r="K300" s="98">
        <v>0</v>
      </c>
      <c r="L300" s="98"/>
      <c r="M300" s="98"/>
      <c r="N300" s="98">
        <f t="shared" si="43"/>
        <v>0</v>
      </c>
      <c r="O300" s="240" t="b">
        <f t="shared" si="38"/>
        <v>0</v>
      </c>
      <c r="P300" s="240" t="b">
        <f t="shared" si="39"/>
        <v>0</v>
      </c>
    </row>
    <row r="301" spans="1:16" x14ac:dyDescent="0.35">
      <c r="A301" s="92">
        <f t="shared" si="41"/>
        <v>0</v>
      </c>
      <c r="B301" s="92" t="e">
        <f>VLOOKUP(A301,[1]Hoja3!$C$3:$D$14,2,FALSE)</f>
        <v>#N/A</v>
      </c>
      <c r="C301" s="93"/>
      <c r="D301" s="101"/>
      <c r="E301" s="94"/>
      <c r="F301" s="95"/>
      <c r="G301" s="96"/>
      <c r="H301" s="96" t="b">
        <f t="shared" si="40"/>
        <v>0</v>
      </c>
      <c r="I301" s="247" t="e">
        <f t="shared" si="42"/>
        <v>#N/A</v>
      </c>
      <c r="J301" s="97">
        <v>0</v>
      </c>
      <c r="K301" s="98">
        <v>0</v>
      </c>
      <c r="L301" s="98"/>
      <c r="M301" s="98"/>
      <c r="N301" s="98">
        <f t="shared" si="43"/>
        <v>0</v>
      </c>
      <c r="O301" s="240" t="b">
        <f t="shared" si="38"/>
        <v>0</v>
      </c>
      <c r="P301" s="240" t="b">
        <f t="shared" si="39"/>
        <v>0</v>
      </c>
    </row>
    <row r="302" spans="1:16" x14ac:dyDescent="0.35">
      <c r="A302" s="92">
        <f t="shared" si="41"/>
        <v>0</v>
      </c>
      <c r="B302" s="92" t="e">
        <f>VLOOKUP(A302,[1]Hoja3!$C$3:$D$14,2,FALSE)</f>
        <v>#N/A</v>
      </c>
      <c r="C302" s="93"/>
      <c r="D302" s="101"/>
      <c r="E302" s="94"/>
      <c r="F302" s="95"/>
      <c r="G302" s="96"/>
      <c r="H302" s="96" t="b">
        <f t="shared" si="40"/>
        <v>0</v>
      </c>
      <c r="I302" s="247" t="e">
        <f t="shared" si="42"/>
        <v>#N/A</v>
      </c>
      <c r="J302" s="97">
        <v>0</v>
      </c>
      <c r="K302" s="98">
        <v>0</v>
      </c>
      <c r="L302" s="98"/>
      <c r="M302" s="98"/>
      <c r="N302" s="98">
        <f t="shared" si="43"/>
        <v>0</v>
      </c>
      <c r="O302" s="240" t="b">
        <f t="shared" si="38"/>
        <v>0</v>
      </c>
      <c r="P302" s="240" t="b">
        <f t="shared" si="39"/>
        <v>0</v>
      </c>
    </row>
    <row r="303" spans="1:16" x14ac:dyDescent="0.35">
      <c r="A303" s="92">
        <f t="shared" si="41"/>
        <v>0</v>
      </c>
      <c r="B303" s="92" t="e">
        <f>VLOOKUP(A303,[1]Hoja3!$C$3:$D$14,2,FALSE)</f>
        <v>#N/A</v>
      </c>
      <c r="C303" s="93"/>
      <c r="D303" s="101"/>
      <c r="E303" s="94"/>
      <c r="F303" s="95"/>
      <c r="G303" s="96"/>
      <c r="H303" s="96" t="b">
        <f t="shared" si="40"/>
        <v>0</v>
      </c>
      <c r="I303" s="247" t="e">
        <f t="shared" si="42"/>
        <v>#N/A</v>
      </c>
      <c r="J303" s="97">
        <v>0</v>
      </c>
      <c r="K303" s="98">
        <v>0</v>
      </c>
      <c r="L303" s="98"/>
      <c r="M303" s="98"/>
      <c r="N303" s="98">
        <f t="shared" si="43"/>
        <v>0</v>
      </c>
      <c r="O303" s="240" t="b">
        <f t="shared" si="38"/>
        <v>0</v>
      </c>
      <c r="P303" s="240" t="b">
        <f t="shared" si="39"/>
        <v>0</v>
      </c>
    </row>
    <row r="304" spans="1:16" x14ac:dyDescent="0.35">
      <c r="A304" s="92">
        <f t="shared" si="41"/>
        <v>0</v>
      </c>
      <c r="B304" s="92" t="e">
        <f>VLOOKUP(A304,[1]Hoja3!$C$3:$D$14,2,FALSE)</f>
        <v>#N/A</v>
      </c>
      <c r="C304" s="93"/>
      <c r="D304" s="101"/>
      <c r="E304" s="94"/>
      <c r="F304" s="95"/>
      <c r="G304" s="96"/>
      <c r="H304" s="96" t="b">
        <f t="shared" si="40"/>
        <v>0</v>
      </c>
      <c r="I304" s="247" t="e">
        <f t="shared" si="42"/>
        <v>#N/A</v>
      </c>
      <c r="J304" s="97">
        <v>0</v>
      </c>
      <c r="K304" s="98">
        <v>0</v>
      </c>
      <c r="L304" s="98"/>
      <c r="M304" s="98"/>
      <c r="N304" s="98">
        <f t="shared" si="43"/>
        <v>0</v>
      </c>
      <c r="O304" s="240" t="b">
        <f t="shared" si="38"/>
        <v>0</v>
      </c>
      <c r="P304" s="240" t="b">
        <f t="shared" si="39"/>
        <v>0</v>
      </c>
    </row>
    <row r="305" spans="1:16" x14ac:dyDescent="0.35">
      <c r="A305" s="92">
        <f t="shared" si="41"/>
        <v>0</v>
      </c>
      <c r="B305" s="92" t="e">
        <f>VLOOKUP(A305,[1]Hoja3!$C$3:$D$14,2,FALSE)</f>
        <v>#N/A</v>
      </c>
      <c r="C305" s="93"/>
      <c r="D305" s="101"/>
      <c r="E305" s="94"/>
      <c r="F305" s="95"/>
      <c r="G305" s="96"/>
      <c r="H305" s="96" t="b">
        <f t="shared" si="40"/>
        <v>0</v>
      </c>
      <c r="I305" s="247" t="e">
        <f t="shared" si="42"/>
        <v>#N/A</v>
      </c>
      <c r="J305" s="97">
        <v>0</v>
      </c>
      <c r="K305" s="98">
        <v>0</v>
      </c>
      <c r="L305" s="98"/>
      <c r="M305" s="98"/>
      <c r="N305" s="98">
        <f t="shared" si="43"/>
        <v>0</v>
      </c>
      <c r="O305" s="240" t="b">
        <f t="shared" si="38"/>
        <v>0</v>
      </c>
      <c r="P305" s="240" t="b">
        <f t="shared" si="39"/>
        <v>0</v>
      </c>
    </row>
    <row r="306" spans="1:16" x14ac:dyDescent="0.35">
      <c r="A306" s="92">
        <f t="shared" si="41"/>
        <v>0</v>
      </c>
      <c r="B306" s="92" t="e">
        <f>VLOOKUP(A306,[1]Hoja3!$C$3:$D$14,2,FALSE)</f>
        <v>#N/A</v>
      </c>
      <c r="C306" s="93"/>
      <c r="D306" s="101"/>
      <c r="E306" s="94"/>
      <c r="F306" s="95"/>
      <c r="G306" s="96"/>
      <c r="H306" s="96" t="b">
        <f t="shared" si="40"/>
        <v>0</v>
      </c>
      <c r="I306" s="247" t="e">
        <f t="shared" si="42"/>
        <v>#N/A</v>
      </c>
      <c r="J306" s="97">
        <v>0</v>
      </c>
      <c r="K306" s="98">
        <v>0</v>
      </c>
      <c r="L306" s="98"/>
      <c r="M306" s="98"/>
      <c r="N306" s="98">
        <f t="shared" si="43"/>
        <v>0</v>
      </c>
      <c r="O306" s="240" t="b">
        <f t="shared" si="38"/>
        <v>0</v>
      </c>
      <c r="P306" s="240" t="b">
        <f t="shared" si="39"/>
        <v>0</v>
      </c>
    </row>
    <row r="307" spans="1:16" x14ac:dyDescent="0.35">
      <c r="A307" s="92">
        <f t="shared" si="41"/>
        <v>0</v>
      </c>
      <c r="B307" s="92" t="e">
        <f>VLOOKUP(A307,[1]Hoja3!$C$3:$D$14,2,FALSE)</f>
        <v>#N/A</v>
      </c>
      <c r="C307" s="93"/>
      <c r="D307" s="101"/>
      <c r="E307" s="94"/>
      <c r="F307" s="95"/>
      <c r="G307" s="96"/>
      <c r="H307" s="96" t="b">
        <f t="shared" si="40"/>
        <v>0</v>
      </c>
      <c r="I307" s="247" t="e">
        <f t="shared" si="42"/>
        <v>#N/A</v>
      </c>
      <c r="J307" s="97">
        <v>0</v>
      </c>
      <c r="K307" s="98">
        <v>0</v>
      </c>
      <c r="L307" s="98"/>
      <c r="M307" s="98"/>
      <c r="N307" s="98">
        <f t="shared" si="43"/>
        <v>0</v>
      </c>
      <c r="O307" s="240" t="b">
        <f t="shared" si="38"/>
        <v>0</v>
      </c>
      <c r="P307" s="240" t="b">
        <f t="shared" si="39"/>
        <v>0</v>
      </c>
    </row>
    <row r="308" spans="1:16" x14ac:dyDescent="0.35">
      <c r="A308" s="92">
        <f t="shared" si="41"/>
        <v>0</v>
      </c>
      <c r="B308" s="92" t="e">
        <f>VLOOKUP(A308,[1]Hoja3!$C$3:$D$14,2,FALSE)</f>
        <v>#N/A</v>
      </c>
      <c r="C308" s="93"/>
      <c r="D308" s="101"/>
      <c r="E308" s="94"/>
      <c r="F308" s="95"/>
      <c r="G308" s="96"/>
      <c r="H308" s="96" t="b">
        <f t="shared" si="40"/>
        <v>0</v>
      </c>
      <c r="I308" s="247" t="e">
        <f t="shared" si="42"/>
        <v>#N/A</v>
      </c>
      <c r="J308" s="97">
        <v>0</v>
      </c>
      <c r="K308" s="98">
        <v>0</v>
      </c>
      <c r="L308" s="98"/>
      <c r="M308" s="98"/>
      <c r="N308" s="98">
        <f t="shared" si="43"/>
        <v>0</v>
      </c>
      <c r="O308" s="240" t="b">
        <f t="shared" si="38"/>
        <v>0</v>
      </c>
      <c r="P308" s="240" t="b">
        <f t="shared" si="39"/>
        <v>0</v>
      </c>
    </row>
    <row r="309" spans="1:16" x14ac:dyDescent="0.35">
      <c r="A309" s="92">
        <f t="shared" si="41"/>
        <v>0</v>
      </c>
      <c r="B309" s="92" t="e">
        <f>VLOOKUP(A309,[1]Hoja3!$C$3:$D$14,2,FALSE)</f>
        <v>#N/A</v>
      </c>
      <c r="C309" s="93"/>
      <c r="D309" s="101"/>
      <c r="E309" s="94"/>
      <c r="F309" s="95"/>
      <c r="G309" s="96"/>
      <c r="H309" s="96" t="b">
        <f t="shared" si="40"/>
        <v>0</v>
      </c>
      <c r="I309" s="247" t="e">
        <f t="shared" si="42"/>
        <v>#N/A</v>
      </c>
      <c r="J309" s="97">
        <v>0</v>
      </c>
      <c r="K309" s="98">
        <v>0</v>
      </c>
      <c r="L309" s="98"/>
      <c r="M309" s="98"/>
      <c r="N309" s="98">
        <f t="shared" si="43"/>
        <v>0</v>
      </c>
      <c r="O309" s="240" t="b">
        <f t="shared" si="38"/>
        <v>0</v>
      </c>
      <c r="P309" s="240" t="b">
        <f t="shared" si="39"/>
        <v>0</v>
      </c>
    </row>
    <row r="310" spans="1:16" x14ac:dyDescent="0.35">
      <c r="A310" s="92">
        <f t="shared" si="41"/>
        <v>0</v>
      </c>
      <c r="B310" s="92" t="e">
        <f>VLOOKUP(A310,[1]Hoja3!$C$3:$D$14,2,FALSE)</f>
        <v>#N/A</v>
      </c>
      <c r="C310" s="93"/>
      <c r="D310" s="101"/>
      <c r="E310" s="94"/>
      <c r="F310" s="95"/>
      <c r="G310" s="96"/>
      <c r="H310" s="96" t="b">
        <f t="shared" si="40"/>
        <v>0</v>
      </c>
      <c r="I310" s="247" t="e">
        <f t="shared" si="42"/>
        <v>#N/A</v>
      </c>
      <c r="J310" s="97">
        <v>0</v>
      </c>
      <c r="K310" s="98">
        <v>0</v>
      </c>
      <c r="L310" s="98"/>
      <c r="M310" s="98"/>
      <c r="N310" s="98">
        <f t="shared" si="43"/>
        <v>0</v>
      </c>
      <c r="O310" s="240" t="b">
        <f t="shared" si="38"/>
        <v>0</v>
      </c>
      <c r="P310" s="240" t="b">
        <f t="shared" si="39"/>
        <v>0</v>
      </c>
    </row>
    <row r="311" spans="1:16" x14ac:dyDescent="0.35">
      <c r="A311" s="92">
        <f t="shared" si="41"/>
        <v>0</v>
      </c>
      <c r="B311" s="92" t="e">
        <f>VLOOKUP(A311,[1]Hoja3!$C$3:$D$14,2,FALSE)</f>
        <v>#N/A</v>
      </c>
      <c r="C311" s="93"/>
      <c r="D311" s="101"/>
      <c r="E311" s="94"/>
      <c r="F311" s="95"/>
      <c r="G311" s="96"/>
      <c r="H311" s="96" t="b">
        <f t="shared" si="40"/>
        <v>0</v>
      </c>
      <c r="I311" s="247" t="e">
        <f t="shared" si="42"/>
        <v>#N/A</v>
      </c>
      <c r="J311" s="97">
        <v>0</v>
      </c>
      <c r="K311" s="98">
        <v>0</v>
      </c>
      <c r="L311" s="98"/>
      <c r="M311" s="98"/>
      <c r="N311" s="98">
        <f t="shared" si="43"/>
        <v>0</v>
      </c>
      <c r="O311" s="240" t="b">
        <f t="shared" si="38"/>
        <v>0</v>
      </c>
      <c r="P311" s="240" t="b">
        <f t="shared" si="39"/>
        <v>0</v>
      </c>
    </row>
    <row r="312" spans="1:16" x14ac:dyDescent="0.35">
      <c r="A312" s="92">
        <f t="shared" si="41"/>
        <v>0</v>
      </c>
      <c r="B312" s="92" t="e">
        <f>VLOOKUP(A312,[1]Hoja3!$C$3:$D$14,2,FALSE)</f>
        <v>#N/A</v>
      </c>
      <c r="C312" s="93"/>
      <c r="D312" s="101"/>
      <c r="E312" s="94"/>
      <c r="F312" s="95"/>
      <c r="G312" s="96"/>
      <c r="H312" s="96" t="b">
        <f t="shared" si="40"/>
        <v>0</v>
      </c>
      <c r="I312" s="247" t="e">
        <f t="shared" si="42"/>
        <v>#N/A</v>
      </c>
      <c r="J312" s="97">
        <v>0</v>
      </c>
      <c r="K312" s="98">
        <v>0</v>
      </c>
      <c r="L312" s="98"/>
      <c r="M312" s="98"/>
      <c r="N312" s="98">
        <f t="shared" si="43"/>
        <v>0</v>
      </c>
      <c r="O312" s="240" t="b">
        <f t="shared" si="38"/>
        <v>0</v>
      </c>
      <c r="P312" s="240" t="b">
        <f t="shared" si="39"/>
        <v>0</v>
      </c>
    </row>
    <row r="313" spans="1:16" x14ac:dyDescent="0.35">
      <c r="A313" s="92">
        <f t="shared" si="41"/>
        <v>0</v>
      </c>
      <c r="B313" s="92" t="e">
        <f>VLOOKUP(A313,[1]Hoja3!$C$3:$D$14,2,FALSE)</f>
        <v>#N/A</v>
      </c>
      <c r="C313" s="93"/>
      <c r="D313" s="101"/>
      <c r="E313" s="94"/>
      <c r="F313" s="95"/>
      <c r="G313" s="96"/>
      <c r="H313" s="96" t="b">
        <f t="shared" si="40"/>
        <v>0</v>
      </c>
      <c r="I313" s="247" t="e">
        <f t="shared" si="42"/>
        <v>#N/A</v>
      </c>
      <c r="J313" s="97">
        <v>0</v>
      </c>
      <c r="K313" s="98">
        <v>0</v>
      </c>
      <c r="L313" s="98"/>
      <c r="M313" s="98"/>
      <c r="N313" s="98">
        <f t="shared" si="43"/>
        <v>0</v>
      </c>
      <c r="O313" s="240" t="b">
        <f t="shared" si="38"/>
        <v>0</v>
      </c>
      <c r="P313" s="240" t="b">
        <f t="shared" si="39"/>
        <v>0</v>
      </c>
    </row>
    <row r="314" spans="1:16" x14ac:dyDescent="0.35">
      <c r="A314" s="92">
        <f t="shared" si="41"/>
        <v>0</v>
      </c>
      <c r="B314" s="92" t="e">
        <f>VLOOKUP(A314,[1]Hoja3!$C$3:$D$14,2,FALSE)</f>
        <v>#N/A</v>
      </c>
      <c r="C314" s="93"/>
      <c r="D314" s="101"/>
      <c r="E314" s="94"/>
      <c r="F314" s="95"/>
      <c r="G314" s="96"/>
      <c r="H314" s="96" t="b">
        <f t="shared" si="40"/>
        <v>0</v>
      </c>
      <c r="I314" s="247" t="e">
        <f t="shared" si="42"/>
        <v>#N/A</v>
      </c>
      <c r="J314" s="97">
        <v>0</v>
      </c>
      <c r="K314" s="98">
        <v>0</v>
      </c>
      <c r="L314" s="98"/>
      <c r="M314" s="98"/>
      <c r="N314" s="98">
        <f t="shared" si="43"/>
        <v>0</v>
      </c>
      <c r="O314" s="240" t="b">
        <f t="shared" si="38"/>
        <v>0</v>
      </c>
      <c r="P314" s="240" t="b">
        <f t="shared" si="39"/>
        <v>0</v>
      </c>
    </row>
    <row r="315" spans="1:16" x14ac:dyDescent="0.35">
      <c r="A315" s="92">
        <f t="shared" si="41"/>
        <v>0</v>
      </c>
      <c r="B315" s="92" t="e">
        <f>VLOOKUP(A315,[1]Hoja3!$C$3:$D$14,2,FALSE)</f>
        <v>#N/A</v>
      </c>
      <c r="C315" s="93"/>
      <c r="D315" s="101"/>
      <c r="E315" s="94"/>
      <c r="F315" s="95"/>
      <c r="G315" s="96"/>
      <c r="H315" s="96" t="b">
        <f t="shared" si="40"/>
        <v>0</v>
      </c>
      <c r="I315" s="247" t="e">
        <f t="shared" si="42"/>
        <v>#N/A</v>
      </c>
      <c r="J315" s="97">
        <v>0</v>
      </c>
      <c r="K315" s="98">
        <v>0</v>
      </c>
      <c r="L315" s="98"/>
      <c r="M315" s="98"/>
      <c r="N315" s="98">
        <f t="shared" si="43"/>
        <v>0</v>
      </c>
      <c r="O315" s="240" t="b">
        <f t="shared" si="38"/>
        <v>0</v>
      </c>
      <c r="P315" s="240" t="b">
        <f t="shared" si="39"/>
        <v>0</v>
      </c>
    </row>
    <row r="316" spans="1:16" x14ac:dyDescent="0.35">
      <c r="A316" s="92">
        <f t="shared" si="41"/>
        <v>0</v>
      </c>
      <c r="B316" s="92" t="e">
        <f>VLOOKUP(A316,[1]Hoja3!$C$3:$D$14,2,FALSE)</f>
        <v>#N/A</v>
      </c>
      <c r="C316" s="93"/>
      <c r="D316" s="101"/>
      <c r="E316" s="94"/>
      <c r="F316" s="95"/>
      <c r="G316" s="96"/>
      <c r="H316" s="96" t="b">
        <f t="shared" si="40"/>
        <v>0</v>
      </c>
      <c r="I316" s="247" t="e">
        <f t="shared" si="42"/>
        <v>#N/A</v>
      </c>
      <c r="J316" s="97">
        <v>0</v>
      </c>
      <c r="K316" s="98">
        <v>0</v>
      </c>
      <c r="L316" s="98"/>
      <c r="M316" s="98"/>
      <c r="N316" s="98">
        <f t="shared" si="43"/>
        <v>0</v>
      </c>
      <c r="O316" s="240" t="b">
        <f t="shared" si="38"/>
        <v>0</v>
      </c>
      <c r="P316" s="240" t="b">
        <f t="shared" si="39"/>
        <v>0</v>
      </c>
    </row>
    <row r="317" spans="1:16" x14ac:dyDescent="0.35">
      <c r="A317" s="92">
        <f t="shared" si="41"/>
        <v>0</v>
      </c>
      <c r="B317" s="92" t="e">
        <f>VLOOKUP(A317,[1]Hoja3!$C$3:$D$14,2,FALSE)</f>
        <v>#N/A</v>
      </c>
      <c r="C317" s="93"/>
      <c r="D317" s="101"/>
      <c r="E317" s="94"/>
      <c r="F317" s="95"/>
      <c r="G317" s="96"/>
      <c r="H317" s="96" t="b">
        <f t="shared" si="40"/>
        <v>0</v>
      </c>
      <c r="I317" s="247" t="e">
        <f t="shared" si="42"/>
        <v>#N/A</v>
      </c>
      <c r="J317" s="97">
        <v>0</v>
      </c>
      <c r="K317" s="98">
        <v>0</v>
      </c>
      <c r="L317" s="98"/>
      <c r="M317" s="98"/>
      <c r="N317" s="98">
        <f t="shared" si="43"/>
        <v>0</v>
      </c>
      <c r="O317" s="240" t="b">
        <f t="shared" ref="O317:O380" si="44">IF(G317="EFREN ABUNDEZ REYNA","37295",IF(G317="LUIS ALEJANDRO HERNANDEZ REYNA","HERL850705AL2",IF(G317="ANA BEATRIZ ESTRADA ARGOTE","37530",IF(G317="SERGIO ROMERO DURAN","RODS620908QAA",IF(G317="MARIELA OLMOS GAONA","37675",IF(G317="LUCIANO MIJAIL ORTEGA MUÑOZ","37297",IF(G317="GUSTAVO HUMBERTO VELAZCO GALVAN","VEGG9211019T1",IF(G317="JESUS AGUSTIN VELAZQUEZ FLORES","VEFJ900303M65",IF(G317="KARLA ESTEFANIA SALAZAR FLORES","SAFK9807277N1",IF(G317="ANGEL TERRAZAS MONROY","TEMA7105035N4"))))))))))</f>
        <v>0</v>
      </c>
      <c r="P317" s="240" t="b">
        <f t="shared" ref="P317:P380" si="45">IF(G317="EFREN ABUNDEZ REYNA","PFAEP",IF(G317="LUIS ALEJANDRO HERNANDEZ REYNA","HERL850705AL2",IF(G317="ANA BEATRIZ ESTRADA ARGOTE","RIF",IF(G317="SERGIO ROMERO DURAN","RODS620908QAA",IF(G317="MARIELA OLMOS GAONA","RESICO",IF(G317="LUCIANO MIJAIL ORTEGA MUÑOZ","RIF",IF(G317="GUSTAVO HUMBERTO VELAZCO GALVAN","VEGG9211019T1",IF(G317="JESUS AGUSTIN VELAZQUEZ FLORES","VEFJ900303M65",IF(G317="KARLA ESTEFANIA SALAZAR FLORES","SAFK9807277N1",IF(G317="ANGEL TERRAZAS MONROY","TEMA7105035N4"))))))))))</f>
        <v>0</v>
      </c>
    </row>
    <row r="318" spans="1:16" x14ac:dyDescent="0.35">
      <c r="A318" s="92">
        <f t="shared" si="41"/>
        <v>0</v>
      </c>
      <c r="B318" s="92" t="e">
        <f>VLOOKUP(A318,[1]Hoja3!$C$3:$D$14,2,FALSE)</f>
        <v>#N/A</v>
      </c>
      <c r="C318" s="93"/>
      <c r="D318" s="101"/>
      <c r="E318" s="94"/>
      <c r="F318" s="95"/>
      <c r="G318" s="96"/>
      <c r="H318" s="96" t="b">
        <f t="shared" si="40"/>
        <v>0</v>
      </c>
      <c r="I318" s="247" t="e">
        <f t="shared" si="42"/>
        <v>#N/A</v>
      </c>
      <c r="J318" s="97">
        <v>0</v>
      </c>
      <c r="K318" s="98">
        <v>0</v>
      </c>
      <c r="L318" s="98"/>
      <c r="M318" s="98"/>
      <c r="N318" s="98">
        <f t="shared" si="43"/>
        <v>0</v>
      </c>
      <c r="O318" s="240" t="b">
        <f t="shared" si="44"/>
        <v>0</v>
      </c>
      <c r="P318" s="240" t="b">
        <f t="shared" si="45"/>
        <v>0</v>
      </c>
    </row>
    <row r="319" spans="1:16" x14ac:dyDescent="0.35">
      <c r="A319" s="92">
        <f t="shared" si="41"/>
        <v>0</v>
      </c>
      <c r="B319" s="92" t="e">
        <f>VLOOKUP(A319,[1]Hoja3!$C$3:$D$14,2,FALSE)</f>
        <v>#N/A</v>
      </c>
      <c r="C319" s="93"/>
      <c r="D319" s="101"/>
      <c r="E319" s="94"/>
      <c r="F319" s="95"/>
      <c r="G319" s="96"/>
      <c r="H319" s="96" t="b">
        <f t="shared" si="40"/>
        <v>0</v>
      </c>
      <c r="I319" s="247" t="e">
        <f t="shared" si="42"/>
        <v>#N/A</v>
      </c>
      <c r="J319" s="97">
        <v>0</v>
      </c>
      <c r="K319" s="98">
        <v>0</v>
      </c>
      <c r="L319" s="98"/>
      <c r="M319" s="98"/>
      <c r="N319" s="98">
        <f t="shared" si="43"/>
        <v>0</v>
      </c>
      <c r="O319" s="240" t="b">
        <f t="shared" si="44"/>
        <v>0</v>
      </c>
      <c r="P319" s="240" t="b">
        <f t="shared" si="45"/>
        <v>0</v>
      </c>
    </row>
    <row r="320" spans="1:16" x14ac:dyDescent="0.35">
      <c r="A320" s="92">
        <f t="shared" si="41"/>
        <v>0</v>
      </c>
      <c r="B320" s="92" t="e">
        <f>VLOOKUP(A320,[1]Hoja3!$C$3:$D$14,2,FALSE)</f>
        <v>#N/A</v>
      </c>
      <c r="C320" s="93"/>
      <c r="D320" s="101"/>
      <c r="E320" s="94"/>
      <c r="F320" s="95"/>
      <c r="G320" s="96"/>
      <c r="H320" s="96" t="b">
        <f t="shared" si="40"/>
        <v>0</v>
      </c>
      <c r="I320" s="247" t="e">
        <f t="shared" si="42"/>
        <v>#N/A</v>
      </c>
      <c r="J320" s="97">
        <v>0</v>
      </c>
      <c r="K320" s="98">
        <v>0</v>
      </c>
      <c r="L320" s="98"/>
      <c r="M320" s="98"/>
      <c r="N320" s="98">
        <f t="shared" si="43"/>
        <v>0</v>
      </c>
      <c r="O320" s="240" t="b">
        <f t="shared" si="44"/>
        <v>0</v>
      </c>
      <c r="P320" s="240" t="b">
        <f t="shared" si="45"/>
        <v>0</v>
      </c>
    </row>
    <row r="321" spans="1:16" x14ac:dyDescent="0.35">
      <c r="A321" s="92">
        <f t="shared" si="41"/>
        <v>0</v>
      </c>
      <c r="B321" s="92" t="e">
        <f>VLOOKUP(A321,[1]Hoja3!$C$3:$D$14,2,FALSE)</f>
        <v>#N/A</v>
      </c>
      <c r="C321" s="93"/>
      <c r="D321" s="101"/>
      <c r="E321" s="94"/>
      <c r="F321" s="95"/>
      <c r="G321" s="96"/>
      <c r="H321" s="96" t="b">
        <f t="shared" si="40"/>
        <v>0</v>
      </c>
      <c r="I321" s="247" t="e">
        <f t="shared" si="42"/>
        <v>#N/A</v>
      </c>
      <c r="J321" s="97">
        <v>0</v>
      </c>
      <c r="K321" s="98">
        <v>0</v>
      </c>
      <c r="L321" s="98"/>
      <c r="M321" s="98"/>
      <c r="N321" s="98">
        <f t="shared" si="43"/>
        <v>0</v>
      </c>
      <c r="O321" s="240" t="b">
        <f t="shared" si="44"/>
        <v>0</v>
      </c>
      <c r="P321" s="240" t="b">
        <f t="shared" si="45"/>
        <v>0</v>
      </c>
    </row>
    <row r="322" spans="1:16" x14ac:dyDescent="0.35">
      <c r="A322" s="92">
        <f t="shared" si="41"/>
        <v>0</v>
      </c>
      <c r="B322" s="92" t="e">
        <f>VLOOKUP(A322,[1]Hoja3!$C$3:$D$14,2,FALSE)</f>
        <v>#N/A</v>
      </c>
      <c r="C322" s="93"/>
      <c r="D322" s="101"/>
      <c r="E322" s="94"/>
      <c r="F322" s="95"/>
      <c r="G322" s="96"/>
      <c r="H322" s="96" t="b">
        <f t="shared" si="40"/>
        <v>0</v>
      </c>
      <c r="I322" s="247" t="e">
        <f t="shared" si="42"/>
        <v>#N/A</v>
      </c>
      <c r="J322" s="97">
        <v>0</v>
      </c>
      <c r="K322" s="98">
        <v>0</v>
      </c>
      <c r="L322" s="98"/>
      <c r="M322" s="98"/>
      <c r="N322" s="98">
        <f t="shared" si="43"/>
        <v>0</v>
      </c>
      <c r="O322" s="240" t="b">
        <f t="shared" si="44"/>
        <v>0</v>
      </c>
      <c r="P322" s="240" t="b">
        <f t="shared" si="45"/>
        <v>0</v>
      </c>
    </row>
    <row r="323" spans="1:16" x14ac:dyDescent="0.35">
      <c r="A323" s="92">
        <f t="shared" si="41"/>
        <v>0</v>
      </c>
      <c r="B323" s="92" t="e">
        <f>VLOOKUP(A323,[1]Hoja3!$C$3:$D$14,2,FALSE)</f>
        <v>#N/A</v>
      </c>
      <c r="C323" s="93"/>
      <c r="D323" s="101"/>
      <c r="E323" s="94"/>
      <c r="F323" s="95"/>
      <c r="G323" s="96"/>
      <c r="H323" s="96" t="b">
        <f t="shared" si="40"/>
        <v>0</v>
      </c>
      <c r="I323" s="247" t="e">
        <f t="shared" si="42"/>
        <v>#N/A</v>
      </c>
      <c r="J323" s="97">
        <v>0</v>
      </c>
      <c r="K323" s="98">
        <v>0</v>
      </c>
      <c r="L323" s="98"/>
      <c r="M323" s="98"/>
      <c r="N323" s="98">
        <f t="shared" si="43"/>
        <v>0</v>
      </c>
      <c r="O323" s="240" t="b">
        <f t="shared" si="44"/>
        <v>0</v>
      </c>
      <c r="P323" s="240" t="b">
        <f t="shared" si="45"/>
        <v>0</v>
      </c>
    </row>
    <row r="324" spans="1:16" x14ac:dyDescent="0.35">
      <c r="A324" s="92">
        <f t="shared" si="41"/>
        <v>0</v>
      </c>
      <c r="B324" s="92" t="e">
        <f>VLOOKUP(A324,[1]Hoja3!$C$3:$D$14,2,FALSE)</f>
        <v>#N/A</v>
      </c>
      <c r="C324" s="93"/>
      <c r="D324" s="101"/>
      <c r="E324" s="94"/>
      <c r="F324" s="95"/>
      <c r="G324" s="96"/>
      <c r="H324" s="96" t="b">
        <f t="shared" si="40"/>
        <v>0</v>
      </c>
      <c r="I324" s="247" t="e">
        <f t="shared" si="42"/>
        <v>#N/A</v>
      </c>
      <c r="J324" s="97">
        <v>0</v>
      </c>
      <c r="K324" s="98">
        <v>0</v>
      </c>
      <c r="L324" s="98"/>
      <c r="M324" s="98"/>
      <c r="N324" s="98">
        <f t="shared" si="43"/>
        <v>0</v>
      </c>
      <c r="O324" s="240" t="b">
        <f t="shared" si="44"/>
        <v>0</v>
      </c>
      <c r="P324" s="240" t="b">
        <f t="shared" si="45"/>
        <v>0</v>
      </c>
    </row>
    <row r="325" spans="1:16" x14ac:dyDescent="0.35">
      <c r="A325" s="92">
        <f t="shared" si="41"/>
        <v>0</v>
      </c>
      <c r="B325" s="92" t="e">
        <f>VLOOKUP(A325,[1]Hoja3!$C$3:$D$14,2,FALSE)</f>
        <v>#N/A</v>
      </c>
      <c r="C325" s="93"/>
      <c r="D325" s="101"/>
      <c r="E325" s="94"/>
      <c r="F325" s="95"/>
      <c r="G325" s="96"/>
      <c r="H325" s="96" t="b">
        <f t="shared" si="40"/>
        <v>0</v>
      </c>
      <c r="I325" s="247" t="e">
        <f t="shared" si="42"/>
        <v>#N/A</v>
      </c>
      <c r="J325" s="97">
        <v>0</v>
      </c>
      <c r="K325" s="98">
        <v>0</v>
      </c>
      <c r="L325" s="98"/>
      <c r="M325" s="98"/>
      <c r="N325" s="98">
        <f t="shared" si="43"/>
        <v>0</v>
      </c>
      <c r="O325" s="240" t="b">
        <f t="shared" si="44"/>
        <v>0</v>
      </c>
      <c r="P325" s="240" t="b">
        <f t="shared" si="45"/>
        <v>0</v>
      </c>
    </row>
    <row r="326" spans="1:16" x14ac:dyDescent="0.35">
      <c r="A326" s="92">
        <f t="shared" si="41"/>
        <v>0</v>
      </c>
      <c r="B326" s="92" t="e">
        <f>VLOOKUP(A326,[1]Hoja3!$C$3:$D$14,2,FALSE)</f>
        <v>#N/A</v>
      </c>
      <c r="C326" s="93"/>
      <c r="D326" s="101"/>
      <c r="E326" s="94"/>
      <c r="F326" s="95"/>
      <c r="G326" s="96"/>
      <c r="H326" s="96" t="b">
        <f t="shared" si="40"/>
        <v>0</v>
      </c>
      <c r="I326" s="247" t="e">
        <f t="shared" si="42"/>
        <v>#N/A</v>
      </c>
      <c r="J326" s="97">
        <v>0</v>
      </c>
      <c r="K326" s="98">
        <v>0</v>
      </c>
      <c r="L326" s="98"/>
      <c r="M326" s="98"/>
      <c r="N326" s="98">
        <f t="shared" si="43"/>
        <v>0</v>
      </c>
      <c r="O326" s="240" t="b">
        <f t="shared" si="44"/>
        <v>0</v>
      </c>
      <c r="P326" s="240" t="b">
        <f t="shared" si="45"/>
        <v>0</v>
      </c>
    </row>
    <row r="327" spans="1:16" x14ac:dyDescent="0.35">
      <c r="A327" s="92">
        <f t="shared" si="41"/>
        <v>0</v>
      </c>
      <c r="B327" s="92" t="e">
        <f>VLOOKUP(A327,[1]Hoja3!$C$3:$D$14,2,FALSE)</f>
        <v>#N/A</v>
      </c>
      <c r="C327" s="93"/>
      <c r="D327" s="101"/>
      <c r="E327" s="94"/>
      <c r="F327" s="95"/>
      <c r="G327" s="96"/>
      <c r="H327" s="96" t="b">
        <f t="shared" si="40"/>
        <v>0</v>
      </c>
      <c r="I327" s="247" t="e">
        <f t="shared" si="42"/>
        <v>#N/A</v>
      </c>
      <c r="J327" s="97">
        <v>0</v>
      </c>
      <c r="K327" s="98">
        <v>0</v>
      </c>
      <c r="L327" s="98"/>
      <c r="M327" s="98"/>
      <c r="N327" s="98">
        <f t="shared" si="43"/>
        <v>0</v>
      </c>
      <c r="O327" s="240" t="b">
        <f t="shared" si="44"/>
        <v>0</v>
      </c>
      <c r="P327" s="240" t="b">
        <f t="shared" si="45"/>
        <v>0</v>
      </c>
    </row>
    <row r="328" spans="1:16" x14ac:dyDescent="0.35">
      <c r="A328" s="92">
        <f t="shared" si="41"/>
        <v>0</v>
      </c>
      <c r="B328" s="92" t="e">
        <f>VLOOKUP(A328,[1]Hoja3!$C$3:$D$14,2,FALSE)</f>
        <v>#N/A</v>
      </c>
      <c r="C328" s="93"/>
      <c r="D328" s="101"/>
      <c r="E328" s="94"/>
      <c r="F328" s="95"/>
      <c r="G328" s="96"/>
      <c r="H328" s="96" t="b">
        <f t="shared" si="40"/>
        <v>0</v>
      </c>
      <c r="I328" s="247" t="e">
        <f t="shared" si="42"/>
        <v>#N/A</v>
      </c>
      <c r="J328" s="97">
        <v>0</v>
      </c>
      <c r="K328" s="98">
        <v>0</v>
      </c>
      <c r="L328" s="98"/>
      <c r="M328" s="98"/>
      <c r="N328" s="98">
        <f t="shared" si="43"/>
        <v>0</v>
      </c>
      <c r="O328" s="240" t="b">
        <f t="shared" si="44"/>
        <v>0</v>
      </c>
      <c r="P328" s="240" t="b">
        <f t="shared" si="45"/>
        <v>0</v>
      </c>
    </row>
    <row r="329" spans="1:16" x14ac:dyDescent="0.35">
      <c r="A329" s="92">
        <f t="shared" si="41"/>
        <v>0</v>
      </c>
      <c r="B329" s="92" t="e">
        <f>VLOOKUP(A329,[1]Hoja3!$C$3:$D$14,2,FALSE)</f>
        <v>#N/A</v>
      </c>
      <c r="C329" s="93"/>
      <c r="D329" s="101"/>
      <c r="E329" s="94"/>
      <c r="F329" s="95"/>
      <c r="G329" s="96"/>
      <c r="H329" s="96" t="b">
        <f t="shared" si="40"/>
        <v>0</v>
      </c>
      <c r="I329" s="247" t="e">
        <f t="shared" si="42"/>
        <v>#N/A</v>
      </c>
      <c r="J329" s="97">
        <v>0</v>
      </c>
      <c r="K329" s="98">
        <v>0</v>
      </c>
      <c r="L329" s="98"/>
      <c r="M329" s="98"/>
      <c r="N329" s="98">
        <f t="shared" si="43"/>
        <v>0</v>
      </c>
      <c r="O329" s="240" t="b">
        <f t="shared" si="44"/>
        <v>0</v>
      </c>
      <c r="P329" s="240" t="b">
        <f t="shared" si="45"/>
        <v>0</v>
      </c>
    </row>
    <row r="330" spans="1:16" x14ac:dyDescent="0.35">
      <c r="A330" s="92">
        <f t="shared" si="41"/>
        <v>0</v>
      </c>
      <c r="B330" s="92" t="e">
        <f>VLOOKUP(A330,[1]Hoja3!$C$3:$D$14,2,FALSE)</f>
        <v>#N/A</v>
      </c>
      <c r="C330" s="93"/>
      <c r="D330" s="101"/>
      <c r="E330" s="94"/>
      <c r="F330" s="95"/>
      <c r="G330" s="96"/>
      <c r="H330" s="96" t="b">
        <f t="shared" si="40"/>
        <v>0</v>
      </c>
      <c r="I330" s="247" t="e">
        <f t="shared" si="42"/>
        <v>#N/A</v>
      </c>
      <c r="J330" s="97">
        <v>0</v>
      </c>
      <c r="K330" s="98">
        <v>0</v>
      </c>
      <c r="L330" s="98"/>
      <c r="M330" s="98"/>
      <c r="N330" s="98">
        <f t="shared" si="43"/>
        <v>0</v>
      </c>
      <c r="O330" s="240" t="b">
        <f t="shared" si="44"/>
        <v>0</v>
      </c>
      <c r="P330" s="240" t="b">
        <f t="shared" si="45"/>
        <v>0</v>
      </c>
    </row>
    <row r="331" spans="1:16" x14ac:dyDescent="0.35">
      <c r="A331" s="92">
        <f t="shared" si="41"/>
        <v>0</v>
      </c>
      <c r="B331" s="92" t="e">
        <f>VLOOKUP(A331,[1]Hoja3!$C$3:$D$14,2,FALSE)</f>
        <v>#N/A</v>
      </c>
      <c r="C331" s="93"/>
      <c r="D331" s="101"/>
      <c r="E331" s="94"/>
      <c r="F331" s="95"/>
      <c r="G331" s="96"/>
      <c r="H331" s="96" t="b">
        <f t="shared" si="40"/>
        <v>0</v>
      </c>
      <c r="I331" s="247" t="e">
        <f t="shared" si="42"/>
        <v>#N/A</v>
      </c>
      <c r="J331" s="97">
        <v>0</v>
      </c>
      <c r="K331" s="98">
        <v>0</v>
      </c>
      <c r="L331" s="98"/>
      <c r="M331" s="98"/>
      <c r="N331" s="98">
        <f t="shared" si="43"/>
        <v>0</v>
      </c>
      <c r="O331" s="240" t="b">
        <f t="shared" si="44"/>
        <v>0</v>
      </c>
      <c r="P331" s="240" t="b">
        <f t="shared" si="45"/>
        <v>0</v>
      </c>
    </row>
    <row r="332" spans="1:16" x14ac:dyDescent="0.35">
      <c r="A332" s="92">
        <f t="shared" si="41"/>
        <v>0</v>
      </c>
      <c r="B332" s="92" t="e">
        <f>VLOOKUP(A332,[1]Hoja3!$C$3:$D$14,2,FALSE)</f>
        <v>#N/A</v>
      </c>
      <c r="C332" s="93"/>
      <c r="D332" s="101"/>
      <c r="E332" s="94"/>
      <c r="F332" s="95"/>
      <c r="G332" s="96"/>
      <c r="H332" s="96" t="b">
        <f t="shared" si="40"/>
        <v>0</v>
      </c>
      <c r="I332" s="247" t="e">
        <f t="shared" si="42"/>
        <v>#N/A</v>
      </c>
      <c r="J332" s="97">
        <v>0</v>
      </c>
      <c r="K332" s="98">
        <v>0</v>
      </c>
      <c r="L332" s="98"/>
      <c r="M332" s="98"/>
      <c r="N332" s="98">
        <f t="shared" si="43"/>
        <v>0</v>
      </c>
      <c r="O332" s="240" t="b">
        <f t="shared" si="44"/>
        <v>0</v>
      </c>
      <c r="P332" s="240" t="b">
        <f t="shared" si="45"/>
        <v>0</v>
      </c>
    </row>
    <row r="333" spans="1:16" x14ac:dyDescent="0.35">
      <c r="A333" s="92">
        <f t="shared" si="41"/>
        <v>0</v>
      </c>
      <c r="B333" s="92" t="e">
        <f>VLOOKUP(A333,[1]Hoja3!$C$3:$D$14,2,FALSE)</f>
        <v>#N/A</v>
      </c>
      <c r="C333" s="93"/>
      <c r="D333" s="101"/>
      <c r="E333" s="94"/>
      <c r="F333" s="95"/>
      <c r="G333" s="96"/>
      <c r="H333" s="96" t="b">
        <f t="shared" si="40"/>
        <v>0</v>
      </c>
      <c r="I333" s="247" t="e">
        <f t="shared" si="42"/>
        <v>#N/A</v>
      </c>
      <c r="J333" s="97">
        <v>0</v>
      </c>
      <c r="K333" s="98">
        <v>0</v>
      </c>
      <c r="L333" s="98"/>
      <c r="M333" s="98"/>
      <c r="N333" s="98">
        <f t="shared" si="43"/>
        <v>0</v>
      </c>
      <c r="O333" s="240" t="b">
        <f t="shared" si="44"/>
        <v>0</v>
      </c>
      <c r="P333" s="240" t="b">
        <f t="shared" si="45"/>
        <v>0</v>
      </c>
    </row>
    <row r="334" spans="1:16" x14ac:dyDescent="0.35">
      <c r="A334" s="92">
        <f t="shared" si="41"/>
        <v>0</v>
      </c>
      <c r="B334" s="92" t="e">
        <f>VLOOKUP(A334,[1]Hoja3!$C$3:$D$14,2,FALSE)</f>
        <v>#N/A</v>
      </c>
      <c r="C334" s="93"/>
      <c r="D334" s="101"/>
      <c r="E334" s="94"/>
      <c r="F334" s="95"/>
      <c r="G334" s="96"/>
      <c r="H334" s="96" t="b">
        <f t="shared" si="40"/>
        <v>0</v>
      </c>
      <c r="I334" s="247" t="e">
        <f t="shared" si="42"/>
        <v>#N/A</v>
      </c>
      <c r="J334" s="97">
        <v>0</v>
      </c>
      <c r="K334" s="98">
        <v>0</v>
      </c>
      <c r="L334" s="98"/>
      <c r="M334" s="98"/>
      <c r="N334" s="98">
        <f t="shared" si="43"/>
        <v>0</v>
      </c>
      <c r="O334" s="240" t="b">
        <f t="shared" si="44"/>
        <v>0</v>
      </c>
      <c r="P334" s="240" t="b">
        <f t="shared" si="45"/>
        <v>0</v>
      </c>
    </row>
    <row r="335" spans="1:16" x14ac:dyDescent="0.35">
      <c r="A335" s="92">
        <f t="shared" si="41"/>
        <v>0</v>
      </c>
      <c r="B335" s="92" t="e">
        <f>VLOOKUP(A335,[1]Hoja3!$C$3:$D$14,2,FALSE)</f>
        <v>#N/A</v>
      </c>
      <c r="C335" s="93"/>
      <c r="D335" s="101"/>
      <c r="E335" s="94"/>
      <c r="F335" s="95"/>
      <c r="G335" s="96"/>
      <c r="H335" s="96" t="b">
        <f t="shared" si="40"/>
        <v>0</v>
      </c>
      <c r="I335" s="247" t="e">
        <f t="shared" si="42"/>
        <v>#N/A</v>
      </c>
      <c r="J335" s="97">
        <v>0</v>
      </c>
      <c r="K335" s="98">
        <v>0</v>
      </c>
      <c r="L335" s="98"/>
      <c r="M335" s="98"/>
      <c r="N335" s="98">
        <f t="shared" si="43"/>
        <v>0</v>
      </c>
      <c r="O335" s="240" t="b">
        <f t="shared" si="44"/>
        <v>0</v>
      </c>
      <c r="P335" s="240" t="b">
        <f t="shared" si="45"/>
        <v>0</v>
      </c>
    </row>
    <row r="336" spans="1:16" x14ac:dyDescent="0.35">
      <c r="A336" s="92">
        <f t="shared" si="41"/>
        <v>0</v>
      </c>
      <c r="B336" s="92" t="e">
        <f>VLOOKUP(A336,[1]Hoja3!$C$3:$D$14,2,FALSE)</f>
        <v>#N/A</v>
      </c>
      <c r="C336" s="93"/>
      <c r="D336" s="101"/>
      <c r="E336" s="94"/>
      <c r="F336" s="95"/>
      <c r="G336" s="96"/>
      <c r="H336" s="96" t="b">
        <f t="shared" ref="H336:H399" si="46">IF(G336="EFREN ABUNDEZ REYNA","AURE7306187IA",IF(G336="LUIS ALEJANDRO HERNANDEZ REYNA","HERL850705AL2",IF(G336="ANA BEATRIZ ESTRADA ARGOTE","EAAA860701UP2",IF(G336="SERGIO ROMERO DURAN","RODS620908QAA",IF(G336="MARIELA OLMOS GAONA","OOGM010703NX1",IF(G336="LUCIANO MIJAIL ORTEGA MUÑOZ","OEML881105IK2",IF(G336="GUSTAVO HUMBERTO VELAZCO GALVAN","VEGG9211019T1",IF(G336="JESUS AGUSTIN VELAZQUEZ FLORES","VEFJ900303M65",IF(G336="KARLA ESTEFANIA SALAZAR FLORES","SAFK9807277N1",IF(G336="ANGEL TERRAZAS MONROY","TEMA7105035N4"))))))))))</f>
        <v>0</v>
      </c>
      <c r="I336" s="247" t="e">
        <f t="shared" si="42"/>
        <v>#N/A</v>
      </c>
      <c r="J336" s="97">
        <v>0</v>
      </c>
      <c r="K336" s="98">
        <v>0</v>
      </c>
      <c r="L336" s="98"/>
      <c r="M336" s="98"/>
      <c r="N336" s="98">
        <f t="shared" si="43"/>
        <v>0</v>
      </c>
      <c r="O336" s="240" t="b">
        <f t="shared" si="44"/>
        <v>0</v>
      </c>
      <c r="P336" s="240" t="b">
        <f t="shared" si="45"/>
        <v>0</v>
      </c>
    </row>
    <row r="337" spans="1:16" x14ac:dyDescent="0.35">
      <c r="A337" s="92">
        <f t="shared" si="41"/>
        <v>0</v>
      </c>
      <c r="B337" s="92" t="e">
        <f>VLOOKUP(A337,[1]Hoja3!$C$3:$D$14,2,FALSE)</f>
        <v>#N/A</v>
      </c>
      <c r="C337" s="93"/>
      <c r="D337" s="101"/>
      <c r="E337" s="94"/>
      <c r="F337" s="95"/>
      <c r="G337" s="96"/>
      <c r="H337" s="96" t="b">
        <f t="shared" si="46"/>
        <v>0</v>
      </c>
      <c r="I337" s="247" t="e">
        <f t="shared" si="42"/>
        <v>#N/A</v>
      </c>
      <c r="J337" s="97">
        <v>0</v>
      </c>
      <c r="K337" s="98">
        <v>0</v>
      </c>
      <c r="L337" s="98"/>
      <c r="M337" s="98"/>
      <c r="N337" s="98">
        <f t="shared" si="43"/>
        <v>0</v>
      </c>
      <c r="O337" s="240" t="b">
        <f t="shared" si="44"/>
        <v>0</v>
      </c>
      <c r="P337" s="240" t="b">
        <f t="shared" si="45"/>
        <v>0</v>
      </c>
    </row>
    <row r="338" spans="1:16" x14ac:dyDescent="0.35">
      <c r="A338" s="92">
        <f t="shared" si="41"/>
        <v>0</v>
      </c>
      <c r="B338" s="92" t="e">
        <f>VLOOKUP(A338,[1]Hoja3!$C$3:$D$14,2,FALSE)</f>
        <v>#N/A</v>
      </c>
      <c r="C338" s="93"/>
      <c r="D338" s="101"/>
      <c r="E338" s="94"/>
      <c r="F338" s="95"/>
      <c r="G338" s="96"/>
      <c r="H338" s="96" t="b">
        <f t="shared" si="46"/>
        <v>0</v>
      </c>
      <c r="I338" s="247" t="e">
        <f t="shared" si="42"/>
        <v>#N/A</v>
      </c>
      <c r="J338" s="97">
        <v>0</v>
      </c>
      <c r="K338" s="98">
        <v>0</v>
      </c>
      <c r="L338" s="98"/>
      <c r="M338" s="98"/>
      <c r="N338" s="98">
        <f t="shared" si="43"/>
        <v>0</v>
      </c>
      <c r="O338" s="240" t="b">
        <f t="shared" si="44"/>
        <v>0</v>
      </c>
      <c r="P338" s="240" t="b">
        <f t="shared" si="45"/>
        <v>0</v>
      </c>
    </row>
    <row r="339" spans="1:16" x14ac:dyDescent="0.35">
      <c r="A339" s="92">
        <f t="shared" si="41"/>
        <v>0</v>
      </c>
      <c r="B339" s="92" t="e">
        <f>VLOOKUP(A339,[1]Hoja3!$C$3:$D$14,2,FALSE)</f>
        <v>#N/A</v>
      </c>
      <c r="C339" s="93"/>
      <c r="D339" s="101"/>
      <c r="E339" s="94"/>
      <c r="F339" s="95"/>
      <c r="G339" s="96"/>
      <c r="H339" s="96" t="b">
        <f t="shared" si="46"/>
        <v>0</v>
      </c>
      <c r="I339" s="247" t="e">
        <f t="shared" si="42"/>
        <v>#N/A</v>
      </c>
      <c r="J339" s="97">
        <v>0</v>
      </c>
      <c r="K339" s="98">
        <v>0</v>
      </c>
      <c r="L339" s="98"/>
      <c r="M339" s="98"/>
      <c r="N339" s="98">
        <f t="shared" si="43"/>
        <v>0</v>
      </c>
      <c r="O339" s="240" t="b">
        <f t="shared" si="44"/>
        <v>0</v>
      </c>
      <c r="P339" s="240" t="b">
        <f t="shared" si="45"/>
        <v>0</v>
      </c>
    </row>
    <row r="340" spans="1:16" x14ac:dyDescent="0.35">
      <c r="A340" s="92">
        <f t="shared" si="41"/>
        <v>0</v>
      </c>
      <c r="B340" s="92" t="e">
        <f>VLOOKUP(A340,[1]Hoja3!$C$3:$D$14,2,FALSE)</f>
        <v>#N/A</v>
      </c>
      <c r="C340" s="93"/>
      <c r="D340" s="101"/>
      <c r="E340" s="94"/>
      <c r="F340" s="95"/>
      <c r="G340" s="96"/>
      <c r="H340" s="96" t="b">
        <f t="shared" si="46"/>
        <v>0</v>
      </c>
      <c r="I340" s="247" t="e">
        <f t="shared" si="42"/>
        <v>#N/A</v>
      </c>
      <c r="J340" s="97">
        <v>0</v>
      </c>
      <c r="K340" s="98">
        <v>0</v>
      </c>
      <c r="L340" s="98"/>
      <c r="M340" s="98"/>
      <c r="N340" s="98">
        <f t="shared" si="43"/>
        <v>0</v>
      </c>
      <c r="O340" s="240" t="b">
        <f t="shared" si="44"/>
        <v>0</v>
      </c>
      <c r="P340" s="240" t="b">
        <f t="shared" si="45"/>
        <v>0</v>
      </c>
    </row>
    <row r="341" spans="1:16" x14ac:dyDescent="0.35">
      <c r="A341" s="92">
        <f t="shared" si="41"/>
        <v>0</v>
      </c>
      <c r="B341" s="92" t="e">
        <f>VLOOKUP(A341,[1]Hoja3!$C$3:$D$14,2,FALSE)</f>
        <v>#N/A</v>
      </c>
      <c r="C341" s="93"/>
      <c r="D341" s="101"/>
      <c r="E341" s="94"/>
      <c r="F341" s="95"/>
      <c r="G341" s="96"/>
      <c r="H341" s="96" t="b">
        <f t="shared" si="46"/>
        <v>0</v>
      </c>
      <c r="I341" s="247" t="e">
        <f t="shared" si="42"/>
        <v>#N/A</v>
      </c>
      <c r="J341" s="97">
        <v>0</v>
      </c>
      <c r="K341" s="98">
        <v>0</v>
      </c>
      <c r="L341" s="98"/>
      <c r="M341" s="98"/>
      <c r="N341" s="98">
        <f t="shared" si="43"/>
        <v>0</v>
      </c>
      <c r="O341" s="240" t="b">
        <f t="shared" si="44"/>
        <v>0</v>
      </c>
      <c r="P341" s="240" t="b">
        <f t="shared" si="45"/>
        <v>0</v>
      </c>
    </row>
    <row r="342" spans="1:16" x14ac:dyDescent="0.35">
      <c r="A342" s="92">
        <f t="shared" si="41"/>
        <v>0</v>
      </c>
      <c r="B342" s="92" t="e">
        <f>VLOOKUP(A342,[1]Hoja3!$C$3:$D$14,2,FALSE)</f>
        <v>#N/A</v>
      </c>
      <c r="C342" s="93"/>
      <c r="D342" s="101"/>
      <c r="E342" s="94"/>
      <c r="F342" s="95"/>
      <c r="G342" s="96"/>
      <c r="H342" s="96" t="b">
        <f t="shared" si="46"/>
        <v>0</v>
      </c>
      <c r="I342" s="247" t="e">
        <f t="shared" si="42"/>
        <v>#N/A</v>
      </c>
      <c r="J342" s="97">
        <v>0</v>
      </c>
      <c r="K342" s="98">
        <v>0</v>
      </c>
      <c r="L342" s="98"/>
      <c r="M342" s="98"/>
      <c r="N342" s="98">
        <f t="shared" si="43"/>
        <v>0</v>
      </c>
      <c r="O342" s="240" t="b">
        <f t="shared" si="44"/>
        <v>0</v>
      </c>
      <c r="P342" s="240" t="b">
        <f t="shared" si="45"/>
        <v>0</v>
      </c>
    </row>
    <row r="343" spans="1:16" x14ac:dyDescent="0.35">
      <c r="A343" s="92">
        <f t="shared" si="41"/>
        <v>0</v>
      </c>
      <c r="B343" s="92" t="e">
        <f>VLOOKUP(A343,[1]Hoja3!$C$3:$D$14,2,FALSE)</f>
        <v>#N/A</v>
      </c>
      <c r="C343" s="93"/>
      <c r="D343" s="101"/>
      <c r="E343" s="94"/>
      <c r="F343" s="95"/>
      <c r="G343" s="96"/>
      <c r="H343" s="96" t="b">
        <f t="shared" si="46"/>
        <v>0</v>
      </c>
      <c r="I343" s="247" t="e">
        <f t="shared" si="42"/>
        <v>#N/A</v>
      </c>
      <c r="J343" s="97">
        <v>0</v>
      </c>
      <c r="K343" s="98">
        <v>0</v>
      </c>
      <c r="L343" s="98"/>
      <c r="M343" s="98"/>
      <c r="N343" s="98">
        <f t="shared" si="43"/>
        <v>0</v>
      </c>
      <c r="O343" s="240" t="b">
        <f t="shared" si="44"/>
        <v>0</v>
      </c>
      <c r="P343" s="240" t="b">
        <f t="shared" si="45"/>
        <v>0</v>
      </c>
    </row>
    <row r="344" spans="1:16" x14ac:dyDescent="0.35">
      <c r="A344" s="92">
        <f t="shared" si="41"/>
        <v>0</v>
      </c>
      <c r="B344" s="92" t="e">
        <f>VLOOKUP(A344,[1]Hoja3!$C$3:$D$14,2,FALSE)</f>
        <v>#N/A</v>
      </c>
      <c r="C344" s="93"/>
      <c r="D344" s="101"/>
      <c r="E344" s="94"/>
      <c r="F344" s="95"/>
      <c r="G344" s="96"/>
      <c r="H344" s="96" t="b">
        <f t="shared" si="46"/>
        <v>0</v>
      </c>
      <c r="I344" s="247" t="e">
        <f t="shared" si="42"/>
        <v>#N/A</v>
      </c>
      <c r="J344" s="97">
        <v>0</v>
      </c>
      <c r="K344" s="98">
        <v>0</v>
      </c>
      <c r="L344" s="98"/>
      <c r="M344" s="98"/>
      <c r="N344" s="98">
        <f t="shared" si="43"/>
        <v>0</v>
      </c>
      <c r="O344" s="240" t="b">
        <f t="shared" si="44"/>
        <v>0</v>
      </c>
      <c r="P344" s="240" t="b">
        <f t="shared" si="45"/>
        <v>0</v>
      </c>
    </row>
    <row r="345" spans="1:16" x14ac:dyDescent="0.35">
      <c r="A345" s="92">
        <f t="shared" si="41"/>
        <v>0</v>
      </c>
      <c r="B345" s="92" t="e">
        <f>VLOOKUP(A345,[1]Hoja3!$C$3:$D$14,2,FALSE)</f>
        <v>#N/A</v>
      </c>
      <c r="C345" s="93"/>
      <c r="D345" s="101"/>
      <c r="E345" s="94"/>
      <c r="F345" s="95"/>
      <c r="G345" s="96"/>
      <c r="H345" s="96" t="b">
        <f t="shared" si="46"/>
        <v>0</v>
      </c>
      <c r="I345" s="247" t="e">
        <f t="shared" si="42"/>
        <v>#N/A</v>
      </c>
      <c r="J345" s="97">
        <v>0</v>
      </c>
      <c r="K345" s="98">
        <v>0</v>
      </c>
      <c r="L345" s="98"/>
      <c r="M345" s="98"/>
      <c r="N345" s="98">
        <f t="shared" si="43"/>
        <v>0</v>
      </c>
      <c r="O345" s="240" t="b">
        <f t="shared" si="44"/>
        <v>0</v>
      </c>
      <c r="P345" s="240" t="b">
        <f t="shared" si="45"/>
        <v>0</v>
      </c>
    </row>
    <row r="346" spans="1:16" x14ac:dyDescent="0.35">
      <c r="A346" s="92">
        <f t="shared" si="41"/>
        <v>0</v>
      </c>
      <c r="B346" s="92" t="e">
        <f>VLOOKUP(A346,[1]Hoja3!$C$3:$D$14,2,FALSE)</f>
        <v>#N/A</v>
      </c>
      <c r="C346" s="93"/>
      <c r="D346" s="101"/>
      <c r="E346" s="94"/>
      <c r="F346" s="95"/>
      <c r="G346" s="96"/>
      <c r="H346" s="96" t="b">
        <f t="shared" si="46"/>
        <v>0</v>
      </c>
      <c r="I346" s="247" t="e">
        <f t="shared" si="42"/>
        <v>#N/A</v>
      </c>
      <c r="J346" s="97">
        <v>0</v>
      </c>
      <c r="K346" s="98">
        <v>0</v>
      </c>
      <c r="L346" s="98"/>
      <c r="M346" s="98"/>
      <c r="N346" s="98">
        <f t="shared" si="43"/>
        <v>0</v>
      </c>
      <c r="O346" s="240" t="b">
        <f t="shared" si="44"/>
        <v>0</v>
      </c>
      <c r="P346" s="240" t="b">
        <f t="shared" si="45"/>
        <v>0</v>
      </c>
    </row>
    <row r="347" spans="1:16" x14ac:dyDescent="0.35">
      <c r="A347" s="92">
        <f t="shared" si="41"/>
        <v>0</v>
      </c>
      <c r="B347" s="92" t="e">
        <f>VLOOKUP(A347,[1]Hoja3!$C$3:$D$14,2,FALSE)</f>
        <v>#N/A</v>
      </c>
      <c r="C347" s="93"/>
      <c r="D347" s="101"/>
      <c r="E347" s="94"/>
      <c r="F347" s="95"/>
      <c r="G347" s="96"/>
      <c r="H347" s="96" t="b">
        <f t="shared" si="46"/>
        <v>0</v>
      </c>
      <c r="I347" s="247" t="e">
        <f t="shared" si="42"/>
        <v>#N/A</v>
      </c>
      <c r="J347" s="97">
        <v>0</v>
      </c>
      <c r="K347" s="98">
        <v>0</v>
      </c>
      <c r="L347" s="98"/>
      <c r="M347" s="98"/>
      <c r="N347" s="98">
        <f t="shared" si="43"/>
        <v>0</v>
      </c>
      <c r="O347" s="240" t="b">
        <f t="shared" si="44"/>
        <v>0</v>
      </c>
      <c r="P347" s="240" t="b">
        <f t="shared" si="45"/>
        <v>0</v>
      </c>
    </row>
    <row r="348" spans="1:16" x14ac:dyDescent="0.35">
      <c r="A348" s="92">
        <f t="shared" si="41"/>
        <v>0</v>
      </c>
      <c r="B348" s="92" t="e">
        <f>VLOOKUP(A348,[1]Hoja3!$C$3:$D$14,2,FALSE)</f>
        <v>#N/A</v>
      </c>
      <c r="C348" s="93"/>
      <c r="D348" s="101"/>
      <c r="E348" s="94"/>
      <c r="F348" s="95"/>
      <c r="G348" s="96"/>
      <c r="H348" s="96" t="b">
        <f t="shared" si="46"/>
        <v>0</v>
      </c>
      <c r="I348" s="247" t="e">
        <f t="shared" si="42"/>
        <v>#N/A</v>
      </c>
      <c r="J348" s="97">
        <v>0</v>
      </c>
      <c r="K348" s="98">
        <v>0</v>
      </c>
      <c r="L348" s="98"/>
      <c r="M348" s="98"/>
      <c r="N348" s="98">
        <f t="shared" si="43"/>
        <v>0</v>
      </c>
      <c r="O348" s="240" t="b">
        <f t="shared" si="44"/>
        <v>0</v>
      </c>
      <c r="P348" s="240" t="b">
        <f t="shared" si="45"/>
        <v>0</v>
      </c>
    </row>
    <row r="349" spans="1:16" x14ac:dyDescent="0.35">
      <c r="A349" s="92">
        <f t="shared" si="41"/>
        <v>0</v>
      </c>
      <c r="B349" s="92" t="e">
        <f>VLOOKUP(A349,[1]Hoja3!$C$3:$D$14,2,FALSE)</f>
        <v>#N/A</v>
      </c>
      <c r="C349" s="93"/>
      <c r="D349" s="101"/>
      <c r="E349" s="94"/>
      <c r="F349" s="95"/>
      <c r="G349" s="96"/>
      <c r="H349" s="96" t="b">
        <f t="shared" si="46"/>
        <v>0</v>
      </c>
      <c r="I349" s="247" t="e">
        <f t="shared" si="42"/>
        <v>#N/A</v>
      </c>
      <c r="J349" s="97">
        <v>0</v>
      </c>
      <c r="K349" s="98">
        <v>0</v>
      </c>
      <c r="L349" s="98"/>
      <c r="M349" s="98"/>
      <c r="N349" s="98">
        <f t="shared" si="43"/>
        <v>0</v>
      </c>
      <c r="O349" s="240" t="b">
        <f t="shared" si="44"/>
        <v>0</v>
      </c>
      <c r="P349" s="240" t="b">
        <f t="shared" si="45"/>
        <v>0</v>
      </c>
    </row>
    <row r="350" spans="1:16" x14ac:dyDescent="0.35">
      <c r="A350" s="92">
        <f t="shared" si="41"/>
        <v>0</v>
      </c>
      <c r="B350" s="92" t="e">
        <f>VLOOKUP(A350,[1]Hoja3!$C$3:$D$14,2,FALSE)</f>
        <v>#N/A</v>
      </c>
      <c r="C350" s="93"/>
      <c r="D350" s="101"/>
      <c r="E350" s="94"/>
      <c r="F350" s="95"/>
      <c r="G350" s="96"/>
      <c r="H350" s="96" t="b">
        <f t="shared" si="46"/>
        <v>0</v>
      </c>
      <c r="I350" s="247" t="e">
        <f t="shared" si="42"/>
        <v>#N/A</v>
      </c>
      <c r="J350" s="97">
        <v>0</v>
      </c>
      <c r="K350" s="98">
        <v>0</v>
      </c>
      <c r="L350" s="98"/>
      <c r="M350" s="98"/>
      <c r="N350" s="98">
        <f t="shared" si="43"/>
        <v>0</v>
      </c>
      <c r="O350" s="240" t="b">
        <f t="shared" si="44"/>
        <v>0</v>
      </c>
      <c r="P350" s="240" t="b">
        <f t="shared" si="45"/>
        <v>0</v>
      </c>
    </row>
    <row r="351" spans="1:16" x14ac:dyDescent="0.35">
      <c r="A351" s="92">
        <f t="shared" si="41"/>
        <v>0</v>
      </c>
      <c r="B351" s="92" t="e">
        <f>VLOOKUP(A351,[1]Hoja3!$C$3:$D$14,2,FALSE)</f>
        <v>#N/A</v>
      </c>
      <c r="C351" s="93"/>
      <c r="D351" s="101"/>
      <c r="E351" s="94"/>
      <c r="F351" s="95"/>
      <c r="G351" s="96"/>
      <c r="H351" s="96" t="b">
        <f t="shared" si="46"/>
        <v>0</v>
      </c>
      <c r="I351" s="247" t="e">
        <f t="shared" si="42"/>
        <v>#N/A</v>
      </c>
      <c r="J351" s="97">
        <v>0</v>
      </c>
      <c r="K351" s="98">
        <v>0</v>
      </c>
      <c r="L351" s="98"/>
      <c r="M351" s="98"/>
      <c r="N351" s="98">
        <f t="shared" si="43"/>
        <v>0</v>
      </c>
      <c r="O351" s="240" t="b">
        <f t="shared" si="44"/>
        <v>0</v>
      </c>
      <c r="P351" s="240" t="b">
        <f t="shared" si="45"/>
        <v>0</v>
      </c>
    </row>
    <row r="352" spans="1:16" x14ac:dyDescent="0.35">
      <c r="A352" s="92">
        <f t="shared" si="41"/>
        <v>0</v>
      </c>
      <c r="B352" s="92" t="e">
        <f>VLOOKUP(A352,[1]Hoja3!$C$3:$D$14,2,FALSE)</f>
        <v>#N/A</v>
      </c>
      <c r="C352" s="93"/>
      <c r="D352" s="101"/>
      <c r="E352" s="94"/>
      <c r="F352" s="95"/>
      <c r="G352" s="96"/>
      <c r="H352" s="96" t="b">
        <f t="shared" si="46"/>
        <v>0</v>
      </c>
      <c r="I352" s="247" t="e">
        <f t="shared" si="42"/>
        <v>#N/A</v>
      </c>
      <c r="J352" s="97">
        <v>0</v>
      </c>
      <c r="K352" s="98">
        <v>0</v>
      </c>
      <c r="L352" s="98"/>
      <c r="M352" s="98"/>
      <c r="N352" s="98">
        <f t="shared" si="43"/>
        <v>0</v>
      </c>
      <c r="O352" s="240" t="b">
        <f t="shared" si="44"/>
        <v>0</v>
      </c>
      <c r="P352" s="240" t="b">
        <f t="shared" si="45"/>
        <v>0</v>
      </c>
    </row>
    <row r="353" spans="1:16" x14ac:dyDescent="0.35">
      <c r="A353" s="92">
        <f t="shared" si="41"/>
        <v>0</v>
      </c>
      <c r="B353" s="92" t="e">
        <f>VLOOKUP(A353,[1]Hoja3!$C$3:$D$14,2,FALSE)</f>
        <v>#N/A</v>
      </c>
      <c r="C353" s="93"/>
      <c r="D353" s="101"/>
      <c r="E353" s="94"/>
      <c r="F353" s="95"/>
      <c r="G353" s="96"/>
      <c r="H353" s="96" t="b">
        <f t="shared" si="46"/>
        <v>0</v>
      </c>
      <c r="I353" s="247" t="e">
        <f t="shared" si="42"/>
        <v>#N/A</v>
      </c>
      <c r="J353" s="97">
        <v>0</v>
      </c>
      <c r="K353" s="98">
        <v>0</v>
      </c>
      <c r="L353" s="98"/>
      <c r="M353" s="98"/>
      <c r="N353" s="98">
        <f t="shared" si="43"/>
        <v>0</v>
      </c>
      <c r="O353" s="240" t="b">
        <f t="shared" si="44"/>
        <v>0</v>
      </c>
      <c r="P353" s="240" t="b">
        <f t="shared" si="45"/>
        <v>0</v>
      </c>
    </row>
    <row r="354" spans="1:16" x14ac:dyDescent="0.35">
      <c r="A354" s="92">
        <f t="shared" si="41"/>
        <v>0</v>
      </c>
      <c r="B354" s="92" t="e">
        <f>VLOOKUP(A354,[1]Hoja3!$C$3:$D$14,2,FALSE)</f>
        <v>#N/A</v>
      </c>
      <c r="C354" s="93"/>
      <c r="D354" s="101"/>
      <c r="E354" s="94"/>
      <c r="F354" s="95"/>
      <c r="G354" s="96"/>
      <c r="H354" s="96" t="b">
        <f t="shared" si="46"/>
        <v>0</v>
      </c>
      <c r="I354" s="247" t="e">
        <f t="shared" si="42"/>
        <v>#N/A</v>
      </c>
      <c r="J354" s="97">
        <v>0</v>
      </c>
      <c r="K354" s="98">
        <v>0</v>
      </c>
      <c r="L354" s="98"/>
      <c r="M354" s="98"/>
      <c r="N354" s="98">
        <f t="shared" si="43"/>
        <v>0</v>
      </c>
      <c r="O354" s="240" t="b">
        <f t="shared" si="44"/>
        <v>0</v>
      </c>
      <c r="P354" s="240" t="b">
        <f t="shared" si="45"/>
        <v>0</v>
      </c>
    </row>
    <row r="355" spans="1:16" x14ac:dyDescent="0.35">
      <c r="A355" s="92">
        <f t="shared" si="41"/>
        <v>0</v>
      </c>
      <c r="B355" s="92" t="e">
        <f>VLOOKUP(A355,[1]Hoja3!$C$3:$D$14,2,FALSE)</f>
        <v>#N/A</v>
      </c>
      <c r="C355" s="93"/>
      <c r="D355" s="101"/>
      <c r="E355" s="94"/>
      <c r="F355" s="95"/>
      <c r="G355" s="96"/>
      <c r="H355" s="96" t="b">
        <f t="shared" si="46"/>
        <v>0</v>
      </c>
      <c r="I355" s="247" t="e">
        <f t="shared" si="42"/>
        <v>#N/A</v>
      </c>
      <c r="J355" s="97">
        <v>0</v>
      </c>
      <c r="K355" s="98">
        <v>0</v>
      </c>
      <c r="L355" s="98"/>
      <c r="M355" s="98"/>
      <c r="N355" s="98">
        <f t="shared" si="43"/>
        <v>0</v>
      </c>
      <c r="O355" s="240" t="b">
        <f t="shared" si="44"/>
        <v>0</v>
      </c>
      <c r="P355" s="240" t="b">
        <f t="shared" si="45"/>
        <v>0</v>
      </c>
    </row>
    <row r="356" spans="1:16" x14ac:dyDescent="0.35">
      <c r="A356" s="92">
        <f t="shared" si="41"/>
        <v>0</v>
      </c>
      <c r="B356" s="92" t="e">
        <f>VLOOKUP(A356,[1]Hoja3!$C$3:$D$14,2,FALSE)</f>
        <v>#N/A</v>
      </c>
      <c r="C356" s="93"/>
      <c r="D356" s="101"/>
      <c r="E356" s="94"/>
      <c r="F356" s="95"/>
      <c r="G356" s="96"/>
      <c r="H356" s="96" t="b">
        <f t="shared" si="46"/>
        <v>0</v>
      </c>
      <c r="I356" s="247" t="e">
        <f t="shared" si="42"/>
        <v>#N/A</v>
      </c>
      <c r="J356" s="97">
        <v>0</v>
      </c>
      <c r="K356" s="98">
        <v>0</v>
      </c>
      <c r="L356" s="98"/>
      <c r="M356" s="98"/>
      <c r="N356" s="98">
        <f t="shared" si="43"/>
        <v>0</v>
      </c>
      <c r="O356" s="240" t="b">
        <f t="shared" si="44"/>
        <v>0</v>
      </c>
      <c r="P356" s="240" t="b">
        <f t="shared" si="45"/>
        <v>0</v>
      </c>
    </row>
    <row r="357" spans="1:16" x14ac:dyDescent="0.35">
      <c r="A357" s="92">
        <f t="shared" si="41"/>
        <v>0</v>
      </c>
      <c r="B357" s="92" t="e">
        <f>VLOOKUP(A357,[1]Hoja3!$C$3:$D$14,2,FALSE)</f>
        <v>#N/A</v>
      </c>
      <c r="C357" s="93"/>
      <c r="D357" s="101"/>
      <c r="E357" s="94"/>
      <c r="F357" s="95"/>
      <c r="G357" s="96"/>
      <c r="H357" s="96" t="b">
        <f t="shared" si="46"/>
        <v>0</v>
      </c>
      <c r="I357" s="247" t="e">
        <f t="shared" si="42"/>
        <v>#N/A</v>
      </c>
      <c r="J357" s="97">
        <v>0</v>
      </c>
      <c r="K357" s="98">
        <v>0</v>
      </c>
      <c r="L357" s="98"/>
      <c r="M357" s="98"/>
      <c r="N357" s="98">
        <f t="shared" si="43"/>
        <v>0</v>
      </c>
      <c r="O357" s="240" t="b">
        <f t="shared" si="44"/>
        <v>0</v>
      </c>
      <c r="P357" s="240" t="b">
        <f t="shared" si="45"/>
        <v>0</v>
      </c>
    </row>
    <row r="358" spans="1:16" x14ac:dyDescent="0.35">
      <c r="A358" s="92">
        <f t="shared" si="41"/>
        <v>0</v>
      </c>
      <c r="B358" s="92" t="e">
        <f>VLOOKUP(A358,[1]Hoja3!$C$3:$D$14,2,FALSE)</f>
        <v>#N/A</v>
      </c>
      <c r="C358" s="93"/>
      <c r="D358" s="101"/>
      <c r="E358" s="94"/>
      <c r="F358" s="95"/>
      <c r="G358" s="96"/>
      <c r="H358" s="96" t="b">
        <f t="shared" si="46"/>
        <v>0</v>
      </c>
      <c r="I358" s="247" t="e">
        <f t="shared" si="42"/>
        <v>#N/A</v>
      </c>
      <c r="J358" s="97">
        <v>0</v>
      </c>
      <c r="K358" s="98">
        <v>0</v>
      </c>
      <c r="L358" s="98"/>
      <c r="M358" s="98"/>
      <c r="N358" s="98">
        <f t="shared" si="43"/>
        <v>0</v>
      </c>
      <c r="O358" s="240" t="b">
        <f t="shared" si="44"/>
        <v>0</v>
      </c>
      <c r="P358" s="240" t="b">
        <f t="shared" si="45"/>
        <v>0</v>
      </c>
    </row>
    <row r="359" spans="1:16" x14ac:dyDescent="0.35">
      <c r="A359" s="92">
        <f t="shared" si="41"/>
        <v>0</v>
      </c>
      <c r="B359" s="92" t="e">
        <f>VLOOKUP(A359,[1]Hoja3!$C$3:$D$14,2,FALSE)</f>
        <v>#N/A</v>
      </c>
      <c r="C359" s="93"/>
      <c r="D359" s="101"/>
      <c r="E359" s="94"/>
      <c r="F359" s="95"/>
      <c r="G359" s="96"/>
      <c r="H359" s="96" t="b">
        <f t="shared" si="46"/>
        <v>0</v>
      </c>
      <c r="I359" s="247" t="e">
        <f t="shared" si="42"/>
        <v>#N/A</v>
      </c>
      <c r="J359" s="97">
        <v>0</v>
      </c>
      <c r="K359" s="98">
        <v>0</v>
      </c>
      <c r="L359" s="98"/>
      <c r="M359" s="98"/>
      <c r="N359" s="98">
        <f t="shared" si="43"/>
        <v>0</v>
      </c>
      <c r="O359" s="240" t="b">
        <f t="shared" si="44"/>
        <v>0</v>
      </c>
      <c r="P359" s="240" t="b">
        <f t="shared" si="45"/>
        <v>0</v>
      </c>
    </row>
    <row r="360" spans="1:16" x14ac:dyDescent="0.35">
      <c r="A360" s="92">
        <f t="shared" si="41"/>
        <v>0</v>
      </c>
      <c r="B360" s="92" t="e">
        <f>VLOOKUP(A360,[1]Hoja3!$C$3:$D$14,2,FALSE)</f>
        <v>#N/A</v>
      </c>
      <c r="C360" s="93"/>
      <c r="D360" s="101"/>
      <c r="E360" s="94"/>
      <c r="F360" s="95"/>
      <c r="G360" s="96"/>
      <c r="H360" s="96" t="b">
        <f t="shared" si="46"/>
        <v>0</v>
      </c>
      <c r="I360" s="247" t="e">
        <f t="shared" si="42"/>
        <v>#N/A</v>
      </c>
      <c r="J360" s="97">
        <v>0</v>
      </c>
      <c r="K360" s="98">
        <v>0</v>
      </c>
      <c r="L360" s="98"/>
      <c r="M360" s="98"/>
      <c r="N360" s="98">
        <f t="shared" si="43"/>
        <v>0</v>
      </c>
      <c r="O360" s="240" t="b">
        <f t="shared" si="44"/>
        <v>0</v>
      </c>
      <c r="P360" s="240" t="b">
        <f t="shared" si="45"/>
        <v>0</v>
      </c>
    </row>
    <row r="361" spans="1:16" x14ac:dyDescent="0.35">
      <c r="A361" s="92">
        <f t="shared" si="41"/>
        <v>0</v>
      </c>
      <c r="B361" s="92" t="e">
        <f>VLOOKUP(A361,[1]Hoja3!$C$3:$D$14,2,FALSE)</f>
        <v>#N/A</v>
      </c>
      <c r="C361" s="93"/>
      <c r="D361" s="101"/>
      <c r="E361" s="94"/>
      <c r="F361" s="95"/>
      <c r="G361" s="96"/>
      <c r="H361" s="96" t="b">
        <f t="shared" si="46"/>
        <v>0</v>
      </c>
      <c r="I361" s="247" t="e">
        <f t="shared" si="42"/>
        <v>#N/A</v>
      </c>
      <c r="J361" s="97">
        <v>0</v>
      </c>
      <c r="K361" s="98">
        <v>0</v>
      </c>
      <c r="L361" s="98"/>
      <c r="M361" s="98"/>
      <c r="N361" s="98">
        <f t="shared" si="43"/>
        <v>0</v>
      </c>
      <c r="O361" s="240" t="b">
        <f t="shared" si="44"/>
        <v>0</v>
      </c>
      <c r="P361" s="240" t="b">
        <f t="shared" si="45"/>
        <v>0</v>
      </c>
    </row>
    <row r="362" spans="1:16" x14ac:dyDescent="0.35">
      <c r="A362" s="92">
        <f t="shared" ref="A362:A425" si="47">IF(D362&gt;0,MONTH(D362),0)</f>
        <v>0</v>
      </c>
      <c r="B362" s="92" t="e">
        <f>VLOOKUP(A362,[1]Hoja3!$C$3:$D$14,2,FALSE)</f>
        <v>#N/A</v>
      </c>
      <c r="C362" s="93"/>
      <c r="D362" s="101"/>
      <c r="E362" s="94"/>
      <c r="F362" s="95"/>
      <c r="G362" s="96"/>
      <c r="H362" s="96" t="b">
        <f t="shared" si="46"/>
        <v>0</v>
      </c>
      <c r="I362" s="247" t="e">
        <f t="shared" ref="I362:I425" si="48">+B362</f>
        <v>#N/A</v>
      </c>
      <c r="J362" s="97">
        <v>0</v>
      </c>
      <c r="K362" s="98">
        <v>0</v>
      </c>
      <c r="L362" s="98"/>
      <c r="M362" s="98"/>
      <c r="N362" s="98">
        <f t="shared" ref="N362:N425" si="49">+J362+K362-L362-M362</f>
        <v>0</v>
      </c>
      <c r="O362" s="240" t="b">
        <f t="shared" si="44"/>
        <v>0</v>
      </c>
      <c r="P362" s="240" t="b">
        <f t="shared" si="45"/>
        <v>0</v>
      </c>
    </row>
    <row r="363" spans="1:16" x14ac:dyDescent="0.35">
      <c r="A363" s="92">
        <f t="shared" si="47"/>
        <v>0</v>
      </c>
      <c r="B363" s="92" t="e">
        <f>VLOOKUP(A363,[1]Hoja3!$C$3:$D$14,2,FALSE)</f>
        <v>#N/A</v>
      </c>
      <c r="C363" s="93"/>
      <c r="D363" s="101"/>
      <c r="E363" s="94"/>
      <c r="F363" s="95"/>
      <c r="G363" s="96"/>
      <c r="H363" s="96" t="b">
        <f t="shared" si="46"/>
        <v>0</v>
      </c>
      <c r="I363" s="247" t="e">
        <f t="shared" si="48"/>
        <v>#N/A</v>
      </c>
      <c r="J363" s="97">
        <v>0</v>
      </c>
      <c r="K363" s="98">
        <v>0</v>
      </c>
      <c r="L363" s="98"/>
      <c r="M363" s="98"/>
      <c r="N363" s="98">
        <f t="shared" si="49"/>
        <v>0</v>
      </c>
      <c r="O363" s="240" t="b">
        <f t="shared" si="44"/>
        <v>0</v>
      </c>
      <c r="P363" s="240" t="b">
        <f t="shared" si="45"/>
        <v>0</v>
      </c>
    </row>
    <row r="364" spans="1:16" x14ac:dyDescent="0.35">
      <c r="A364" s="92">
        <f t="shared" si="47"/>
        <v>0</v>
      </c>
      <c r="B364" s="92" t="e">
        <f>VLOOKUP(A364,[1]Hoja3!$C$3:$D$14,2,FALSE)</f>
        <v>#N/A</v>
      </c>
      <c r="C364" s="93"/>
      <c r="D364" s="101"/>
      <c r="E364" s="94"/>
      <c r="F364" s="95"/>
      <c r="G364" s="96"/>
      <c r="H364" s="96" t="b">
        <f t="shared" si="46"/>
        <v>0</v>
      </c>
      <c r="I364" s="247" t="e">
        <f t="shared" si="48"/>
        <v>#N/A</v>
      </c>
      <c r="J364" s="97">
        <v>0</v>
      </c>
      <c r="K364" s="98">
        <v>0</v>
      </c>
      <c r="L364" s="98"/>
      <c r="M364" s="98"/>
      <c r="N364" s="98">
        <f t="shared" si="49"/>
        <v>0</v>
      </c>
      <c r="O364" s="240" t="b">
        <f t="shared" si="44"/>
        <v>0</v>
      </c>
      <c r="P364" s="240" t="b">
        <f t="shared" si="45"/>
        <v>0</v>
      </c>
    </row>
    <row r="365" spans="1:16" x14ac:dyDescent="0.35">
      <c r="A365" s="92">
        <f t="shared" si="47"/>
        <v>0</v>
      </c>
      <c r="B365" s="92" t="e">
        <f>VLOOKUP(A365,[1]Hoja3!$C$3:$D$14,2,FALSE)</f>
        <v>#N/A</v>
      </c>
      <c r="C365" s="93"/>
      <c r="D365" s="101"/>
      <c r="E365" s="94"/>
      <c r="F365" s="95"/>
      <c r="G365" s="96"/>
      <c r="H365" s="96" t="b">
        <f t="shared" si="46"/>
        <v>0</v>
      </c>
      <c r="I365" s="247" t="e">
        <f t="shared" si="48"/>
        <v>#N/A</v>
      </c>
      <c r="J365" s="97">
        <v>0</v>
      </c>
      <c r="K365" s="98">
        <v>0</v>
      </c>
      <c r="L365" s="98"/>
      <c r="M365" s="98"/>
      <c r="N365" s="98">
        <f t="shared" si="49"/>
        <v>0</v>
      </c>
      <c r="O365" s="240" t="b">
        <f t="shared" si="44"/>
        <v>0</v>
      </c>
      <c r="P365" s="240" t="b">
        <f t="shared" si="45"/>
        <v>0</v>
      </c>
    </row>
    <row r="366" spans="1:16" x14ac:dyDescent="0.35">
      <c r="A366" s="92">
        <f t="shared" si="47"/>
        <v>0</v>
      </c>
      <c r="B366" s="92" t="e">
        <f>VLOOKUP(A366,[1]Hoja3!$C$3:$D$14,2,FALSE)</f>
        <v>#N/A</v>
      </c>
      <c r="C366" s="93"/>
      <c r="D366" s="101"/>
      <c r="E366" s="94"/>
      <c r="F366" s="95"/>
      <c r="G366" s="96"/>
      <c r="H366" s="96" t="b">
        <f t="shared" si="46"/>
        <v>0</v>
      </c>
      <c r="I366" s="247" t="e">
        <f t="shared" si="48"/>
        <v>#N/A</v>
      </c>
      <c r="J366" s="97">
        <v>0</v>
      </c>
      <c r="K366" s="98">
        <v>0</v>
      </c>
      <c r="L366" s="98"/>
      <c r="M366" s="98"/>
      <c r="N366" s="98">
        <f t="shared" si="49"/>
        <v>0</v>
      </c>
      <c r="O366" s="240" t="b">
        <f t="shared" si="44"/>
        <v>0</v>
      </c>
      <c r="P366" s="240" t="b">
        <f t="shared" si="45"/>
        <v>0</v>
      </c>
    </row>
    <row r="367" spans="1:16" x14ac:dyDescent="0.35">
      <c r="A367" s="92">
        <f t="shared" si="47"/>
        <v>0</v>
      </c>
      <c r="B367" s="92" t="e">
        <f>VLOOKUP(A367,[1]Hoja3!$C$3:$D$14,2,FALSE)</f>
        <v>#N/A</v>
      </c>
      <c r="C367" s="93"/>
      <c r="D367" s="101"/>
      <c r="E367" s="94"/>
      <c r="F367" s="95"/>
      <c r="G367" s="96"/>
      <c r="H367" s="96" t="b">
        <f t="shared" si="46"/>
        <v>0</v>
      </c>
      <c r="I367" s="247" t="e">
        <f t="shared" si="48"/>
        <v>#N/A</v>
      </c>
      <c r="J367" s="97">
        <v>0</v>
      </c>
      <c r="K367" s="98">
        <v>0</v>
      </c>
      <c r="L367" s="98"/>
      <c r="M367" s="98"/>
      <c r="N367" s="98">
        <f t="shared" si="49"/>
        <v>0</v>
      </c>
      <c r="O367" s="240" t="b">
        <f t="shared" si="44"/>
        <v>0</v>
      </c>
      <c r="P367" s="240" t="b">
        <f t="shared" si="45"/>
        <v>0</v>
      </c>
    </row>
    <row r="368" spans="1:16" x14ac:dyDescent="0.35">
      <c r="A368" s="92">
        <f t="shared" si="47"/>
        <v>0</v>
      </c>
      <c r="B368" s="92" t="e">
        <f>VLOOKUP(A368,[1]Hoja3!$C$3:$D$14,2,FALSE)</f>
        <v>#N/A</v>
      </c>
      <c r="C368" s="93"/>
      <c r="D368" s="101"/>
      <c r="E368" s="94"/>
      <c r="F368" s="95"/>
      <c r="G368" s="96"/>
      <c r="H368" s="96" t="b">
        <f t="shared" si="46"/>
        <v>0</v>
      </c>
      <c r="I368" s="247" t="e">
        <f t="shared" si="48"/>
        <v>#N/A</v>
      </c>
      <c r="J368" s="97">
        <v>0</v>
      </c>
      <c r="K368" s="98">
        <v>0</v>
      </c>
      <c r="L368" s="98"/>
      <c r="M368" s="98"/>
      <c r="N368" s="98">
        <f t="shared" si="49"/>
        <v>0</v>
      </c>
      <c r="O368" s="240" t="b">
        <f t="shared" si="44"/>
        <v>0</v>
      </c>
      <c r="P368" s="240" t="b">
        <f t="shared" si="45"/>
        <v>0</v>
      </c>
    </row>
    <row r="369" spans="1:16" x14ac:dyDescent="0.35">
      <c r="A369" s="92">
        <f t="shared" si="47"/>
        <v>0</v>
      </c>
      <c r="B369" s="92" t="e">
        <f>VLOOKUP(A369,[1]Hoja3!$C$3:$D$14,2,FALSE)</f>
        <v>#N/A</v>
      </c>
      <c r="C369" s="93"/>
      <c r="D369" s="101"/>
      <c r="E369" s="94"/>
      <c r="F369" s="95"/>
      <c r="G369" s="96"/>
      <c r="H369" s="96" t="b">
        <f t="shared" si="46"/>
        <v>0</v>
      </c>
      <c r="I369" s="247" t="e">
        <f t="shared" si="48"/>
        <v>#N/A</v>
      </c>
      <c r="J369" s="97">
        <v>0</v>
      </c>
      <c r="K369" s="98">
        <v>0</v>
      </c>
      <c r="L369" s="98"/>
      <c r="M369" s="98"/>
      <c r="N369" s="98">
        <f t="shared" si="49"/>
        <v>0</v>
      </c>
      <c r="O369" s="240" t="b">
        <f t="shared" si="44"/>
        <v>0</v>
      </c>
      <c r="P369" s="240" t="b">
        <f t="shared" si="45"/>
        <v>0</v>
      </c>
    </row>
    <row r="370" spans="1:16" x14ac:dyDescent="0.35">
      <c r="A370" s="92">
        <f t="shared" si="47"/>
        <v>0</v>
      </c>
      <c r="B370" s="92" t="e">
        <f>VLOOKUP(A370,[1]Hoja3!$C$3:$D$14,2,FALSE)</f>
        <v>#N/A</v>
      </c>
      <c r="C370" s="93"/>
      <c r="D370" s="101"/>
      <c r="E370" s="94"/>
      <c r="F370" s="95"/>
      <c r="G370" s="96"/>
      <c r="H370" s="96" t="b">
        <f t="shared" si="46"/>
        <v>0</v>
      </c>
      <c r="I370" s="247" t="e">
        <f t="shared" si="48"/>
        <v>#N/A</v>
      </c>
      <c r="J370" s="97">
        <v>0</v>
      </c>
      <c r="K370" s="98">
        <v>0</v>
      </c>
      <c r="L370" s="98"/>
      <c r="M370" s="98"/>
      <c r="N370" s="98">
        <f t="shared" si="49"/>
        <v>0</v>
      </c>
      <c r="O370" s="240" t="b">
        <f t="shared" si="44"/>
        <v>0</v>
      </c>
      <c r="P370" s="240" t="b">
        <f t="shared" si="45"/>
        <v>0</v>
      </c>
    </row>
    <row r="371" spans="1:16" x14ac:dyDescent="0.35">
      <c r="A371" s="92">
        <f t="shared" si="47"/>
        <v>0</v>
      </c>
      <c r="B371" s="92" t="e">
        <f>VLOOKUP(A371,[1]Hoja3!$C$3:$D$14,2,FALSE)</f>
        <v>#N/A</v>
      </c>
      <c r="C371" s="93"/>
      <c r="D371" s="101"/>
      <c r="E371" s="94"/>
      <c r="F371" s="95"/>
      <c r="G371" s="96"/>
      <c r="H371" s="96" t="b">
        <f t="shared" si="46"/>
        <v>0</v>
      </c>
      <c r="I371" s="247" t="e">
        <f t="shared" si="48"/>
        <v>#N/A</v>
      </c>
      <c r="J371" s="97">
        <v>0</v>
      </c>
      <c r="K371" s="98">
        <v>0</v>
      </c>
      <c r="L371" s="98"/>
      <c r="M371" s="98"/>
      <c r="N371" s="98">
        <f t="shared" si="49"/>
        <v>0</v>
      </c>
      <c r="O371" s="240" t="b">
        <f t="shared" si="44"/>
        <v>0</v>
      </c>
      <c r="P371" s="240" t="b">
        <f t="shared" si="45"/>
        <v>0</v>
      </c>
    </row>
    <row r="372" spans="1:16" x14ac:dyDescent="0.35">
      <c r="A372" s="92">
        <f t="shared" si="47"/>
        <v>0</v>
      </c>
      <c r="B372" s="92" t="e">
        <f>VLOOKUP(A372,[1]Hoja3!$C$3:$D$14,2,FALSE)</f>
        <v>#N/A</v>
      </c>
      <c r="C372" s="93"/>
      <c r="D372" s="101"/>
      <c r="E372" s="94"/>
      <c r="F372" s="95"/>
      <c r="G372" s="96"/>
      <c r="H372" s="96" t="b">
        <f t="shared" si="46"/>
        <v>0</v>
      </c>
      <c r="I372" s="247" t="e">
        <f t="shared" si="48"/>
        <v>#N/A</v>
      </c>
      <c r="J372" s="97">
        <v>0</v>
      </c>
      <c r="K372" s="98">
        <v>0</v>
      </c>
      <c r="L372" s="98"/>
      <c r="M372" s="98"/>
      <c r="N372" s="98">
        <f t="shared" si="49"/>
        <v>0</v>
      </c>
      <c r="O372" s="240" t="b">
        <f t="shared" si="44"/>
        <v>0</v>
      </c>
      <c r="P372" s="240" t="b">
        <f t="shared" si="45"/>
        <v>0</v>
      </c>
    </row>
    <row r="373" spans="1:16" x14ac:dyDescent="0.35">
      <c r="A373" s="92">
        <f t="shared" si="47"/>
        <v>0</v>
      </c>
      <c r="B373" s="92" t="e">
        <f>VLOOKUP(A373,[1]Hoja3!$C$3:$D$14,2,FALSE)</f>
        <v>#N/A</v>
      </c>
      <c r="C373" s="93"/>
      <c r="D373" s="101"/>
      <c r="E373" s="94"/>
      <c r="F373" s="95"/>
      <c r="G373" s="96"/>
      <c r="H373" s="96" t="b">
        <f t="shared" si="46"/>
        <v>0</v>
      </c>
      <c r="I373" s="247" t="e">
        <f t="shared" si="48"/>
        <v>#N/A</v>
      </c>
      <c r="J373" s="97">
        <v>0</v>
      </c>
      <c r="K373" s="98">
        <v>0</v>
      </c>
      <c r="L373" s="98"/>
      <c r="M373" s="98"/>
      <c r="N373" s="98">
        <f t="shared" si="49"/>
        <v>0</v>
      </c>
      <c r="O373" s="240" t="b">
        <f t="shared" si="44"/>
        <v>0</v>
      </c>
      <c r="P373" s="240" t="b">
        <f t="shared" si="45"/>
        <v>0</v>
      </c>
    </row>
    <row r="374" spans="1:16" x14ac:dyDescent="0.35">
      <c r="A374" s="92">
        <f t="shared" si="47"/>
        <v>0</v>
      </c>
      <c r="B374" s="92" t="e">
        <f>VLOOKUP(A374,[1]Hoja3!$C$3:$D$14,2,FALSE)</f>
        <v>#N/A</v>
      </c>
      <c r="C374" s="93"/>
      <c r="D374" s="101"/>
      <c r="E374" s="94"/>
      <c r="F374" s="95"/>
      <c r="G374" s="96"/>
      <c r="H374" s="96" t="b">
        <f t="shared" si="46"/>
        <v>0</v>
      </c>
      <c r="I374" s="247" t="e">
        <f t="shared" si="48"/>
        <v>#N/A</v>
      </c>
      <c r="J374" s="97">
        <v>0</v>
      </c>
      <c r="K374" s="98">
        <v>0</v>
      </c>
      <c r="L374" s="98"/>
      <c r="M374" s="98"/>
      <c r="N374" s="98">
        <f t="shared" si="49"/>
        <v>0</v>
      </c>
      <c r="O374" s="240" t="b">
        <f t="shared" si="44"/>
        <v>0</v>
      </c>
      <c r="P374" s="240" t="b">
        <f t="shared" si="45"/>
        <v>0</v>
      </c>
    </row>
    <row r="375" spans="1:16" x14ac:dyDescent="0.35">
      <c r="A375" s="92">
        <f t="shared" si="47"/>
        <v>0</v>
      </c>
      <c r="B375" s="92" t="e">
        <f>VLOOKUP(A375,[1]Hoja3!$C$3:$D$14,2,FALSE)</f>
        <v>#N/A</v>
      </c>
      <c r="C375" s="93"/>
      <c r="D375" s="101"/>
      <c r="E375" s="94"/>
      <c r="F375" s="95"/>
      <c r="G375" s="96"/>
      <c r="H375" s="96" t="b">
        <f t="shared" si="46"/>
        <v>0</v>
      </c>
      <c r="I375" s="247" t="e">
        <f t="shared" si="48"/>
        <v>#N/A</v>
      </c>
      <c r="J375" s="97">
        <v>0</v>
      </c>
      <c r="K375" s="98">
        <v>0</v>
      </c>
      <c r="L375" s="98"/>
      <c r="M375" s="98"/>
      <c r="N375" s="98">
        <f t="shared" si="49"/>
        <v>0</v>
      </c>
      <c r="O375" s="240" t="b">
        <f t="shared" si="44"/>
        <v>0</v>
      </c>
      <c r="P375" s="240" t="b">
        <f t="shared" si="45"/>
        <v>0</v>
      </c>
    </row>
    <row r="376" spans="1:16" x14ac:dyDescent="0.35">
      <c r="A376" s="92">
        <f t="shared" si="47"/>
        <v>0</v>
      </c>
      <c r="B376" s="92" t="e">
        <f>VLOOKUP(A376,[1]Hoja3!$C$3:$D$14,2,FALSE)</f>
        <v>#N/A</v>
      </c>
      <c r="C376" s="93"/>
      <c r="D376" s="101"/>
      <c r="E376" s="94"/>
      <c r="F376" s="95"/>
      <c r="G376" s="96"/>
      <c r="H376" s="96" t="b">
        <f t="shared" si="46"/>
        <v>0</v>
      </c>
      <c r="I376" s="247" t="e">
        <f t="shared" si="48"/>
        <v>#N/A</v>
      </c>
      <c r="J376" s="97">
        <v>0</v>
      </c>
      <c r="K376" s="98">
        <v>0</v>
      </c>
      <c r="L376" s="98"/>
      <c r="M376" s="98"/>
      <c r="N376" s="98">
        <f t="shared" si="49"/>
        <v>0</v>
      </c>
      <c r="O376" s="240" t="b">
        <f t="shared" si="44"/>
        <v>0</v>
      </c>
      <c r="P376" s="240" t="b">
        <f t="shared" si="45"/>
        <v>0</v>
      </c>
    </row>
    <row r="377" spans="1:16" x14ac:dyDescent="0.35">
      <c r="A377" s="92">
        <f t="shared" si="47"/>
        <v>0</v>
      </c>
      <c r="B377" s="92" t="e">
        <f>VLOOKUP(A377,[1]Hoja3!$C$3:$D$14,2,FALSE)</f>
        <v>#N/A</v>
      </c>
      <c r="C377" s="93"/>
      <c r="D377" s="101"/>
      <c r="E377" s="94"/>
      <c r="F377" s="95"/>
      <c r="G377" s="96"/>
      <c r="H377" s="96" t="b">
        <f t="shared" si="46"/>
        <v>0</v>
      </c>
      <c r="I377" s="247" t="e">
        <f t="shared" si="48"/>
        <v>#N/A</v>
      </c>
      <c r="J377" s="97">
        <v>0</v>
      </c>
      <c r="K377" s="98">
        <v>0</v>
      </c>
      <c r="L377" s="98"/>
      <c r="M377" s="98"/>
      <c r="N377" s="98">
        <f t="shared" si="49"/>
        <v>0</v>
      </c>
      <c r="O377" s="240" t="b">
        <f t="shared" si="44"/>
        <v>0</v>
      </c>
      <c r="P377" s="240" t="b">
        <f t="shared" si="45"/>
        <v>0</v>
      </c>
    </row>
    <row r="378" spans="1:16" x14ac:dyDescent="0.35">
      <c r="A378" s="92">
        <f t="shared" si="47"/>
        <v>0</v>
      </c>
      <c r="B378" s="92" t="e">
        <f>VLOOKUP(A378,[1]Hoja3!$C$3:$D$14,2,FALSE)</f>
        <v>#N/A</v>
      </c>
      <c r="C378" s="93"/>
      <c r="D378" s="101"/>
      <c r="E378" s="94"/>
      <c r="F378" s="95"/>
      <c r="G378" s="96"/>
      <c r="H378" s="96" t="b">
        <f t="shared" si="46"/>
        <v>0</v>
      </c>
      <c r="I378" s="247" t="e">
        <f t="shared" si="48"/>
        <v>#N/A</v>
      </c>
      <c r="J378" s="97">
        <v>0</v>
      </c>
      <c r="K378" s="98">
        <v>0</v>
      </c>
      <c r="L378" s="98"/>
      <c r="M378" s="98"/>
      <c r="N378" s="98">
        <f t="shared" si="49"/>
        <v>0</v>
      </c>
      <c r="O378" s="240" t="b">
        <f t="shared" si="44"/>
        <v>0</v>
      </c>
      <c r="P378" s="240" t="b">
        <f t="shared" si="45"/>
        <v>0</v>
      </c>
    </row>
    <row r="379" spans="1:16" x14ac:dyDescent="0.35">
      <c r="A379" s="92">
        <f t="shared" si="47"/>
        <v>0</v>
      </c>
      <c r="B379" s="92" t="e">
        <f>VLOOKUP(A379,[1]Hoja3!$C$3:$D$14,2,FALSE)</f>
        <v>#N/A</v>
      </c>
      <c r="C379" s="93"/>
      <c r="D379" s="101"/>
      <c r="E379" s="94"/>
      <c r="F379" s="95"/>
      <c r="G379" s="96"/>
      <c r="H379" s="96" t="b">
        <f t="shared" si="46"/>
        <v>0</v>
      </c>
      <c r="I379" s="247" t="e">
        <f t="shared" si="48"/>
        <v>#N/A</v>
      </c>
      <c r="J379" s="97">
        <v>0</v>
      </c>
      <c r="K379" s="98">
        <v>0</v>
      </c>
      <c r="L379" s="98"/>
      <c r="M379" s="98"/>
      <c r="N379" s="98">
        <f t="shared" si="49"/>
        <v>0</v>
      </c>
      <c r="O379" s="240" t="b">
        <f t="shared" si="44"/>
        <v>0</v>
      </c>
      <c r="P379" s="240" t="b">
        <f t="shared" si="45"/>
        <v>0</v>
      </c>
    </row>
    <row r="380" spans="1:16" x14ac:dyDescent="0.35">
      <c r="A380" s="92">
        <f t="shared" si="47"/>
        <v>0</v>
      </c>
      <c r="B380" s="92" t="e">
        <f>VLOOKUP(A380,[1]Hoja3!$C$3:$D$14,2,FALSE)</f>
        <v>#N/A</v>
      </c>
      <c r="C380" s="93"/>
      <c r="D380" s="101"/>
      <c r="E380" s="94"/>
      <c r="F380" s="95"/>
      <c r="G380" s="96"/>
      <c r="H380" s="96" t="b">
        <f t="shared" si="46"/>
        <v>0</v>
      </c>
      <c r="I380" s="247" t="e">
        <f t="shared" si="48"/>
        <v>#N/A</v>
      </c>
      <c r="J380" s="97">
        <v>0</v>
      </c>
      <c r="K380" s="98">
        <v>0</v>
      </c>
      <c r="L380" s="98"/>
      <c r="M380" s="98"/>
      <c r="N380" s="98">
        <f t="shared" si="49"/>
        <v>0</v>
      </c>
      <c r="O380" s="240" t="b">
        <f t="shared" si="44"/>
        <v>0</v>
      </c>
      <c r="P380" s="240" t="b">
        <f t="shared" si="45"/>
        <v>0</v>
      </c>
    </row>
    <row r="381" spans="1:16" x14ac:dyDescent="0.35">
      <c r="A381" s="92">
        <f t="shared" si="47"/>
        <v>0</v>
      </c>
      <c r="B381" s="92" t="e">
        <f>VLOOKUP(A381,[1]Hoja3!$C$3:$D$14,2,FALSE)</f>
        <v>#N/A</v>
      </c>
      <c r="C381" s="93"/>
      <c r="D381" s="101"/>
      <c r="E381" s="94"/>
      <c r="F381" s="95"/>
      <c r="G381" s="96"/>
      <c r="H381" s="96" t="b">
        <f t="shared" si="46"/>
        <v>0</v>
      </c>
      <c r="I381" s="247" t="e">
        <f t="shared" si="48"/>
        <v>#N/A</v>
      </c>
      <c r="J381" s="97">
        <v>0</v>
      </c>
      <c r="K381" s="98">
        <v>0</v>
      </c>
      <c r="L381" s="98"/>
      <c r="M381" s="98"/>
      <c r="N381" s="98">
        <f t="shared" si="49"/>
        <v>0</v>
      </c>
      <c r="O381" s="240" t="b">
        <f t="shared" ref="O381:O444" si="50">IF(G381="EFREN ABUNDEZ REYNA","37295",IF(G381="LUIS ALEJANDRO HERNANDEZ REYNA","HERL850705AL2",IF(G381="ANA BEATRIZ ESTRADA ARGOTE","37530",IF(G381="SERGIO ROMERO DURAN","RODS620908QAA",IF(G381="MARIELA OLMOS GAONA","37675",IF(G381="LUCIANO MIJAIL ORTEGA MUÑOZ","37297",IF(G381="GUSTAVO HUMBERTO VELAZCO GALVAN","VEGG9211019T1",IF(G381="JESUS AGUSTIN VELAZQUEZ FLORES","VEFJ900303M65",IF(G381="KARLA ESTEFANIA SALAZAR FLORES","SAFK9807277N1",IF(G381="ANGEL TERRAZAS MONROY","TEMA7105035N4"))))))))))</f>
        <v>0</v>
      </c>
      <c r="P381" s="240" t="b">
        <f t="shared" ref="P381:P444" si="51">IF(G381="EFREN ABUNDEZ REYNA","PFAEP",IF(G381="LUIS ALEJANDRO HERNANDEZ REYNA","HERL850705AL2",IF(G381="ANA BEATRIZ ESTRADA ARGOTE","RIF",IF(G381="SERGIO ROMERO DURAN","RODS620908QAA",IF(G381="MARIELA OLMOS GAONA","RESICO",IF(G381="LUCIANO MIJAIL ORTEGA MUÑOZ","RIF",IF(G381="GUSTAVO HUMBERTO VELAZCO GALVAN","VEGG9211019T1",IF(G381="JESUS AGUSTIN VELAZQUEZ FLORES","VEFJ900303M65",IF(G381="KARLA ESTEFANIA SALAZAR FLORES","SAFK9807277N1",IF(G381="ANGEL TERRAZAS MONROY","TEMA7105035N4"))))))))))</f>
        <v>0</v>
      </c>
    </row>
    <row r="382" spans="1:16" x14ac:dyDescent="0.35">
      <c r="A382" s="92">
        <f t="shared" si="47"/>
        <v>0</v>
      </c>
      <c r="B382" s="92" t="e">
        <f>VLOOKUP(A382,[1]Hoja3!$C$3:$D$14,2,FALSE)</f>
        <v>#N/A</v>
      </c>
      <c r="C382" s="93"/>
      <c r="D382" s="101"/>
      <c r="E382" s="94"/>
      <c r="F382" s="95"/>
      <c r="G382" s="96"/>
      <c r="H382" s="96" t="b">
        <f t="shared" si="46"/>
        <v>0</v>
      </c>
      <c r="I382" s="247" t="e">
        <f t="shared" si="48"/>
        <v>#N/A</v>
      </c>
      <c r="J382" s="97">
        <v>0</v>
      </c>
      <c r="K382" s="98">
        <v>0</v>
      </c>
      <c r="L382" s="98"/>
      <c r="M382" s="98"/>
      <c r="N382" s="98">
        <f t="shared" si="49"/>
        <v>0</v>
      </c>
      <c r="O382" s="240" t="b">
        <f t="shared" si="50"/>
        <v>0</v>
      </c>
      <c r="P382" s="240" t="b">
        <f t="shared" si="51"/>
        <v>0</v>
      </c>
    </row>
    <row r="383" spans="1:16" x14ac:dyDescent="0.35">
      <c r="A383" s="92">
        <f t="shared" si="47"/>
        <v>0</v>
      </c>
      <c r="B383" s="92" t="e">
        <f>VLOOKUP(A383,[1]Hoja3!$C$3:$D$14,2,FALSE)</f>
        <v>#N/A</v>
      </c>
      <c r="C383" s="93"/>
      <c r="D383" s="101"/>
      <c r="E383" s="94"/>
      <c r="F383" s="95"/>
      <c r="G383" s="96"/>
      <c r="H383" s="96" t="b">
        <f t="shared" si="46"/>
        <v>0</v>
      </c>
      <c r="I383" s="247" t="e">
        <f t="shared" si="48"/>
        <v>#N/A</v>
      </c>
      <c r="J383" s="97">
        <v>0</v>
      </c>
      <c r="K383" s="98">
        <v>0</v>
      </c>
      <c r="L383" s="98"/>
      <c r="M383" s="98"/>
      <c r="N383" s="98">
        <f t="shared" si="49"/>
        <v>0</v>
      </c>
      <c r="O383" s="240" t="b">
        <f t="shared" si="50"/>
        <v>0</v>
      </c>
      <c r="P383" s="240" t="b">
        <f t="shared" si="51"/>
        <v>0</v>
      </c>
    </row>
    <row r="384" spans="1:16" x14ac:dyDescent="0.35">
      <c r="A384" s="92">
        <f t="shared" si="47"/>
        <v>0</v>
      </c>
      <c r="B384" s="92" t="e">
        <f>VLOOKUP(A384,[1]Hoja3!$C$3:$D$14,2,FALSE)</f>
        <v>#N/A</v>
      </c>
      <c r="C384" s="93"/>
      <c r="D384" s="101"/>
      <c r="E384" s="94"/>
      <c r="F384" s="95"/>
      <c r="G384" s="96"/>
      <c r="H384" s="96" t="b">
        <f t="shared" si="46"/>
        <v>0</v>
      </c>
      <c r="I384" s="247" t="e">
        <f t="shared" si="48"/>
        <v>#N/A</v>
      </c>
      <c r="J384" s="97">
        <v>0</v>
      </c>
      <c r="K384" s="98">
        <v>0</v>
      </c>
      <c r="L384" s="98"/>
      <c r="M384" s="98"/>
      <c r="N384" s="98">
        <f t="shared" si="49"/>
        <v>0</v>
      </c>
      <c r="O384" s="240" t="b">
        <f t="shared" si="50"/>
        <v>0</v>
      </c>
      <c r="P384" s="240" t="b">
        <f t="shared" si="51"/>
        <v>0</v>
      </c>
    </row>
    <row r="385" spans="1:16" x14ac:dyDescent="0.35">
      <c r="A385" s="92">
        <f t="shared" si="47"/>
        <v>0</v>
      </c>
      <c r="B385" s="92" t="e">
        <f>VLOOKUP(A385,[1]Hoja3!$C$3:$D$14,2,FALSE)</f>
        <v>#N/A</v>
      </c>
      <c r="C385" s="93"/>
      <c r="D385" s="101"/>
      <c r="E385" s="94"/>
      <c r="F385" s="95"/>
      <c r="G385" s="96"/>
      <c r="H385" s="96" t="b">
        <f t="shared" si="46"/>
        <v>0</v>
      </c>
      <c r="I385" s="247" t="e">
        <f t="shared" si="48"/>
        <v>#N/A</v>
      </c>
      <c r="J385" s="97">
        <v>0</v>
      </c>
      <c r="K385" s="98">
        <v>0</v>
      </c>
      <c r="L385" s="98"/>
      <c r="M385" s="98"/>
      <c r="N385" s="98">
        <f t="shared" si="49"/>
        <v>0</v>
      </c>
      <c r="O385" s="240" t="b">
        <f t="shared" si="50"/>
        <v>0</v>
      </c>
      <c r="P385" s="240" t="b">
        <f t="shared" si="51"/>
        <v>0</v>
      </c>
    </row>
    <row r="386" spans="1:16" x14ac:dyDescent="0.35">
      <c r="A386" s="92">
        <f t="shared" si="47"/>
        <v>0</v>
      </c>
      <c r="B386" s="92" t="e">
        <f>VLOOKUP(A386,[1]Hoja3!$C$3:$D$14,2,FALSE)</f>
        <v>#N/A</v>
      </c>
      <c r="C386" s="93"/>
      <c r="D386" s="101"/>
      <c r="E386" s="94"/>
      <c r="F386" s="95"/>
      <c r="G386" s="96"/>
      <c r="H386" s="96" t="b">
        <f t="shared" si="46"/>
        <v>0</v>
      </c>
      <c r="I386" s="247" t="e">
        <f t="shared" si="48"/>
        <v>#N/A</v>
      </c>
      <c r="J386" s="97">
        <v>0</v>
      </c>
      <c r="K386" s="98">
        <v>0</v>
      </c>
      <c r="L386" s="98"/>
      <c r="M386" s="98"/>
      <c r="N386" s="98">
        <f t="shared" si="49"/>
        <v>0</v>
      </c>
      <c r="O386" s="240" t="b">
        <f t="shared" si="50"/>
        <v>0</v>
      </c>
      <c r="P386" s="240" t="b">
        <f t="shared" si="51"/>
        <v>0</v>
      </c>
    </row>
    <row r="387" spans="1:16" x14ac:dyDescent="0.35">
      <c r="A387" s="92">
        <f t="shared" si="47"/>
        <v>0</v>
      </c>
      <c r="B387" s="92" t="e">
        <f>VLOOKUP(A387,[1]Hoja3!$C$3:$D$14,2,FALSE)</f>
        <v>#N/A</v>
      </c>
      <c r="C387" s="93"/>
      <c r="D387" s="101"/>
      <c r="E387" s="94"/>
      <c r="F387" s="95"/>
      <c r="G387" s="96"/>
      <c r="H387" s="96" t="b">
        <f t="shared" si="46"/>
        <v>0</v>
      </c>
      <c r="I387" s="247" t="e">
        <f t="shared" si="48"/>
        <v>#N/A</v>
      </c>
      <c r="J387" s="97">
        <v>0</v>
      </c>
      <c r="K387" s="98">
        <v>0</v>
      </c>
      <c r="L387" s="98"/>
      <c r="M387" s="98"/>
      <c r="N387" s="98">
        <f t="shared" si="49"/>
        <v>0</v>
      </c>
      <c r="O387" s="240" t="b">
        <f t="shared" si="50"/>
        <v>0</v>
      </c>
      <c r="P387" s="240" t="b">
        <f t="shared" si="51"/>
        <v>0</v>
      </c>
    </row>
    <row r="388" spans="1:16" x14ac:dyDescent="0.35">
      <c r="A388" s="92">
        <f t="shared" si="47"/>
        <v>0</v>
      </c>
      <c r="B388" s="92" t="e">
        <f>VLOOKUP(A388,[1]Hoja3!$C$3:$D$14,2,FALSE)</f>
        <v>#N/A</v>
      </c>
      <c r="C388" s="93"/>
      <c r="D388" s="101"/>
      <c r="E388" s="94"/>
      <c r="F388" s="95"/>
      <c r="G388" s="96"/>
      <c r="H388" s="96" t="b">
        <f t="shared" si="46"/>
        <v>0</v>
      </c>
      <c r="I388" s="247" t="e">
        <f t="shared" si="48"/>
        <v>#N/A</v>
      </c>
      <c r="J388" s="97">
        <v>0</v>
      </c>
      <c r="K388" s="98">
        <v>0</v>
      </c>
      <c r="L388" s="98"/>
      <c r="M388" s="98"/>
      <c r="N388" s="98">
        <f t="shared" si="49"/>
        <v>0</v>
      </c>
      <c r="O388" s="240" t="b">
        <f t="shared" si="50"/>
        <v>0</v>
      </c>
      <c r="P388" s="240" t="b">
        <f t="shared" si="51"/>
        <v>0</v>
      </c>
    </row>
    <row r="389" spans="1:16" x14ac:dyDescent="0.35">
      <c r="A389" s="92">
        <f t="shared" si="47"/>
        <v>0</v>
      </c>
      <c r="B389" s="92" t="e">
        <f>VLOOKUP(A389,[1]Hoja3!$C$3:$D$14,2,FALSE)</f>
        <v>#N/A</v>
      </c>
      <c r="C389" s="93"/>
      <c r="D389" s="101"/>
      <c r="E389" s="94"/>
      <c r="F389" s="95"/>
      <c r="G389" s="96"/>
      <c r="H389" s="96" t="b">
        <f t="shared" si="46"/>
        <v>0</v>
      </c>
      <c r="I389" s="247" t="e">
        <f t="shared" si="48"/>
        <v>#N/A</v>
      </c>
      <c r="J389" s="97">
        <v>0</v>
      </c>
      <c r="K389" s="98">
        <v>0</v>
      </c>
      <c r="L389" s="98"/>
      <c r="M389" s="98"/>
      <c r="N389" s="98">
        <f t="shared" si="49"/>
        <v>0</v>
      </c>
      <c r="O389" s="240" t="b">
        <f t="shared" si="50"/>
        <v>0</v>
      </c>
      <c r="P389" s="240" t="b">
        <f t="shared" si="51"/>
        <v>0</v>
      </c>
    </row>
    <row r="390" spans="1:16" x14ac:dyDescent="0.35">
      <c r="A390" s="92">
        <f t="shared" si="47"/>
        <v>0</v>
      </c>
      <c r="B390" s="92" t="e">
        <f>VLOOKUP(A390,[1]Hoja3!$C$3:$D$14,2,FALSE)</f>
        <v>#N/A</v>
      </c>
      <c r="C390" s="93"/>
      <c r="D390" s="101"/>
      <c r="E390" s="94"/>
      <c r="F390" s="95"/>
      <c r="G390" s="96"/>
      <c r="H390" s="96" t="b">
        <f t="shared" si="46"/>
        <v>0</v>
      </c>
      <c r="I390" s="247" t="e">
        <f t="shared" si="48"/>
        <v>#N/A</v>
      </c>
      <c r="J390" s="97">
        <v>0</v>
      </c>
      <c r="K390" s="98">
        <v>0</v>
      </c>
      <c r="L390" s="98"/>
      <c r="M390" s="98"/>
      <c r="N390" s="98">
        <f t="shared" si="49"/>
        <v>0</v>
      </c>
      <c r="O390" s="240" t="b">
        <f t="shared" si="50"/>
        <v>0</v>
      </c>
      <c r="P390" s="240" t="b">
        <f t="shared" si="51"/>
        <v>0</v>
      </c>
    </row>
    <row r="391" spans="1:16" x14ac:dyDescent="0.35">
      <c r="A391" s="92">
        <f t="shared" si="47"/>
        <v>0</v>
      </c>
      <c r="B391" s="92" t="e">
        <f>VLOOKUP(A391,[1]Hoja3!$C$3:$D$14,2,FALSE)</f>
        <v>#N/A</v>
      </c>
      <c r="C391" s="93"/>
      <c r="D391" s="101"/>
      <c r="E391" s="94"/>
      <c r="F391" s="95"/>
      <c r="G391" s="96"/>
      <c r="H391" s="96" t="b">
        <f t="shared" si="46"/>
        <v>0</v>
      </c>
      <c r="I391" s="247" t="e">
        <f t="shared" si="48"/>
        <v>#N/A</v>
      </c>
      <c r="J391" s="97">
        <v>0</v>
      </c>
      <c r="K391" s="98">
        <v>0</v>
      </c>
      <c r="L391" s="98"/>
      <c r="M391" s="98"/>
      <c r="N391" s="98">
        <f t="shared" si="49"/>
        <v>0</v>
      </c>
      <c r="O391" s="240" t="b">
        <f t="shared" si="50"/>
        <v>0</v>
      </c>
      <c r="P391" s="240" t="b">
        <f t="shared" si="51"/>
        <v>0</v>
      </c>
    </row>
    <row r="392" spans="1:16" x14ac:dyDescent="0.35">
      <c r="A392" s="92">
        <f t="shared" si="47"/>
        <v>0</v>
      </c>
      <c r="B392" s="92" t="e">
        <f>VLOOKUP(A392,[1]Hoja3!$C$3:$D$14,2,FALSE)</f>
        <v>#N/A</v>
      </c>
      <c r="C392" s="93"/>
      <c r="D392" s="101"/>
      <c r="E392" s="94"/>
      <c r="F392" s="95"/>
      <c r="G392" s="96"/>
      <c r="H392" s="96" t="b">
        <f t="shared" si="46"/>
        <v>0</v>
      </c>
      <c r="I392" s="247" t="e">
        <f t="shared" si="48"/>
        <v>#N/A</v>
      </c>
      <c r="J392" s="97">
        <v>0</v>
      </c>
      <c r="K392" s="98">
        <v>0</v>
      </c>
      <c r="L392" s="98"/>
      <c r="M392" s="98"/>
      <c r="N392" s="98">
        <f t="shared" si="49"/>
        <v>0</v>
      </c>
      <c r="O392" s="240" t="b">
        <f t="shared" si="50"/>
        <v>0</v>
      </c>
      <c r="P392" s="240" t="b">
        <f t="shared" si="51"/>
        <v>0</v>
      </c>
    </row>
    <row r="393" spans="1:16" x14ac:dyDescent="0.35">
      <c r="A393" s="92">
        <f t="shared" si="47"/>
        <v>0</v>
      </c>
      <c r="B393" s="92" t="e">
        <f>VLOOKUP(A393,[1]Hoja3!$C$3:$D$14,2,FALSE)</f>
        <v>#N/A</v>
      </c>
      <c r="C393" s="93"/>
      <c r="D393" s="101"/>
      <c r="E393" s="94"/>
      <c r="F393" s="95"/>
      <c r="G393" s="96"/>
      <c r="H393" s="96" t="b">
        <f t="shared" si="46"/>
        <v>0</v>
      </c>
      <c r="I393" s="247" t="e">
        <f t="shared" si="48"/>
        <v>#N/A</v>
      </c>
      <c r="J393" s="97">
        <v>0</v>
      </c>
      <c r="K393" s="98">
        <v>0</v>
      </c>
      <c r="L393" s="98"/>
      <c r="M393" s="98"/>
      <c r="N393" s="98">
        <f t="shared" si="49"/>
        <v>0</v>
      </c>
      <c r="O393" s="240" t="b">
        <f t="shared" si="50"/>
        <v>0</v>
      </c>
      <c r="P393" s="240" t="b">
        <f t="shared" si="51"/>
        <v>0</v>
      </c>
    </row>
    <row r="394" spans="1:16" x14ac:dyDescent="0.35">
      <c r="A394" s="92">
        <f t="shared" si="47"/>
        <v>0</v>
      </c>
      <c r="B394" s="92" t="e">
        <f>VLOOKUP(A394,[1]Hoja3!$C$3:$D$14,2,FALSE)</f>
        <v>#N/A</v>
      </c>
      <c r="C394" s="93"/>
      <c r="D394" s="101"/>
      <c r="E394" s="94"/>
      <c r="F394" s="95"/>
      <c r="G394" s="96"/>
      <c r="H394" s="96" t="b">
        <f t="shared" si="46"/>
        <v>0</v>
      </c>
      <c r="I394" s="247" t="e">
        <f t="shared" si="48"/>
        <v>#N/A</v>
      </c>
      <c r="J394" s="97">
        <v>0</v>
      </c>
      <c r="K394" s="98">
        <v>0</v>
      </c>
      <c r="L394" s="98"/>
      <c r="M394" s="98"/>
      <c r="N394" s="98">
        <f t="shared" si="49"/>
        <v>0</v>
      </c>
      <c r="O394" s="240" t="b">
        <f t="shared" si="50"/>
        <v>0</v>
      </c>
      <c r="P394" s="240" t="b">
        <f t="shared" si="51"/>
        <v>0</v>
      </c>
    </row>
    <row r="395" spans="1:16" x14ac:dyDescent="0.35">
      <c r="A395" s="92">
        <f t="shared" si="47"/>
        <v>0</v>
      </c>
      <c r="B395" s="92" t="e">
        <f>VLOOKUP(A395,[1]Hoja3!$C$3:$D$14,2,FALSE)</f>
        <v>#N/A</v>
      </c>
      <c r="C395" s="93"/>
      <c r="D395" s="101"/>
      <c r="E395" s="94"/>
      <c r="F395" s="95"/>
      <c r="G395" s="96"/>
      <c r="H395" s="96" t="b">
        <f t="shared" si="46"/>
        <v>0</v>
      </c>
      <c r="I395" s="247" t="e">
        <f t="shared" si="48"/>
        <v>#N/A</v>
      </c>
      <c r="J395" s="97">
        <v>0</v>
      </c>
      <c r="K395" s="98">
        <v>0</v>
      </c>
      <c r="L395" s="98"/>
      <c r="M395" s="98"/>
      <c r="N395" s="98">
        <f t="shared" si="49"/>
        <v>0</v>
      </c>
      <c r="O395" s="240" t="b">
        <f t="shared" si="50"/>
        <v>0</v>
      </c>
      <c r="P395" s="240" t="b">
        <f t="shared" si="51"/>
        <v>0</v>
      </c>
    </row>
    <row r="396" spans="1:16" x14ac:dyDescent="0.35">
      <c r="A396" s="92">
        <f t="shared" si="47"/>
        <v>0</v>
      </c>
      <c r="B396" s="92" t="e">
        <f>VLOOKUP(A396,[1]Hoja3!$C$3:$D$14,2,FALSE)</f>
        <v>#N/A</v>
      </c>
      <c r="C396" s="93"/>
      <c r="D396" s="101"/>
      <c r="E396" s="94"/>
      <c r="F396" s="95"/>
      <c r="G396" s="96"/>
      <c r="H396" s="96" t="b">
        <f t="shared" si="46"/>
        <v>0</v>
      </c>
      <c r="I396" s="247" t="e">
        <f t="shared" si="48"/>
        <v>#N/A</v>
      </c>
      <c r="J396" s="97">
        <v>0</v>
      </c>
      <c r="K396" s="98">
        <v>0</v>
      </c>
      <c r="L396" s="98"/>
      <c r="M396" s="98"/>
      <c r="N396" s="98">
        <f t="shared" si="49"/>
        <v>0</v>
      </c>
      <c r="O396" s="240" t="b">
        <f t="shared" si="50"/>
        <v>0</v>
      </c>
      <c r="P396" s="240" t="b">
        <f t="shared" si="51"/>
        <v>0</v>
      </c>
    </row>
    <row r="397" spans="1:16" x14ac:dyDescent="0.35">
      <c r="A397" s="92">
        <f t="shared" si="47"/>
        <v>0</v>
      </c>
      <c r="B397" s="92" t="e">
        <f>VLOOKUP(A397,[1]Hoja3!$C$3:$D$14,2,FALSE)</f>
        <v>#N/A</v>
      </c>
      <c r="C397" s="93"/>
      <c r="D397" s="101"/>
      <c r="E397" s="94"/>
      <c r="F397" s="95"/>
      <c r="G397" s="96"/>
      <c r="H397" s="96" t="b">
        <f t="shared" si="46"/>
        <v>0</v>
      </c>
      <c r="I397" s="247" t="e">
        <f t="shared" si="48"/>
        <v>#N/A</v>
      </c>
      <c r="J397" s="97">
        <v>0</v>
      </c>
      <c r="K397" s="98">
        <v>0</v>
      </c>
      <c r="L397" s="98"/>
      <c r="M397" s="98"/>
      <c r="N397" s="98">
        <f t="shared" si="49"/>
        <v>0</v>
      </c>
      <c r="O397" s="240" t="b">
        <f t="shared" si="50"/>
        <v>0</v>
      </c>
      <c r="P397" s="240" t="b">
        <f t="shared" si="51"/>
        <v>0</v>
      </c>
    </row>
    <row r="398" spans="1:16" x14ac:dyDescent="0.35">
      <c r="A398" s="92">
        <f t="shared" si="47"/>
        <v>0</v>
      </c>
      <c r="B398" s="92" t="e">
        <f>VLOOKUP(A398,[1]Hoja3!$C$3:$D$14,2,FALSE)</f>
        <v>#N/A</v>
      </c>
      <c r="C398" s="93"/>
      <c r="D398" s="101"/>
      <c r="E398" s="94"/>
      <c r="F398" s="95"/>
      <c r="G398" s="96"/>
      <c r="H398" s="96" t="b">
        <f t="shared" si="46"/>
        <v>0</v>
      </c>
      <c r="I398" s="247" t="e">
        <f t="shared" si="48"/>
        <v>#N/A</v>
      </c>
      <c r="J398" s="97">
        <v>0</v>
      </c>
      <c r="K398" s="98">
        <v>0</v>
      </c>
      <c r="L398" s="98"/>
      <c r="M398" s="98"/>
      <c r="N398" s="98">
        <f t="shared" si="49"/>
        <v>0</v>
      </c>
      <c r="O398" s="240" t="b">
        <f t="shared" si="50"/>
        <v>0</v>
      </c>
      <c r="P398" s="240" t="b">
        <f t="shared" si="51"/>
        <v>0</v>
      </c>
    </row>
    <row r="399" spans="1:16" x14ac:dyDescent="0.35">
      <c r="A399" s="92">
        <f t="shared" si="47"/>
        <v>0</v>
      </c>
      <c r="B399" s="92" t="e">
        <f>VLOOKUP(A399,[1]Hoja3!$C$3:$D$14,2,FALSE)</f>
        <v>#N/A</v>
      </c>
      <c r="C399" s="93"/>
      <c r="D399" s="101"/>
      <c r="E399" s="94"/>
      <c r="F399" s="95"/>
      <c r="G399" s="96"/>
      <c r="H399" s="96" t="b">
        <f t="shared" si="46"/>
        <v>0</v>
      </c>
      <c r="I399" s="247" t="e">
        <f t="shared" si="48"/>
        <v>#N/A</v>
      </c>
      <c r="J399" s="97">
        <v>0</v>
      </c>
      <c r="K399" s="98">
        <v>0</v>
      </c>
      <c r="L399" s="98"/>
      <c r="M399" s="98"/>
      <c r="N399" s="98">
        <f t="shared" si="49"/>
        <v>0</v>
      </c>
      <c r="O399" s="240" t="b">
        <f t="shared" si="50"/>
        <v>0</v>
      </c>
      <c r="P399" s="240" t="b">
        <f t="shared" si="51"/>
        <v>0</v>
      </c>
    </row>
    <row r="400" spans="1:16" x14ac:dyDescent="0.35">
      <c r="A400" s="92">
        <f t="shared" si="47"/>
        <v>0</v>
      </c>
      <c r="B400" s="92" t="e">
        <f>VLOOKUP(A400,[1]Hoja3!$C$3:$D$14,2,FALSE)</f>
        <v>#N/A</v>
      </c>
      <c r="C400" s="93"/>
      <c r="D400" s="101"/>
      <c r="E400" s="94"/>
      <c r="F400" s="95"/>
      <c r="G400" s="96"/>
      <c r="H400" s="96" t="b">
        <f t="shared" ref="H400:H463" si="52">IF(G400="EFREN ABUNDEZ REYNA","AURE7306187IA",IF(G400="LUIS ALEJANDRO HERNANDEZ REYNA","HERL850705AL2",IF(G400="ANA BEATRIZ ESTRADA ARGOTE","EAAA860701UP2",IF(G400="SERGIO ROMERO DURAN","RODS620908QAA",IF(G400="MARIELA OLMOS GAONA","OOGM010703NX1",IF(G400="LUCIANO MIJAIL ORTEGA MUÑOZ","OEML881105IK2",IF(G400="GUSTAVO HUMBERTO VELAZCO GALVAN","VEGG9211019T1",IF(G400="JESUS AGUSTIN VELAZQUEZ FLORES","VEFJ900303M65",IF(G400="KARLA ESTEFANIA SALAZAR FLORES","SAFK9807277N1",IF(G400="ANGEL TERRAZAS MONROY","TEMA7105035N4"))))))))))</f>
        <v>0</v>
      </c>
      <c r="I400" s="247" t="e">
        <f t="shared" si="48"/>
        <v>#N/A</v>
      </c>
      <c r="J400" s="97">
        <v>0</v>
      </c>
      <c r="K400" s="98">
        <v>0</v>
      </c>
      <c r="L400" s="98"/>
      <c r="M400" s="98"/>
      <c r="N400" s="98">
        <f t="shared" si="49"/>
        <v>0</v>
      </c>
      <c r="O400" s="240" t="b">
        <f t="shared" si="50"/>
        <v>0</v>
      </c>
      <c r="P400" s="240" t="b">
        <f t="shared" si="51"/>
        <v>0</v>
      </c>
    </row>
    <row r="401" spans="1:16" x14ac:dyDescent="0.35">
      <c r="A401" s="92">
        <f t="shared" si="47"/>
        <v>0</v>
      </c>
      <c r="B401" s="92" t="e">
        <f>VLOOKUP(A401,[1]Hoja3!$C$3:$D$14,2,FALSE)</f>
        <v>#N/A</v>
      </c>
      <c r="C401" s="93"/>
      <c r="D401" s="101"/>
      <c r="E401" s="94"/>
      <c r="F401" s="95"/>
      <c r="G401" s="96"/>
      <c r="H401" s="96" t="b">
        <f t="shared" si="52"/>
        <v>0</v>
      </c>
      <c r="I401" s="247" t="e">
        <f t="shared" si="48"/>
        <v>#N/A</v>
      </c>
      <c r="J401" s="97">
        <v>0</v>
      </c>
      <c r="K401" s="98">
        <v>0</v>
      </c>
      <c r="L401" s="98"/>
      <c r="M401" s="98"/>
      <c r="N401" s="98">
        <f t="shared" si="49"/>
        <v>0</v>
      </c>
      <c r="O401" s="240" t="b">
        <f t="shared" si="50"/>
        <v>0</v>
      </c>
      <c r="P401" s="240" t="b">
        <f t="shared" si="51"/>
        <v>0</v>
      </c>
    </row>
    <row r="402" spans="1:16" x14ac:dyDescent="0.35">
      <c r="A402" s="92">
        <f t="shared" si="47"/>
        <v>0</v>
      </c>
      <c r="B402" s="92" t="e">
        <f>VLOOKUP(A402,[1]Hoja3!$C$3:$D$14,2,FALSE)</f>
        <v>#N/A</v>
      </c>
      <c r="C402" s="93"/>
      <c r="D402" s="101"/>
      <c r="E402" s="94"/>
      <c r="F402" s="95"/>
      <c r="G402" s="96"/>
      <c r="H402" s="96" t="b">
        <f t="shared" si="52"/>
        <v>0</v>
      </c>
      <c r="I402" s="247" t="e">
        <f t="shared" si="48"/>
        <v>#N/A</v>
      </c>
      <c r="J402" s="97">
        <v>0</v>
      </c>
      <c r="K402" s="98">
        <v>0</v>
      </c>
      <c r="L402" s="98"/>
      <c r="M402" s="98"/>
      <c r="N402" s="98">
        <f t="shared" si="49"/>
        <v>0</v>
      </c>
      <c r="O402" s="240" t="b">
        <f t="shared" si="50"/>
        <v>0</v>
      </c>
      <c r="P402" s="240" t="b">
        <f t="shared" si="51"/>
        <v>0</v>
      </c>
    </row>
    <row r="403" spans="1:16" x14ac:dyDescent="0.35">
      <c r="A403" s="92">
        <f t="shared" si="47"/>
        <v>0</v>
      </c>
      <c r="B403" s="92" t="e">
        <f>VLOOKUP(A403,[1]Hoja3!$C$3:$D$14,2,FALSE)</f>
        <v>#N/A</v>
      </c>
      <c r="C403" s="93"/>
      <c r="D403" s="101"/>
      <c r="E403" s="94"/>
      <c r="F403" s="95"/>
      <c r="G403" s="96"/>
      <c r="H403" s="96" t="b">
        <f t="shared" si="52"/>
        <v>0</v>
      </c>
      <c r="I403" s="247" t="e">
        <f t="shared" si="48"/>
        <v>#N/A</v>
      </c>
      <c r="J403" s="97">
        <v>0</v>
      </c>
      <c r="K403" s="98">
        <v>0</v>
      </c>
      <c r="L403" s="98"/>
      <c r="M403" s="98"/>
      <c r="N403" s="98">
        <f t="shared" si="49"/>
        <v>0</v>
      </c>
      <c r="O403" s="240" t="b">
        <f t="shared" si="50"/>
        <v>0</v>
      </c>
      <c r="P403" s="240" t="b">
        <f t="shared" si="51"/>
        <v>0</v>
      </c>
    </row>
    <row r="404" spans="1:16" x14ac:dyDescent="0.35">
      <c r="A404" s="92">
        <f t="shared" si="47"/>
        <v>0</v>
      </c>
      <c r="B404" s="92" t="e">
        <f>VLOOKUP(A404,[1]Hoja3!$C$3:$D$14,2,FALSE)</f>
        <v>#N/A</v>
      </c>
      <c r="C404" s="93"/>
      <c r="D404" s="101"/>
      <c r="E404" s="94"/>
      <c r="F404" s="95"/>
      <c r="G404" s="96"/>
      <c r="H404" s="96" t="b">
        <f t="shared" si="52"/>
        <v>0</v>
      </c>
      <c r="I404" s="247" t="e">
        <f t="shared" si="48"/>
        <v>#N/A</v>
      </c>
      <c r="J404" s="97">
        <v>0</v>
      </c>
      <c r="K404" s="98">
        <v>0</v>
      </c>
      <c r="L404" s="98"/>
      <c r="M404" s="98"/>
      <c r="N404" s="98">
        <f t="shared" si="49"/>
        <v>0</v>
      </c>
      <c r="O404" s="240" t="b">
        <f t="shared" si="50"/>
        <v>0</v>
      </c>
      <c r="P404" s="240" t="b">
        <f t="shared" si="51"/>
        <v>0</v>
      </c>
    </row>
    <row r="405" spans="1:16" x14ac:dyDescent="0.35">
      <c r="A405" s="92">
        <f t="shared" si="47"/>
        <v>0</v>
      </c>
      <c r="B405" s="92" t="e">
        <f>VLOOKUP(A405,[1]Hoja3!$C$3:$D$14,2,FALSE)</f>
        <v>#N/A</v>
      </c>
      <c r="C405" s="93"/>
      <c r="D405" s="101"/>
      <c r="E405" s="94"/>
      <c r="F405" s="95"/>
      <c r="G405" s="96"/>
      <c r="H405" s="96" t="b">
        <f t="shared" si="52"/>
        <v>0</v>
      </c>
      <c r="I405" s="247" t="e">
        <f t="shared" si="48"/>
        <v>#N/A</v>
      </c>
      <c r="J405" s="97">
        <v>0</v>
      </c>
      <c r="K405" s="98">
        <v>0</v>
      </c>
      <c r="L405" s="98"/>
      <c r="M405" s="98"/>
      <c r="N405" s="98">
        <f t="shared" si="49"/>
        <v>0</v>
      </c>
      <c r="O405" s="240" t="b">
        <f t="shared" si="50"/>
        <v>0</v>
      </c>
      <c r="P405" s="240" t="b">
        <f t="shared" si="51"/>
        <v>0</v>
      </c>
    </row>
    <row r="406" spans="1:16" x14ac:dyDescent="0.35">
      <c r="A406" s="92">
        <f t="shared" si="47"/>
        <v>0</v>
      </c>
      <c r="B406" s="92" t="e">
        <f>VLOOKUP(A406,[1]Hoja3!$C$3:$D$14,2,FALSE)</f>
        <v>#N/A</v>
      </c>
      <c r="C406" s="93"/>
      <c r="D406" s="101"/>
      <c r="E406" s="94"/>
      <c r="F406" s="95"/>
      <c r="G406" s="96"/>
      <c r="H406" s="96" t="b">
        <f t="shared" si="52"/>
        <v>0</v>
      </c>
      <c r="I406" s="247" t="e">
        <f t="shared" si="48"/>
        <v>#N/A</v>
      </c>
      <c r="J406" s="97">
        <v>0</v>
      </c>
      <c r="K406" s="98">
        <v>0</v>
      </c>
      <c r="L406" s="98"/>
      <c r="M406" s="98"/>
      <c r="N406" s="98">
        <f t="shared" si="49"/>
        <v>0</v>
      </c>
      <c r="O406" s="240" t="b">
        <f t="shared" si="50"/>
        <v>0</v>
      </c>
      <c r="P406" s="240" t="b">
        <f t="shared" si="51"/>
        <v>0</v>
      </c>
    </row>
    <row r="407" spans="1:16" x14ac:dyDescent="0.35">
      <c r="A407" s="92">
        <f t="shared" si="47"/>
        <v>0</v>
      </c>
      <c r="B407" s="92" t="e">
        <f>VLOOKUP(A407,[1]Hoja3!$C$3:$D$14,2,FALSE)</f>
        <v>#N/A</v>
      </c>
      <c r="C407" s="93"/>
      <c r="D407" s="101"/>
      <c r="E407" s="94"/>
      <c r="F407" s="95"/>
      <c r="G407" s="96"/>
      <c r="H407" s="96" t="b">
        <f t="shared" si="52"/>
        <v>0</v>
      </c>
      <c r="I407" s="247" t="e">
        <f t="shared" si="48"/>
        <v>#N/A</v>
      </c>
      <c r="J407" s="97">
        <v>0</v>
      </c>
      <c r="K407" s="98">
        <v>0</v>
      </c>
      <c r="L407" s="98"/>
      <c r="M407" s="98"/>
      <c r="N407" s="98">
        <f t="shared" si="49"/>
        <v>0</v>
      </c>
      <c r="O407" s="240" t="b">
        <f t="shared" si="50"/>
        <v>0</v>
      </c>
      <c r="P407" s="240" t="b">
        <f t="shared" si="51"/>
        <v>0</v>
      </c>
    </row>
    <row r="408" spans="1:16" x14ac:dyDescent="0.35">
      <c r="A408" s="92">
        <f t="shared" si="47"/>
        <v>0</v>
      </c>
      <c r="B408" s="92" t="e">
        <f>VLOOKUP(A408,[1]Hoja3!$C$3:$D$14,2,FALSE)</f>
        <v>#N/A</v>
      </c>
      <c r="C408" s="93"/>
      <c r="D408" s="101"/>
      <c r="E408" s="94"/>
      <c r="F408" s="95"/>
      <c r="G408" s="96"/>
      <c r="H408" s="96" t="b">
        <f t="shared" si="52"/>
        <v>0</v>
      </c>
      <c r="I408" s="247" t="e">
        <f t="shared" si="48"/>
        <v>#N/A</v>
      </c>
      <c r="J408" s="97">
        <v>0</v>
      </c>
      <c r="K408" s="98">
        <v>0</v>
      </c>
      <c r="L408" s="98"/>
      <c r="M408" s="98"/>
      <c r="N408" s="98">
        <f t="shared" si="49"/>
        <v>0</v>
      </c>
      <c r="O408" s="240" t="b">
        <f t="shared" si="50"/>
        <v>0</v>
      </c>
      <c r="P408" s="240" t="b">
        <f t="shared" si="51"/>
        <v>0</v>
      </c>
    </row>
    <row r="409" spans="1:16" x14ac:dyDescent="0.35">
      <c r="A409" s="92">
        <f t="shared" si="47"/>
        <v>0</v>
      </c>
      <c r="B409" s="92" t="e">
        <f>VLOOKUP(A409,[1]Hoja3!$C$3:$D$14,2,FALSE)</f>
        <v>#N/A</v>
      </c>
      <c r="C409" s="93"/>
      <c r="D409" s="101"/>
      <c r="E409" s="94"/>
      <c r="F409" s="95"/>
      <c r="G409" s="96"/>
      <c r="H409" s="96" t="b">
        <f t="shared" si="52"/>
        <v>0</v>
      </c>
      <c r="I409" s="247" t="e">
        <f t="shared" si="48"/>
        <v>#N/A</v>
      </c>
      <c r="J409" s="97">
        <v>0</v>
      </c>
      <c r="K409" s="98">
        <v>0</v>
      </c>
      <c r="L409" s="98"/>
      <c r="M409" s="98"/>
      <c r="N409" s="98">
        <f t="shared" si="49"/>
        <v>0</v>
      </c>
      <c r="O409" s="240" t="b">
        <f t="shared" si="50"/>
        <v>0</v>
      </c>
      <c r="P409" s="240" t="b">
        <f t="shared" si="51"/>
        <v>0</v>
      </c>
    </row>
    <row r="410" spans="1:16" x14ac:dyDescent="0.35">
      <c r="A410" s="92">
        <f t="shared" si="47"/>
        <v>0</v>
      </c>
      <c r="B410" s="92" t="e">
        <f>VLOOKUP(A410,[1]Hoja3!$C$3:$D$14,2,FALSE)</f>
        <v>#N/A</v>
      </c>
      <c r="C410" s="93"/>
      <c r="D410" s="101"/>
      <c r="E410" s="94"/>
      <c r="F410" s="95"/>
      <c r="G410" s="96"/>
      <c r="H410" s="96" t="b">
        <f t="shared" si="52"/>
        <v>0</v>
      </c>
      <c r="I410" s="247" t="e">
        <f t="shared" si="48"/>
        <v>#N/A</v>
      </c>
      <c r="J410" s="97">
        <v>0</v>
      </c>
      <c r="K410" s="98">
        <v>0</v>
      </c>
      <c r="L410" s="98"/>
      <c r="M410" s="98"/>
      <c r="N410" s="98">
        <f t="shared" si="49"/>
        <v>0</v>
      </c>
      <c r="O410" s="240" t="b">
        <f t="shared" si="50"/>
        <v>0</v>
      </c>
      <c r="P410" s="240" t="b">
        <f t="shared" si="51"/>
        <v>0</v>
      </c>
    </row>
    <row r="411" spans="1:16" x14ac:dyDescent="0.35">
      <c r="A411" s="92">
        <f t="shared" si="47"/>
        <v>0</v>
      </c>
      <c r="B411" s="92" t="e">
        <f>VLOOKUP(A411,[1]Hoja3!$C$3:$D$14,2,FALSE)</f>
        <v>#N/A</v>
      </c>
      <c r="C411" s="93"/>
      <c r="D411" s="101"/>
      <c r="E411" s="94"/>
      <c r="F411" s="95"/>
      <c r="G411" s="96"/>
      <c r="H411" s="96" t="b">
        <f t="shared" si="52"/>
        <v>0</v>
      </c>
      <c r="I411" s="247" t="e">
        <f t="shared" si="48"/>
        <v>#N/A</v>
      </c>
      <c r="J411" s="97">
        <v>0</v>
      </c>
      <c r="K411" s="98">
        <v>0</v>
      </c>
      <c r="L411" s="98"/>
      <c r="M411" s="98"/>
      <c r="N411" s="98">
        <f t="shared" si="49"/>
        <v>0</v>
      </c>
      <c r="O411" s="240" t="b">
        <f t="shared" si="50"/>
        <v>0</v>
      </c>
      <c r="P411" s="240" t="b">
        <f t="shared" si="51"/>
        <v>0</v>
      </c>
    </row>
    <row r="412" spans="1:16" x14ac:dyDescent="0.35">
      <c r="A412" s="92">
        <f t="shared" si="47"/>
        <v>0</v>
      </c>
      <c r="B412" s="92" t="e">
        <f>VLOOKUP(A412,[1]Hoja3!$C$3:$D$14,2,FALSE)</f>
        <v>#N/A</v>
      </c>
      <c r="C412" s="93"/>
      <c r="D412" s="101"/>
      <c r="E412" s="94"/>
      <c r="F412" s="95"/>
      <c r="G412" s="96"/>
      <c r="H412" s="96" t="b">
        <f t="shared" si="52"/>
        <v>0</v>
      </c>
      <c r="I412" s="247" t="e">
        <f t="shared" si="48"/>
        <v>#N/A</v>
      </c>
      <c r="J412" s="97">
        <v>0</v>
      </c>
      <c r="K412" s="98">
        <v>0</v>
      </c>
      <c r="L412" s="98"/>
      <c r="M412" s="98"/>
      <c r="N412" s="98">
        <f t="shared" si="49"/>
        <v>0</v>
      </c>
      <c r="O412" s="240" t="b">
        <f t="shared" si="50"/>
        <v>0</v>
      </c>
      <c r="P412" s="240" t="b">
        <f t="shared" si="51"/>
        <v>0</v>
      </c>
    </row>
    <row r="413" spans="1:16" x14ac:dyDescent="0.35">
      <c r="A413" s="92">
        <f t="shared" si="47"/>
        <v>0</v>
      </c>
      <c r="B413" s="92" t="e">
        <f>VLOOKUP(A413,[1]Hoja3!$C$3:$D$14,2,FALSE)</f>
        <v>#N/A</v>
      </c>
      <c r="C413" s="93"/>
      <c r="D413" s="101"/>
      <c r="E413" s="94"/>
      <c r="F413" s="95"/>
      <c r="G413" s="96"/>
      <c r="H413" s="96" t="b">
        <f t="shared" si="52"/>
        <v>0</v>
      </c>
      <c r="I413" s="247" t="e">
        <f t="shared" si="48"/>
        <v>#N/A</v>
      </c>
      <c r="J413" s="97">
        <v>0</v>
      </c>
      <c r="K413" s="98">
        <v>0</v>
      </c>
      <c r="L413" s="98"/>
      <c r="M413" s="98"/>
      <c r="N413" s="98">
        <f t="shared" si="49"/>
        <v>0</v>
      </c>
      <c r="O413" s="240" t="b">
        <f t="shared" si="50"/>
        <v>0</v>
      </c>
      <c r="P413" s="240" t="b">
        <f t="shared" si="51"/>
        <v>0</v>
      </c>
    </row>
    <row r="414" spans="1:16" x14ac:dyDescent="0.35">
      <c r="A414" s="92">
        <f t="shared" si="47"/>
        <v>0</v>
      </c>
      <c r="B414" s="92" t="e">
        <f>VLOOKUP(A414,[1]Hoja3!$C$3:$D$14,2,FALSE)</f>
        <v>#N/A</v>
      </c>
      <c r="C414" s="93"/>
      <c r="D414" s="101"/>
      <c r="E414" s="94"/>
      <c r="F414" s="95"/>
      <c r="G414" s="96"/>
      <c r="H414" s="96" t="b">
        <f t="shared" si="52"/>
        <v>0</v>
      </c>
      <c r="I414" s="247" t="e">
        <f t="shared" si="48"/>
        <v>#N/A</v>
      </c>
      <c r="J414" s="97">
        <v>0</v>
      </c>
      <c r="K414" s="98">
        <v>0</v>
      </c>
      <c r="L414" s="98"/>
      <c r="M414" s="98"/>
      <c r="N414" s="98">
        <f t="shared" si="49"/>
        <v>0</v>
      </c>
      <c r="O414" s="240" t="b">
        <f t="shared" si="50"/>
        <v>0</v>
      </c>
      <c r="P414" s="240" t="b">
        <f t="shared" si="51"/>
        <v>0</v>
      </c>
    </row>
    <row r="415" spans="1:16" x14ac:dyDescent="0.35">
      <c r="A415" s="92">
        <f t="shared" si="47"/>
        <v>0</v>
      </c>
      <c r="B415" s="92" t="e">
        <f>VLOOKUP(A415,[1]Hoja3!$C$3:$D$14,2,FALSE)</f>
        <v>#N/A</v>
      </c>
      <c r="C415" s="93"/>
      <c r="D415" s="101"/>
      <c r="E415" s="94"/>
      <c r="F415" s="95"/>
      <c r="G415" s="96"/>
      <c r="H415" s="96" t="b">
        <f t="shared" si="52"/>
        <v>0</v>
      </c>
      <c r="I415" s="247" t="e">
        <f t="shared" si="48"/>
        <v>#N/A</v>
      </c>
      <c r="J415" s="97">
        <v>0</v>
      </c>
      <c r="K415" s="98">
        <v>0</v>
      </c>
      <c r="L415" s="98"/>
      <c r="M415" s="98"/>
      <c r="N415" s="98">
        <f t="shared" si="49"/>
        <v>0</v>
      </c>
      <c r="O415" s="240" t="b">
        <f t="shared" si="50"/>
        <v>0</v>
      </c>
      <c r="P415" s="240" t="b">
        <f t="shared" si="51"/>
        <v>0</v>
      </c>
    </row>
    <row r="416" spans="1:16" x14ac:dyDescent="0.35">
      <c r="A416" s="92">
        <f t="shared" si="47"/>
        <v>0</v>
      </c>
      <c r="B416" s="92" t="e">
        <f>VLOOKUP(A416,[1]Hoja3!$C$3:$D$14,2,FALSE)</f>
        <v>#N/A</v>
      </c>
      <c r="C416" s="93"/>
      <c r="D416" s="101"/>
      <c r="E416" s="94"/>
      <c r="F416" s="95"/>
      <c r="G416" s="96"/>
      <c r="H416" s="96" t="b">
        <f t="shared" si="52"/>
        <v>0</v>
      </c>
      <c r="I416" s="247" t="e">
        <f t="shared" si="48"/>
        <v>#N/A</v>
      </c>
      <c r="J416" s="97">
        <v>0</v>
      </c>
      <c r="K416" s="98">
        <v>0</v>
      </c>
      <c r="L416" s="98"/>
      <c r="M416" s="98"/>
      <c r="N416" s="98">
        <f t="shared" si="49"/>
        <v>0</v>
      </c>
      <c r="O416" s="240" t="b">
        <f t="shared" si="50"/>
        <v>0</v>
      </c>
      <c r="P416" s="240" t="b">
        <f t="shared" si="51"/>
        <v>0</v>
      </c>
    </row>
    <row r="417" spans="1:16" x14ac:dyDescent="0.35">
      <c r="A417" s="92">
        <f t="shared" si="47"/>
        <v>0</v>
      </c>
      <c r="B417" s="92" t="e">
        <f>VLOOKUP(A417,[1]Hoja3!$C$3:$D$14,2,FALSE)</f>
        <v>#N/A</v>
      </c>
      <c r="C417" s="93"/>
      <c r="D417" s="101"/>
      <c r="E417" s="94"/>
      <c r="F417" s="95"/>
      <c r="G417" s="96"/>
      <c r="H417" s="96" t="b">
        <f t="shared" si="52"/>
        <v>0</v>
      </c>
      <c r="I417" s="247" t="e">
        <f t="shared" si="48"/>
        <v>#N/A</v>
      </c>
      <c r="J417" s="97">
        <v>0</v>
      </c>
      <c r="K417" s="98">
        <v>0</v>
      </c>
      <c r="L417" s="98"/>
      <c r="M417" s="98"/>
      <c r="N417" s="98">
        <f t="shared" si="49"/>
        <v>0</v>
      </c>
      <c r="O417" s="240" t="b">
        <f t="shared" si="50"/>
        <v>0</v>
      </c>
      <c r="P417" s="240" t="b">
        <f t="shared" si="51"/>
        <v>0</v>
      </c>
    </row>
    <row r="418" spans="1:16" x14ac:dyDescent="0.35">
      <c r="A418" s="92">
        <f t="shared" si="47"/>
        <v>0</v>
      </c>
      <c r="B418" s="92" t="e">
        <f>VLOOKUP(A418,[1]Hoja3!$C$3:$D$14,2,FALSE)</f>
        <v>#N/A</v>
      </c>
      <c r="C418" s="93"/>
      <c r="D418" s="101"/>
      <c r="E418" s="94"/>
      <c r="F418" s="95"/>
      <c r="G418" s="96"/>
      <c r="H418" s="96" t="b">
        <f t="shared" si="52"/>
        <v>0</v>
      </c>
      <c r="I418" s="247" t="e">
        <f t="shared" si="48"/>
        <v>#N/A</v>
      </c>
      <c r="J418" s="97">
        <v>0</v>
      </c>
      <c r="K418" s="98">
        <v>0</v>
      </c>
      <c r="L418" s="98"/>
      <c r="M418" s="98"/>
      <c r="N418" s="98">
        <f t="shared" si="49"/>
        <v>0</v>
      </c>
      <c r="O418" s="240" t="b">
        <f t="shared" si="50"/>
        <v>0</v>
      </c>
      <c r="P418" s="240" t="b">
        <f t="shared" si="51"/>
        <v>0</v>
      </c>
    </row>
    <row r="419" spans="1:16" x14ac:dyDescent="0.35">
      <c r="A419" s="92">
        <f t="shared" si="47"/>
        <v>0</v>
      </c>
      <c r="B419" s="92" t="e">
        <f>VLOOKUP(A419,[1]Hoja3!$C$3:$D$14,2,FALSE)</f>
        <v>#N/A</v>
      </c>
      <c r="C419" s="93"/>
      <c r="D419" s="101"/>
      <c r="E419" s="94"/>
      <c r="F419" s="95"/>
      <c r="G419" s="96"/>
      <c r="H419" s="96" t="b">
        <f t="shared" si="52"/>
        <v>0</v>
      </c>
      <c r="I419" s="247" t="e">
        <f t="shared" si="48"/>
        <v>#N/A</v>
      </c>
      <c r="J419" s="97">
        <v>0</v>
      </c>
      <c r="K419" s="98">
        <v>0</v>
      </c>
      <c r="L419" s="98"/>
      <c r="M419" s="98"/>
      <c r="N419" s="98">
        <f t="shared" si="49"/>
        <v>0</v>
      </c>
      <c r="O419" s="240" t="b">
        <f t="shared" si="50"/>
        <v>0</v>
      </c>
      <c r="P419" s="240" t="b">
        <f t="shared" si="51"/>
        <v>0</v>
      </c>
    </row>
    <row r="420" spans="1:16" x14ac:dyDescent="0.35">
      <c r="A420" s="92">
        <f t="shared" si="47"/>
        <v>0</v>
      </c>
      <c r="B420" s="92" t="e">
        <f>VLOOKUP(A420,[1]Hoja3!$C$3:$D$14,2,FALSE)</f>
        <v>#N/A</v>
      </c>
      <c r="C420" s="93"/>
      <c r="D420" s="101"/>
      <c r="E420" s="94"/>
      <c r="F420" s="95"/>
      <c r="G420" s="96"/>
      <c r="H420" s="96" t="b">
        <f t="shared" si="52"/>
        <v>0</v>
      </c>
      <c r="I420" s="247" t="e">
        <f t="shared" si="48"/>
        <v>#N/A</v>
      </c>
      <c r="J420" s="97">
        <v>0</v>
      </c>
      <c r="K420" s="98">
        <v>0</v>
      </c>
      <c r="L420" s="98"/>
      <c r="M420" s="98"/>
      <c r="N420" s="98">
        <f t="shared" si="49"/>
        <v>0</v>
      </c>
      <c r="O420" s="240" t="b">
        <f t="shared" si="50"/>
        <v>0</v>
      </c>
      <c r="P420" s="240" t="b">
        <f t="shared" si="51"/>
        <v>0</v>
      </c>
    </row>
    <row r="421" spans="1:16" x14ac:dyDescent="0.35">
      <c r="A421" s="92">
        <f t="shared" si="47"/>
        <v>0</v>
      </c>
      <c r="B421" s="92" t="e">
        <f>VLOOKUP(A421,[1]Hoja3!$C$3:$D$14,2,FALSE)</f>
        <v>#N/A</v>
      </c>
      <c r="C421" s="93"/>
      <c r="D421" s="101"/>
      <c r="E421" s="94"/>
      <c r="F421" s="95"/>
      <c r="G421" s="96"/>
      <c r="H421" s="96" t="b">
        <f t="shared" si="52"/>
        <v>0</v>
      </c>
      <c r="I421" s="247" t="e">
        <f t="shared" si="48"/>
        <v>#N/A</v>
      </c>
      <c r="J421" s="97">
        <v>0</v>
      </c>
      <c r="K421" s="98">
        <v>0</v>
      </c>
      <c r="L421" s="98"/>
      <c r="M421" s="98"/>
      <c r="N421" s="98">
        <f t="shared" si="49"/>
        <v>0</v>
      </c>
      <c r="O421" s="240" t="b">
        <f t="shared" si="50"/>
        <v>0</v>
      </c>
      <c r="P421" s="240" t="b">
        <f t="shared" si="51"/>
        <v>0</v>
      </c>
    </row>
    <row r="422" spans="1:16" x14ac:dyDescent="0.35">
      <c r="A422" s="92">
        <f t="shared" si="47"/>
        <v>0</v>
      </c>
      <c r="B422" s="92" t="e">
        <f>VLOOKUP(A422,[1]Hoja3!$C$3:$D$14,2,FALSE)</f>
        <v>#N/A</v>
      </c>
      <c r="C422" s="93"/>
      <c r="D422" s="101"/>
      <c r="E422" s="94"/>
      <c r="F422" s="95"/>
      <c r="G422" s="96"/>
      <c r="H422" s="96" t="b">
        <f t="shared" si="52"/>
        <v>0</v>
      </c>
      <c r="I422" s="247" t="e">
        <f t="shared" si="48"/>
        <v>#N/A</v>
      </c>
      <c r="J422" s="97">
        <v>0</v>
      </c>
      <c r="K422" s="98">
        <v>0</v>
      </c>
      <c r="L422" s="98"/>
      <c r="M422" s="98"/>
      <c r="N422" s="98">
        <f t="shared" si="49"/>
        <v>0</v>
      </c>
      <c r="O422" s="240" t="b">
        <f t="shared" si="50"/>
        <v>0</v>
      </c>
      <c r="P422" s="240" t="b">
        <f t="shared" si="51"/>
        <v>0</v>
      </c>
    </row>
    <row r="423" spans="1:16" x14ac:dyDescent="0.35">
      <c r="A423" s="92">
        <f t="shared" si="47"/>
        <v>0</v>
      </c>
      <c r="B423" s="92" t="e">
        <f>VLOOKUP(A423,[1]Hoja3!$C$3:$D$14,2,FALSE)</f>
        <v>#N/A</v>
      </c>
      <c r="C423" s="93"/>
      <c r="D423" s="101"/>
      <c r="E423" s="94"/>
      <c r="F423" s="95"/>
      <c r="G423" s="96"/>
      <c r="H423" s="96" t="b">
        <f t="shared" si="52"/>
        <v>0</v>
      </c>
      <c r="I423" s="247" t="e">
        <f t="shared" si="48"/>
        <v>#N/A</v>
      </c>
      <c r="J423" s="97">
        <v>0</v>
      </c>
      <c r="K423" s="98">
        <v>0</v>
      </c>
      <c r="L423" s="98"/>
      <c r="M423" s="98"/>
      <c r="N423" s="98">
        <f t="shared" si="49"/>
        <v>0</v>
      </c>
      <c r="O423" s="240" t="b">
        <f t="shared" si="50"/>
        <v>0</v>
      </c>
      <c r="P423" s="240" t="b">
        <f t="shared" si="51"/>
        <v>0</v>
      </c>
    </row>
    <row r="424" spans="1:16" x14ac:dyDescent="0.35">
      <c r="A424" s="92">
        <f t="shared" si="47"/>
        <v>0</v>
      </c>
      <c r="B424" s="92" t="e">
        <f>VLOOKUP(A424,[1]Hoja3!$C$3:$D$14,2,FALSE)</f>
        <v>#N/A</v>
      </c>
      <c r="C424" s="93"/>
      <c r="D424" s="101"/>
      <c r="E424" s="94"/>
      <c r="F424" s="95"/>
      <c r="G424" s="96"/>
      <c r="H424" s="96" t="b">
        <f t="shared" si="52"/>
        <v>0</v>
      </c>
      <c r="I424" s="247" t="e">
        <f t="shared" si="48"/>
        <v>#N/A</v>
      </c>
      <c r="J424" s="97">
        <v>0</v>
      </c>
      <c r="K424" s="98">
        <v>0</v>
      </c>
      <c r="L424" s="98"/>
      <c r="M424" s="98"/>
      <c r="N424" s="98">
        <f t="shared" si="49"/>
        <v>0</v>
      </c>
      <c r="O424" s="240" t="b">
        <f t="shared" si="50"/>
        <v>0</v>
      </c>
      <c r="P424" s="240" t="b">
        <f t="shared" si="51"/>
        <v>0</v>
      </c>
    </row>
    <row r="425" spans="1:16" x14ac:dyDescent="0.35">
      <c r="A425" s="92">
        <f t="shared" si="47"/>
        <v>0</v>
      </c>
      <c r="B425" s="92" t="e">
        <f>VLOOKUP(A425,[1]Hoja3!$C$3:$D$14,2,FALSE)</f>
        <v>#N/A</v>
      </c>
      <c r="C425" s="93"/>
      <c r="D425" s="101"/>
      <c r="E425" s="94"/>
      <c r="F425" s="95"/>
      <c r="G425" s="96"/>
      <c r="H425" s="96" t="b">
        <f t="shared" si="52"/>
        <v>0</v>
      </c>
      <c r="I425" s="247" t="e">
        <f t="shared" si="48"/>
        <v>#N/A</v>
      </c>
      <c r="J425" s="97">
        <v>0</v>
      </c>
      <c r="K425" s="98">
        <v>0</v>
      </c>
      <c r="L425" s="98"/>
      <c r="M425" s="98"/>
      <c r="N425" s="98">
        <f t="shared" si="49"/>
        <v>0</v>
      </c>
      <c r="O425" s="240" t="b">
        <f t="shared" si="50"/>
        <v>0</v>
      </c>
      <c r="P425" s="240" t="b">
        <f t="shared" si="51"/>
        <v>0</v>
      </c>
    </row>
    <row r="426" spans="1:16" x14ac:dyDescent="0.35">
      <c r="A426" s="92">
        <f t="shared" ref="A426:A489" si="53">IF(D426&gt;0,MONTH(D426),0)</f>
        <v>0</v>
      </c>
      <c r="B426" s="92" t="e">
        <f>VLOOKUP(A426,[1]Hoja3!$C$3:$D$14,2,FALSE)</f>
        <v>#N/A</v>
      </c>
      <c r="C426" s="93"/>
      <c r="D426" s="101"/>
      <c r="E426" s="94"/>
      <c r="F426" s="95"/>
      <c r="G426" s="96"/>
      <c r="H426" s="96" t="b">
        <f t="shared" si="52"/>
        <v>0</v>
      </c>
      <c r="I426" s="247" t="e">
        <f t="shared" ref="I426:I489" si="54">+B426</f>
        <v>#N/A</v>
      </c>
      <c r="J426" s="97">
        <v>0</v>
      </c>
      <c r="K426" s="98">
        <v>0</v>
      </c>
      <c r="L426" s="98"/>
      <c r="M426" s="98"/>
      <c r="N426" s="98">
        <f t="shared" ref="N426:N489" si="55">+J426+K426-L426-M426</f>
        <v>0</v>
      </c>
      <c r="O426" s="240" t="b">
        <f t="shared" si="50"/>
        <v>0</v>
      </c>
      <c r="P426" s="240" t="b">
        <f t="shared" si="51"/>
        <v>0</v>
      </c>
    </row>
    <row r="427" spans="1:16" x14ac:dyDescent="0.35">
      <c r="A427" s="92">
        <f t="shared" si="53"/>
        <v>0</v>
      </c>
      <c r="B427" s="92" t="e">
        <f>VLOOKUP(A427,[1]Hoja3!$C$3:$D$14,2,FALSE)</f>
        <v>#N/A</v>
      </c>
      <c r="C427" s="93"/>
      <c r="D427" s="101"/>
      <c r="E427" s="94"/>
      <c r="F427" s="95"/>
      <c r="G427" s="96"/>
      <c r="H427" s="96" t="b">
        <f t="shared" si="52"/>
        <v>0</v>
      </c>
      <c r="I427" s="247" t="e">
        <f t="shared" si="54"/>
        <v>#N/A</v>
      </c>
      <c r="J427" s="97">
        <v>0</v>
      </c>
      <c r="K427" s="98">
        <v>0</v>
      </c>
      <c r="L427" s="98"/>
      <c r="M427" s="98"/>
      <c r="N427" s="98">
        <f t="shared" si="55"/>
        <v>0</v>
      </c>
      <c r="O427" s="240" t="b">
        <f t="shared" si="50"/>
        <v>0</v>
      </c>
      <c r="P427" s="240" t="b">
        <f t="shared" si="51"/>
        <v>0</v>
      </c>
    </row>
    <row r="428" spans="1:16" x14ac:dyDescent="0.35">
      <c r="A428" s="92">
        <f t="shared" si="53"/>
        <v>0</v>
      </c>
      <c r="B428" s="92" t="e">
        <f>VLOOKUP(A428,[1]Hoja3!$C$3:$D$14,2,FALSE)</f>
        <v>#N/A</v>
      </c>
      <c r="C428" s="93"/>
      <c r="D428" s="101"/>
      <c r="E428" s="94"/>
      <c r="F428" s="95"/>
      <c r="G428" s="96"/>
      <c r="H428" s="96" t="b">
        <f t="shared" si="52"/>
        <v>0</v>
      </c>
      <c r="I428" s="247" t="e">
        <f t="shared" si="54"/>
        <v>#N/A</v>
      </c>
      <c r="J428" s="97">
        <v>0</v>
      </c>
      <c r="K428" s="98">
        <v>0</v>
      </c>
      <c r="L428" s="98"/>
      <c r="M428" s="98"/>
      <c r="N428" s="98">
        <f t="shared" si="55"/>
        <v>0</v>
      </c>
      <c r="O428" s="240" t="b">
        <f t="shared" si="50"/>
        <v>0</v>
      </c>
      <c r="P428" s="240" t="b">
        <f t="shared" si="51"/>
        <v>0</v>
      </c>
    </row>
    <row r="429" spans="1:16" x14ac:dyDescent="0.35">
      <c r="A429" s="92">
        <f t="shared" si="53"/>
        <v>0</v>
      </c>
      <c r="B429" s="92" t="e">
        <f>VLOOKUP(A429,[1]Hoja3!$C$3:$D$14,2,FALSE)</f>
        <v>#N/A</v>
      </c>
      <c r="C429" s="93"/>
      <c r="D429" s="101"/>
      <c r="E429" s="94"/>
      <c r="F429" s="95"/>
      <c r="G429" s="96"/>
      <c r="H429" s="96" t="b">
        <f t="shared" si="52"/>
        <v>0</v>
      </c>
      <c r="I429" s="247" t="e">
        <f t="shared" si="54"/>
        <v>#N/A</v>
      </c>
      <c r="J429" s="97">
        <v>0</v>
      </c>
      <c r="K429" s="98">
        <v>0</v>
      </c>
      <c r="L429" s="98"/>
      <c r="M429" s="98"/>
      <c r="N429" s="98">
        <f t="shared" si="55"/>
        <v>0</v>
      </c>
      <c r="O429" s="240" t="b">
        <f t="shared" si="50"/>
        <v>0</v>
      </c>
      <c r="P429" s="240" t="b">
        <f t="shared" si="51"/>
        <v>0</v>
      </c>
    </row>
    <row r="430" spans="1:16" x14ac:dyDescent="0.35">
      <c r="A430" s="92">
        <f t="shared" si="53"/>
        <v>0</v>
      </c>
      <c r="B430" s="92" t="e">
        <f>VLOOKUP(A430,[1]Hoja3!$C$3:$D$14,2,FALSE)</f>
        <v>#N/A</v>
      </c>
      <c r="C430" s="93"/>
      <c r="D430" s="101"/>
      <c r="E430" s="94"/>
      <c r="F430" s="95"/>
      <c r="G430" s="96"/>
      <c r="H430" s="96" t="b">
        <f t="shared" si="52"/>
        <v>0</v>
      </c>
      <c r="I430" s="247" t="e">
        <f t="shared" si="54"/>
        <v>#N/A</v>
      </c>
      <c r="J430" s="97">
        <v>0</v>
      </c>
      <c r="K430" s="98">
        <v>0</v>
      </c>
      <c r="L430" s="98"/>
      <c r="M430" s="98"/>
      <c r="N430" s="98">
        <f t="shared" si="55"/>
        <v>0</v>
      </c>
      <c r="O430" s="240" t="b">
        <f t="shared" si="50"/>
        <v>0</v>
      </c>
      <c r="P430" s="240" t="b">
        <f t="shared" si="51"/>
        <v>0</v>
      </c>
    </row>
    <row r="431" spans="1:16" x14ac:dyDescent="0.35">
      <c r="A431" s="92">
        <f t="shared" si="53"/>
        <v>0</v>
      </c>
      <c r="B431" s="92" t="e">
        <f>VLOOKUP(A431,[1]Hoja3!$C$3:$D$14,2,FALSE)</f>
        <v>#N/A</v>
      </c>
      <c r="C431" s="93"/>
      <c r="D431" s="101"/>
      <c r="E431" s="94"/>
      <c r="F431" s="95"/>
      <c r="G431" s="96"/>
      <c r="H431" s="96" t="b">
        <f t="shared" si="52"/>
        <v>0</v>
      </c>
      <c r="I431" s="247" t="e">
        <f t="shared" si="54"/>
        <v>#N/A</v>
      </c>
      <c r="J431" s="97">
        <v>0</v>
      </c>
      <c r="K431" s="98">
        <v>0</v>
      </c>
      <c r="L431" s="98"/>
      <c r="M431" s="98"/>
      <c r="N431" s="98">
        <f t="shared" si="55"/>
        <v>0</v>
      </c>
      <c r="O431" s="240" t="b">
        <f t="shared" si="50"/>
        <v>0</v>
      </c>
      <c r="P431" s="240" t="b">
        <f t="shared" si="51"/>
        <v>0</v>
      </c>
    </row>
    <row r="432" spans="1:16" x14ac:dyDescent="0.35">
      <c r="A432" s="92">
        <f t="shared" si="53"/>
        <v>0</v>
      </c>
      <c r="B432" s="92" t="e">
        <f>VLOOKUP(A432,[1]Hoja3!$C$3:$D$14,2,FALSE)</f>
        <v>#N/A</v>
      </c>
      <c r="C432" s="93"/>
      <c r="D432" s="101"/>
      <c r="E432" s="94"/>
      <c r="F432" s="95"/>
      <c r="G432" s="96"/>
      <c r="H432" s="96" t="b">
        <f t="shared" si="52"/>
        <v>0</v>
      </c>
      <c r="I432" s="247" t="e">
        <f t="shared" si="54"/>
        <v>#N/A</v>
      </c>
      <c r="J432" s="97">
        <v>0</v>
      </c>
      <c r="K432" s="98">
        <v>0</v>
      </c>
      <c r="L432" s="98"/>
      <c r="M432" s="98"/>
      <c r="N432" s="98">
        <f t="shared" si="55"/>
        <v>0</v>
      </c>
      <c r="O432" s="240" t="b">
        <f t="shared" si="50"/>
        <v>0</v>
      </c>
      <c r="P432" s="240" t="b">
        <f t="shared" si="51"/>
        <v>0</v>
      </c>
    </row>
    <row r="433" spans="1:16" x14ac:dyDescent="0.35">
      <c r="A433" s="92">
        <f t="shared" si="53"/>
        <v>0</v>
      </c>
      <c r="B433" s="92" t="e">
        <f>VLOOKUP(A433,[1]Hoja3!$C$3:$D$14,2,FALSE)</f>
        <v>#N/A</v>
      </c>
      <c r="C433" s="93"/>
      <c r="D433" s="101"/>
      <c r="E433" s="94"/>
      <c r="F433" s="95"/>
      <c r="G433" s="96"/>
      <c r="H433" s="96" t="b">
        <f t="shared" si="52"/>
        <v>0</v>
      </c>
      <c r="I433" s="247" t="e">
        <f t="shared" si="54"/>
        <v>#N/A</v>
      </c>
      <c r="J433" s="97">
        <v>0</v>
      </c>
      <c r="K433" s="98">
        <v>0</v>
      </c>
      <c r="L433" s="98"/>
      <c r="M433" s="98"/>
      <c r="N433" s="98">
        <f t="shared" si="55"/>
        <v>0</v>
      </c>
      <c r="O433" s="240" t="b">
        <f t="shared" si="50"/>
        <v>0</v>
      </c>
      <c r="P433" s="240" t="b">
        <f t="shared" si="51"/>
        <v>0</v>
      </c>
    </row>
    <row r="434" spans="1:16" x14ac:dyDescent="0.35">
      <c r="A434" s="92">
        <f t="shared" si="53"/>
        <v>0</v>
      </c>
      <c r="B434" s="92" t="e">
        <f>VLOOKUP(A434,[1]Hoja3!$C$3:$D$14,2,FALSE)</f>
        <v>#N/A</v>
      </c>
      <c r="C434" s="93"/>
      <c r="D434" s="101"/>
      <c r="E434" s="94"/>
      <c r="F434" s="95"/>
      <c r="G434" s="96"/>
      <c r="H434" s="96" t="b">
        <f t="shared" si="52"/>
        <v>0</v>
      </c>
      <c r="I434" s="247" t="e">
        <f t="shared" si="54"/>
        <v>#N/A</v>
      </c>
      <c r="J434" s="97">
        <v>0</v>
      </c>
      <c r="K434" s="98">
        <v>0</v>
      </c>
      <c r="L434" s="98"/>
      <c r="M434" s="98"/>
      <c r="N434" s="98">
        <f t="shared" si="55"/>
        <v>0</v>
      </c>
      <c r="O434" s="240" t="b">
        <f t="shared" si="50"/>
        <v>0</v>
      </c>
      <c r="P434" s="240" t="b">
        <f t="shared" si="51"/>
        <v>0</v>
      </c>
    </row>
    <row r="435" spans="1:16" x14ac:dyDescent="0.35">
      <c r="A435" s="92">
        <f t="shared" si="53"/>
        <v>0</v>
      </c>
      <c r="B435" s="92" t="e">
        <f>VLOOKUP(A435,[1]Hoja3!$C$3:$D$14,2,FALSE)</f>
        <v>#N/A</v>
      </c>
      <c r="C435" s="93"/>
      <c r="D435" s="101"/>
      <c r="E435" s="94"/>
      <c r="F435" s="95"/>
      <c r="G435" s="96"/>
      <c r="H435" s="96" t="b">
        <f t="shared" si="52"/>
        <v>0</v>
      </c>
      <c r="I435" s="247" t="e">
        <f t="shared" si="54"/>
        <v>#N/A</v>
      </c>
      <c r="J435" s="97">
        <v>0</v>
      </c>
      <c r="K435" s="98">
        <v>0</v>
      </c>
      <c r="L435" s="98"/>
      <c r="M435" s="98"/>
      <c r="N435" s="98">
        <f t="shared" si="55"/>
        <v>0</v>
      </c>
      <c r="O435" s="240" t="b">
        <f t="shared" si="50"/>
        <v>0</v>
      </c>
      <c r="P435" s="240" t="b">
        <f t="shared" si="51"/>
        <v>0</v>
      </c>
    </row>
    <row r="436" spans="1:16" x14ac:dyDescent="0.35">
      <c r="A436" s="92">
        <f t="shared" si="53"/>
        <v>0</v>
      </c>
      <c r="B436" s="92" t="e">
        <f>VLOOKUP(A436,[1]Hoja3!$C$3:$D$14,2,FALSE)</f>
        <v>#N/A</v>
      </c>
      <c r="C436" s="93"/>
      <c r="D436" s="101"/>
      <c r="E436" s="94"/>
      <c r="F436" s="95"/>
      <c r="G436" s="96"/>
      <c r="H436" s="96" t="b">
        <f t="shared" si="52"/>
        <v>0</v>
      </c>
      <c r="I436" s="247" t="e">
        <f t="shared" si="54"/>
        <v>#N/A</v>
      </c>
      <c r="J436" s="97">
        <v>0</v>
      </c>
      <c r="K436" s="98">
        <v>0</v>
      </c>
      <c r="L436" s="98"/>
      <c r="M436" s="98"/>
      <c r="N436" s="98">
        <f t="shared" si="55"/>
        <v>0</v>
      </c>
      <c r="O436" s="240" t="b">
        <f t="shared" si="50"/>
        <v>0</v>
      </c>
      <c r="P436" s="240" t="b">
        <f t="shared" si="51"/>
        <v>0</v>
      </c>
    </row>
    <row r="437" spans="1:16" x14ac:dyDescent="0.35">
      <c r="A437" s="92">
        <f t="shared" si="53"/>
        <v>0</v>
      </c>
      <c r="B437" s="92" t="e">
        <f>VLOOKUP(A437,[1]Hoja3!$C$3:$D$14,2,FALSE)</f>
        <v>#N/A</v>
      </c>
      <c r="C437" s="93"/>
      <c r="D437" s="101"/>
      <c r="E437" s="94"/>
      <c r="F437" s="95"/>
      <c r="G437" s="96"/>
      <c r="H437" s="96" t="b">
        <f t="shared" si="52"/>
        <v>0</v>
      </c>
      <c r="I437" s="247" t="e">
        <f t="shared" si="54"/>
        <v>#N/A</v>
      </c>
      <c r="J437" s="97">
        <v>0</v>
      </c>
      <c r="K437" s="98">
        <v>0</v>
      </c>
      <c r="L437" s="98"/>
      <c r="M437" s="98"/>
      <c r="N437" s="98">
        <f t="shared" si="55"/>
        <v>0</v>
      </c>
      <c r="O437" s="240" t="b">
        <f t="shared" si="50"/>
        <v>0</v>
      </c>
      <c r="P437" s="240" t="b">
        <f t="shared" si="51"/>
        <v>0</v>
      </c>
    </row>
    <row r="438" spans="1:16" x14ac:dyDescent="0.35">
      <c r="A438" s="92">
        <f t="shared" si="53"/>
        <v>0</v>
      </c>
      <c r="B438" s="92" t="e">
        <f>VLOOKUP(A438,[1]Hoja3!$C$3:$D$14,2,FALSE)</f>
        <v>#N/A</v>
      </c>
      <c r="C438" s="93"/>
      <c r="D438" s="101"/>
      <c r="E438" s="94"/>
      <c r="F438" s="95"/>
      <c r="G438" s="96"/>
      <c r="H438" s="96" t="b">
        <f t="shared" si="52"/>
        <v>0</v>
      </c>
      <c r="I438" s="247" t="e">
        <f t="shared" si="54"/>
        <v>#N/A</v>
      </c>
      <c r="J438" s="97">
        <v>0</v>
      </c>
      <c r="K438" s="98">
        <v>0</v>
      </c>
      <c r="L438" s="98"/>
      <c r="M438" s="98"/>
      <c r="N438" s="98">
        <f t="shared" si="55"/>
        <v>0</v>
      </c>
      <c r="O438" s="240" t="b">
        <f t="shared" si="50"/>
        <v>0</v>
      </c>
      <c r="P438" s="240" t="b">
        <f t="shared" si="51"/>
        <v>0</v>
      </c>
    </row>
    <row r="439" spans="1:16" x14ac:dyDescent="0.35">
      <c r="A439" s="92">
        <f t="shared" si="53"/>
        <v>0</v>
      </c>
      <c r="B439" s="92" t="e">
        <f>VLOOKUP(A439,[1]Hoja3!$C$3:$D$14,2,FALSE)</f>
        <v>#N/A</v>
      </c>
      <c r="C439" s="93"/>
      <c r="D439" s="101"/>
      <c r="E439" s="94"/>
      <c r="F439" s="95"/>
      <c r="G439" s="96"/>
      <c r="H439" s="96" t="b">
        <f t="shared" si="52"/>
        <v>0</v>
      </c>
      <c r="I439" s="247" t="e">
        <f t="shared" si="54"/>
        <v>#N/A</v>
      </c>
      <c r="J439" s="97">
        <v>0</v>
      </c>
      <c r="K439" s="98">
        <v>0</v>
      </c>
      <c r="L439" s="98"/>
      <c r="M439" s="98"/>
      <c r="N439" s="98">
        <f t="shared" si="55"/>
        <v>0</v>
      </c>
      <c r="O439" s="240" t="b">
        <f t="shared" si="50"/>
        <v>0</v>
      </c>
      <c r="P439" s="240" t="b">
        <f t="shared" si="51"/>
        <v>0</v>
      </c>
    </row>
    <row r="440" spans="1:16" x14ac:dyDescent="0.35">
      <c r="A440" s="92">
        <f t="shared" si="53"/>
        <v>0</v>
      </c>
      <c r="B440" s="92" t="e">
        <f>VLOOKUP(A440,[1]Hoja3!$C$3:$D$14,2,FALSE)</f>
        <v>#N/A</v>
      </c>
      <c r="C440" s="93"/>
      <c r="D440" s="101"/>
      <c r="E440" s="94"/>
      <c r="F440" s="95"/>
      <c r="G440" s="96"/>
      <c r="H440" s="96" t="b">
        <f t="shared" si="52"/>
        <v>0</v>
      </c>
      <c r="I440" s="247" t="e">
        <f t="shared" si="54"/>
        <v>#N/A</v>
      </c>
      <c r="J440" s="97">
        <v>0</v>
      </c>
      <c r="K440" s="98">
        <v>0</v>
      </c>
      <c r="L440" s="98"/>
      <c r="M440" s="98"/>
      <c r="N440" s="98">
        <f t="shared" si="55"/>
        <v>0</v>
      </c>
      <c r="O440" s="240" t="b">
        <f t="shared" si="50"/>
        <v>0</v>
      </c>
      <c r="P440" s="240" t="b">
        <f t="shared" si="51"/>
        <v>0</v>
      </c>
    </row>
    <row r="441" spans="1:16" x14ac:dyDescent="0.35">
      <c r="A441" s="92">
        <f t="shared" si="53"/>
        <v>0</v>
      </c>
      <c r="B441" s="92" t="e">
        <f>VLOOKUP(A441,[1]Hoja3!$C$3:$D$14,2,FALSE)</f>
        <v>#N/A</v>
      </c>
      <c r="C441" s="93"/>
      <c r="D441" s="101"/>
      <c r="E441" s="94"/>
      <c r="F441" s="95"/>
      <c r="G441" s="96"/>
      <c r="H441" s="96" t="b">
        <f t="shared" si="52"/>
        <v>0</v>
      </c>
      <c r="I441" s="247" t="e">
        <f t="shared" si="54"/>
        <v>#N/A</v>
      </c>
      <c r="J441" s="97">
        <v>0</v>
      </c>
      <c r="K441" s="98">
        <v>0</v>
      </c>
      <c r="L441" s="98"/>
      <c r="M441" s="98"/>
      <c r="N441" s="98">
        <f t="shared" si="55"/>
        <v>0</v>
      </c>
      <c r="O441" s="240" t="b">
        <f t="shared" si="50"/>
        <v>0</v>
      </c>
      <c r="P441" s="240" t="b">
        <f t="shared" si="51"/>
        <v>0</v>
      </c>
    </row>
    <row r="442" spans="1:16" x14ac:dyDescent="0.35">
      <c r="A442" s="92">
        <f t="shared" si="53"/>
        <v>0</v>
      </c>
      <c r="B442" s="92" t="e">
        <f>VLOOKUP(A442,[1]Hoja3!$C$3:$D$14,2,FALSE)</f>
        <v>#N/A</v>
      </c>
      <c r="C442" s="93"/>
      <c r="D442" s="101"/>
      <c r="E442" s="94"/>
      <c r="F442" s="95"/>
      <c r="G442" s="96"/>
      <c r="H442" s="96" t="b">
        <f t="shared" si="52"/>
        <v>0</v>
      </c>
      <c r="I442" s="247" t="e">
        <f t="shared" si="54"/>
        <v>#N/A</v>
      </c>
      <c r="J442" s="97">
        <v>0</v>
      </c>
      <c r="K442" s="98">
        <v>0</v>
      </c>
      <c r="L442" s="98"/>
      <c r="M442" s="98"/>
      <c r="N442" s="98">
        <f t="shared" si="55"/>
        <v>0</v>
      </c>
      <c r="O442" s="240" t="b">
        <f t="shared" si="50"/>
        <v>0</v>
      </c>
      <c r="P442" s="240" t="b">
        <f t="shared" si="51"/>
        <v>0</v>
      </c>
    </row>
    <row r="443" spans="1:16" x14ac:dyDescent="0.35">
      <c r="A443" s="92">
        <f t="shared" si="53"/>
        <v>0</v>
      </c>
      <c r="B443" s="92" t="e">
        <f>VLOOKUP(A443,[1]Hoja3!$C$3:$D$14,2,FALSE)</f>
        <v>#N/A</v>
      </c>
      <c r="C443" s="93"/>
      <c r="D443" s="101"/>
      <c r="E443" s="94"/>
      <c r="F443" s="95"/>
      <c r="G443" s="96"/>
      <c r="H443" s="96" t="b">
        <f t="shared" si="52"/>
        <v>0</v>
      </c>
      <c r="I443" s="247" t="e">
        <f t="shared" si="54"/>
        <v>#N/A</v>
      </c>
      <c r="J443" s="97">
        <v>0</v>
      </c>
      <c r="K443" s="98">
        <v>0</v>
      </c>
      <c r="L443" s="98"/>
      <c r="M443" s="98"/>
      <c r="N443" s="98">
        <f t="shared" si="55"/>
        <v>0</v>
      </c>
      <c r="O443" s="240" t="b">
        <f t="shared" si="50"/>
        <v>0</v>
      </c>
      <c r="P443" s="240" t="b">
        <f t="shared" si="51"/>
        <v>0</v>
      </c>
    </row>
    <row r="444" spans="1:16" x14ac:dyDescent="0.35">
      <c r="A444" s="92">
        <f t="shared" si="53"/>
        <v>0</v>
      </c>
      <c r="B444" s="92" t="e">
        <f>VLOOKUP(A444,[1]Hoja3!$C$3:$D$14,2,FALSE)</f>
        <v>#N/A</v>
      </c>
      <c r="C444" s="93"/>
      <c r="D444" s="101"/>
      <c r="E444" s="94"/>
      <c r="F444" s="95"/>
      <c r="G444" s="96"/>
      <c r="H444" s="96" t="b">
        <f t="shared" si="52"/>
        <v>0</v>
      </c>
      <c r="I444" s="247" t="e">
        <f t="shared" si="54"/>
        <v>#N/A</v>
      </c>
      <c r="J444" s="97">
        <v>0</v>
      </c>
      <c r="K444" s="98">
        <v>0</v>
      </c>
      <c r="L444" s="98"/>
      <c r="M444" s="98"/>
      <c r="N444" s="98">
        <f t="shared" si="55"/>
        <v>0</v>
      </c>
      <c r="O444" s="240" t="b">
        <f t="shared" si="50"/>
        <v>0</v>
      </c>
      <c r="P444" s="240" t="b">
        <f t="shared" si="51"/>
        <v>0</v>
      </c>
    </row>
    <row r="445" spans="1:16" x14ac:dyDescent="0.35">
      <c r="A445" s="92">
        <f t="shared" si="53"/>
        <v>0</v>
      </c>
      <c r="B445" s="92" t="e">
        <f>VLOOKUP(A445,[1]Hoja3!$C$3:$D$14,2,FALSE)</f>
        <v>#N/A</v>
      </c>
      <c r="C445" s="93"/>
      <c r="D445" s="101"/>
      <c r="E445" s="94"/>
      <c r="F445" s="95"/>
      <c r="G445" s="96"/>
      <c r="H445" s="96" t="b">
        <f t="shared" si="52"/>
        <v>0</v>
      </c>
      <c r="I445" s="247" t="e">
        <f t="shared" si="54"/>
        <v>#N/A</v>
      </c>
      <c r="J445" s="97">
        <v>0</v>
      </c>
      <c r="K445" s="98">
        <v>0</v>
      </c>
      <c r="L445" s="98"/>
      <c r="M445" s="98"/>
      <c r="N445" s="98">
        <f t="shared" si="55"/>
        <v>0</v>
      </c>
      <c r="O445" s="240" t="b">
        <f t="shared" ref="O445:O508" si="56">IF(G445="EFREN ABUNDEZ REYNA","37295",IF(G445="LUIS ALEJANDRO HERNANDEZ REYNA","HERL850705AL2",IF(G445="ANA BEATRIZ ESTRADA ARGOTE","37530",IF(G445="SERGIO ROMERO DURAN","RODS620908QAA",IF(G445="MARIELA OLMOS GAONA","37675",IF(G445="LUCIANO MIJAIL ORTEGA MUÑOZ","37297",IF(G445="GUSTAVO HUMBERTO VELAZCO GALVAN","VEGG9211019T1",IF(G445="JESUS AGUSTIN VELAZQUEZ FLORES","VEFJ900303M65",IF(G445="KARLA ESTEFANIA SALAZAR FLORES","SAFK9807277N1",IF(G445="ANGEL TERRAZAS MONROY","TEMA7105035N4"))))))))))</f>
        <v>0</v>
      </c>
      <c r="P445" s="240" t="b">
        <f t="shared" ref="P445:P508" si="57">IF(G445="EFREN ABUNDEZ REYNA","PFAEP",IF(G445="LUIS ALEJANDRO HERNANDEZ REYNA","HERL850705AL2",IF(G445="ANA BEATRIZ ESTRADA ARGOTE","RIF",IF(G445="SERGIO ROMERO DURAN","RODS620908QAA",IF(G445="MARIELA OLMOS GAONA","RESICO",IF(G445="LUCIANO MIJAIL ORTEGA MUÑOZ","RIF",IF(G445="GUSTAVO HUMBERTO VELAZCO GALVAN","VEGG9211019T1",IF(G445="JESUS AGUSTIN VELAZQUEZ FLORES","VEFJ900303M65",IF(G445="KARLA ESTEFANIA SALAZAR FLORES","SAFK9807277N1",IF(G445="ANGEL TERRAZAS MONROY","TEMA7105035N4"))))))))))</f>
        <v>0</v>
      </c>
    </row>
    <row r="446" spans="1:16" x14ac:dyDescent="0.35">
      <c r="A446" s="92">
        <f t="shared" si="53"/>
        <v>0</v>
      </c>
      <c r="B446" s="92" t="e">
        <f>VLOOKUP(A446,[1]Hoja3!$C$3:$D$14,2,FALSE)</f>
        <v>#N/A</v>
      </c>
      <c r="C446" s="93"/>
      <c r="D446" s="101"/>
      <c r="E446" s="94"/>
      <c r="F446" s="95"/>
      <c r="G446" s="96"/>
      <c r="H446" s="96" t="b">
        <f t="shared" si="52"/>
        <v>0</v>
      </c>
      <c r="I446" s="247" t="e">
        <f t="shared" si="54"/>
        <v>#N/A</v>
      </c>
      <c r="J446" s="97">
        <v>0</v>
      </c>
      <c r="K446" s="98">
        <v>0</v>
      </c>
      <c r="L446" s="98"/>
      <c r="M446" s="98"/>
      <c r="N446" s="98">
        <f t="shared" si="55"/>
        <v>0</v>
      </c>
      <c r="O446" s="240" t="b">
        <f t="shared" si="56"/>
        <v>0</v>
      </c>
      <c r="P446" s="240" t="b">
        <f t="shared" si="57"/>
        <v>0</v>
      </c>
    </row>
    <row r="447" spans="1:16" x14ac:dyDescent="0.35">
      <c r="A447" s="92">
        <f t="shared" si="53"/>
        <v>0</v>
      </c>
      <c r="B447" s="92" t="e">
        <f>VLOOKUP(A447,[1]Hoja3!$C$3:$D$14,2,FALSE)</f>
        <v>#N/A</v>
      </c>
      <c r="C447" s="93"/>
      <c r="D447" s="101"/>
      <c r="E447" s="94"/>
      <c r="F447" s="95"/>
      <c r="G447" s="96"/>
      <c r="H447" s="96" t="b">
        <f t="shared" si="52"/>
        <v>0</v>
      </c>
      <c r="I447" s="247" t="e">
        <f t="shared" si="54"/>
        <v>#N/A</v>
      </c>
      <c r="J447" s="97">
        <v>0</v>
      </c>
      <c r="K447" s="98">
        <v>0</v>
      </c>
      <c r="L447" s="98"/>
      <c r="M447" s="98"/>
      <c r="N447" s="98">
        <f t="shared" si="55"/>
        <v>0</v>
      </c>
      <c r="O447" s="240" t="b">
        <f t="shared" si="56"/>
        <v>0</v>
      </c>
      <c r="P447" s="240" t="b">
        <f t="shared" si="57"/>
        <v>0</v>
      </c>
    </row>
    <row r="448" spans="1:16" x14ac:dyDescent="0.35">
      <c r="A448" s="92">
        <f t="shared" si="53"/>
        <v>0</v>
      </c>
      <c r="B448" s="92" t="e">
        <f>VLOOKUP(A448,[1]Hoja3!$C$3:$D$14,2,FALSE)</f>
        <v>#N/A</v>
      </c>
      <c r="C448" s="93"/>
      <c r="D448" s="101"/>
      <c r="E448" s="94"/>
      <c r="F448" s="95"/>
      <c r="G448" s="96"/>
      <c r="H448" s="96" t="b">
        <f t="shared" si="52"/>
        <v>0</v>
      </c>
      <c r="I448" s="247" t="e">
        <f t="shared" si="54"/>
        <v>#N/A</v>
      </c>
      <c r="J448" s="97">
        <v>0</v>
      </c>
      <c r="K448" s="98">
        <v>0</v>
      </c>
      <c r="L448" s="98"/>
      <c r="M448" s="98"/>
      <c r="N448" s="98">
        <f t="shared" si="55"/>
        <v>0</v>
      </c>
      <c r="O448" s="240" t="b">
        <f t="shared" si="56"/>
        <v>0</v>
      </c>
      <c r="P448" s="240" t="b">
        <f t="shared" si="57"/>
        <v>0</v>
      </c>
    </row>
    <row r="449" spans="1:16" x14ac:dyDescent="0.35">
      <c r="A449" s="92">
        <f t="shared" si="53"/>
        <v>0</v>
      </c>
      <c r="B449" s="92" t="e">
        <f>VLOOKUP(A449,[1]Hoja3!$C$3:$D$14,2,FALSE)</f>
        <v>#N/A</v>
      </c>
      <c r="C449" s="93"/>
      <c r="D449" s="101"/>
      <c r="E449" s="94"/>
      <c r="F449" s="95"/>
      <c r="G449" s="96"/>
      <c r="H449" s="96" t="b">
        <f t="shared" si="52"/>
        <v>0</v>
      </c>
      <c r="I449" s="247" t="e">
        <f t="shared" si="54"/>
        <v>#N/A</v>
      </c>
      <c r="J449" s="97">
        <v>0</v>
      </c>
      <c r="K449" s="98">
        <v>0</v>
      </c>
      <c r="L449" s="98"/>
      <c r="M449" s="98"/>
      <c r="N449" s="98">
        <f t="shared" si="55"/>
        <v>0</v>
      </c>
      <c r="O449" s="240" t="b">
        <f t="shared" si="56"/>
        <v>0</v>
      </c>
      <c r="P449" s="240" t="b">
        <f t="shared" si="57"/>
        <v>0</v>
      </c>
    </row>
    <row r="450" spans="1:16" x14ac:dyDescent="0.35">
      <c r="A450" s="92">
        <f t="shared" si="53"/>
        <v>0</v>
      </c>
      <c r="B450" s="92" t="e">
        <f>VLOOKUP(A450,[1]Hoja3!$C$3:$D$14,2,FALSE)</f>
        <v>#N/A</v>
      </c>
      <c r="C450" s="93"/>
      <c r="D450" s="101"/>
      <c r="E450" s="94"/>
      <c r="F450" s="95"/>
      <c r="G450" s="96"/>
      <c r="H450" s="96" t="b">
        <f t="shared" si="52"/>
        <v>0</v>
      </c>
      <c r="I450" s="247" t="e">
        <f t="shared" si="54"/>
        <v>#N/A</v>
      </c>
      <c r="J450" s="97">
        <v>0</v>
      </c>
      <c r="K450" s="98">
        <v>0</v>
      </c>
      <c r="L450" s="98"/>
      <c r="M450" s="98"/>
      <c r="N450" s="98">
        <f t="shared" si="55"/>
        <v>0</v>
      </c>
      <c r="O450" s="240" t="b">
        <f t="shared" si="56"/>
        <v>0</v>
      </c>
      <c r="P450" s="240" t="b">
        <f t="shared" si="57"/>
        <v>0</v>
      </c>
    </row>
    <row r="451" spans="1:16" x14ac:dyDescent="0.35">
      <c r="A451" s="92">
        <f t="shared" si="53"/>
        <v>0</v>
      </c>
      <c r="B451" s="92" t="e">
        <f>VLOOKUP(A451,[1]Hoja3!$C$3:$D$14,2,FALSE)</f>
        <v>#N/A</v>
      </c>
      <c r="C451" s="93"/>
      <c r="D451" s="101"/>
      <c r="E451" s="94"/>
      <c r="F451" s="95"/>
      <c r="G451" s="96"/>
      <c r="H451" s="96" t="b">
        <f t="shared" si="52"/>
        <v>0</v>
      </c>
      <c r="I451" s="247" t="e">
        <f t="shared" si="54"/>
        <v>#N/A</v>
      </c>
      <c r="J451" s="97">
        <v>0</v>
      </c>
      <c r="K451" s="98">
        <v>0</v>
      </c>
      <c r="L451" s="98"/>
      <c r="M451" s="98"/>
      <c r="N451" s="98">
        <f t="shared" si="55"/>
        <v>0</v>
      </c>
      <c r="O451" s="240" t="b">
        <f t="shared" si="56"/>
        <v>0</v>
      </c>
      <c r="P451" s="240" t="b">
        <f t="shared" si="57"/>
        <v>0</v>
      </c>
    </row>
    <row r="452" spans="1:16" x14ac:dyDescent="0.35">
      <c r="A452" s="92">
        <f t="shared" si="53"/>
        <v>0</v>
      </c>
      <c r="B452" s="92" t="e">
        <f>VLOOKUP(A452,[1]Hoja3!$C$3:$D$14,2,FALSE)</f>
        <v>#N/A</v>
      </c>
      <c r="C452" s="93"/>
      <c r="D452" s="101"/>
      <c r="E452" s="94"/>
      <c r="F452" s="95"/>
      <c r="G452" s="96"/>
      <c r="H452" s="96" t="b">
        <f t="shared" si="52"/>
        <v>0</v>
      </c>
      <c r="I452" s="247" t="e">
        <f t="shared" si="54"/>
        <v>#N/A</v>
      </c>
      <c r="J452" s="97">
        <v>0</v>
      </c>
      <c r="K452" s="98">
        <v>0</v>
      </c>
      <c r="L452" s="98"/>
      <c r="M452" s="98"/>
      <c r="N452" s="98">
        <f t="shared" si="55"/>
        <v>0</v>
      </c>
      <c r="O452" s="240" t="b">
        <f t="shared" si="56"/>
        <v>0</v>
      </c>
      <c r="P452" s="240" t="b">
        <f t="shared" si="57"/>
        <v>0</v>
      </c>
    </row>
    <row r="453" spans="1:16" x14ac:dyDescent="0.35">
      <c r="A453" s="92">
        <f t="shared" si="53"/>
        <v>0</v>
      </c>
      <c r="B453" s="92" t="e">
        <f>VLOOKUP(A453,[1]Hoja3!$C$3:$D$14,2,FALSE)</f>
        <v>#N/A</v>
      </c>
      <c r="C453" s="93"/>
      <c r="D453" s="101"/>
      <c r="E453" s="94"/>
      <c r="F453" s="95"/>
      <c r="G453" s="96"/>
      <c r="H453" s="96" t="b">
        <f t="shared" si="52"/>
        <v>0</v>
      </c>
      <c r="I453" s="247" t="e">
        <f t="shared" si="54"/>
        <v>#N/A</v>
      </c>
      <c r="J453" s="97">
        <v>0</v>
      </c>
      <c r="K453" s="98">
        <v>0</v>
      </c>
      <c r="L453" s="98"/>
      <c r="M453" s="98"/>
      <c r="N453" s="98">
        <f t="shared" si="55"/>
        <v>0</v>
      </c>
      <c r="O453" s="240" t="b">
        <f t="shared" si="56"/>
        <v>0</v>
      </c>
      <c r="P453" s="240" t="b">
        <f t="shared" si="57"/>
        <v>0</v>
      </c>
    </row>
    <row r="454" spans="1:16" x14ac:dyDescent="0.35">
      <c r="A454" s="92">
        <f t="shared" si="53"/>
        <v>0</v>
      </c>
      <c r="B454" s="92" t="e">
        <f>VLOOKUP(A454,[1]Hoja3!$C$3:$D$14,2,FALSE)</f>
        <v>#N/A</v>
      </c>
      <c r="C454" s="93"/>
      <c r="D454" s="101"/>
      <c r="E454" s="94"/>
      <c r="F454" s="95"/>
      <c r="G454" s="96"/>
      <c r="H454" s="96" t="b">
        <f t="shared" si="52"/>
        <v>0</v>
      </c>
      <c r="I454" s="247" t="e">
        <f t="shared" si="54"/>
        <v>#N/A</v>
      </c>
      <c r="J454" s="97">
        <v>0</v>
      </c>
      <c r="K454" s="98">
        <v>0</v>
      </c>
      <c r="L454" s="98"/>
      <c r="M454" s="98"/>
      <c r="N454" s="98">
        <f t="shared" si="55"/>
        <v>0</v>
      </c>
      <c r="O454" s="240" t="b">
        <f t="shared" si="56"/>
        <v>0</v>
      </c>
      <c r="P454" s="240" t="b">
        <f t="shared" si="57"/>
        <v>0</v>
      </c>
    </row>
    <row r="455" spans="1:16" x14ac:dyDescent="0.35">
      <c r="A455" s="92">
        <f t="shared" si="53"/>
        <v>0</v>
      </c>
      <c r="B455" s="92" t="e">
        <f>VLOOKUP(A455,[1]Hoja3!$C$3:$D$14,2,FALSE)</f>
        <v>#N/A</v>
      </c>
      <c r="C455" s="93"/>
      <c r="D455" s="101"/>
      <c r="E455" s="94"/>
      <c r="F455" s="95"/>
      <c r="G455" s="96"/>
      <c r="H455" s="96" t="b">
        <f t="shared" si="52"/>
        <v>0</v>
      </c>
      <c r="I455" s="247" t="e">
        <f t="shared" si="54"/>
        <v>#N/A</v>
      </c>
      <c r="J455" s="97">
        <v>0</v>
      </c>
      <c r="K455" s="98">
        <v>0</v>
      </c>
      <c r="L455" s="98"/>
      <c r="M455" s="98"/>
      <c r="N455" s="98">
        <f t="shared" si="55"/>
        <v>0</v>
      </c>
      <c r="O455" s="240" t="b">
        <f t="shared" si="56"/>
        <v>0</v>
      </c>
      <c r="P455" s="240" t="b">
        <f t="shared" si="57"/>
        <v>0</v>
      </c>
    </row>
    <row r="456" spans="1:16" x14ac:dyDescent="0.35">
      <c r="A456" s="92">
        <f t="shared" si="53"/>
        <v>0</v>
      </c>
      <c r="B456" s="92" t="e">
        <f>VLOOKUP(A456,[1]Hoja3!$C$3:$D$14,2,FALSE)</f>
        <v>#N/A</v>
      </c>
      <c r="C456" s="93"/>
      <c r="D456" s="101"/>
      <c r="E456" s="94"/>
      <c r="F456" s="95"/>
      <c r="G456" s="96"/>
      <c r="H456" s="96" t="b">
        <f t="shared" si="52"/>
        <v>0</v>
      </c>
      <c r="I456" s="247" t="e">
        <f t="shared" si="54"/>
        <v>#N/A</v>
      </c>
      <c r="J456" s="97">
        <v>0</v>
      </c>
      <c r="K456" s="98">
        <v>0</v>
      </c>
      <c r="L456" s="98"/>
      <c r="M456" s="98"/>
      <c r="N456" s="98">
        <f t="shared" si="55"/>
        <v>0</v>
      </c>
      <c r="O456" s="240" t="b">
        <f t="shared" si="56"/>
        <v>0</v>
      </c>
      <c r="P456" s="240" t="b">
        <f t="shared" si="57"/>
        <v>0</v>
      </c>
    </row>
    <row r="457" spans="1:16" x14ac:dyDescent="0.35">
      <c r="A457" s="92">
        <f t="shared" si="53"/>
        <v>0</v>
      </c>
      <c r="B457" s="92" t="e">
        <f>VLOOKUP(A457,[1]Hoja3!$C$3:$D$14,2,FALSE)</f>
        <v>#N/A</v>
      </c>
      <c r="C457" s="93"/>
      <c r="D457" s="101"/>
      <c r="E457" s="94"/>
      <c r="F457" s="95"/>
      <c r="G457" s="96"/>
      <c r="H457" s="96" t="b">
        <f t="shared" si="52"/>
        <v>0</v>
      </c>
      <c r="I457" s="247" t="e">
        <f t="shared" si="54"/>
        <v>#N/A</v>
      </c>
      <c r="J457" s="97">
        <v>0</v>
      </c>
      <c r="K457" s="98">
        <v>0</v>
      </c>
      <c r="L457" s="98"/>
      <c r="M457" s="98"/>
      <c r="N457" s="98">
        <f t="shared" si="55"/>
        <v>0</v>
      </c>
      <c r="O457" s="240" t="b">
        <f t="shared" si="56"/>
        <v>0</v>
      </c>
      <c r="P457" s="240" t="b">
        <f t="shared" si="57"/>
        <v>0</v>
      </c>
    </row>
    <row r="458" spans="1:16" x14ac:dyDescent="0.35">
      <c r="A458" s="92">
        <f t="shared" si="53"/>
        <v>0</v>
      </c>
      <c r="B458" s="92" t="e">
        <f>VLOOKUP(A458,[1]Hoja3!$C$3:$D$14,2,FALSE)</f>
        <v>#N/A</v>
      </c>
      <c r="C458" s="93"/>
      <c r="D458" s="101"/>
      <c r="E458" s="94"/>
      <c r="F458" s="95"/>
      <c r="G458" s="96"/>
      <c r="H458" s="96" t="b">
        <f t="shared" si="52"/>
        <v>0</v>
      </c>
      <c r="I458" s="247" t="e">
        <f t="shared" si="54"/>
        <v>#N/A</v>
      </c>
      <c r="J458" s="97">
        <v>0</v>
      </c>
      <c r="K458" s="98">
        <v>0</v>
      </c>
      <c r="L458" s="98"/>
      <c r="M458" s="98"/>
      <c r="N458" s="98">
        <f t="shared" si="55"/>
        <v>0</v>
      </c>
      <c r="O458" s="240" t="b">
        <f t="shared" si="56"/>
        <v>0</v>
      </c>
      <c r="P458" s="240" t="b">
        <f t="shared" si="57"/>
        <v>0</v>
      </c>
    </row>
    <row r="459" spans="1:16" x14ac:dyDescent="0.35">
      <c r="A459" s="92">
        <f t="shared" si="53"/>
        <v>0</v>
      </c>
      <c r="B459" s="92" t="e">
        <f>VLOOKUP(A459,[1]Hoja3!$C$3:$D$14,2,FALSE)</f>
        <v>#N/A</v>
      </c>
      <c r="C459" s="93"/>
      <c r="D459" s="101"/>
      <c r="E459" s="94"/>
      <c r="F459" s="95"/>
      <c r="G459" s="96"/>
      <c r="H459" s="96" t="b">
        <f t="shared" si="52"/>
        <v>0</v>
      </c>
      <c r="I459" s="247" t="e">
        <f t="shared" si="54"/>
        <v>#N/A</v>
      </c>
      <c r="J459" s="97">
        <v>0</v>
      </c>
      <c r="K459" s="98">
        <v>0</v>
      </c>
      <c r="L459" s="98"/>
      <c r="M459" s="98"/>
      <c r="N459" s="98">
        <f t="shared" si="55"/>
        <v>0</v>
      </c>
      <c r="O459" s="240" t="b">
        <f t="shared" si="56"/>
        <v>0</v>
      </c>
      <c r="P459" s="240" t="b">
        <f t="shared" si="57"/>
        <v>0</v>
      </c>
    </row>
    <row r="460" spans="1:16" x14ac:dyDescent="0.35">
      <c r="A460" s="92">
        <f t="shared" si="53"/>
        <v>0</v>
      </c>
      <c r="B460" s="92" t="e">
        <f>VLOOKUP(A460,[1]Hoja3!$C$3:$D$14,2,FALSE)</f>
        <v>#N/A</v>
      </c>
      <c r="C460" s="93"/>
      <c r="D460" s="101"/>
      <c r="E460" s="94"/>
      <c r="F460" s="95"/>
      <c r="G460" s="96"/>
      <c r="H460" s="96" t="b">
        <f t="shared" si="52"/>
        <v>0</v>
      </c>
      <c r="I460" s="247" t="e">
        <f t="shared" si="54"/>
        <v>#N/A</v>
      </c>
      <c r="J460" s="97">
        <v>0</v>
      </c>
      <c r="K460" s="98">
        <v>0</v>
      </c>
      <c r="L460" s="98"/>
      <c r="M460" s="98"/>
      <c r="N460" s="98">
        <f t="shared" si="55"/>
        <v>0</v>
      </c>
      <c r="O460" s="240" t="b">
        <f t="shared" si="56"/>
        <v>0</v>
      </c>
      <c r="P460" s="240" t="b">
        <f t="shared" si="57"/>
        <v>0</v>
      </c>
    </row>
    <row r="461" spans="1:16" x14ac:dyDescent="0.35">
      <c r="A461" s="92">
        <f t="shared" si="53"/>
        <v>0</v>
      </c>
      <c r="B461" s="92" t="e">
        <f>VLOOKUP(A461,[1]Hoja3!$C$3:$D$14,2,FALSE)</f>
        <v>#N/A</v>
      </c>
      <c r="C461" s="93"/>
      <c r="D461" s="101"/>
      <c r="E461" s="94"/>
      <c r="F461" s="95"/>
      <c r="G461" s="96"/>
      <c r="H461" s="96" t="b">
        <f t="shared" si="52"/>
        <v>0</v>
      </c>
      <c r="I461" s="247" t="e">
        <f t="shared" si="54"/>
        <v>#N/A</v>
      </c>
      <c r="J461" s="97">
        <v>0</v>
      </c>
      <c r="K461" s="98">
        <v>0</v>
      </c>
      <c r="L461" s="98"/>
      <c r="M461" s="98"/>
      <c r="N461" s="98">
        <f t="shared" si="55"/>
        <v>0</v>
      </c>
      <c r="O461" s="240" t="b">
        <f t="shared" si="56"/>
        <v>0</v>
      </c>
      <c r="P461" s="240" t="b">
        <f t="shared" si="57"/>
        <v>0</v>
      </c>
    </row>
    <row r="462" spans="1:16" x14ac:dyDescent="0.35">
      <c r="A462" s="92">
        <f t="shared" si="53"/>
        <v>0</v>
      </c>
      <c r="B462" s="92" t="e">
        <f>VLOOKUP(A462,[1]Hoja3!$C$3:$D$14,2,FALSE)</f>
        <v>#N/A</v>
      </c>
      <c r="C462" s="93"/>
      <c r="D462" s="101"/>
      <c r="E462" s="94"/>
      <c r="F462" s="95"/>
      <c r="G462" s="96"/>
      <c r="H462" s="96" t="b">
        <f t="shared" si="52"/>
        <v>0</v>
      </c>
      <c r="I462" s="247" t="e">
        <f t="shared" si="54"/>
        <v>#N/A</v>
      </c>
      <c r="J462" s="97">
        <v>0</v>
      </c>
      <c r="K462" s="98">
        <v>0</v>
      </c>
      <c r="L462" s="98"/>
      <c r="M462" s="98"/>
      <c r="N462" s="98">
        <f t="shared" si="55"/>
        <v>0</v>
      </c>
      <c r="O462" s="240" t="b">
        <f t="shared" si="56"/>
        <v>0</v>
      </c>
      <c r="P462" s="240" t="b">
        <f t="shared" si="57"/>
        <v>0</v>
      </c>
    </row>
    <row r="463" spans="1:16" x14ac:dyDescent="0.35">
      <c r="A463" s="92">
        <f t="shared" si="53"/>
        <v>0</v>
      </c>
      <c r="B463" s="92" t="e">
        <f>VLOOKUP(A463,[1]Hoja3!$C$3:$D$14,2,FALSE)</f>
        <v>#N/A</v>
      </c>
      <c r="C463" s="93"/>
      <c r="D463" s="101"/>
      <c r="E463" s="94"/>
      <c r="F463" s="95"/>
      <c r="G463" s="96"/>
      <c r="H463" s="96" t="b">
        <f t="shared" si="52"/>
        <v>0</v>
      </c>
      <c r="I463" s="247" t="e">
        <f t="shared" si="54"/>
        <v>#N/A</v>
      </c>
      <c r="J463" s="97">
        <v>0</v>
      </c>
      <c r="K463" s="98">
        <v>0</v>
      </c>
      <c r="L463" s="98"/>
      <c r="M463" s="98"/>
      <c r="N463" s="98">
        <f t="shared" si="55"/>
        <v>0</v>
      </c>
      <c r="O463" s="240" t="b">
        <f t="shared" si="56"/>
        <v>0</v>
      </c>
      <c r="P463" s="240" t="b">
        <f t="shared" si="57"/>
        <v>0</v>
      </c>
    </row>
    <row r="464" spans="1:16" x14ac:dyDescent="0.35">
      <c r="A464" s="92">
        <f t="shared" si="53"/>
        <v>0</v>
      </c>
      <c r="B464" s="92" t="e">
        <f>VLOOKUP(A464,[1]Hoja3!$C$3:$D$14,2,FALSE)</f>
        <v>#N/A</v>
      </c>
      <c r="C464" s="93"/>
      <c r="D464" s="101"/>
      <c r="E464" s="94"/>
      <c r="F464" s="95"/>
      <c r="G464" s="96"/>
      <c r="H464" s="96" t="b">
        <f t="shared" ref="H464:H527" si="58">IF(G464="EFREN ABUNDEZ REYNA","AURE7306187IA",IF(G464="LUIS ALEJANDRO HERNANDEZ REYNA","HERL850705AL2",IF(G464="ANA BEATRIZ ESTRADA ARGOTE","EAAA860701UP2",IF(G464="SERGIO ROMERO DURAN","RODS620908QAA",IF(G464="MARIELA OLMOS GAONA","OOGM010703NX1",IF(G464="LUCIANO MIJAIL ORTEGA MUÑOZ","OEML881105IK2",IF(G464="GUSTAVO HUMBERTO VELAZCO GALVAN","VEGG9211019T1",IF(G464="JESUS AGUSTIN VELAZQUEZ FLORES","VEFJ900303M65",IF(G464="KARLA ESTEFANIA SALAZAR FLORES","SAFK9807277N1",IF(G464="ANGEL TERRAZAS MONROY","TEMA7105035N4"))))))))))</f>
        <v>0</v>
      </c>
      <c r="I464" s="247" t="e">
        <f t="shared" si="54"/>
        <v>#N/A</v>
      </c>
      <c r="J464" s="97">
        <v>0</v>
      </c>
      <c r="K464" s="98">
        <v>0</v>
      </c>
      <c r="L464" s="98"/>
      <c r="M464" s="98"/>
      <c r="N464" s="98">
        <f t="shared" si="55"/>
        <v>0</v>
      </c>
      <c r="O464" s="240" t="b">
        <f t="shared" si="56"/>
        <v>0</v>
      </c>
      <c r="P464" s="240" t="b">
        <f t="shared" si="57"/>
        <v>0</v>
      </c>
    </row>
    <row r="465" spans="1:16" x14ac:dyDescent="0.35">
      <c r="A465" s="92">
        <f t="shared" si="53"/>
        <v>0</v>
      </c>
      <c r="B465" s="92" t="e">
        <f>VLOOKUP(A465,[1]Hoja3!$C$3:$D$14,2,FALSE)</f>
        <v>#N/A</v>
      </c>
      <c r="C465" s="93"/>
      <c r="D465" s="101"/>
      <c r="E465" s="94"/>
      <c r="F465" s="95"/>
      <c r="G465" s="96"/>
      <c r="H465" s="96" t="b">
        <f t="shared" si="58"/>
        <v>0</v>
      </c>
      <c r="I465" s="247" t="e">
        <f t="shared" si="54"/>
        <v>#N/A</v>
      </c>
      <c r="J465" s="97">
        <v>0</v>
      </c>
      <c r="K465" s="98">
        <v>0</v>
      </c>
      <c r="L465" s="98"/>
      <c r="M465" s="98"/>
      <c r="N465" s="98">
        <f t="shared" si="55"/>
        <v>0</v>
      </c>
      <c r="O465" s="240" t="b">
        <f t="shared" si="56"/>
        <v>0</v>
      </c>
      <c r="P465" s="240" t="b">
        <f t="shared" si="57"/>
        <v>0</v>
      </c>
    </row>
    <row r="466" spans="1:16" x14ac:dyDescent="0.35">
      <c r="A466" s="92">
        <f t="shared" si="53"/>
        <v>0</v>
      </c>
      <c r="B466" s="92" t="e">
        <f>VLOOKUP(A466,[1]Hoja3!$C$3:$D$14,2,FALSE)</f>
        <v>#N/A</v>
      </c>
      <c r="C466" s="93"/>
      <c r="D466" s="101"/>
      <c r="E466" s="94"/>
      <c r="F466" s="95"/>
      <c r="G466" s="96"/>
      <c r="H466" s="96" t="b">
        <f t="shared" si="58"/>
        <v>0</v>
      </c>
      <c r="I466" s="247" t="e">
        <f t="shared" si="54"/>
        <v>#N/A</v>
      </c>
      <c r="J466" s="97">
        <v>0</v>
      </c>
      <c r="K466" s="98">
        <v>0</v>
      </c>
      <c r="L466" s="98"/>
      <c r="M466" s="98"/>
      <c r="N466" s="98">
        <f t="shared" si="55"/>
        <v>0</v>
      </c>
      <c r="O466" s="240" t="b">
        <f t="shared" si="56"/>
        <v>0</v>
      </c>
      <c r="P466" s="240" t="b">
        <f t="shared" si="57"/>
        <v>0</v>
      </c>
    </row>
    <row r="467" spans="1:16" x14ac:dyDescent="0.35">
      <c r="A467" s="92">
        <f t="shared" si="53"/>
        <v>0</v>
      </c>
      <c r="B467" s="92" t="e">
        <f>VLOOKUP(A467,[1]Hoja3!$C$3:$D$14,2,FALSE)</f>
        <v>#N/A</v>
      </c>
      <c r="C467" s="93"/>
      <c r="D467" s="101"/>
      <c r="E467" s="94"/>
      <c r="F467" s="95"/>
      <c r="G467" s="96"/>
      <c r="H467" s="96" t="b">
        <f t="shared" si="58"/>
        <v>0</v>
      </c>
      <c r="I467" s="247" t="e">
        <f t="shared" si="54"/>
        <v>#N/A</v>
      </c>
      <c r="J467" s="97">
        <v>0</v>
      </c>
      <c r="K467" s="98">
        <v>0</v>
      </c>
      <c r="L467" s="98"/>
      <c r="M467" s="98"/>
      <c r="N467" s="98">
        <f t="shared" si="55"/>
        <v>0</v>
      </c>
      <c r="O467" s="240" t="b">
        <f t="shared" si="56"/>
        <v>0</v>
      </c>
      <c r="P467" s="240" t="b">
        <f t="shared" si="57"/>
        <v>0</v>
      </c>
    </row>
    <row r="468" spans="1:16" x14ac:dyDescent="0.35">
      <c r="A468" s="92">
        <f t="shared" si="53"/>
        <v>0</v>
      </c>
      <c r="B468" s="92" t="e">
        <f>VLOOKUP(A468,[1]Hoja3!$C$3:$D$14,2,FALSE)</f>
        <v>#N/A</v>
      </c>
      <c r="C468" s="93"/>
      <c r="D468" s="101"/>
      <c r="E468" s="94"/>
      <c r="F468" s="95"/>
      <c r="G468" s="96"/>
      <c r="H468" s="96" t="b">
        <f t="shared" si="58"/>
        <v>0</v>
      </c>
      <c r="I468" s="247" t="e">
        <f t="shared" si="54"/>
        <v>#N/A</v>
      </c>
      <c r="J468" s="97">
        <v>0</v>
      </c>
      <c r="K468" s="98">
        <v>0</v>
      </c>
      <c r="L468" s="98"/>
      <c r="M468" s="98"/>
      <c r="N468" s="98">
        <f t="shared" si="55"/>
        <v>0</v>
      </c>
      <c r="O468" s="240" t="b">
        <f t="shared" si="56"/>
        <v>0</v>
      </c>
      <c r="P468" s="240" t="b">
        <f t="shared" si="57"/>
        <v>0</v>
      </c>
    </row>
    <row r="469" spans="1:16" x14ac:dyDescent="0.35">
      <c r="A469" s="92">
        <f t="shared" si="53"/>
        <v>0</v>
      </c>
      <c r="B469" s="92" t="e">
        <f>VLOOKUP(A469,[1]Hoja3!$C$3:$D$14,2,FALSE)</f>
        <v>#N/A</v>
      </c>
      <c r="C469" s="93"/>
      <c r="D469" s="101"/>
      <c r="E469" s="94"/>
      <c r="F469" s="95"/>
      <c r="G469" s="96"/>
      <c r="H469" s="96" t="b">
        <f t="shared" si="58"/>
        <v>0</v>
      </c>
      <c r="I469" s="247" t="e">
        <f t="shared" si="54"/>
        <v>#N/A</v>
      </c>
      <c r="J469" s="97">
        <v>0</v>
      </c>
      <c r="K469" s="98">
        <v>0</v>
      </c>
      <c r="L469" s="98"/>
      <c r="M469" s="98"/>
      <c r="N469" s="98">
        <f t="shared" si="55"/>
        <v>0</v>
      </c>
      <c r="O469" s="240" t="b">
        <f t="shared" si="56"/>
        <v>0</v>
      </c>
      <c r="P469" s="240" t="b">
        <f t="shared" si="57"/>
        <v>0</v>
      </c>
    </row>
    <row r="470" spans="1:16" x14ac:dyDescent="0.35">
      <c r="A470" s="92">
        <f t="shared" si="53"/>
        <v>0</v>
      </c>
      <c r="B470" s="92" t="e">
        <f>VLOOKUP(A470,[1]Hoja3!$C$3:$D$14,2,FALSE)</f>
        <v>#N/A</v>
      </c>
      <c r="C470" s="93"/>
      <c r="D470" s="101"/>
      <c r="E470" s="94"/>
      <c r="F470" s="95"/>
      <c r="G470" s="96"/>
      <c r="H470" s="96" t="b">
        <f t="shared" si="58"/>
        <v>0</v>
      </c>
      <c r="I470" s="247" t="e">
        <f t="shared" si="54"/>
        <v>#N/A</v>
      </c>
      <c r="J470" s="97">
        <v>0</v>
      </c>
      <c r="K470" s="98">
        <v>0</v>
      </c>
      <c r="L470" s="98"/>
      <c r="M470" s="98"/>
      <c r="N470" s="98">
        <f t="shared" si="55"/>
        <v>0</v>
      </c>
      <c r="O470" s="240" t="b">
        <f t="shared" si="56"/>
        <v>0</v>
      </c>
      <c r="P470" s="240" t="b">
        <f t="shared" si="57"/>
        <v>0</v>
      </c>
    </row>
    <row r="471" spans="1:16" x14ac:dyDescent="0.35">
      <c r="A471" s="92">
        <f t="shared" si="53"/>
        <v>0</v>
      </c>
      <c r="B471" s="92" t="e">
        <f>VLOOKUP(A471,[1]Hoja3!$C$3:$D$14,2,FALSE)</f>
        <v>#N/A</v>
      </c>
      <c r="C471" s="93"/>
      <c r="D471" s="101"/>
      <c r="E471" s="94"/>
      <c r="F471" s="95"/>
      <c r="G471" s="96"/>
      <c r="H471" s="96" t="b">
        <f t="shared" si="58"/>
        <v>0</v>
      </c>
      <c r="I471" s="247" t="e">
        <f t="shared" si="54"/>
        <v>#N/A</v>
      </c>
      <c r="J471" s="97">
        <v>0</v>
      </c>
      <c r="K471" s="98">
        <v>0</v>
      </c>
      <c r="L471" s="98"/>
      <c r="M471" s="98"/>
      <c r="N471" s="98">
        <f t="shared" si="55"/>
        <v>0</v>
      </c>
      <c r="O471" s="240" t="b">
        <f t="shared" si="56"/>
        <v>0</v>
      </c>
      <c r="P471" s="240" t="b">
        <f t="shared" si="57"/>
        <v>0</v>
      </c>
    </row>
    <row r="472" spans="1:16" x14ac:dyDescent="0.35">
      <c r="A472" s="92">
        <f t="shared" si="53"/>
        <v>0</v>
      </c>
      <c r="B472" s="92" t="e">
        <f>VLOOKUP(A472,[1]Hoja3!$C$3:$D$14,2,FALSE)</f>
        <v>#N/A</v>
      </c>
      <c r="C472" s="93"/>
      <c r="D472" s="101"/>
      <c r="E472" s="94"/>
      <c r="F472" s="95"/>
      <c r="G472" s="96"/>
      <c r="H472" s="96" t="b">
        <f t="shared" si="58"/>
        <v>0</v>
      </c>
      <c r="I472" s="247" t="e">
        <f t="shared" si="54"/>
        <v>#N/A</v>
      </c>
      <c r="J472" s="97">
        <v>0</v>
      </c>
      <c r="K472" s="98">
        <v>0</v>
      </c>
      <c r="L472" s="98"/>
      <c r="M472" s="98"/>
      <c r="N472" s="98">
        <f t="shared" si="55"/>
        <v>0</v>
      </c>
      <c r="O472" s="240" t="b">
        <f t="shared" si="56"/>
        <v>0</v>
      </c>
      <c r="P472" s="240" t="b">
        <f t="shared" si="57"/>
        <v>0</v>
      </c>
    </row>
    <row r="473" spans="1:16" x14ac:dyDescent="0.35">
      <c r="A473" s="92">
        <f t="shared" si="53"/>
        <v>0</v>
      </c>
      <c r="B473" s="92" t="e">
        <f>VLOOKUP(A473,[1]Hoja3!$C$3:$D$14,2,FALSE)</f>
        <v>#N/A</v>
      </c>
      <c r="C473" s="93"/>
      <c r="D473" s="101"/>
      <c r="E473" s="94"/>
      <c r="F473" s="95"/>
      <c r="G473" s="96"/>
      <c r="H473" s="96" t="b">
        <f t="shared" si="58"/>
        <v>0</v>
      </c>
      <c r="I473" s="247" t="e">
        <f t="shared" si="54"/>
        <v>#N/A</v>
      </c>
      <c r="J473" s="97">
        <v>0</v>
      </c>
      <c r="K473" s="98">
        <v>0</v>
      </c>
      <c r="L473" s="98"/>
      <c r="M473" s="98"/>
      <c r="N473" s="98">
        <f t="shared" si="55"/>
        <v>0</v>
      </c>
      <c r="O473" s="240" t="b">
        <f t="shared" si="56"/>
        <v>0</v>
      </c>
      <c r="P473" s="240" t="b">
        <f t="shared" si="57"/>
        <v>0</v>
      </c>
    </row>
    <row r="474" spans="1:16" x14ac:dyDescent="0.35">
      <c r="A474" s="92">
        <f t="shared" si="53"/>
        <v>0</v>
      </c>
      <c r="B474" s="92" t="e">
        <f>VLOOKUP(A474,[1]Hoja3!$C$3:$D$14,2,FALSE)</f>
        <v>#N/A</v>
      </c>
      <c r="C474" s="93"/>
      <c r="D474" s="101"/>
      <c r="E474" s="94"/>
      <c r="F474" s="95"/>
      <c r="G474" s="96"/>
      <c r="H474" s="96" t="b">
        <f t="shared" si="58"/>
        <v>0</v>
      </c>
      <c r="I474" s="247" t="e">
        <f t="shared" si="54"/>
        <v>#N/A</v>
      </c>
      <c r="J474" s="97">
        <v>0</v>
      </c>
      <c r="K474" s="98">
        <v>0</v>
      </c>
      <c r="L474" s="98"/>
      <c r="M474" s="98"/>
      <c r="N474" s="98">
        <f t="shared" si="55"/>
        <v>0</v>
      </c>
      <c r="O474" s="240" t="b">
        <f t="shared" si="56"/>
        <v>0</v>
      </c>
      <c r="P474" s="240" t="b">
        <f t="shared" si="57"/>
        <v>0</v>
      </c>
    </row>
    <row r="475" spans="1:16" x14ac:dyDescent="0.35">
      <c r="A475" s="92">
        <f t="shared" si="53"/>
        <v>0</v>
      </c>
      <c r="B475" s="92" t="e">
        <f>VLOOKUP(A475,[1]Hoja3!$C$3:$D$14,2,FALSE)</f>
        <v>#N/A</v>
      </c>
      <c r="C475" s="93"/>
      <c r="D475" s="101"/>
      <c r="E475" s="94"/>
      <c r="F475" s="95"/>
      <c r="G475" s="96"/>
      <c r="H475" s="96" t="b">
        <f t="shared" si="58"/>
        <v>0</v>
      </c>
      <c r="I475" s="247" t="e">
        <f t="shared" si="54"/>
        <v>#N/A</v>
      </c>
      <c r="J475" s="97">
        <v>0</v>
      </c>
      <c r="K475" s="98">
        <v>0</v>
      </c>
      <c r="L475" s="98"/>
      <c r="M475" s="98"/>
      <c r="N475" s="98">
        <f t="shared" si="55"/>
        <v>0</v>
      </c>
      <c r="O475" s="240" t="b">
        <f t="shared" si="56"/>
        <v>0</v>
      </c>
      <c r="P475" s="240" t="b">
        <f t="shared" si="57"/>
        <v>0</v>
      </c>
    </row>
    <row r="476" spans="1:16" x14ac:dyDescent="0.35">
      <c r="A476" s="92">
        <f t="shared" si="53"/>
        <v>0</v>
      </c>
      <c r="B476" s="92" t="e">
        <f>VLOOKUP(A476,[1]Hoja3!$C$3:$D$14,2,FALSE)</f>
        <v>#N/A</v>
      </c>
      <c r="C476" s="93"/>
      <c r="D476" s="101"/>
      <c r="E476" s="94"/>
      <c r="F476" s="95"/>
      <c r="G476" s="96"/>
      <c r="H476" s="96" t="b">
        <f t="shared" si="58"/>
        <v>0</v>
      </c>
      <c r="I476" s="247" t="e">
        <f t="shared" si="54"/>
        <v>#N/A</v>
      </c>
      <c r="J476" s="97">
        <v>0</v>
      </c>
      <c r="K476" s="98">
        <v>0</v>
      </c>
      <c r="L476" s="98"/>
      <c r="M476" s="98"/>
      <c r="N476" s="98">
        <f t="shared" si="55"/>
        <v>0</v>
      </c>
      <c r="O476" s="240" t="b">
        <f t="shared" si="56"/>
        <v>0</v>
      </c>
      <c r="P476" s="240" t="b">
        <f t="shared" si="57"/>
        <v>0</v>
      </c>
    </row>
    <row r="477" spans="1:16" x14ac:dyDescent="0.35">
      <c r="A477" s="92">
        <f t="shared" si="53"/>
        <v>0</v>
      </c>
      <c r="B477" s="92" t="e">
        <f>VLOOKUP(A477,[1]Hoja3!$C$3:$D$14,2,FALSE)</f>
        <v>#N/A</v>
      </c>
      <c r="C477" s="93"/>
      <c r="D477" s="101"/>
      <c r="E477" s="94"/>
      <c r="F477" s="95"/>
      <c r="G477" s="96"/>
      <c r="H477" s="96" t="b">
        <f t="shared" si="58"/>
        <v>0</v>
      </c>
      <c r="I477" s="247" t="e">
        <f t="shared" si="54"/>
        <v>#N/A</v>
      </c>
      <c r="J477" s="97">
        <v>0</v>
      </c>
      <c r="K477" s="98">
        <v>0</v>
      </c>
      <c r="L477" s="98"/>
      <c r="M477" s="98"/>
      <c r="N477" s="98">
        <f t="shared" si="55"/>
        <v>0</v>
      </c>
      <c r="O477" s="240" t="b">
        <f t="shared" si="56"/>
        <v>0</v>
      </c>
      <c r="P477" s="240" t="b">
        <f t="shared" si="57"/>
        <v>0</v>
      </c>
    </row>
    <row r="478" spans="1:16" x14ac:dyDescent="0.35">
      <c r="A478" s="92">
        <f t="shared" si="53"/>
        <v>0</v>
      </c>
      <c r="B478" s="92" t="e">
        <f>VLOOKUP(A478,[1]Hoja3!$C$3:$D$14,2,FALSE)</f>
        <v>#N/A</v>
      </c>
      <c r="C478" s="93"/>
      <c r="D478" s="101"/>
      <c r="E478" s="94"/>
      <c r="F478" s="95"/>
      <c r="G478" s="96"/>
      <c r="H478" s="96" t="b">
        <f t="shared" si="58"/>
        <v>0</v>
      </c>
      <c r="I478" s="247" t="e">
        <f t="shared" si="54"/>
        <v>#N/A</v>
      </c>
      <c r="J478" s="97">
        <v>0</v>
      </c>
      <c r="K478" s="98">
        <v>0</v>
      </c>
      <c r="L478" s="98"/>
      <c r="M478" s="98"/>
      <c r="N478" s="98">
        <f t="shared" si="55"/>
        <v>0</v>
      </c>
      <c r="O478" s="240" t="b">
        <f t="shared" si="56"/>
        <v>0</v>
      </c>
      <c r="P478" s="240" t="b">
        <f t="shared" si="57"/>
        <v>0</v>
      </c>
    </row>
    <row r="479" spans="1:16" x14ac:dyDescent="0.35">
      <c r="A479" s="92">
        <f t="shared" si="53"/>
        <v>0</v>
      </c>
      <c r="B479" s="92" t="e">
        <f>VLOOKUP(A479,[1]Hoja3!$C$3:$D$14,2,FALSE)</f>
        <v>#N/A</v>
      </c>
      <c r="C479" s="93"/>
      <c r="D479" s="101"/>
      <c r="E479" s="94"/>
      <c r="F479" s="95"/>
      <c r="G479" s="96"/>
      <c r="H479" s="96" t="b">
        <f t="shared" si="58"/>
        <v>0</v>
      </c>
      <c r="I479" s="247" t="e">
        <f t="shared" si="54"/>
        <v>#N/A</v>
      </c>
      <c r="J479" s="97">
        <v>0</v>
      </c>
      <c r="K479" s="98">
        <v>0</v>
      </c>
      <c r="L479" s="98"/>
      <c r="M479" s="98"/>
      <c r="N479" s="98">
        <f t="shared" si="55"/>
        <v>0</v>
      </c>
      <c r="O479" s="240" t="b">
        <f t="shared" si="56"/>
        <v>0</v>
      </c>
      <c r="P479" s="240" t="b">
        <f t="shared" si="57"/>
        <v>0</v>
      </c>
    </row>
    <row r="480" spans="1:16" x14ac:dyDescent="0.35">
      <c r="A480" s="92">
        <f t="shared" si="53"/>
        <v>0</v>
      </c>
      <c r="B480" s="92" t="e">
        <f>VLOOKUP(A480,[1]Hoja3!$C$3:$D$14,2,FALSE)</f>
        <v>#N/A</v>
      </c>
      <c r="C480" s="93"/>
      <c r="D480" s="101"/>
      <c r="E480" s="94"/>
      <c r="F480" s="95"/>
      <c r="G480" s="96"/>
      <c r="H480" s="96" t="b">
        <f t="shared" si="58"/>
        <v>0</v>
      </c>
      <c r="I480" s="247" t="e">
        <f t="shared" si="54"/>
        <v>#N/A</v>
      </c>
      <c r="J480" s="97">
        <v>0</v>
      </c>
      <c r="K480" s="98">
        <v>0</v>
      </c>
      <c r="L480" s="98"/>
      <c r="M480" s="98"/>
      <c r="N480" s="98">
        <f t="shared" si="55"/>
        <v>0</v>
      </c>
      <c r="O480" s="240" t="b">
        <f t="shared" si="56"/>
        <v>0</v>
      </c>
      <c r="P480" s="240" t="b">
        <f t="shared" si="57"/>
        <v>0</v>
      </c>
    </row>
    <row r="481" spans="1:16" x14ac:dyDescent="0.35">
      <c r="A481" s="92">
        <f t="shared" si="53"/>
        <v>0</v>
      </c>
      <c r="B481" s="92" t="e">
        <f>VLOOKUP(A481,[1]Hoja3!$C$3:$D$14,2,FALSE)</f>
        <v>#N/A</v>
      </c>
      <c r="C481" s="93"/>
      <c r="D481" s="101"/>
      <c r="E481" s="94"/>
      <c r="F481" s="95"/>
      <c r="G481" s="96"/>
      <c r="H481" s="96" t="b">
        <f t="shared" si="58"/>
        <v>0</v>
      </c>
      <c r="I481" s="247" t="e">
        <f t="shared" si="54"/>
        <v>#N/A</v>
      </c>
      <c r="J481" s="97">
        <v>0</v>
      </c>
      <c r="K481" s="98">
        <v>0</v>
      </c>
      <c r="L481" s="98"/>
      <c r="M481" s="98"/>
      <c r="N481" s="98">
        <f t="shared" si="55"/>
        <v>0</v>
      </c>
      <c r="O481" s="240" t="b">
        <f t="shared" si="56"/>
        <v>0</v>
      </c>
      <c r="P481" s="240" t="b">
        <f t="shared" si="57"/>
        <v>0</v>
      </c>
    </row>
    <row r="482" spans="1:16" x14ac:dyDescent="0.35">
      <c r="A482" s="92">
        <f t="shared" si="53"/>
        <v>0</v>
      </c>
      <c r="B482" s="92" t="e">
        <f>VLOOKUP(A482,[1]Hoja3!$C$3:$D$14,2,FALSE)</f>
        <v>#N/A</v>
      </c>
      <c r="C482" s="93"/>
      <c r="D482" s="101"/>
      <c r="E482" s="94"/>
      <c r="F482" s="95"/>
      <c r="G482" s="96"/>
      <c r="H482" s="96" t="b">
        <f t="shared" si="58"/>
        <v>0</v>
      </c>
      <c r="I482" s="247" t="e">
        <f t="shared" si="54"/>
        <v>#N/A</v>
      </c>
      <c r="J482" s="97">
        <v>0</v>
      </c>
      <c r="K482" s="98">
        <v>0</v>
      </c>
      <c r="L482" s="98"/>
      <c r="M482" s="98"/>
      <c r="N482" s="98">
        <f t="shared" si="55"/>
        <v>0</v>
      </c>
      <c r="O482" s="240" t="b">
        <f t="shared" si="56"/>
        <v>0</v>
      </c>
      <c r="P482" s="240" t="b">
        <f t="shared" si="57"/>
        <v>0</v>
      </c>
    </row>
    <row r="483" spans="1:16" x14ac:dyDescent="0.35">
      <c r="A483" s="92">
        <f t="shared" si="53"/>
        <v>0</v>
      </c>
      <c r="B483" s="92" t="e">
        <f>VLOOKUP(A483,[1]Hoja3!$C$3:$D$14,2,FALSE)</f>
        <v>#N/A</v>
      </c>
      <c r="C483" s="93"/>
      <c r="D483" s="101"/>
      <c r="E483" s="94"/>
      <c r="F483" s="95"/>
      <c r="G483" s="96"/>
      <c r="H483" s="96" t="b">
        <f t="shared" si="58"/>
        <v>0</v>
      </c>
      <c r="I483" s="247" t="e">
        <f t="shared" si="54"/>
        <v>#N/A</v>
      </c>
      <c r="J483" s="97">
        <v>0</v>
      </c>
      <c r="K483" s="98">
        <v>0</v>
      </c>
      <c r="L483" s="98"/>
      <c r="M483" s="98"/>
      <c r="N483" s="98">
        <f t="shared" si="55"/>
        <v>0</v>
      </c>
      <c r="O483" s="240" t="b">
        <f t="shared" si="56"/>
        <v>0</v>
      </c>
      <c r="P483" s="240" t="b">
        <f t="shared" si="57"/>
        <v>0</v>
      </c>
    </row>
    <row r="484" spans="1:16" x14ac:dyDescent="0.35">
      <c r="A484" s="92">
        <f t="shared" si="53"/>
        <v>0</v>
      </c>
      <c r="B484" s="92" t="e">
        <f>VLOOKUP(A484,[1]Hoja3!$C$3:$D$14,2,FALSE)</f>
        <v>#N/A</v>
      </c>
      <c r="C484" s="93"/>
      <c r="D484" s="101"/>
      <c r="E484" s="94"/>
      <c r="F484" s="95"/>
      <c r="G484" s="96"/>
      <c r="H484" s="96" t="b">
        <f t="shared" si="58"/>
        <v>0</v>
      </c>
      <c r="I484" s="247" t="e">
        <f t="shared" si="54"/>
        <v>#N/A</v>
      </c>
      <c r="J484" s="97">
        <v>0</v>
      </c>
      <c r="K484" s="98">
        <v>0</v>
      </c>
      <c r="L484" s="98"/>
      <c r="M484" s="98"/>
      <c r="N484" s="98">
        <f t="shared" si="55"/>
        <v>0</v>
      </c>
      <c r="O484" s="240" t="b">
        <f t="shared" si="56"/>
        <v>0</v>
      </c>
      <c r="P484" s="240" t="b">
        <f t="shared" si="57"/>
        <v>0</v>
      </c>
    </row>
    <row r="485" spans="1:16" x14ac:dyDescent="0.35">
      <c r="A485" s="92">
        <f t="shared" si="53"/>
        <v>0</v>
      </c>
      <c r="B485" s="92" t="e">
        <f>VLOOKUP(A485,[1]Hoja3!$C$3:$D$14,2,FALSE)</f>
        <v>#N/A</v>
      </c>
      <c r="C485" s="93"/>
      <c r="D485" s="101"/>
      <c r="E485" s="94"/>
      <c r="F485" s="95"/>
      <c r="G485" s="96"/>
      <c r="H485" s="96" t="b">
        <f t="shared" si="58"/>
        <v>0</v>
      </c>
      <c r="I485" s="247" t="e">
        <f t="shared" si="54"/>
        <v>#N/A</v>
      </c>
      <c r="J485" s="97">
        <v>0</v>
      </c>
      <c r="K485" s="98">
        <v>0</v>
      </c>
      <c r="L485" s="98"/>
      <c r="M485" s="98"/>
      <c r="N485" s="98">
        <f t="shared" si="55"/>
        <v>0</v>
      </c>
      <c r="O485" s="240" t="b">
        <f t="shared" si="56"/>
        <v>0</v>
      </c>
      <c r="P485" s="240" t="b">
        <f t="shared" si="57"/>
        <v>0</v>
      </c>
    </row>
    <row r="486" spans="1:16" x14ac:dyDescent="0.35">
      <c r="A486" s="92">
        <f t="shared" si="53"/>
        <v>0</v>
      </c>
      <c r="B486" s="92" t="e">
        <f>VLOOKUP(A486,[1]Hoja3!$C$3:$D$14,2,FALSE)</f>
        <v>#N/A</v>
      </c>
      <c r="C486" s="93"/>
      <c r="D486" s="101"/>
      <c r="E486" s="94"/>
      <c r="F486" s="95"/>
      <c r="G486" s="96"/>
      <c r="H486" s="96" t="b">
        <f t="shared" si="58"/>
        <v>0</v>
      </c>
      <c r="I486" s="247" t="e">
        <f t="shared" si="54"/>
        <v>#N/A</v>
      </c>
      <c r="J486" s="97">
        <v>0</v>
      </c>
      <c r="K486" s="98">
        <v>0</v>
      </c>
      <c r="L486" s="98"/>
      <c r="M486" s="98"/>
      <c r="N486" s="98">
        <f t="shared" si="55"/>
        <v>0</v>
      </c>
      <c r="O486" s="240" t="b">
        <f t="shared" si="56"/>
        <v>0</v>
      </c>
      <c r="P486" s="240" t="b">
        <f t="shared" si="57"/>
        <v>0</v>
      </c>
    </row>
    <row r="487" spans="1:16" x14ac:dyDescent="0.35">
      <c r="A487" s="92">
        <f t="shared" si="53"/>
        <v>0</v>
      </c>
      <c r="B487" s="92" t="e">
        <f>VLOOKUP(A487,[1]Hoja3!$C$3:$D$14,2,FALSE)</f>
        <v>#N/A</v>
      </c>
      <c r="C487" s="93"/>
      <c r="D487" s="101"/>
      <c r="E487" s="94"/>
      <c r="F487" s="95"/>
      <c r="G487" s="96"/>
      <c r="H487" s="96" t="b">
        <f t="shared" si="58"/>
        <v>0</v>
      </c>
      <c r="I487" s="247" t="e">
        <f t="shared" si="54"/>
        <v>#N/A</v>
      </c>
      <c r="J487" s="97">
        <v>0</v>
      </c>
      <c r="K487" s="98">
        <v>0</v>
      </c>
      <c r="L487" s="98"/>
      <c r="M487" s="98"/>
      <c r="N487" s="98">
        <f t="shared" si="55"/>
        <v>0</v>
      </c>
      <c r="O487" s="240" t="b">
        <f t="shared" si="56"/>
        <v>0</v>
      </c>
      <c r="P487" s="240" t="b">
        <f t="shared" si="57"/>
        <v>0</v>
      </c>
    </row>
    <row r="488" spans="1:16" x14ac:dyDescent="0.35">
      <c r="A488" s="92">
        <f t="shared" si="53"/>
        <v>0</v>
      </c>
      <c r="B488" s="92" t="e">
        <f>VLOOKUP(A488,[1]Hoja3!$C$3:$D$14,2,FALSE)</f>
        <v>#N/A</v>
      </c>
      <c r="C488" s="93"/>
      <c r="D488" s="101"/>
      <c r="E488" s="94"/>
      <c r="F488" s="95"/>
      <c r="G488" s="96"/>
      <c r="H488" s="96" t="b">
        <f t="shared" si="58"/>
        <v>0</v>
      </c>
      <c r="I488" s="247" t="e">
        <f t="shared" si="54"/>
        <v>#N/A</v>
      </c>
      <c r="J488" s="97">
        <v>0</v>
      </c>
      <c r="K488" s="98">
        <v>0</v>
      </c>
      <c r="L488" s="98"/>
      <c r="M488" s="98"/>
      <c r="N488" s="98">
        <f t="shared" si="55"/>
        <v>0</v>
      </c>
      <c r="O488" s="240" t="b">
        <f t="shared" si="56"/>
        <v>0</v>
      </c>
      <c r="P488" s="240" t="b">
        <f t="shared" si="57"/>
        <v>0</v>
      </c>
    </row>
    <row r="489" spans="1:16" x14ac:dyDescent="0.35">
      <c r="A489" s="92">
        <f t="shared" si="53"/>
        <v>0</v>
      </c>
      <c r="B489" s="92" t="e">
        <f>VLOOKUP(A489,[1]Hoja3!$C$3:$D$14,2,FALSE)</f>
        <v>#N/A</v>
      </c>
      <c r="C489" s="93"/>
      <c r="D489" s="101"/>
      <c r="E489" s="94"/>
      <c r="F489" s="95"/>
      <c r="G489" s="96"/>
      <c r="H489" s="96" t="b">
        <f t="shared" si="58"/>
        <v>0</v>
      </c>
      <c r="I489" s="247" t="e">
        <f t="shared" si="54"/>
        <v>#N/A</v>
      </c>
      <c r="J489" s="97">
        <v>0</v>
      </c>
      <c r="K489" s="98">
        <v>0</v>
      </c>
      <c r="L489" s="98"/>
      <c r="M489" s="98"/>
      <c r="N489" s="98">
        <f t="shared" si="55"/>
        <v>0</v>
      </c>
      <c r="O489" s="240" t="b">
        <f t="shared" si="56"/>
        <v>0</v>
      </c>
      <c r="P489" s="240" t="b">
        <f t="shared" si="57"/>
        <v>0</v>
      </c>
    </row>
    <row r="490" spans="1:16" x14ac:dyDescent="0.35">
      <c r="A490" s="92">
        <f t="shared" ref="A490:A553" si="59">IF(D490&gt;0,MONTH(D490),0)</f>
        <v>0</v>
      </c>
      <c r="B490" s="92" t="e">
        <f>VLOOKUP(A490,[1]Hoja3!$C$3:$D$14,2,FALSE)</f>
        <v>#N/A</v>
      </c>
      <c r="C490" s="93"/>
      <c r="D490" s="101"/>
      <c r="E490" s="94"/>
      <c r="F490" s="95"/>
      <c r="G490" s="96"/>
      <c r="H490" s="96" t="b">
        <f t="shared" si="58"/>
        <v>0</v>
      </c>
      <c r="I490" s="247" t="e">
        <f t="shared" ref="I490:I553" si="60">+B490</f>
        <v>#N/A</v>
      </c>
      <c r="J490" s="97">
        <v>0</v>
      </c>
      <c r="K490" s="98">
        <v>0</v>
      </c>
      <c r="L490" s="98"/>
      <c r="M490" s="98"/>
      <c r="N490" s="98">
        <f t="shared" ref="N490:N553" si="61">+J490+K490-L490-M490</f>
        <v>0</v>
      </c>
      <c r="O490" s="240" t="b">
        <f t="shared" si="56"/>
        <v>0</v>
      </c>
      <c r="P490" s="240" t="b">
        <f t="shared" si="57"/>
        <v>0</v>
      </c>
    </row>
    <row r="491" spans="1:16" x14ac:dyDescent="0.35">
      <c r="A491" s="92">
        <f t="shared" si="59"/>
        <v>0</v>
      </c>
      <c r="B491" s="92" t="e">
        <f>VLOOKUP(A491,[1]Hoja3!$C$3:$D$14,2,FALSE)</f>
        <v>#N/A</v>
      </c>
      <c r="C491" s="93"/>
      <c r="D491" s="101"/>
      <c r="E491" s="94"/>
      <c r="F491" s="95"/>
      <c r="G491" s="96"/>
      <c r="H491" s="96" t="b">
        <f t="shared" si="58"/>
        <v>0</v>
      </c>
      <c r="I491" s="247" t="e">
        <f t="shared" si="60"/>
        <v>#N/A</v>
      </c>
      <c r="J491" s="97">
        <v>0</v>
      </c>
      <c r="K491" s="98">
        <v>0</v>
      </c>
      <c r="L491" s="98"/>
      <c r="M491" s="98"/>
      <c r="N491" s="98">
        <f t="shared" si="61"/>
        <v>0</v>
      </c>
      <c r="O491" s="240" t="b">
        <f t="shared" si="56"/>
        <v>0</v>
      </c>
      <c r="P491" s="240" t="b">
        <f t="shared" si="57"/>
        <v>0</v>
      </c>
    </row>
    <row r="492" spans="1:16" x14ac:dyDescent="0.35">
      <c r="A492" s="92">
        <f t="shared" si="59"/>
        <v>0</v>
      </c>
      <c r="B492" s="92" t="e">
        <f>VLOOKUP(A492,[1]Hoja3!$C$3:$D$14,2,FALSE)</f>
        <v>#N/A</v>
      </c>
      <c r="C492" s="93"/>
      <c r="D492" s="101"/>
      <c r="E492" s="94"/>
      <c r="F492" s="95"/>
      <c r="G492" s="96"/>
      <c r="H492" s="96" t="b">
        <f t="shared" si="58"/>
        <v>0</v>
      </c>
      <c r="I492" s="247" t="e">
        <f t="shared" si="60"/>
        <v>#N/A</v>
      </c>
      <c r="J492" s="97">
        <v>0</v>
      </c>
      <c r="K492" s="98">
        <v>0</v>
      </c>
      <c r="L492" s="98"/>
      <c r="M492" s="98"/>
      <c r="N492" s="98">
        <f t="shared" si="61"/>
        <v>0</v>
      </c>
      <c r="O492" s="240" t="b">
        <f t="shared" si="56"/>
        <v>0</v>
      </c>
      <c r="P492" s="240" t="b">
        <f t="shared" si="57"/>
        <v>0</v>
      </c>
    </row>
    <row r="493" spans="1:16" x14ac:dyDescent="0.35">
      <c r="A493" s="92">
        <f t="shared" si="59"/>
        <v>0</v>
      </c>
      <c r="B493" s="92" t="e">
        <f>VLOOKUP(A493,[1]Hoja3!$C$3:$D$14,2,FALSE)</f>
        <v>#N/A</v>
      </c>
      <c r="C493" s="93"/>
      <c r="D493" s="101"/>
      <c r="E493" s="94"/>
      <c r="F493" s="95"/>
      <c r="G493" s="96"/>
      <c r="H493" s="96" t="b">
        <f t="shared" si="58"/>
        <v>0</v>
      </c>
      <c r="I493" s="247" t="e">
        <f t="shared" si="60"/>
        <v>#N/A</v>
      </c>
      <c r="J493" s="97">
        <v>0</v>
      </c>
      <c r="K493" s="98">
        <v>0</v>
      </c>
      <c r="L493" s="98"/>
      <c r="M493" s="98"/>
      <c r="N493" s="98">
        <f t="shared" si="61"/>
        <v>0</v>
      </c>
      <c r="O493" s="240" t="b">
        <f t="shared" si="56"/>
        <v>0</v>
      </c>
      <c r="P493" s="240" t="b">
        <f t="shared" si="57"/>
        <v>0</v>
      </c>
    </row>
    <row r="494" spans="1:16" x14ac:dyDescent="0.35">
      <c r="A494" s="92">
        <f t="shared" si="59"/>
        <v>0</v>
      </c>
      <c r="B494" s="92" t="e">
        <f>VLOOKUP(A494,[1]Hoja3!$C$3:$D$14,2,FALSE)</f>
        <v>#N/A</v>
      </c>
      <c r="C494" s="93"/>
      <c r="D494" s="101"/>
      <c r="E494" s="94"/>
      <c r="F494" s="95"/>
      <c r="G494" s="96"/>
      <c r="H494" s="96" t="b">
        <f t="shared" si="58"/>
        <v>0</v>
      </c>
      <c r="I494" s="247" t="e">
        <f t="shared" si="60"/>
        <v>#N/A</v>
      </c>
      <c r="J494" s="97">
        <v>0</v>
      </c>
      <c r="K494" s="98">
        <v>0</v>
      </c>
      <c r="L494" s="98"/>
      <c r="M494" s="98"/>
      <c r="N494" s="98">
        <f t="shared" si="61"/>
        <v>0</v>
      </c>
      <c r="O494" s="240" t="b">
        <f t="shared" si="56"/>
        <v>0</v>
      </c>
      <c r="P494" s="240" t="b">
        <f t="shared" si="57"/>
        <v>0</v>
      </c>
    </row>
    <row r="495" spans="1:16" x14ac:dyDescent="0.35">
      <c r="A495" s="92">
        <f t="shared" si="59"/>
        <v>0</v>
      </c>
      <c r="B495" s="92" t="e">
        <f>VLOOKUP(A495,[1]Hoja3!$C$3:$D$14,2,FALSE)</f>
        <v>#N/A</v>
      </c>
      <c r="C495" s="93"/>
      <c r="D495" s="101"/>
      <c r="E495" s="94"/>
      <c r="F495" s="95"/>
      <c r="G495" s="96"/>
      <c r="H495" s="96" t="b">
        <f t="shared" si="58"/>
        <v>0</v>
      </c>
      <c r="I495" s="247" t="e">
        <f t="shared" si="60"/>
        <v>#N/A</v>
      </c>
      <c r="J495" s="97">
        <v>0</v>
      </c>
      <c r="K495" s="98">
        <v>0</v>
      </c>
      <c r="L495" s="98"/>
      <c r="M495" s="98"/>
      <c r="N495" s="98">
        <f t="shared" si="61"/>
        <v>0</v>
      </c>
      <c r="O495" s="240" t="b">
        <f t="shared" si="56"/>
        <v>0</v>
      </c>
      <c r="P495" s="240" t="b">
        <f t="shared" si="57"/>
        <v>0</v>
      </c>
    </row>
    <row r="496" spans="1:16" x14ac:dyDescent="0.35">
      <c r="A496" s="92">
        <f t="shared" si="59"/>
        <v>0</v>
      </c>
      <c r="B496" s="92" t="e">
        <f>VLOOKUP(A496,[1]Hoja3!$C$3:$D$14,2,FALSE)</f>
        <v>#N/A</v>
      </c>
      <c r="C496" s="93"/>
      <c r="D496" s="101"/>
      <c r="E496" s="94"/>
      <c r="F496" s="95"/>
      <c r="G496" s="96"/>
      <c r="H496" s="96" t="b">
        <f t="shared" si="58"/>
        <v>0</v>
      </c>
      <c r="I496" s="247" t="e">
        <f t="shared" si="60"/>
        <v>#N/A</v>
      </c>
      <c r="J496" s="97">
        <v>0</v>
      </c>
      <c r="K496" s="98">
        <v>0</v>
      </c>
      <c r="L496" s="98"/>
      <c r="M496" s="98"/>
      <c r="N496" s="98">
        <f t="shared" si="61"/>
        <v>0</v>
      </c>
      <c r="O496" s="240" t="b">
        <f t="shared" si="56"/>
        <v>0</v>
      </c>
      <c r="P496" s="240" t="b">
        <f t="shared" si="57"/>
        <v>0</v>
      </c>
    </row>
    <row r="497" spans="1:16" x14ac:dyDescent="0.35">
      <c r="A497" s="92">
        <f t="shared" si="59"/>
        <v>0</v>
      </c>
      <c r="B497" s="92" t="e">
        <f>VLOOKUP(A497,[1]Hoja3!$C$3:$D$14,2,FALSE)</f>
        <v>#N/A</v>
      </c>
      <c r="C497" s="93"/>
      <c r="D497" s="101"/>
      <c r="E497" s="94"/>
      <c r="F497" s="95"/>
      <c r="G497" s="96"/>
      <c r="H497" s="96" t="b">
        <f t="shared" si="58"/>
        <v>0</v>
      </c>
      <c r="I497" s="247" t="e">
        <f t="shared" si="60"/>
        <v>#N/A</v>
      </c>
      <c r="J497" s="97">
        <v>0</v>
      </c>
      <c r="K497" s="98">
        <v>0</v>
      </c>
      <c r="L497" s="98"/>
      <c r="M497" s="98"/>
      <c r="N497" s="98">
        <f t="shared" si="61"/>
        <v>0</v>
      </c>
      <c r="O497" s="240" t="b">
        <f t="shared" si="56"/>
        <v>0</v>
      </c>
      <c r="P497" s="240" t="b">
        <f t="shared" si="57"/>
        <v>0</v>
      </c>
    </row>
    <row r="498" spans="1:16" x14ac:dyDescent="0.35">
      <c r="A498" s="92">
        <f t="shared" si="59"/>
        <v>0</v>
      </c>
      <c r="B498" s="92" t="e">
        <f>VLOOKUP(A498,[1]Hoja3!$C$3:$D$14,2,FALSE)</f>
        <v>#N/A</v>
      </c>
      <c r="C498" s="93"/>
      <c r="D498" s="101"/>
      <c r="E498" s="94"/>
      <c r="F498" s="95"/>
      <c r="G498" s="96"/>
      <c r="H498" s="96" t="b">
        <f t="shared" si="58"/>
        <v>0</v>
      </c>
      <c r="I498" s="247" t="e">
        <f t="shared" si="60"/>
        <v>#N/A</v>
      </c>
      <c r="J498" s="97">
        <v>0</v>
      </c>
      <c r="K498" s="98">
        <v>0</v>
      </c>
      <c r="L498" s="98"/>
      <c r="M498" s="98"/>
      <c r="N498" s="98">
        <f t="shared" si="61"/>
        <v>0</v>
      </c>
      <c r="O498" s="240" t="b">
        <f t="shared" si="56"/>
        <v>0</v>
      </c>
      <c r="P498" s="240" t="b">
        <f t="shared" si="57"/>
        <v>0</v>
      </c>
    </row>
    <row r="499" spans="1:16" x14ac:dyDescent="0.35">
      <c r="A499" s="92">
        <f t="shared" si="59"/>
        <v>0</v>
      </c>
      <c r="B499" s="92" t="e">
        <f>VLOOKUP(A499,[1]Hoja3!$C$3:$D$14,2,FALSE)</f>
        <v>#N/A</v>
      </c>
      <c r="C499" s="93"/>
      <c r="D499" s="101"/>
      <c r="E499" s="94"/>
      <c r="F499" s="95"/>
      <c r="G499" s="96"/>
      <c r="H499" s="96" t="b">
        <f t="shared" si="58"/>
        <v>0</v>
      </c>
      <c r="I499" s="247" t="e">
        <f t="shared" si="60"/>
        <v>#N/A</v>
      </c>
      <c r="J499" s="97">
        <v>0</v>
      </c>
      <c r="K499" s="98">
        <v>0</v>
      </c>
      <c r="L499" s="98"/>
      <c r="M499" s="98"/>
      <c r="N499" s="98">
        <f t="shared" si="61"/>
        <v>0</v>
      </c>
      <c r="O499" s="240" t="b">
        <f t="shared" si="56"/>
        <v>0</v>
      </c>
      <c r="P499" s="240" t="b">
        <f t="shared" si="57"/>
        <v>0</v>
      </c>
    </row>
    <row r="500" spans="1:16" x14ac:dyDescent="0.35">
      <c r="A500" s="92">
        <f t="shared" si="59"/>
        <v>0</v>
      </c>
      <c r="B500" s="92" t="e">
        <f>VLOOKUP(A500,[1]Hoja3!$C$3:$D$14,2,FALSE)</f>
        <v>#N/A</v>
      </c>
      <c r="C500" s="93"/>
      <c r="D500" s="101"/>
      <c r="E500" s="94"/>
      <c r="F500" s="95"/>
      <c r="G500" s="96"/>
      <c r="H500" s="96" t="b">
        <f t="shared" si="58"/>
        <v>0</v>
      </c>
      <c r="I500" s="247" t="e">
        <f t="shared" si="60"/>
        <v>#N/A</v>
      </c>
      <c r="J500" s="97">
        <v>0</v>
      </c>
      <c r="K500" s="98">
        <v>0</v>
      </c>
      <c r="L500" s="98"/>
      <c r="M500" s="98"/>
      <c r="N500" s="98">
        <f t="shared" si="61"/>
        <v>0</v>
      </c>
      <c r="O500" s="240" t="b">
        <f t="shared" si="56"/>
        <v>0</v>
      </c>
      <c r="P500" s="240" t="b">
        <f t="shared" si="57"/>
        <v>0</v>
      </c>
    </row>
    <row r="501" spans="1:16" x14ac:dyDescent="0.35">
      <c r="A501" s="92">
        <f t="shared" si="59"/>
        <v>0</v>
      </c>
      <c r="B501" s="92" t="e">
        <f>VLOOKUP(A501,[1]Hoja3!$C$3:$D$14,2,FALSE)</f>
        <v>#N/A</v>
      </c>
      <c r="C501" s="93"/>
      <c r="D501" s="101"/>
      <c r="E501" s="94"/>
      <c r="F501" s="95"/>
      <c r="G501" s="96"/>
      <c r="H501" s="96" t="b">
        <f t="shared" si="58"/>
        <v>0</v>
      </c>
      <c r="I501" s="247" t="e">
        <f t="shared" si="60"/>
        <v>#N/A</v>
      </c>
      <c r="J501" s="97">
        <v>0</v>
      </c>
      <c r="K501" s="98">
        <v>0</v>
      </c>
      <c r="L501" s="98"/>
      <c r="M501" s="98"/>
      <c r="N501" s="98">
        <f t="shared" si="61"/>
        <v>0</v>
      </c>
      <c r="O501" s="240" t="b">
        <f t="shared" si="56"/>
        <v>0</v>
      </c>
      <c r="P501" s="240" t="b">
        <f t="shared" si="57"/>
        <v>0</v>
      </c>
    </row>
    <row r="502" spans="1:16" x14ac:dyDescent="0.35">
      <c r="A502" s="92">
        <f t="shared" si="59"/>
        <v>0</v>
      </c>
      <c r="B502" s="92" t="e">
        <f>VLOOKUP(A502,[1]Hoja3!$C$3:$D$14,2,FALSE)</f>
        <v>#N/A</v>
      </c>
      <c r="C502" s="93"/>
      <c r="D502" s="101"/>
      <c r="E502" s="94"/>
      <c r="F502" s="95"/>
      <c r="G502" s="96"/>
      <c r="H502" s="96" t="b">
        <f t="shared" si="58"/>
        <v>0</v>
      </c>
      <c r="I502" s="247" t="e">
        <f t="shared" si="60"/>
        <v>#N/A</v>
      </c>
      <c r="J502" s="97">
        <v>0</v>
      </c>
      <c r="K502" s="98">
        <v>0</v>
      </c>
      <c r="L502" s="98"/>
      <c r="M502" s="98"/>
      <c r="N502" s="98">
        <f t="shared" si="61"/>
        <v>0</v>
      </c>
      <c r="O502" s="240" t="b">
        <f t="shared" si="56"/>
        <v>0</v>
      </c>
      <c r="P502" s="240" t="b">
        <f t="shared" si="57"/>
        <v>0</v>
      </c>
    </row>
    <row r="503" spans="1:16" x14ac:dyDescent="0.35">
      <c r="A503" s="92">
        <f t="shared" si="59"/>
        <v>0</v>
      </c>
      <c r="B503" s="92" t="e">
        <f>VLOOKUP(A503,[1]Hoja3!$C$3:$D$14,2,FALSE)</f>
        <v>#N/A</v>
      </c>
      <c r="C503" s="93"/>
      <c r="D503" s="101"/>
      <c r="E503" s="94"/>
      <c r="F503" s="95"/>
      <c r="G503" s="96"/>
      <c r="H503" s="96" t="b">
        <f t="shared" si="58"/>
        <v>0</v>
      </c>
      <c r="I503" s="247" t="e">
        <f t="shared" si="60"/>
        <v>#N/A</v>
      </c>
      <c r="J503" s="97">
        <v>0</v>
      </c>
      <c r="K503" s="98">
        <v>0</v>
      </c>
      <c r="L503" s="98"/>
      <c r="M503" s="98"/>
      <c r="N503" s="98">
        <f t="shared" si="61"/>
        <v>0</v>
      </c>
      <c r="O503" s="240" t="b">
        <f t="shared" si="56"/>
        <v>0</v>
      </c>
      <c r="P503" s="240" t="b">
        <f t="shared" si="57"/>
        <v>0</v>
      </c>
    </row>
    <row r="504" spans="1:16" x14ac:dyDescent="0.35">
      <c r="A504" s="92">
        <f t="shared" si="59"/>
        <v>0</v>
      </c>
      <c r="B504" s="92" t="e">
        <f>VLOOKUP(A504,[1]Hoja3!$C$3:$D$14,2,FALSE)</f>
        <v>#N/A</v>
      </c>
      <c r="C504" s="93"/>
      <c r="D504" s="101"/>
      <c r="E504" s="94"/>
      <c r="F504" s="95"/>
      <c r="G504" s="96"/>
      <c r="H504" s="96" t="b">
        <f t="shared" si="58"/>
        <v>0</v>
      </c>
      <c r="I504" s="247" t="e">
        <f t="shared" si="60"/>
        <v>#N/A</v>
      </c>
      <c r="J504" s="97">
        <v>0</v>
      </c>
      <c r="K504" s="98">
        <v>0</v>
      </c>
      <c r="L504" s="98"/>
      <c r="M504" s="98"/>
      <c r="N504" s="98">
        <f t="shared" si="61"/>
        <v>0</v>
      </c>
      <c r="O504" s="240" t="b">
        <f t="shared" si="56"/>
        <v>0</v>
      </c>
      <c r="P504" s="240" t="b">
        <f t="shared" si="57"/>
        <v>0</v>
      </c>
    </row>
    <row r="505" spans="1:16" x14ac:dyDescent="0.35">
      <c r="A505" s="92">
        <f t="shared" si="59"/>
        <v>0</v>
      </c>
      <c r="B505" s="92" t="e">
        <f>VLOOKUP(A505,[1]Hoja3!$C$3:$D$14,2,FALSE)</f>
        <v>#N/A</v>
      </c>
      <c r="C505" s="93"/>
      <c r="D505" s="101"/>
      <c r="E505" s="94"/>
      <c r="F505" s="95"/>
      <c r="G505" s="96"/>
      <c r="H505" s="96" t="b">
        <f t="shared" si="58"/>
        <v>0</v>
      </c>
      <c r="I505" s="247" t="e">
        <f t="shared" si="60"/>
        <v>#N/A</v>
      </c>
      <c r="J505" s="97">
        <v>0</v>
      </c>
      <c r="K505" s="98">
        <v>0</v>
      </c>
      <c r="L505" s="98"/>
      <c r="M505" s="98"/>
      <c r="N505" s="98">
        <f t="shared" si="61"/>
        <v>0</v>
      </c>
      <c r="O505" s="240" t="b">
        <f t="shared" si="56"/>
        <v>0</v>
      </c>
      <c r="P505" s="240" t="b">
        <f t="shared" si="57"/>
        <v>0</v>
      </c>
    </row>
    <row r="506" spans="1:16" x14ac:dyDescent="0.35">
      <c r="A506" s="92">
        <f t="shared" si="59"/>
        <v>0</v>
      </c>
      <c r="B506" s="92" t="e">
        <f>VLOOKUP(A506,[1]Hoja3!$C$3:$D$14,2,FALSE)</f>
        <v>#N/A</v>
      </c>
      <c r="C506" s="93"/>
      <c r="D506" s="101"/>
      <c r="E506" s="94"/>
      <c r="F506" s="95"/>
      <c r="G506" s="96"/>
      <c r="H506" s="96" t="b">
        <f t="shared" si="58"/>
        <v>0</v>
      </c>
      <c r="I506" s="247" t="e">
        <f t="shared" si="60"/>
        <v>#N/A</v>
      </c>
      <c r="J506" s="97">
        <v>0</v>
      </c>
      <c r="K506" s="98">
        <v>0</v>
      </c>
      <c r="L506" s="98"/>
      <c r="M506" s="98"/>
      <c r="N506" s="98">
        <f t="shared" si="61"/>
        <v>0</v>
      </c>
      <c r="O506" s="240" t="b">
        <f t="shared" si="56"/>
        <v>0</v>
      </c>
      <c r="P506" s="240" t="b">
        <f t="shared" si="57"/>
        <v>0</v>
      </c>
    </row>
    <row r="507" spans="1:16" x14ac:dyDescent="0.35">
      <c r="A507" s="92">
        <f t="shared" si="59"/>
        <v>0</v>
      </c>
      <c r="B507" s="92" t="e">
        <f>VLOOKUP(A507,[1]Hoja3!$C$3:$D$14,2,FALSE)</f>
        <v>#N/A</v>
      </c>
      <c r="C507" s="93"/>
      <c r="D507" s="101"/>
      <c r="E507" s="94"/>
      <c r="F507" s="95"/>
      <c r="G507" s="96"/>
      <c r="H507" s="96" t="b">
        <f t="shared" si="58"/>
        <v>0</v>
      </c>
      <c r="I507" s="247" t="e">
        <f t="shared" si="60"/>
        <v>#N/A</v>
      </c>
      <c r="J507" s="97">
        <v>0</v>
      </c>
      <c r="K507" s="98">
        <v>0</v>
      </c>
      <c r="L507" s="98"/>
      <c r="M507" s="98"/>
      <c r="N507" s="98">
        <f t="shared" si="61"/>
        <v>0</v>
      </c>
      <c r="O507" s="240" t="b">
        <f t="shared" si="56"/>
        <v>0</v>
      </c>
      <c r="P507" s="240" t="b">
        <f t="shared" si="57"/>
        <v>0</v>
      </c>
    </row>
    <row r="508" spans="1:16" x14ac:dyDescent="0.35">
      <c r="A508" s="92">
        <f t="shared" si="59"/>
        <v>0</v>
      </c>
      <c r="B508" s="92" t="e">
        <f>VLOOKUP(A508,[1]Hoja3!$C$3:$D$14,2,FALSE)</f>
        <v>#N/A</v>
      </c>
      <c r="C508" s="93"/>
      <c r="D508" s="101"/>
      <c r="E508" s="94"/>
      <c r="F508" s="95"/>
      <c r="G508" s="96"/>
      <c r="H508" s="96" t="b">
        <f t="shared" si="58"/>
        <v>0</v>
      </c>
      <c r="I508" s="247" t="e">
        <f t="shared" si="60"/>
        <v>#N/A</v>
      </c>
      <c r="J508" s="97">
        <v>0</v>
      </c>
      <c r="K508" s="98">
        <v>0</v>
      </c>
      <c r="L508" s="98"/>
      <c r="M508" s="98"/>
      <c r="N508" s="98">
        <f t="shared" si="61"/>
        <v>0</v>
      </c>
      <c r="O508" s="240" t="b">
        <f t="shared" si="56"/>
        <v>0</v>
      </c>
      <c r="P508" s="240" t="b">
        <f t="shared" si="57"/>
        <v>0</v>
      </c>
    </row>
    <row r="509" spans="1:16" x14ac:dyDescent="0.35">
      <c r="A509" s="92">
        <f t="shared" si="59"/>
        <v>0</v>
      </c>
      <c r="B509" s="92" t="e">
        <f>VLOOKUP(A509,[1]Hoja3!$C$3:$D$14,2,FALSE)</f>
        <v>#N/A</v>
      </c>
      <c r="C509" s="93"/>
      <c r="D509" s="101"/>
      <c r="E509" s="94"/>
      <c r="F509" s="95"/>
      <c r="G509" s="96"/>
      <c r="H509" s="96" t="b">
        <f t="shared" si="58"/>
        <v>0</v>
      </c>
      <c r="I509" s="247" t="e">
        <f t="shared" si="60"/>
        <v>#N/A</v>
      </c>
      <c r="J509" s="97">
        <v>0</v>
      </c>
      <c r="K509" s="98">
        <v>0</v>
      </c>
      <c r="L509" s="98"/>
      <c r="M509" s="98"/>
      <c r="N509" s="98">
        <f t="shared" si="61"/>
        <v>0</v>
      </c>
      <c r="O509" s="240" t="b">
        <f t="shared" ref="O509:O572" si="62">IF(G509="EFREN ABUNDEZ REYNA","37295",IF(G509="LUIS ALEJANDRO HERNANDEZ REYNA","HERL850705AL2",IF(G509="ANA BEATRIZ ESTRADA ARGOTE","37530",IF(G509="SERGIO ROMERO DURAN","RODS620908QAA",IF(G509="MARIELA OLMOS GAONA","37675",IF(G509="LUCIANO MIJAIL ORTEGA MUÑOZ","37297",IF(G509="GUSTAVO HUMBERTO VELAZCO GALVAN","VEGG9211019T1",IF(G509="JESUS AGUSTIN VELAZQUEZ FLORES","VEFJ900303M65",IF(G509="KARLA ESTEFANIA SALAZAR FLORES","SAFK9807277N1",IF(G509="ANGEL TERRAZAS MONROY","TEMA7105035N4"))))))))))</f>
        <v>0</v>
      </c>
      <c r="P509" s="240" t="b">
        <f t="shared" ref="P509:P572" si="63">IF(G509="EFREN ABUNDEZ REYNA","PFAEP",IF(G509="LUIS ALEJANDRO HERNANDEZ REYNA","HERL850705AL2",IF(G509="ANA BEATRIZ ESTRADA ARGOTE","RIF",IF(G509="SERGIO ROMERO DURAN","RODS620908QAA",IF(G509="MARIELA OLMOS GAONA","RESICO",IF(G509="LUCIANO MIJAIL ORTEGA MUÑOZ","RIF",IF(G509="GUSTAVO HUMBERTO VELAZCO GALVAN","VEGG9211019T1",IF(G509="JESUS AGUSTIN VELAZQUEZ FLORES","VEFJ900303M65",IF(G509="KARLA ESTEFANIA SALAZAR FLORES","SAFK9807277N1",IF(G509="ANGEL TERRAZAS MONROY","TEMA7105035N4"))))))))))</f>
        <v>0</v>
      </c>
    </row>
    <row r="510" spans="1:16" x14ac:dyDescent="0.35">
      <c r="A510" s="92">
        <f t="shared" si="59"/>
        <v>0</v>
      </c>
      <c r="B510" s="92" t="e">
        <f>VLOOKUP(A510,[1]Hoja3!$C$3:$D$14,2,FALSE)</f>
        <v>#N/A</v>
      </c>
      <c r="C510" s="93"/>
      <c r="D510" s="101"/>
      <c r="E510" s="94"/>
      <c r="F510" s="95"/>
      <c r="G510" s="96"/>
      <c r="H510" s="96" t="b">
        <f t="shared" si="58"/>
        <v>0</v>
      </c>
      <c r="I510" s="247" t="e">
        <f t="shared" si="60"/>
        <v>#N/A</v>
      </c>
      <c r="J510" s="97">
        <v>0</v>
      </c>
      <c r="K510" s="98">
        <v>0</v>
      </c>
      <c r="L510" s="98"/>
      <c r="M510" s="98"/>
      <c r="N510" s="98">
        <f t="shared" si="61"/>
        <v>0</v>
      </c>
      <c r="O510" s="240" t="b">
        <f t="shared" si="62"/>
        <v>0</v>
      </c>
      <c r="P510" s="240" t="b">
        <f t="shared" si="63"/>
        <v>0</v>
      </c>
    </row>
    <row r="511" spans="1:16" x14ac:dyDescent="0.35">
      <c r="A511" s="92">
        <f t="shared" si="59"/>
        <v>0</v>
      </c>
      <c r="B511" s="92" t="e">
        <f>VLOOKUP(A511,[1]Hoja3!$C$3:$D$14,2,FALSE)</f>
        <v>#N/A</v>
      </c>
      <c r="C511" s="93"/>
      <c r="D511" s="101"/>
      <c r="E511" s="94"/>
      <c r="F511" s="95"/>
      <c r="G511" s="96"/>
      <c r="H511" s="96" t="b">
        <f t="shared" si="58"/>
        <v>0</v>
      </c>
      <c r="I511" s="247" t="e">
        <f t="shared" si="60"/>
        <v>#N/A</v>
      </c>
      <c r="J511" s="97">
        <v>0</v>
      </c>
      <c r="K511" s="98">
        <v>0</v>
      </c>
      <c r="L511" s="98"/>
      <c r="M511" s="98"/>
      <c r="N511" s="98">
        <f t="shared" si="61"/>
        <v>0</v>
      </c>
      <c r="O511" s="240" t="b">
        <f t="shared" si="62"/>
        <v>0</v>
      </c>
      <c r="P511" s="240" t="b">
        <f t="shared" si="63"/>
        <v>0</v>
      </c>
    </row>
    <row r="512" spans="1:16" x14ac:dyDescent="0.35">
      <c r="A512" s="92">
        <f t="shared" si="59"/>
        <v>0</v>
      </c>
      <c r="B512" s="92" t="e">
        <f>VLOOKUP(A512,[1]Hoja3!$C$3:$D$14,2,FALSE)</f>
        <v>#N/A</v>
      </c>
      <c r="C512" s="93"/>
      <c r="D512" s="101"/>
      <c r="E512" s="94"/>
      <c r="F512" s="95"/>
      <c r="G512" s="96"/>
      <c r="H512" s="96" t="b">
        <f t="shared" si="58"/>
        <v>0</v>
      </c>
      <c r="I512" s="247" t="e">
        <f t="shared" si="60"/>
        <v>#N/A</v>
      </c>
      <c r="J512" s="97">
        <v>0</v>
      </c>
      <c r="K512" s="98">
        <v>0</v>
      </c>
      <c r="L512" s="98"/>
      <c r="M512" s="98"/>
      <c r="N512" s="98">
        <f t="shared" si="61"/>
        <v>0</v>
      </c>
      <c r="O512" s="240" t="b">
        <f t="shared" si="62"/>
        <v>0</v>
      </c>
      <c r="P512" s="240" t="b">
        <f t="shared" si="63"/>
        <v>0</v>
      </c>
    </row>
    <row r="513" spans="1:16" x14ac:dyDescent="0.35">
      <c r="A513" s="92">
        <f t="shared" si="59"/>
        <v>0</v>
      </c>
      <c r="B513" s="92" t="e">
        <f>VLOOKUP(A513,[1]Hoja3!$C$3:$D$14,2,FALSE)</f>
        <v>#N/A</v>
      </c>
      <c r="C513" s="93"/>
      <c r="D513" s="101"/>
      <c r="E513" s="94"/>
      <c r="F513" s="95"/>
      <c r="G513" s="96"/>
      <c r="H513" s="96" t="b">
        <f t="shared" si="58"/>
        <v>0</v>
      </c>
      <c r="I513" s="247" t="e">
        <f t="shared" si="60"/>
        <v>#N/A</v>
      </c>
      <c r="J513" s="97">
        <v>0</v>
      </c>
      <c r="K513" s="98">
        <v>0</v>
      </c>
      <c r="L513" s="98"/>
      <c r="M513" s="98"/>
      <c r="N513" s="98">
        <f t="shared" si="61"/>
        <v>0</v>
      </c>
      <c r="O513" s="240" t="b">
        <f t="shared" si="62"/>
        <v>0</v>
      </c>
      <c r="P513" s="240" t="b">
        <f t="shared" si="63"/>
        <v>0</v>
      </c>
    </row>
    <row r="514" spans="1:16" x14ac:dyDescent="0.35">
      <c r="A514" s="92">
        <f t="shared" si="59"/>
        <v>0</v>
      </c>
      <c r="B514" s="92" t="e">
        <f>VLOOKUP(A514,[1]Hoja3!$C$3:$D$14,2,FALSE)</f>
        <v>#N/A</v>
      </c>
      <c r="C514" s="93"/>
      <c r="D514" s="101"/>
      <c r="E514" s="94"/>
      <c r="F514" s="95"/>
      <c r="G514" s="96"/>
      <c r="H514" s="96" t="b">
        <f t="shared" si="58"/>
        <v>0</v>
      </c>
      <c r="I514" s="247" t="e">
        <f t="shared" si="60"/>
        <v>#N/A</v>
      </c>
      <c r="J514" s="97">
        <v>0</v>
      </c>
      <c r="K514" s="98">
        <v>0</v>
      </c>
      <c r="L514" s="98"/>
      <c r="M514" s="98"/>
      <c r="N514" s="98">
        <f t="shared" si="61"/>
        <v>0</v>
      </c>
      <c r="O514" s="240" t="b">
        <f t="shared" si="62"/>
        <v>0</v>
      </c>
      <c r="P514" s="240" t="b">
        <f t="shared" si="63"/>
        <v>0</v>
      </c>
    </row>
    <row r="515" spans="1:16" x14ac:dyDescent="0.35">
      <c r="A515" s="92">
        <f t="shared" si="59"/>
        <v>0</v>
      </c>
      <c r="B515" s="92" t="e">
        <f>VLOOKUP(A515,[1]Hoja3!$C$3:$D$14,2,FALSE)</f>
        <v>#N/A</v>
      </c>
      <c r="C515" s="93"/>
      <c r="D515" s="101"/>
      <c r="E515" s="94"/>
      <c r="F515" s="95"/>
      <c r="G515" s="96"/>
      <c r="H515" s="96" t="b">
        <f t="shared" si="58"/>
        <v>0</v>
      </c>
      <c r="I515" s="247" t="e">
        <f t="shared" si="60"/>
        <v>#N/A</v>
      </c>
      <c r="J515" s="97">
        <v>0</v>
      </c>
      <c r="K515" s="98">
        <v>0</v>
      </c>
      <c r="L515" s="98"/>
      <c r="M515" s="98"/>
      <c r="N515" s="98">
        <f t="shared" si="61"/>
        <v>0</v>
      </c>
      <c r="O515" s="240" t="b">
        <f t="shared" si="62"/>
        <v>0</v>
      </c>
      <c r="P515" s="240" t="b">
        <f t="shared" si="63"/>
        <v>0</v>
      </c>
    </row>
    <row r="516" spans="1:16" x14ac:dyDescent="0.35">
      <c r="A516" s="92">
        <f t="shared" si="59"/>
        <v>0</v>
      </c>
      <c r="B516" s="92" t="e">
        <f>VLOOKUP(A516,[1]Hoja3!$C$3:$D$14,2,FALSE)</f>
        <v>#N/A</v>
      </c>
      <c r="C516" s="93"/>
      <c r="D516" s="101"/>
      <c r="E516" s="94"/>
      <c r="F516" s="95"/>
      <c r="G516" s="96"/>
      <c r="H516" s="96" t="b">
        <f t="shared" si="58"/>
        <v>0</v>
      </c>
      <c r="I516" s="247" t="e">
        <f t="shared" si="60"/>
        <v>#N/A</v>
      </c>
      <c r="J516" s="97">
        <v>0</v>
      </c>
      <c r="K516" s="98">
        <v>0</v>
      </c>
      <c r="L516" s="98"/>
      <c r="M516" s="98"/>
      <c r="N516" s="98">
        <f t="shared" si="61"/>
        <v>0</v>
      </c>
      <c r="O516" s="240" t="b">
        <f t="shared" si="62"/>
        <v>0</v>
      </c>
      <c r="P516" s="240" t="b">
        <f t="shared" si="63"/>
        <v>0</v>
      </c>
    </row>
    <row r="517" spans="1:16" x14ac:dyDescent="0.35">
      <c r="A517" s="92">
        <f t="shared" si="59"/>
        <v>0</v>
      </c>
      <c r="B517" s="92" t="e">
        <f>VLOOKUP(A517,[1]Hoja3!$C$3:$D$14,2,FALSE)</f>
        <v>#N/A</v>
      </c>
      <c r="C517" s="93"/>
      <c r="D517" s="101"/>
      <c r="E517" s="94"/>
      <c r="F517" s="95"/>
      <c r="G517" s="96"/>
      <c r="H517" s="96" t="b">
        <f t="shared" si="58"/>
        <v>0</v>
      </c>
      <c r="I517" s="247" t="e">
        <f t="shared" si="60"/>
        <v>#N/A</v>
      </c>
      <c r="J517" s="97">
        <v>0</v>
      </c>
      <c r="K517" s="98">
        <v>0</v>
      </c>
      <c r="L517" s="98"/>
      <c r="M517" s="98"/>
      <c r="N517" s="98">
        <f t="shared" si="61"/>
        <v>0</v>
      </c>
      <c r="O517" s="240" t="b">
        <f t="shared" si="62"/>
        <v>0</v>
      </c>
      <c r="P517" s="240" t="b">
        <f t="shared" si="63"/>
        <v>0</v>
      </c>
    </row>
    <row r="518" spans="1:16" x14ac:dyDescent="0.35">
      <c r="A518" s="92">
        <f t="shared" si="59"/>
        <v>0</v>
      </c>
      <c r="B518" s="92" t="e">
        <f>VLOOKUP(A518,[1]Hoja3!$C$3:$D$14,2,FALSE)</f>
        <v>#N/A</v>
      </c>
      <c r="C518" s="93"/>
      <c r="D518" s="101"/>
      <c r="E518" s="94"/>
      <c r="F518" s="95"/>
      <c r="G518" s="96"/>
      <c r="H518" s="96" t="b">
        <f t="shared" si="58"/>
        <v>0</v>
      </c>
      <c r="I518" s="247" t="e">
        <f t="shared" si="60"/>
        <v>#N/A</v>
      </c>
      <c r="J518" s="97">
        <v>0</v>
      </c>
      <c r="K518" s="98">
        <v>0</v>
      </c>
      <c r="L518" s="98"/>
      <c r="M518" s="98"/>
      <c r="N518" s="98">
        <f t="shared" si="61"/>
        <v>0</v>
      </c>
      <c r="O518" s="240" t="b">
        <f t="shared" si="62"/>
        <v>0</v>
      </c>
      <c r="P518" s="240" t="b">
        <f t="shared" si="63"/>
        <v>0</v>
      </c>
    </row>
    <row r="519" spans="1:16" x14ac:dyDescent="0.35">
      <c r="A519" s="92">
        <f t="shared" si="59"/>
        <v>0</v>
      </c>
      <c r="B519" s="92" t="e">
        <f>VLOOKUP(A519,[1]Hoja3!$C$3:$D$14,2,FALSE)</f>
        <v>#N/A</v>
      </c>
      <c r="C519" s="93"/>
      <c r="D519" s="101"/>
      <c r="E519" s="94"/>
      <c r="F519" s="95"/>
      <c r="G519" s="96"/>
      <c r="H519" s="96" t="b">
        <f t="shared" si="58"/>
        <v>0</v>
      </c>
      <c r="I519" s="247" t="e">
        <f t="shared" si="60"/>
        <v>#N/A</v>
      </c>
      <c r="J519" s="97">
        <v>0</v>
      </c>
      <c r="K519" s="98">
        <v>0</v>
      </c>
      <c r="L519" s="98"/>
      <c r="M519" s="98"/>
      <c r="N519" s="98">
        <f t="shared" si="61"/>
        <v>0</v>
      </c>
      <c r="O519" s="240" t="b">
        <f t="shared" si="62"/>
        <v>0</v>
      </c>
      <c r="P519" s="240" t="b">
        <f t="shared" si="63"/>
        <v>0</v>
      </c>
    </row>
    <row r="520" spans="1:16" x14ac:dyDescent="0.35">
      <c r="A520" s="92">
        <f t="shared" si="59"/>
        <v>0</v>
      </c>
      <c r="B520" s="92" t="e">
        <f>VLOOKUP(A520,[1]Hoja3!$C$3:$D$14,2,FALSE)</f>
        <v>#N/A</v>
      </c>
      <c r="C520" s="93"/>
      <c r="D520" s="101"/>
      <c r="E520" s="94"/>
      <c r="F520" s="95"/>
      <c r="G520" s="96"/>
      <c r="H520" s="96" t="b">
        <f t="shared" si="58"/>
        <v>0</v>
      </c>
      <c r="I520" s="247" t="e">
        <f t="shared" si="60"/>
        <v>#N/A</v>
      </c>
      <c r="J520" s="97">
        <v>0</v>
      </c>
      <c r="K520" s="98">
        <v>0</v>
      </c>
      <c r="L520" s="98"/>
      <c r="M520" s="98"/>
      <c r="N520" s="98">
        <f t="shared" si="61"/>
        <v>0</v>
      </c>
      <c r="O520" s="240" t="b">
        <f t="shared" si="62"/>
        <v>0</v>
      </c>
      <c r="P520" s="240" t="b">
        <f t="shared" si="63"/>
        <v>0</v>
      </c>
    </row>
    <row r="521" spans="1:16" x14ac:dyDescent="0.35">
      <c r="A521" s="92">
        <f t="shared" si="59"/>
        <v>0</v>
      </c>
      <c r="B521" s="92" t="e">
        <f>VLOOKUP(A521,[1]Hoja3!$C$3:$D$14,2,FALSE)</f>
        <v>#N/A</v>
      </c>
      <c r="C521" s="93"/>
      <c r="D521" s="101"/>
      <c r="E521" s="94"/>
      <c r="F521" s="95"/>
      <c r="G521" s="96"/>
      <c r="H521" s="96" t="b">
        <f t="shared" si="58"/>
        <v>0</v>
      </c>
      <c r="I521" s="247" t="e">
        <f t="shared" si="60"/>
        <v>#N/A</v>
      </c>
      <c r="J521" s="97">
        <v>0</v>
      </c>
      <c r="K521" s="98">
        <v>0</v>
      </c>
      <c r="L521" s="98"/>
      <c r="M521" s="98"/>
      <c r="N521" s="98">
        <f t="shared" si="61"/>
        <v>0</v>
      </c>
      <c r="O521" s="240" t="b">
        <f t="shared" si="62"/>
        <v>0</v>
      </c>
      <c r="P521" s="240" t="b">
        <f t="shared" si="63"/>
        <v>0</v>
      </c>
    </row>
    <row r="522" spans="1:16" x14ac:dyDescent="0.35">
      <c r="A522" s="92">
        <f t="shared" si="59"/>
        <v>0</v>
      </c>
      <c r="B522" s="92" t="e">
        <f>VLOOKUP(A522,[1]Hoja3!$C$3:$D$14,2,FALSE)</f>
        <v>#N/A</v>
      </c>
      <c r="C522" s="93"/>
      <c r="D522" s="101"/>
      <c r="E522" s="94"/>
      <c r="F522" s="95"/>
      <c r="G522" s="96"/>
      <c r="H522" s="96" t="b">
        <f t="shared" si="58"/>
        <v>0</v>
      </c>
      <c r="I522" s="247" t="e">
        <f t="shared" si="60"/>
        <v>#N/A</v>
      </c>
      <c r="J522" s="97">
        <v>0</v>
      </c>
      <c r="K522" s="98">
        <v>0</v>
      </c>
      <c r="L522" s="98"/>
      <c r="M522" s="98"/>
      <c r="N522" s="98">
        <f t="shared" si="61"/>
        <v>0</v>
      </c>
      <c r="O522" s="240" t="b">
        <f t="shared" si="62"/>
        <v>0</v>
      </c>
      <c r="P522" s="240" t="b">
        <f t="shared" si="63"/>
        <v>0</v>
      </c>
    </row>
    <row r="523" spans="1:16" x14ac:dyDescent="0.35">
      <c r="A523" s="92">
        <f t="shared" si="59"/>
        <v>0</v>
      </c>
      <c r="B523" s="92" t="e">
        <f>VLOOKUP(A523,[1]Hoja3!$C$3:$D$14,2,FALSE)</f>
        <v>#N/A</v>
      </c>
      <c r="C523" s="93"/>
      <c r="D523" s="101"/>
      <c r="E523" s="94"/>
      <c r="F523" s="95"/>
      <c r="G523" s="96"/>
      <c r="H523" s="96" t="b">
        <f t="shared" si="58"/>
        <v>0</v>
      </c>
      <c r="I523" s="247" t="e">
        <f t="shared" si="60"/>
        <v>#N/A</v>
      </c>
      <c r="J523" s="97">
        <v>0</v>
      </c>
      <c r="K523" s="98">
        <v>0</v>
      </c>
      <c r="L523" s="98"/>
      <c r="M523" s="98"/>
      <c r="N523" s="98">
        <f t="shared" si="61"/>
        <v>0</v>
      </c>
      <c r="O523" s="240" t="b">
        <f t="shared" si="62"/>
        <v>0</v>
      </c>
      <c r="P523" s="240" t="b">
        <f t="shared" si="63"/>
        <v>0</v>
      </c>
    </row>
    <row r="524" spans="1:16" x14ac:dyDescent="0.35">
      <c r="A524" s="92">
        <f t="shared" si="59"/>
        <v>0</v>
      </c>
      <c r="B524" s="92" t="e">
        <f>VLOOKUP(A524,[1]Hoja3!$C$3:$D$14,2,FALSE)</f>
        <v>#N/A</v>
      </c>
      <c r="C524" s="93"/>
      <c r="D524" s="101"/>
      <c r="E524" s="94"/>
      <c r="F524" s="95"/>
      <c r="G524" s="96"/>
      <c r="H524" s="96" t="b">
        <f t="shared" si="58"/>
        <v>0</v>
      </c>
      <c r="I524" s="247" t="e">
        <f t="shared" si="60"/>
        <v>#N/A</v>
      </c>
      <c r="J524" s="97">
        <v>0</v>
      </c>
      <c r="K524" s="98">
        <v>0</v>
      </c>
      <c r="L524" s="98"/>
      <c r="M524" s="98"/>
      <c r="N524" s="98">
        <f t="shared" si="61"/>
        <v>0</v>
      </c>
      <c r="O524" s="240" t="b">
        <f t="shared" si="62"/>
        <v>0</v>
      </c>
      <c r="P524" s="240" t="b">
        <f t="shared" si="63"/>
        <v>0</v>
      </c>
    </row>
    <row r="525" spans="1:16" x14ac:dyDescent="0.35">
      <c r="A525" s="92">
        <f t="shared" si="59"/>
        <v>0</v>
      </c>
      <c r="B525" s="92" t="e">
        <f>VLOOKUP(A525,[1]Hoja3!$C$3:$D$14,2,FALSE)</f>
        <v>#N/A</v>
      </c>
      <c r="C525" s="93"/>
      <c r="D525" s="101"/>
      <c r="E525" s="94"/>
      <c r="F525" s="95"/>
      <c r="G525" s="96"/>
      <c r="H525" s="96" t="b">
        <f t="shared" si="58"/>
        <v>0</v>
      </c>
      <c r="I525" s="247" t="e">
        <f t="shared" si="60"/>
        <v>#N/A</v>
      </c>
      <c r="J525" s="97">
        <v>0</v>
      </c>
      <c r="K525" s="98">
        <v>0</v>
      </c>
      <c r="L525" s="98"/>
      <c r="M525" s="98"/>
      <c r="N525" s="98">
        <f t="shared" si="61"/>
        <v>0</v>
      </c>
      <c r="O525" s="240" t="b">
        <f t="shared" si="62"/>
        <v>0</v>
      </c>
      <c r="P525" s="240" t="b">
        <f t="shared" si="63"/>
        <v>0</v>
      </c>
    </row>
    <row r="526" spans="1:16" x14ac:dyDescent="0.35">
      <c r="A526" s="92">
        <f t="shared" si="59"/>
        <v>0</v>
      </c>
      <c r="B526" s="92" t="e">
        <f>VLOOKUP(A526,[1]Hoja3!$C$3:$D$14,2,FALSE)</f>
        <v>#N/A</v>
      </c>
      <c r="C526" s="93"/>
      <c r="D526" s="101"/>
      <c r="E526" s="94"/>
      <c r="F526" s="95"/>
      <c r="G526" s="96"/>
      <c r="H526" s="96" t="b">
        <f t="shared" si="58"/>
        <v>0</v>
      </c>
      <c r="I526" s="247" t="e">
        <f t="shared" si="60"/>
        <v>#N/A</v>
      </c>
      <c r="J526" s="97">
        <v>0</v>
      </c>
      <c r="K526" s="98">
        <v>0</v>
      </c>
      <c r="L526" s="98"/>
      <c r="M526" s="98"/>
      <c r="N526" s="98">
        <f t="shared" si="61"/>
        <v>0</v>
      </c>
      <c r="O526" s="240" t="b">
        <f t="shared" si="62"/>
        <v>0</v>
      </c>
      <c r="P526" s="240" t="b">
        <f t="shared" si="63"/>
        <v>0</v>
      </c>
    </row>
    <row r="527" spans="1:16" x14ac:dyDescent="0.35">
      <c r="A527" s="92">
        <f t="shared" si="59"/>
        <v>0</v>
      </c>
      <c r="B527" s="92" t="e">
        <f>VLOOKUP(A527,[1]Hoja3!$C$3:$D$14,2,FALSE)</f>
        <v>#N/A</v>
      </c>
      <c r="C527" s="93"/>
      <c r="D527" s="101"/>
      <c r="E527" s="94"/>
      <c r="F527" s="95"/>
      <c r="G527" s="96"/>
      <c r="H527" s="96" t="b">
        <f t="shared" si="58"/>
        <v>0</v>
      </c>
      <c r="I527" s="247" t="e">
        <f t="shared" si="60"/>
        <v>#N/A</v>
      </c>
      <c r="J527" s="97">
        <v>0</v>
      </c>
      <c r="K527" s="98">
        <v>0</v>
      </c>
      <c r="L527" s="98"/>
      <c r="M527" s="98"/>
      <c r="N527" s="98">
        <f t="shared" si="61"/>
        <v>0</v>
      </c>
      <c r="O527" s="240" t="b">
        <f t="shared" si="62"/>
        <v>0</v>
      </c>
      <c r="P527" s="240" t="b">
        <f t="shared" si="63"/>
        <v>0</v>
      </c>
    </row>
    <row r="528" spans="1:16" x14ac:dyDescent="0.35">
      <c r="A528" s="92">
        <f t="shared" si="59"/>
        <v>0</v>
      </c>
      <c r="B528" s="92" t="e">
        <f>VLOOKUP(A528,[1]Hoja3!$C$3:$D$14,2,FALSE)</f>
        <v>#N/A</v>
      </c>
      <c r="C528" s="93"/>
      <c r="D528" s="101"/>
      <c r="E528" s="94"/>
      <c r="F528" s="95"/>
      <c r="G528" s="96"/>
      <c r="H528" s="96" t="b">
        <f t="shared" ref="H528:H591" si="64">IF(G528="EFREN ABUNDEZ REYNA","AURE7306187IA",IF(G528="LUIS ALEJANDRO HERNANDEZ REYNA","HERL850705AL2",IF(G528="ANA BEATRIZ ESTRADA ARGOTE","EAAA860701UP2",IF(G528="SERGIO ROMERO DURAN","RODS620908QAA",IF(G528="MARIELA OLMOS GAONA","OOGM010703NX1",IF(G528="LUCIANO MIJAIL ORTEGA MUÑOZ","OEML881105IK2",IF(G528="GUSTAVO HUMBERTO VELAZCO GALVAN","VEGG9211019T1",IF(G528="JESUS AGUSTIN VELAZQUEZ FLORES","VEFJ900303M65",IF(G528="KARLA ESTEFANIA SALAZAR FLORES","SAFK9807277N1",IF(G528="ANGEL TERRAZAS MONROY","TEMA7105035N4"))))))))))</f>
        <v>0</v>
      </c>
      <c r="I528" s="247" t="e">
        <f t="shared" si="60"/>
        <v>#N/A</v>
      </c>
      <c r="J528" s="97">
        <v>0</v>
      </c>
      <c r="K528" s="98">
        <v>0</v>
      </c>
      <c r="L528" s="98"/>
      <c r="M528" s="98"/>
      <c r="N528" s="98">
        <f t="shared" si="61"/>
        <v>0</v>
      </c>
      <c r="O528" s="240" t="b">
        <f t="shared" si="62"/>
        <v>0</v>
      </c>
      <c r="P528" s="240" t="b">
        <f t="shared" si="63"/>
        <v>0</v>
      </c>
    </row>
    <row r="529" spans="1:16" x14ac:dyDescent="0.35">
      <c r="A529" s="92">
        <f t="shared" si="59"/>
        <v>0</v>
      </c>
      <c r="B529" s="92" t="e">
        <f>VLOOKUP(A529,[1]Hoja3!$C$3:$D$14,2,FALSE)</f>
        <v>#N/A</v>
      </c>
      <c r="C529" s="93"/>
      <c r="D529" s="101"/>
      <c r="E529" s="94"/>
      <c r="F529" s="95"/>
      <c r="G529" s="96"/>
      <c r="H529" s="96" t="b">
        <f t="shared" si="64"/>
        <v>0</v>
      </c>
      <c r="I529" s="247" t="e">
        <f t="shared" si="60"/>
        <v>#N/A</v>
      </c>
      <c r="J529" s="97">
        <v>0</v>
      </c>
      <c r="K529" s="98">
        <v>0</v>
      </c>
      <c r="L529" s="98"/>
      <c r="M529" s="98"/>
      <c r="N529" s="98">
        <f t="shared" si="61"/>
        <v>0</v>
      </c>
      <c r="O529" s="240" t="b">
        <f t="shared" si="62"/>
        <v>0</v>
      </c>
      <c r="P529" s="240" t="b">
        <f t="shared" si="63"/>
        <v>0</v>
      </c>
    </row>
    <row r="530" spans="1:16" x14ac:dyDescent="0.35">
      <c r="A530" s="92">
        <f t="shared" si="59"/>
        <v>0</v>
      </c>
      <c r="B530" s="92" t="e">
        <f>VLOOKUP(A530,[1]Hoja3!$C$3:$D$14,2,FALSE)</f>
        <v>#N/A</v>
      </c>
      <c r="C530" s="93"/>
      <c r="D530" s="101"/>
      <c r="E530" s="94"/>
      <c r="F530" s="95"/>
      <c r="G530" s="96"/>
      <c r="H530" s="96" t="b">
        <f t="shared" si="64"/>
        <v>0</v>
      </c>
      <c r="I530" s="247" t="e">
        <f t="shared" si="60"/>
        <v>#N/A</v>
      </c>
      <c r="J530" s="97">
        <v>0</v>
      </c>
      <c r="K530" s="98">
        <v>0</v>
      </c>
      <c r="L530" s="98"/>
      <c r="M530" s="98"/>
      <c r="N530" s="98">
        <f t="shared" si="61"/>
        <v>0</v>
      </c>
      <c r="O530" s="240" t="b">
        <f t="shared" si="62"/>
        <v>0</v>
      </c>
      <c r="P530" s="240" t="b">
        <f t="shared" si="63"/>
        <v>0</v>
      </c>
    </row>
    <row r="531" spans="1:16" x14ac:dyDescent="0.35">
      <c r="A531" s="92">
        <f t="shared" si="59"/>
        <v>0</v>
      </c>
      <c r="B531" s="92" t="e">
        <f>VLOOKUP(A531,[1]Hoja3!$C$3:$D$14,2,FALSE)</f>
        <v>#N/A</v>
      </c>
      <c r="C531" s="93"/>
      <c r="D531" s="101"/>
      <c r="E531" s="94"/>
      <c r="F531" s="95"/>
      <c r="G531" s="96"/>
      <c r="H531" s="96" t="b">
        <f t="shared" si="64"/>
        <v>0</v>
      </c>
      <c r="I531" s="247" t="e">
        <f t="shared" si="60"/>
        <v>#N/A</v>
      </c>
      <c r="J531" s="97">
        <v>0</v>
      </c>
      <c r="K531" s="98">
        <v>0</v>
      </c>
      <c r="L531" s="98"/>
      <c r="M531" s="98"/>
      <c r="N531" s="98">
        <f t="shared" si="61"/>
        <v>0</v>
      </c>
      <c r="O531" s="240" t="b">
        <f t="shared" si="62"/>
        <v>0</v>
      </c>
      <c r="P531" s="240" t="b">
        <f t="shared" si="63"/>
        <v>0</v>
      </c>
    </row>
    <row r="532" spans="1:16" x14ac:dyDescent="0.35">
      <c r="A532" s="92">
        <f t="shared" si="59"/>
        <v>0</v>
      </c>
      <c r="B532" s="92" t="e">
        <f>VLOOKUP(A532,[1]Hoja3!$C$3:$D$14,2,FALSE)</f>
        <v>#N/A</v>
      </c>
      <c r="C532" s="93"/>
      <c r="D532" s="101"/>
      <c r="E532" s="94"/>
      <c r="F532" s="95"/>
      <c r="G532" s="96"/>
      <c r="H532" s="96" t="b">
        <f t="shared" si="64"/>
        <v>0</v>
      </c>
      <c r="I532" s="247" t="e">
        <f t="shared" si="60"/>
        <v>#N/A</v>
      </c>
      <c r="J532" s="97">
        <v>0</v>
      </c>
      <c r="K532" s="98">
        <v>0</v>
      </c>
      <c r="L532" s="98"/>
      <c r="M532" s="98"/>
      <c r="N532" s="98">
        <f t="shared" si="61"/>
        <v>0</v>
      </c>
      <c r="O532" s="240" t="b">
        <f t="shared" si="62"/>
        <v>0</v>
      </c>
      <c r="P532" s="240" t="b">
        <f t="shared" si="63"/>
        <v>0</v>
      </c>
    </row>
    <row r="533" spans="1:16" x14ac:dyDescent="0.35">
      <c r="A533" s="92">
        <f t="shared" si="59"/>
        <v>0</v>
      </c>
      <c r="B533" s="92" t="e">
        <f>VLOOKUP(A533,[1]Hoja3!$C$3:$D$14,2,FALSE)</f>
        <v>#N/A</v>
      </c>
      <c r="C533" s="93"/>
      <c r="D533" s="101"/>
      <c r="E533" s="94"/>
      <c r="F533" s="95"/>
      <c r="G533" s="96"/>
      <c r="H533" s="96" t="b">
        <f t="shared" si="64"/>
        <v>0</v>
      </c>
      <c r="I533" s="247" t="e">
        <f t="shared" si="60"/>
        <v>#N/A</v>
      </c>
      <c r="J533" s="97">
        <v>0</v>
      </c>
      <c r="K533" s="98">
        <v>0</v>
      </c>
      <c r="L533" s="98"/>
      <c r="M533" s="98"/>
      <c r="N533" s="98">
        <f t="shared" si="61"/>
        <v>0</v>
      </c>
      <c r="O533" s="240" t="b">
        <f t="shared" si="62"/>
        <v>0</v>
      </c>
      <c r="P533" s="240" t="b">
        <f t="shared" si="63"/>
        <v>0</v>
      </c>
    </row>
    <row r="534" spans="1:16" x14ac:dyDescent="0.35">
      <c r="A534" s="92">
        <f t="shared" si="59"/>
        <v>0</v>
      </c>
      <c r="B534" s="92" t="e">
        <f>VLOOKUP(A534,[1]Hoja3!$C$3:$D$14,2,FALSE)</f>
        <v>#N/A</v>
      </c>
      <c r="C534" s="93"/>
      <c r="D534" s="101"/>
      <c r="E534" s="94"/>
      <c r="F534" s="95"/>
      <c r="G534" s="96"/>
      <c r="H534" s="96" t="b">
        <f t="shared" si="64"/>
        <v>0</v>
      </c>
      <c r="I534" s="247" t="e">
        <f t="shared" si="60"/>
        <v>#N/A</v>
      </c>
      <c r="J534" s="97">
        <v>0</v>
      </c>
      <c r="K534" s="98">
        <v>0</v>
      </c>
      <c r="L534" s="98"/>
      <c r="M534" s="98"/>
      <c r="N534" s="98">
        <f t="shared" si="61"/>
        <v>0</v>
      </c>
      <c r="O534" s="240" t="b">
        <f t="shared" si="62"/>
        <v>0</v>
      </c>
      <c r="P534" s="240" t="b">
        <f t="shared" si="63"/>
        <v>0</v>
      </c>
    </row>
    <row r="535" spans="1:16" x14ac:dyDescent="0.35">
      <c r="A535" s="92">
        <f t="shared" si="59"/>
        <v>0</v>
      </c>
      <c r="B535" s="92" t="e">
        <f>VLOOKUP(A535,[1]Hoja3!$C$3:$D$14,2,FALSE)</f>
        <v>#N/A</v>
      </c>
      <c r="C535" s="93"/>
      <c r="D535" s="101"/>
      <c r="E535" s="94"/>
      <c r="F535" s="95"/>
      <c r="G535" s="96"/>
      <c r="H535" s="96" t="b">
        <f t="shared" si="64"/>
        <v>0</v>
      </c>
      <c r="I535" s="247" t="e">
        <f t="shared" si="60"/>
        <v>#N/A</v>
      </c>
      <c r="J535" s="97">
        <v>0</v>
      </c>
      <c r="K535" s="98">
        <v>0</v>
      </c>
      <c r="L535" s="98"/>
      <c r="M535" s="98"/>
      <c r="N535" s="98">
        <f t="shared" si="61"/>
        <v>0</v>
      </c>
      <c r="O535" s="240" t="b">
        <f t="shared" si="62"/>
        <v>0</v>
      </c>
      <c r="P535" s="240" t="b">
        <f t="shared" si="63"/>
        <v>0</v>
      </c>
    </row>
    <row r="536" spans="1:16" x14ac:dyDescent="0.35">
      <c r="A536" s="92">
        <f t="shared" si="59"/>
        <v>0</v>
      </c>
      <c r="B536" s="92" t="e">
        <f>VLOOKUP(A536,[1]Hoja3!$C$3:$D$14,2,FALSE)</f>
        <v>#N/A</v>
      </c>
      <c r="C536" s="93"/>
      <c r="D536" s="101"/>
      <c r="E536" s="94"/>
      <c r="F536" s="95"/>
      <c r="G536" s="96"/>
      <c r="H536" s="96" t="b">
        <f t="shared" si="64"/>
        <v>0</v>
      </c>
      <c r="I536" s="247" t="e">
        <f t="shared" si="60"/>
        <v>#N/A</v>
      </c>
      <c r="J536" s="97">
        <v>0</v>
      </c>
      <c r="K536" s="98">
        <v>0</v>
      </c>
      <c r="L536" s="98"/>
      <c r="M536" s="98"/>
      <c r="N536" s="98">
        <f t="shared" si="61"/>
        <v>0</v>
      </c>
      <c r="O536" s="240" t="b">
        <f t="shared" si="62"/>
        <v>0</v>
      </c>
      <c r="P536" s="240" t="b">
        <f t="shared" si="63"/>
        <v>0</v>
      </c>
    </row>
    <row r="537" spans="1:16" x14ac:dyDescent="0.35">
      <c r="A537" s="92">
        <f t="shared" si="59"/>
        <v>0</v>
      </c>
      <c r="B537" s="92" t="e">
        <f>VLOOKUP(A537,[1]Hoja3!$C$3:$D$14,2,FALSE)</f>
        <v>#N/A</v>
      </c>
      <c r="C537" s="93"/>
      <c r="D537" s="101"/>
      <c r="E537" s="94"/>
      <c r="F537" s="95"/>
      <c r="G537" s="96"/>
      <c r="H537" s="96" t="b">
        <f t="shared" si="64"/>
        <v>0</v>
      </c>
      <c r="I537" s="247" t="e">
        <f t="shared" si="60"/>
        <v>#N/A</v>
      </c>
      <c r="J537" s="97">
        <v>0</v>
      </c>
      <c r="K537" s="98">
        <v>0</v>
      </c>
      <c r="L537" s="98"/>
      <c r="M537" s="98"/>
      <c r="N537" s="98">
        <f t="shared" si="61"/>
        <v>0</v>
      </c>
      <c r="O537" s="240" t="b">
        <f t="shared" si="62"/>
        <v>0</v>
      </c>
      <c r="P537" s="240" t="b">
        <f t="shared" si="63"/>
        <v>0</v>
      </c>
    </row>
    <row r="538" spans="1:16" x14ac:dyDescent="0.35">
      <c r="A538" s="92">
        <f t="shared" si="59"/>
        <v>0</v>
      </c>
      <c r="B538" s="92" t="e">
        <f>VLOOKUP(A538,[1]Hoja3!$C$3:$D$14,2,FALSE)</f>
        <v>#N/A</v>
      </c>
      <c r="C538" s="93"/>
      <c r="D538" s="101"/>
      <c r="E538" s="94"/>
      <c r="F538" s="95"/>
      <c r="G538" s="96"/>
      <c r="H538" s="96" t="b">
        <f t="shared" si="64"/>
        <v>0</v>
      </c>
      <c r="I538" s="247" t="e">
        <f t="shared" si="60"/>
        <v>#N/A</v>
      </c>
      <c r="J538" s="97">
        <v>0</v>
      </c>
      <c r="K538" s="98">
        <v>0</v>
      </c>
      <c r="L538" s="98"/>
      <c r="M538" s="98"/>
      <c r="N538" s="98">
        <f t="shared" si="61"/>
        <v>0</v>
      </c>
      <c r="O538" s="240" t="b">
        <f t="shared" si="62"/>
        <v>0</v>
      </c>
      <c r="P538" s="240" t="b">
        <f t="shared" si="63"/>
        <v>0</v>
      </c>
    </row>
    <row r="539" spans="1:16" x14ac:dyDescent="0.35">
      <c r="A539" s="92">
        <f t="shared" si="59"/>
        <v>0</v>
      </c>
      <c r="B539" s="92" t="e">
        <f>VLOOKUP(A539,[1]Hoja3!$C$3:$D$14,2,FALSE)</f>
        <v>#N/A</v>
      </c>
      <c r="C539" s="93"/>
      <c r="D539" s="101"/>
      <c r="E539" s="94"/>
      <c r="F539" s="95"/>
      <c r="G539" s="96"/>
      <c r="H539" s="96" t="b">
        <f t="shared" si="64"/>
        <v>0</v>
      </c>
      <c r="I539" s="247" t="e">
        <f t="shared" si="60"/>
        <v>#N/A</v>
      </c>
      <c r="J539" s="97">
        <v>0</v>
      </c>
      <c r="K539" s="98">
        <v>0</v>
      </c>
      <c r="L539" s="98"/>
      <c r="M539" s="98"/>
      <c r="N539" s="98">
        <f t="shared" si="61"/>
        <v>0</v>
      </c>
      <c r="O539" s="240" t="b">
        <f t="shared" si="62"/>
        <v>0</v>
      </c>
      <c r="P539" s="240" t="b">
        <f t="shared" si="63"/>
        <v>0</v>
      </c>
    </row>
    <row r="540" spans="1:16" x14ac:dyDescent="0.35">
      <c r="A540" s="92">
        <f t="shared" si="59"/>
        <v>0</v>
      </c>
      <c r="B540" s="92" t="e">
        <f>VLOOKUP(A540,[1]Hoja3!$C$3:$D$14,2,FALSE)</f>
        <v>#N/A</v>
      </c>
      <c r="C540" s="93"/>
      <c r="D540" s="101"/>
      <c r="E540" s="94"/>
      <c r="F540" s="95"/>
      <c r="G540" s="96"/>
      <c r="H540" s="96" t="b">
        <f t="shared" si="64"/>
        <v>0</v>
      </c>
      <c r="I540" s="247" t="e">
        <f t="shared" si="60"/>
        <v>#N/A</v>
      </c>
      <c r="J540" s="97">
        <v>0</v>
      </c>
      <c r="K540" s="98">
        <v>0</v>
      </c>
      <c r="L540" s="98"/>
      <c r="M540" s="98"/>
      <c r="N540" s="98">
        <f t="shared" si="61"/>
        <v>0</v>
      </c>
      <c r="O540" s="240" t="b">
        <f t="shared" si="62"/>
        <v>0</v>
      </c>
      <c r="P540" s="240" t="b">
        <f t="shared" si="63"/>
        <v>0</v>
      </c>
    </row>
    <row r="541" spans="1:16" x14ac:dyDescent="0.35">
      <c r="A541" s="92">
        <f t="shared" si="59"/>
        <v>0</v>
      </c>
      <c r="B541" s="92" t="e">
        <f>VLOOKUP(A541,[1]Hoja3!$C$3:$D$14,2,FALSE)</f>
        <v>#N/A</v>
      </c>
      <c r="C541" s="93"/>
      <c r="D541" s="101"/>
      <c r="E541" s="94"/>
      <c r="F541" s="95"/>
      <c r="G541" s="96"/>
      <c r="H541" s="96" t="b">
        <f t="shared" si="64"/>
        <v>0</v>
      </c>
      <c r="I541" s="247" t="e">
        <f t="shared" si="60"/>
        <v>#N/A</v>
      </c>
      <c r="J541" s="97">
        <v>0</v>
      </c>
      <c r="K541" s="98">
        <v>0</v>
      </c>
      <c r="L541" s="98"/>
      <c r="M541" s="98"/>
      <c r="N541" s="98">
        <f t="shared" si="61"/>
        <v>0</v>
      </c>
      <c r="O541" s="240" t="b">
        <f t="shared" si="62"/>
        <v>0</v>
      </c>
      <c r="P541" s="240" t="b">
        <f t="shared" si="63"/>
        <v>0</v>
      </c>
    </row>
    <row r="542" spans="1:16" x14ac:dyDescent="0.35">
      <c r="A542" s="92">
        <f t="shared" si="59"/>
        <v>0</v>
      </c>
      <c r="B542" s="92" t="e">
        <f>VLOOKUP(A542,[1]Hoja3!$C$3:$D$14,2,FALSE)</f>
        <v>#N/A</v>
      </c>
      <c r="C542" s="93"/>
      <c r="D542" s="101"/>
      <c r="E542" s="94"/>
      <c r="F542" s="95"/>
      <c r="G542" s="96"/>
      <c r="H542" s="96" t="b">
        <f t="shared" si="64"/>
        <v>0</v>
      </c>
      <c r="I542" s="247" t="e">
        <f t="shared" si="60"/>
        <v>#N/A</v>
      </c>
      <c r="J542" s="97">
        <v>0</v>
      </c>
      <c r="K542" s="98">
        <v>0</v>
      </c>
      <c r="L542" s="98"/>
      <c r="M542" s="98"/>
      <c r="N542" s="98">
        <f t="shared" si="61"/>
        <v>0</v>
      </c>
      <c r="O542" s="240" t="b">
        <f t="shared" si="62"/>
        <v>0</v>
      </c>
      <c r="P542" s="240" t="b">
        <f t="shared" si="63"/>
        <v>0</v>
      </c>
    </row>
    <row r="543" spans="1:16" x14ac:dyDescent="0.35">
      <c r="A543" s="92">
        <f t="shared" si="59"/>
        <v>0</v>
      </c>
      <c r="B543" s="92" t="e">
        <f>VLOOKUP(A543,[1]Hoja3!$C$3:$D$14,2,FALSE)</f>
        <v>#N/A</v>
      </c>
      <c r="C543" s="93"/>
      <c r="D543" s="101"/>
      <c r="E543" s="94"/>
      <c r="F543" s="95"/>
      <c r="G543" s="96"/>
      <c r="H543" s="96" t="b">
        <f t="shared" si="64"/>
        <v>0</v>
      </c>
      <c r="I543" s="247" t="e">
        <f t="shared" si="60"/>
        <v>#N/A</v>
      </c>
      <c r="J543" s="97">
        <v>0</v>
      </c>
      <c r="K543" s="98">
        <v>0</v>
      </c>
      <c r="L543" s="98"/>
      <c r="M543" s="98"/>
      <c r="N543" s="98">
        <f t="shared" si="61"/>
        <v>0</v>
      </c>
      <c r="O543" s="240" t="b">
        <f t="shared" si="62"/>
        <v>0</v>
      </c>
      <c r="P543" s="240" t="b">
        <f t="shared" si="63"/>
        <v>0</v>
      </c>
    </row>
    <row r="544" spans="1:16" x14ac:dyDescent="0.35">
      <c r="A544" s="92">
        <f t="shared" si="59"/>
        <v>0</v>
      </c>
      <c r="B544" s="92" t="e">
        <f>VLOOKUP(A544,[1]Hoja3!$C$3:$D$14,2,FALSE)</f>
        <v>#N/A</v>
      </c>
      <c r="C544" s="93"/>
      <c r="D544" s="101"/>
      <c r="E544" s="94"/>
      <c r="F544" s="95"/>
      <c r="G544" s="96"/>
      <c r="H544" s="96" t="b">
        <f t="shared" si="64"/>
        <v>0</v>
      </c>
      <c r="I544" s="247" t="e">
        <f t="shared" si="60"/>
        <v>#N/A</v>
      </c>
      <c r="J544" s="97">
        <v>0</v>
      </c>
      <c r="K544" s="98">
        <v>0</v>
      </c>
      <c r="L544" s="98"/>
      <c r="M544" s="98"/>
      <c r="N544" s="98">
        <f t="shared" si="61"/>
        <v>0</v>
      </c>
      <c r="O544" s="240" t="b">
        <f t="shared" si="62"/>
        <v>0</v>
      </c>
      <c r="P544" s="240" t="b">
        <f t="shared" si="63"/>
        <v>0</v>
      </c>
    </row>
    <row r="545" spans="1:16" x14ac:dyDescent="0.35">
      <c r="A545" s="92">
        <f t="shared" si="59"/>
        <v>0</v>
      </c>
      <c r="B545" s="92" t="e">
        <f>VLOOKUP(A545,[1]Hoja3!$C$3:$D$14,2,FALSE)</f>
        <v>#N/A</v>
      </c>
      <c r="C545" s="93"/>
      <c r="D545" s="101"/>
      <c r="E545" s="94"/>
      <c r="F545" s="95"/>
      <c r="G545" s="96"/>
      <c r="H545" s="96" t="b">
        <f t="shared" si="64"/>
        <v>0</v>
      </c>
      <c r="I545" s="247" t="e">
        <f t="shared" si="60"/>
        <v>#N/A</v>
      </c>
      <c r="J545" s="97">
        <v>0</v>
      </c>
      <c r="K545" s="98">
        <v>0</v>
      </c>
      <c r="L545" s="98"/>
      <c r="M545" s="98"/>
      <c r="N545" s="98">
        <f t="shared" si="61"/>
        <v>0</v>
      </c>
      <c r="O545" s="240" t="b">
        <f t="shared" si="62"/>
        <v>0</v>
      </c>
      <c r="P545" s="240" t="b">
        <f t="shared" si="63"/>
        <v>0</v>
      </c>
    </row>
    <row r="546" spans="1:16" x14ac:dyDescent="0.35">
      <c r="A546" s="92">
        <f t="shared" si="59"/>
        <v>0</v>
      </c>
      <c r="B546" s="92" t="e">
        <f>VLOOKUP(A546,[1]Hoja3!$C$3:$D$14,2,FALSE)</f>
        <v>#N/A</v>
      </c>
      <c r="C546" s="93"/>
      <c r="D546" s="101"/>
      <c r="E546" s="94"/>
      <c r="F546" s="95"/>
      <c r="G546" s="96"/>
      <c r="H546" s="96" t="b">
        <f t="shared" si="64"/>
        <v>0</v>
      </c>
      <c r="I546" s="247" t="e">
        <f t="shared" si="60"/>
        <v>#N/A</v>
      </c>
      <c r="J546" s="97">
        <v>0</v>
      </c>
      <c r="K546" s="98">
        <v>0</v>
      </c>
      <c r="L546" s="98"/>
      <c r="M546" s="98"/>
      <c r="N546" s="98">
        <f t="shared" si="61"/>
        <v>0</v>
      </c>
      <c r="O546" s="240" t="b">
        <f t="shared" si="62"/>
        <v>0</v>
      </c>
      <c r="P546" s="240" t="b">
        <f t="shared" si="63"/>
        <v>0</v>
      </c>
    </row>
    <row r="547" spans="1:16" x14ac:dyDescent="0.35">
      <c r="A547" s="92">
        <f t="shared" si="59"/>
        <v>0</v>
      </c>
      <c r="B547" s="92" t="e">
        <f>VLOOKUP(A547,[1]Hoja3!$C$3:$D$14,2,FALSE)</f>
        <v>#N/A</v>
      </c>
      <c r="C547" s="93"/>
      <c r="D547" s="101"/>
      <c r="E547" s="94"/>
      <c r="F547" s="95"/>
      <c r="G547" s="96"/>
      <c r="H547" s="96" t="b">
        <f t="shared" si="64"/>
        <v>0</v>
      </c>
      <c r="I547" s="247" t="e">
        <f t="shared" si="60"/>
        <v>#N/A</v>
      </c>
      <c r="J547" s="97">
        <v>0</v>
      </c>
      <c r="K547" s="98">
        <v>0</v>
      </c>
      <c r="L547" s="98"/>
      <c r="M547" s="98"/>
      <c r="N547" s="98">
        <f t="shared" si="61"/>
        <v>0</v>
      </c>
      <c r="O547" s="240" t="b">
        <f t="shared" si="62"/>
        <v>0</v>
      </c>
      <c r="P547" s="240" t="b">
        <f t="shared" si="63"/>
        <v>0</v>
      </c>
    </row>
    <row r="548" spans="1:16" x14ac:dyDescent="0.35">
      <c r="A548" s="92">
        <f t="shared" si="59"/>
        <v>0</v>
      </c>
      <c r="B548" s="92" t="e">
        <f>VLOOKUP(A548,[1]Hoja3!$C$3:$D$14,2,FALSE)</f>
        <v>#N/A</v>
      </c>
      <c r="C548" s="93"/>
      <c r="D548" s="101"/>
      <c r="E548" s="94"/>
      <c r="F548" s="95"/>
      <c r="G548" s="96"/>
      <c r="H548" s="96" t="b">
        <f t="shared" si="64"/>
        <v>0</v>
      </c>
      <c r="I548" s="247" t="e">
        <f t="shared" si="60"/>
        <v>#N/A</v>
      </c>
      <c r="J548" s="97">
        <v>0</v>
      </c>
      <c r="K548" s="98">
        <v>0</v>
      </c>
      <c r="L548" s="98"/>
      <c r="M548" s="98"/>
      <c r="N548" s="98">
        <f t="shared" si="61"/>
        <v>0</v>
      </c>
      <c r="O548" s="240" t="b">
        <f t="shared" si="62"/>
        <v>0</v>
      </c>
      <c r="P548" s="240" t="b">
        <f t="shared" si="63"/>
        <v>0</v>
      </c>
    </row>
    <row r="549" spans="1:16" x14ac:dyDescent="0.35">
      <c r="A549" s="92">
        <f t="shared" si="59"/>
        <v>0</v>
      </c>
      <c r="B549" s="92" t="e">
        <f>VLOOKUP(A549,[1]Hoja3!$C$3:$D$14,2,FALSE)</f>
        <v>#N/A</v>
      </c>
      <c r="C549" s="93"/>
      <c r="D549" s="101"/>
      <c r="E549" s="94"/>
      <c r="F549" s="95"/>
      <c r="G549" s="96"/>
      <c r="H549" s="96" t="b">
        <f t="shared" si="64"/>
        <v>0</v>
      </c>
      <c r="I549" s="247" t="e">
        <f t="shared" si="60"/>
        <v>#N/A</v>
      </c>
      <c r="J549" s="97">
        <v>0</v>
      </c>
      <c r="K549" s="98">
        <v>0</v>
      </c>
      <c r="L549" s="98"/>
      <c r="M549" s="98"/>
      <c r="N549" s="98">
        <f t="shared" si="61"/>
        <v>0</v>
      </c>
      <c r="O549" s="240" t="b">
        <f t="shared" si="62"/>
        <v>0</v>
      </c>
      <c r="P549" s="240" t="b">
        <f t="shared" si="63"/>
        <v>0</v>
      </c>
    </row>
    <row r="550" spans="1:16" x14ac:dyDescent="0.35">
      <c r="A550" s="92">
        <f t="shared" si="59"/>
        <v>0</v>
      </c>
      <c r="B550" s="92" t="e">
        <f>VLOOKUP(A550,[1]Hoja3!$C$3:$D$14,2,FALSE)</f>
        <v>#N/A</v>
      </c>
      <c r="C550" s="93"/>
      <c r="D550" s="101"/>
      <c r="E550" s="94"/>
      <c r="F550" s="95"/>
      <c r="G550" s="96"/>
      <c r="H550" s="96" t="b">
        <f t="shared" si="64"/>
        <v>0</v>
      </c>
      <c r="I550" s="247" t="e">
        <f t="shared" si="60"/>
        <v>#N/A</v>
      </c>
      <c r="J550" s="97">
        <v>0</v>
      </c>
      <c r="K550" s="98">
        <v>0</v>
      </c>
      <c r="L550" s="98"/>
      <c r="M550" s="98"/>
      <c r="N550" s="98">
        <f t="shared" si="61"/>
        <v>0</v>
      </c>
      <c r="O550" s="240" t="b">
        <f t="shared" si="62"/>
        <v>0</v>
      </c>
      <c r="P550" s="240" t="b">
        <f t="shared" si="63"/>
        <v>0</v>
      </c>
    </row>
    <row r="551" spans="1:16" x14ac:dyDescent="0.35">
      <c r="A551" s="92">
        <f t="shared" si="59"/>
        <v>0</v>
      </c>
      <c r="B551" s="92" t="e">
        <f>VLOOKUP(A551,[1]Hoja3!$C$3:$D$14,2,FALSE)</f>
        <v>#N/A</v>
      </c>
      <c r="C551" s="93"/>
      <c r="D551" s="101"/>
      <c r="E551" s="94"/>
      <c r="F551" s="95"/>
      <c r="G551" s="96"/>
      <c r="H551" s="96" t="b">
        <f t="shared" si="64"/>
        <v>0</v>
      </c>
      <c r="I551" s="247" t="e">
        <f t="shared" si="60"/>
        <v>#N/A</v>
      </c>
      <c r="J551" s="97">
        <v>0</v>
      </c>
      <c r="K551" s="98">
        <v>0</v>
      </c>
      <c r="L551" s="98"/>
      <c r="M551" s="98"/>
      <c r="N551" s="98">
        <f t="shared" si="61"/>
        <v>0</v>
      </c>
      <c r="O551" s="240" t="b">
        <f t="shared" si="62"/>
        <v>0</v>
      </c>
      <c r="P551" s="240" t="b">
        <f t="shared" si="63"/>
        <v>0</v>
      </c>
    </row>
    <row r="552" spans="1:16" x14ac:dyDescent="0.35">
      <c r="A552" s="92">
        <f t="shared" si="59"/>
        <v>0</v>
      </c>
      <c r="B552" s="92" t="e">
        <f>VLOOKUP(A552,[1]Hoja3!$C$3:$D$14,2,FALSE)</f>
        <v>#N/A</v>
      </c>
      <c r="C552" s="93"/>
      <c r="D552" s="101"/>
      <c r="E552" s="94"/>
      <c r="F552" s="95"/>
      <c r="G552" s="96"/>
      <c r="H552" s="96" t="b">
        <f t="shared" si="64"/>
        <v>0</v>
      </c>
      <c r="I552" s="247" t="e">
        <f t="shared" si="60"/>
        <v>#N/A</v>
      </c>
      <c r="J552" s="97">
        <v>0</v>
      </c>
      <c r="K552" s="98">
        <v>0</v>
      </c>
      <c r="L552" s="98"/>
      <c r="M552" s="98"/>
      <c r="N552" s="98">
        <f t="shared" si="61"/>
        <v>0</v>
      </c>
      <c r="O552" s="240" t="b">
        <f t="shared" si="62"/>
        <v>0</v>
      </c>
      <c r="P552" s="240" t="b">
        <f t="shared" si="63"/>
        <v>0</v>
      </c>
    </row>
    <row r="553" spans="1:16" x14ac:dyDescent="0.35">
      <c r="A553" s="92">
        <f t="shared" si="59"/>
        <v>0</v>
      </c>
      <c r="B553" s="92" t="e">
        <f>VLOOKUP(A553,[1]Hoja3!$C$3:$D$14,2,FALSE)</f>
        <v>#N/A</v>
      </c>
      <c r="C553" s="93"/>
      <c r="D553" s="101"/>
      <c r="E553" s="94"/>
      <c r="F553" s="95"/>
      <c r="G553" s="96"/>
      <c r="H553" s="96" t="b">
        <f t="shared" si="64"/>
        <v>0</v>
      </c>
      <c r="I553" s="247" t="e">
        <f t="shared" si="60"/>
        <v>#N/A</v>
      </c>
      <c r="J553" s="97">
        <v>0</v>
      </c>
      <c r="K553" s="98">
        <v>0</v>
      </c>
      <c r="L553" s="98"/>
      <c r="M553" s="98"/>
      <c r="N553" s="98">
        <f t="shared" si="61"/>
        <v>0</v>
      </c>
      <c r="O553" s="240" t="b">
        <f t="shared" si="62"/>
        <v>0</v>
      </c>
      <c r="P553" s="240" t="b">
        <f t="shared" si="63"/>
        <v>0</v>
      </c>
    </row>
    <row r="554" spans="1:16" x14ac:dyDescent="0.35">
      <c r="A554" s="92">
        <f t="shared" ref="A554:A600" si="65">IF(D554&gt;0,MONTH(D554),0)</f>
        <v>0</v>
      </c>
      <c r="B554" s="92" t="e">
        <f>VLOOKUP(A554,[1]Hoja3!$C$3:$D$14,2,FALSE)</f>
        <v>#N/A</v>
      </c>
      <c r="C554" s="93"/>
      <c r="D554" s="101"/>
      <c r="E554" s="94"/>
      <c r="F554" s="95"/>
      <c r="G554" s="96"/>
      <c r="H554" s="96" t="b">
        <f t="shared" si="64"/>
        <v>0</v>
      </c>
      <c r="I554" s="247" t="e">
        <f t="shared" ref="I554:I600" si="66">+B554</f>
        <v>#N/A</v>
      </c>
      <c r="J554" s="97">
        <v>0</v>
      </c>
      <c r="K554" s="98">
        <v>0</v>
      </c>
      <c r="L554" s="98"/>
      <c r="M554" s="98"/>
      <c r="N554" s="98">
        <f t="shared" ref="N554:N600" si="67">+J554+K554-L554-M554</f>
        <v>0</v>
      </c>
      <c r="O554" s="240" t="b">
        <f t="shared" si="62"/>
        <v>0</v>
      </c>
      <c r="P554" s="240" t="b">
        <f t="shared" si="63"/>
        <v>0</v>
      </c>
    </row>
    <row r="555" spans="1:16" x14ac:dyDescent="0.35">
      <c r="A555" s="92">
        <f t="shared" si="65"/>
        <v>0</v>
      </c>
      <c r="B555" s="92" t="e">
        <f>VLOOKUP(A555,[1]Hoja3!$C$3:$D$14,2,FALSE)</f>
        <v>#N/A</v>
      </c>
      <c r="C555" s="93"/>
      <c r="D555" s="101"/>
      <c r="E555" s="94"/>
      <c r="F555" s="95"/>
      <c r="G555" s="96"/>
      <c r="H555" s="96" t="b">
        <f t="shared" si="64"/>
        <v>0</v>
      </c>
      <c r="I555" s="247" t="e">
        <f t="shared" si="66"/>
        <v>#N/A</v>
      </c>
      <c r="J555" s="97">
        <v>0</v>
      </c>
      <c r="K555" s="98">
        <v>0</v>
      </c>
      <c r="L555" s="98"/>
      <c r="M555" s="98"/>
      <c r="N555" s="98">
        <f t="shared" si="67"/>
        <v>0</v>
      </c>
      <c r="O555" s="240" t="b">
        <f t="shared" si="62"/>
        <v>0</v>
      </c>
      <c r="P555" s="240" t="b">
        <f t="shared" si="63"/>
        <v>0</v>
      </c>
    </row>
    <row r="556" spans="1:16" x14ac:dyDescent="0.35">
      <c r="A556" s="92">
        <f t="shared" si="65"/>
        <v>0</v>
      </c>
      <c r="B556" s="92" t="e">
        <f>VLOOKUP(A556,[1]Hoja3!$C$3:$D$14,2,FALSE)</f>
        <v>#N/A</v>
      </c>
      <c r="C556" s="93"/>
      <c r="D556" s="101"/>
      <c r="E556" s="94"/>
      <c r="F556" s="95"/>
      <c r="G556" s="96"/>
      <c r="H556" s="96" t="b">
        <f t="shared" si="64"/>
        <v>0</v>
      </c>
      <c r="I556" s="247" t="e">
        <f t="shared" si="66"/>
        <v>#N/A</v>
      </c>
      <c r="J556" s="97">
        <v>0</v>
      </c>
      <c r="K556" s="98">
        <v>0</v>
      </c>
      <c r="L556" s="98"/>
      <c r="M556" s="98"/>
      <c r="N556" s="98">
        <f t="shared" si="67"/>
        <v>0</v>
      </c>
      <c r="O556" s="240" t="b">
        <f t="shared" si="62"/>
        <v>0</v>
      </c>
      <c r="P556" s="240" t="b">
        <f t="shared" si="63"/>
        <v>0</v>
      </c>
    </row>
    <row r="557" spans="1:16" x14ac:dyDescent="0.35">
      <c r="A557" s="92">
        <f t="shared" si="65"/>
        <v>0</v>
      </c>
      <c r="B557" s="92" t="e">
        <f>VLOOKUP(A557,[1]Hoja3!$C$3:$D$14,2,FALSE)</f>
        <v>#N/A</v>
      </c>
      <c r="C557" s="93"/>
      <c r="D557" s="101"/>
      <c r="E557" s="94"/>
      <c r="F557" s="95"/>
      <c r="G557" s="96"/>
      <c r="H557" s="96" t="b">
        <f t="shared" si="64"/>
        <v>0</v>
      </c>
      <c r="I557" s="247" t="e">
        <f t="shared" si="66"/>
        <v>#N/A</v>
      </c>
      <c r="J557" s="97">
        <v>0</v>
      </c>
      <c r="K557" s="98">
        <v>0</v>
      </c>
      <c r="L557" s="98"/>
      <c r="M557" s="98"/>
      <c r="N557" s="98">
        <f t="shared" si="67"/>
        <v>0</v>
      </c>
      <c r="O557" s="240" t="b">
        <f t="shared" si="62"/>
        <v>0</v>
      </c>
      <c r="P557" s="240" t="b">
        <f t="shared" si="63"/>
        <v>0</v>
      </c>
    </row>
    <row r="558" spans="1:16" x14ac:dyDescent="0.35">
      <c r="A558" s="92">
        <f t="shared" si="65"/>
        <v>0</v>
      </c>
      <c r="B558" s="92" t="e">
        <f>VLOOKUP(A558,[1]Hoja3!$C$3:$D$14,2,FALSE)</f>
        <v>#N/A</v>
      </c>
      <c r="C558" s="93"/>
      <c r="D558" s="101"/>
      <c r="E558" s="94"/>
      <c r="F558" s="95"/>
      <c r="G558" s="96"/>
      <c r="H558" s="96" t="b">
        <f t="shared" si="64"/>
        <v>0</v>
      </c>
      <c r="I558" s="247" t="e">
        <f t="shared" si="66"/>
        <v>#N/A</v>
      </c>
      <c r="J558" s="97">
        <v>0</v>
      </c>
      <c r="K558" s="98">
        <v>0</v>
      </c>
      <c r="L558" s="98"/>
      <c r="M558" s="98"/>
      <c r="N558" s="98">
        <f t="shared" si="67"/>
        <v>0</v>
      </c>
      <c r="O558" s="240" t="b">
        <f t="shared" si="62"/>
        <v>0</v>
      </c>
      <c r="P558" s="240" t="b">
        <f t="shared" si="63"/>
        <v>0</v>
      </c>
    </row>
    <row r="559" spans="1:16" x14ac:dyDescent="0.35">
      <c r="A559" s="92">
        <f t="shared" si="65"/>
        <v>0</v>
      </c>
      <c r="B559" s="92" t="e">
        <f>VLOOKUP(A559,[1]Hoja3!$C$3:$D$14,2,FALSE)</f>
        <v>#N/A</v>
      </c>
      <c r="C559" s="93"/>
      <c r="D559" s="101"/>
      <c r="E559" s="94"/>
      <c r="F559" s="95"/>
      <c r="G559" s="96"/>
      <c r="H559" s="96" t="b">
        <f t="shared" si="64"/>
        <v>0</v>
      </c>
      <c r="I559" s="247" t="e">
        <f t="shared" si="66"/>
        <v>#N/A</v>
      </c>
      <c r="J559" s="97">
        <v>0</v>
      </c>
      <c r="K559" s="98">
        <v>0</v>
      </c>
      <c r="L559" s="98"/>
      <c r="M559" s="98"/>
      <c r="N559" s="98">
        <f t="shared" si="67"/>
        <v>0</v>
      </c>
      <c r="O559" s="240" t="b">
        <f t="shared" si="62"/>
        <v>0</v>
      </c>
      <c r="P559" s="240" t="b">
        <f t="shared" si="63"/>
        <v>0</v>
      </c>
    </row>
    <row r="560" spans="1:16" x14ac:dyDescent="0.35">
      <c r="A560" s="92">
        <f t="shared" si="65"/>
        <v>0</v>
      </c>
      <c r="B560" s="92" t="e">
        <f>VLOOKUP(A560,[1]Hoja3!$C$3:$D$14,2,FALSE)</f>
        <v>#N/A</v>
      </c>
      <c r="C560" s="93"/>
      <c r="D560" s="101"/>
      <c r="E560" s="94"/>
      <c r="F560" s="95"/>
      <c r="G560" s="96"/>
      <c r="H560" s="96" t="b">
        <f t="shared" si="64"/>
        <v>0</v>
      </c>
      <c r="I560" s="247" t="e">
        <f t="shared" si="66"/>
        <v>#N/A</v>
      </c>
      <c r="J560" s="97">
        <v>0</v>
      </c>
      <c r="K560" s="98">
        <v>0</v>
      </c>
      <c r="L560" s="98"/>
      <c r="M560" s="98"/>
      <c r="N560" s="98">
        <f t="shared" si="67"/>
        <v>0</v>
      </c>
      <c r="O560" s="240" t="b">
        <f t="shared" si="62"/>
        <v>0</v>
      </c>
      <c r="P560" s="240" t="b">
        <f t="shared" si="63"/>
        <v>0</v>
      </c>
    </row>
    <row r="561" spans="1:16" x14ac:dyDescent="0.35">
      <c r="A561" s="92">
        <f t="shared" si="65"/>
        <v>0</v>
      </c>
      <c r="B561" s="92" t="e">
        <f>VLOOKUP(A561,[1]Hoja3!$C$3:$D$14,2,FALSE)</f>
        <v>#N/A</v>
      </c>
      <c r="C561" s="93"/>
      <c r="D561" s="101"/>
      <c r="E561" s="94"/>
      <c r="F561" s="95"/>
      <c r="G561" s="96"/>
      <c r="H561" s="96" t="b">
        <f t="shared" si="64"/>
        <v>0</v>
      </c>
      <c r="I561" s="247" t="e">
        <f t="shared" si="66"/>
        <v>#N/A</v>
      </c>
      <c r="J561" s="97">
        <v>0</v>
      </c>
      <c r="K561" s="98">
        <v>0</v>
      </c>
      <c r="L561" s="98"/>
      <c r="M561" s="98"/>
      <c r="N561" s="98">
        <f t="shared" si="67"/>
        <v>0</v>
      </c>
      <c r="O561" s="240" t="b">
        <f t="shared" si="62"/>
        <v>0</v>
      </c>
      <c r="P561" s="240" t="b">
        <f t="shared" si="63"/>
        <v>0</v>
      </c>
    </row>
    <row r="562" spans="1:16" x14ac:dyDescent="0.35">
      <c r="A562" s="92">
        <f t="shared" si="65"/>
        <v>0</v>
      </c>
      <c r="B562" s="92" t="e">
        <f>VLOOKUP(A562,[1]Hoja3!$C$3:$D$14,2,FALSE)</f>
        <v>#N/A</v>
      </c>
      <c r="C562" s="93"/>
      <c r="D562" s="101"/>
      <c r="E562" s="94"/>
      <c r="F562" s="95"/>
      <c r="G562" s="96"/>
      <c r="H562" s="96" t="b">
        <f t="shared" si="64"/>
        <v>0</v>
      </c>
      <c r="I562" s="247" t="e">
        <f t="shared" si="66"/>
        <v>#N/A</v>
      </c>
      <c r="J562" s="97">
        <v>0</v>
      </c>
      <c r="K562" s="98">
        <v>0</v>
      </c>
      <c r="L562" s="98"/>
      <c r="M562" s="98"/>
      <c r="N562" s="98">
        <f t="shared" si="67"/>
        <v>0</v>
      </c>
      <c r="O562" s="240" t="b">
        <f t="shared" si="62"/>
        <v>0</v>
      </c>
      <c r="P562" s="240" t="b">
        <f t="shared" si="63"/>
        <v>0</v>
      </c>
    </row>
    <row r="563" spans="1:16" x14ac:dyDescent="0.35">
      <c r="A563" s="92">
        <f t="shared" si="65"/>
        <v>0</v>
      </c>
      <c r="B563" s="92" t="e">
        <f>VLOOKUP(A563,[1]Hoja3!$C$3:$D$14,2,FALSE)</f>
        <v>#N/A</v>
      </c>
      <c r="C563" s="93"/>
      <c r="D563" s="101"/>
      <c r="E563" s="94"/>
      <c r="F563" s="95"/>
      <c r="G563" s="96"/>
      <c r="H563" s="96" t="b">
        <f t="shared" si="64"/>
        <v>0</v>
      </c>
      <c r="I563" s="247" t="e">
        <f t="shared" si="66"/>
        <v>#N/A</v>
      </c>
      <c r="J563" s="97">
        <v>0</v>
      </c>
      <c r="K563" s="98">
        <v>0</v>
      </c>
      <c r="L563" s="98"/>
      <c r="M563" s="98"/>
      <c r="N563" s="98">
        <f t="shared" si="67"/>
        <v>0</v>
      </c>
      <c r="O563" s="240" t="b">
        <f t="shared" si="62"/>
        <v>0</v>
      </c>
      <c r="P563" s="240" t="b">
        <f t="shared" si="63"/>
        <v>0</v>
      </c>
    </row>
    <row r="564" spans="1:16" x14ac:dyDescent="0.35">
      <c r="A564" s="92">
        <f t="shared" si="65"/>
        <v>0</v>
      </c>
      <c r="B564" s="92" t="e">
        <f>VLOOKUP(A564,[1]Hoja3!$C$3:$D$14,2,FALSE)</f>
        <v>#N/A</v>
      </c>
      <c r="C564" s="93"/>
      <c r="D564" s="101"/>
      <c r="E564" s="94"/>
      <c r="F564" s="95"/>
      <c r="G564" s="96"/>
      <c r="H564" s="96" t="b">
        <f t="shared" si="64"/>
        <v>0</v>
      </c>
      <c r="I564" s="247" t="e">
        <f t="shared" si="66"/>
        <v>#N/A</v>
      </c>
      <c r="J564" s="97">
        <v>0</v>
      </c>
      <c r="K564" s="98">
        <v>0</v>
      </c>
      <c r="L564" s="98"/>
      <c r="M564" s="98"/>
      <c r="N564" s="98">
        <f t="shared" si="67"/>
        <v>0</v>
      </c>
      <c r="O564" s="240" t="b">
        <f t="shared" si="62"/>
        <v>0</v>
      </c>
      <c r="P564" s="240" t="b">
        <f t="shared" si="63"/>
        <v>0</v>
      </c>
    </row>
    <row r="565" spans="1:16" x14ac:dyDescent="0.35">
      <c r="A565" s="92">
        <f t="shared" si="65"/>
        <v>0</v>
      </c>
      <c r="B565" s="92" t="e">
        <f>VLOOKUP(A565,[1]Hoja3!$C$3:$D$14,2,FALSE)</f>
        <v>#N/A</v>
      </c>
      <c r="C565" s="93"/>
      <c r="D565" s="101"/>
      <c r="E565" s="94"/>
      <c r="F565" s="95"/>
      <c r="G565" s="96"/>
      <c r="H565" s="96" t="b">
        <f t="shared" si="64"/>
        <v>0</v>
      </c>
      <c r="I565" s="247" t="e">
        <f t="shared" si="66"/>
        <v>#N/A</v>
      </c>
      <c r="J565" s="97">
        <v>0</v>
      </c>
      <c r="K565" s="98">
        <v>0</v>
      </c>
      <c r="L565" s="98"/>
      <c r="M565" s="98"/>
      <c r="N565" s="98">
        <f t="shared" si="67"/>
        <v>0</v>
      </c>
      <c r="O565" s="240" t="b">
        <f t="shared" si="62"/>
        <v>0</v>
      </c>
      <c r="P565" s="240" t="b">
        <f t="shared" si="63"/>
        <v>0</v>
      </c>
    </row>
    <row r="566" spans="1:16" x14ac:dyDescent="0.35">
      <c r="A566" s="92">
        <f t="shared" si="65"/>
        <v>0</v>
      </c>
      <c r="B566" s="92" t="e">
        <f>VLOOKUP(A566,[1]Hoja3!$C$3:$D$14,2,FALSE)</f>
        <v>#N/A</v>
      </c>
      <c r="C566" s="93"/>
      <c r="D566" s="101"/>
      <c r="E566" s="94"/>
      <c r="F566" s="95"/>
      <c r="G566" s="96"/>
      <c r="H566" s="96" t="b">
        <f t="shared" si="64"/>
        <v>0</v>
      </c>
      <c r="I566" s="247" t="e">
        <f t="shared" si="66"/>
        <v>#N/A</v>
      </c>
      <c r="J566" s="97">
        <v>0</v>
      </c>
      <c r="K566" s="98">
        <v>0</v>
      </c>
      <c r="L566" s="98"/>
      <c r="M566" s="98"/>
      <c r="N566" s="98">
        <f t="shared" si="67"/>
        <v>0</v>
      </c>
      <c r="O566" s="240" t="b">
        <f t="shared" si="62"/>
        <v>0</v>
      </c>
      <c r="P566" s="240" t="b">
        <f t="shared" si="63"/>
        <v>0</v>
      </c>
    </row>
    <row r="567" spans="1:16" x14ac:dyDescent="0.35">
      <c r="A567" s="92">
        <f t="shared" si="65"/>
        <v>0</v>
      </c>
      <c r="B567" s="92" t="e">
        <f>VLOOKUP(A567,[1]Hoja3!$C$3:$D$14,2,FALSE)</f>
        <v>#N/A</v>
      </c>
      <c r="C567" s="93"/>
      <c r="D567" s="101"/>
      <c r="E567" s="94"/>
      <c r="F567" s="95"/>
      <c r="G567" s="96"/>
      <c r="H567" s="96" t="b">
        <f t="shared" si="64"/>
        <v>0</v>
      </c>
      <c r="I567" s="247" t="e">
        <f t="shared" si="66"/>
        <v>#N/A</v>
      </c>
      <c r="J567" s="97">
        <v>0</v>
      </c>
      <c r="K567" s="98">
        <v>0</v>
      </c>
      <c r="L567" s="98"/>
      <c r="M567" s="98"/>
      <c r="N567" s="98">
        <f t="shared" si="67"/>
        <v>0</v>
      </c>
      <c r="O567" s="240" t="b">
        <f t="shared" si="62"/>
        <v>0</v>
      </c>
      <c r="P567" s="240" t="b">
        <f t="shared" si="63"/>
        <v>0</v>
      </c>
    </row>
    <row r="568" spans="1:16" x14ac:dyDescent="0.35">
      <c r="A568" s="92">
        <f t="shared" si="65"/>
        <v>0</v>
      </c>
      <c r="B568" s="92" t="e">
        <f>VLOOKUP(A568,[1]Hoja3!$C$3:$D$14,2,FALSE)</f>
        <v>#N/A</v>
      </c>
      <c r="C568" s="93"/>
      <c r="D568" s="101"/>
      <c r="E568" s="94"/>
      <c r="F568" s="95"/>
      <c r="G568" s="96"/>
      <c r="H568" s="96" t="b">
        <f t="shared" si="64"/>
        <v>0</v>
      </c>
      <c r="I568" s="247" t="e">
        <f t="shared" si="66"/>
        <v>#N/A</v>
      </c>
      <c r="J568" s="97">
        <v>0</v>
      </c>
      <c r="K568" s="98">
        <v>0</v>
      </c>
      <c r="L568" s="98"/>
      <c r="M568" s="98"/>
      <c r="N568" s="98">
        <f t="shared" si="67"/>
        <v>0</v>
      </c>
      <c r="O568" s="240" t="b">
        <f t="shared" si="62"/>
        <v>0</v>
      </c>
      <c r="P568" s="240" t="b">
        <f t="shared" si="63"/>
        <v>0</v>
      </c>
    </row>
    <row r="569" spans="1:16" x14ac:dyDescent="0.35">
      <c r="A569" s="92">
        <f t="shared" si="65"/>
        <v>0</v>
      </c>
      <c r="B569" s="92" t="e">
        <f>VLOOKUP(A569,[1]Hoja3!$C$3:$D$14,2,FALSE)</f>
        <v>#N/A</v>
      </c>
      <c r="C569" s="93"/>
      <c r="D569" s="101"/>
      <c r="E569" s="94"/>
      <c r="F569" s="95"/>
      <c r="G569" s="96"/>
      <c r="H569" s="96" t="b">
        <f t="shared" si="64"/>
        <v>0</v>
      </c>
      <c r="I569" s="247" t="e">
        <f t="shared" si="66"/>
        <v>#N/A</v>
      </c>
      <c r="J569" s="97">
        <v>0</v>
      </c>
      <c r="K569" s="98">
        <v>0</v>
      </c>
      <c r="L569" s="98"/>
      <c r="M569" s="98"/>
      <c r="N569" s="98">
        <f t="shared" si="67"/>
        <v>0</v>
      </c>
      <c r="O569" s="240" t="b">
        <f t="shared" si="62"/>
        <v>0</v>
      </c>
      <c r="P569" s="240" t="b">
        <f t="shared" si="63"/>
        <v>0</v>
      </c>
    </row>
    <row r="570" spans="1:16" x14ac:dyDescent="0.35">
      <c r="A570" s="92">
        <f t="shared" si="65"/>
        <v>0</v>
      </c>
      <c r="B570" s="92" t="e">
        <f>VLOOKUP(A570,[1]Hoja3!$C$3:$D$14,2,FALSE)</f>
        <v>#N/A</v>
      </c>
      <c r="C570" s="93"/>
      <c r="D570" s="101"/>
      <c r="E570" s="94"/>
      <c r="F570" s="95"/>
      <c r="G570" s="96"/>
      <c r="H570" s="96" t="b">
        <f t="shared" si="64"/>
        <v>0</v>
      </c>
      <c r="I570" s="247" t="e">
        <f t="shared" si="66"/>
        <v>#N/A</v>
      </c>
      <c r="J570" s="97">
        <v>0</v>
      </c>
      <c r="K570" s="98">
        <v>0</v>
      </c>
      <c r="L570" s="98"/>
      <c r="M570" s="98"/>
      <c r="N570" s="98">
        <f t="shared" si="67"/>
        <v>0</v>
      </c>
      <c r="O570" s="240" t="b">
        <f t="shared" si="62"/>
        <v>0</v>
      </c>
      <c r="P570" s="240" t="b">
        <f t="shared" si="63"/>
        <v>0</v>
      </c>
    </row>
    <row r="571" spans="1:16" x14ac:dyDescent="0.35">
      <c r="A571" s="92">
        <f t="shared" si="65"/>
        <v>0</v>
      </c>
      <c r="B571" s="92" t="e">
        <f>VLOOKUP(A571,[1]Hoja3!$C$3:$D$14,2,FALSE)</f>
        <v>#N/A</v>
      </c>
      <c r="C571" s="93"/>
      <c r="D571" s="101"/>
      <c r="E571" s="94"/>
      <c r="F571" s="95"/>
      <c r="G571" s="96"/>
      <c r="H571" s="96" t="b">
        <f t="shared" si="64"/>
        <v>0</v>
      </c>
      <c r="I571" s="247" t="e">
        <f t="shared" si="66"/>
        <v>#N/A</v>
      </c>
      <c r="J571" s="97">
        <v>0</v>
      </c>
      <c r="K571" s="98">
        <v>0</v>
      </c>
      <c r="L571" s="98"/>
      <c r="M571" s="98"/>
      <c r="N571" s="98">
        <f t="shared" si="67"/>
        <v>0</v>
      </c>
      <c r="O571" s="240" t="b">
        <f t="shared" si="62"/>
        <v>0</v>
      </c>
      <c r="P571" s="240" t="b">
        <f t="shared" si="63"/>
        <v>0</v>
      </c>
    </row>
    <row r="572" spans="1:16" x14ac:dyDescent="0.35">
      <c r="A572" s="92">
        <f t="shared" si="65"/>
        <v>0</v>
      </c>
      <c r="B572" s="92" t="e">
        <f>VLOOKUP(A572,[1]Hoja3!$C$3:$D$14,2,FALSE)</f>
        <v>#N/A</v>
      </c>
      <c r="C572" s="93"/>
      <c r="D572" s="101"/>
      <c r="E572" s="94"/>
      <c r="F572" s="95"/>
      <c r="G572" s="96"/>
      <c r="H572" s="96" t="b">
        <f t="shared" si="64"/>
        <v>0</v>
      </c>
      <c r="I572" s="247" t="e">
        <f t="shared" si="66"/>
        <v>#N/A</v>
      </c>
      <c r="J572" s="97">
        <v>0</v>
      </c>
      <c r="K572" s="98">
        <v>0</v>
      </c>
      <c r="L572" s="98"/>
      <c r="M572" s="98"/>
      <c r="N572" s="98">
        <f t="shared" si="67"/>
        <v>0</v>
      </c>
      <c r="O572" s="240" t="b">
        <f t="shared" si="62"/>
        <v>0</v>
      </c>
      <c r="P572" s="240" t="b">
        <f t="shared" si="63"/>
        <v>0</v>
      </c>
    </row>
    <row r="573" spans="1:16" x14ac:dyDescent="0.35">
      <c r="A573" s="92">
        <f t="shared" si="65"/>
        <v>0</v>
      </c>
      <c r="B573" s="92" t="e">
        <f>VLOOKUP(A573,[1]Hoja3!$C$3:$D$14,2,FALSE)</f>
        <v>#N/A</v>
      </c>
      <c r="C573" s="93"/>
      <c r="D573" s="101"/>
      <c r="E573" s="94"/>
      <c r="F573" s="95"/>
      <c r="G573" s="96"/>
      <c r="H573" s="96" t="b">
        <f t="shared" si="64"/>
        <v>0</v>
      </c>
      <c r="I573" s="247" t="e">
        <f t="shared" si="66"/>
        <v>#N/A</v>
      </c>
      <c r="J573" s="97">
        <v>0</v>
      </c>
      <c r="K573" s="98">
        <v>0</v>
      </c>
      <c r="L573" s="98"/>
      <c r="M573" s="98"/>
      <c r="N573" s="98">
        <f t="shared" si="67"/>
        <v>0</v>
      </c>
      <c r="O573" s="240" t="b">
        <f t="shared" ref="O573:O600" si="68">IF(G573="EFREN ABUNDEZ REYNA","37295",IF(G573="LUIS ALEJANDRO HERNANDEZ REYNA","HERL850705AL2",IF(G573="ANA BEATRIZ ESTRADA ARGOTE","37530",IF(G573="SERGIO ROMERO DURAN","RODS620908QAA",IF(G573="MARIELA OLMOS GAONA","37675",IF(G573="LUCIANO MIJAIL ORTEGA MUÑOZ","37297",IF(G573="GUSTAVO HUMBERTO VELAZCO GALVAN","VEGG9211019T1",IF(G573="JESUS AGUSTIN VELAZQUEZ FLORES","VEFJ900303M65",IF(G573="KARLA ESTEFANIA SALAZAR FLORES","SAFK9807277N1",IF(G573="ANGEL TERRAZAS MONROY","TEMA7105035N4"))))))))))</f>
        <v>0</v>
      </c>
      <c r="P573" s="240" t="b">
        <f t="shared" ref="P573:P600" si="69">IF(G573="EFREN ABUNDEZ REYNA","PFAEP",IF(G573="LUIS ALEJANDRO HERNANDEZ REYNA","HERL850705AL2",IF(G573="ANA BEATRIZ ESTRADA ARGOTE","RIF",IF(G573="SERGIO ROMERO DURAN","RODS620908QAA",IF(G573="MARIELA OLMOS GAONA","RESICO",IF(G573="LUCIANO MIJAIL ORTEGA MUÑOZ","RIF",IF(G573="GUSTAVO HUMBERTO VELAZCO GALVAN","VEGG9211019T1",IF(G573="JESUS AGUSTIN VELAZQUEZ FLORES","VEFJ900303M65",IF(G573="KARLA ESTEFANIA SALAZAR FLORES","SAFK9807277N1",IF(G573="ANGEL TERRAZAS MONROY","TEMA7105035N4"))))))))))</f>
        <v>0</v>
      </c>
    </row>
    <row r="574" spans="1:16" x14ac:dyDescent="0.35">
      <c r="A574" s="92">
        <f t="shared" si="65"/>
        <v>0</v>
      </c>
      <c r="B574" s="92" t="e">
        <f>VLOOKUP(A574,[1]Hoja3!$C$3:$D$14,2,FALSE)</f>
        <v>#N/A</v>
      </c>
      <c r="C574" s="93"/>
      <c r="D574" s="101"/>
      <c r="E574" s="94"/>
      <c r="F574" s="95"/>
      <c r="G574" s="96"/>
      <c r="H574" s="96" t="b">
        <f t="shared" si="64"/>
        <v>0</v>
      </c>
      <c r="I574" s="247" t="e">
        <f t="shared" si="66"/>
        <v>#N/A</v>
      </c>
      <c r="J574" s="97">
        <v>0</v>
      </c>
      <c r="K574" s="98">
        <v>0</v>
      </c>
      <c r="L574" s="98"/>
      <c r="M574" s="98"/>
      <c r="N574" s="98">
        <f t="shared" si="67"/>
        <v>0</v>
      </c>
      <c r="O574" s="240" t="b">
        <f t="shared" si="68"/>
        <v>0</v>
      </c>
      <c r="P574" s="240" t="b">
        <f t="shared" si="69"/>
        <v>0</v>
      </c>
    </row>
    <row r="575" spans="1:16" x14ac:dyDescent="0.35">
      <c r="A575" s="92">
        <f t="shared" si="65"/>
        <v>0</v>
      </c>
      <c r="B575" s="92" t="e">
        <f>VLOOKUP(A575,[1]Hoja3!$C$3:$D$14,2,FALSE)</f>
        <v>#N/A</v>
      </c>
      <c r="C575" s="93"/>
      <c r="D575" s="101"/>
      <c r="E575" s="94"/>
      <c r="F575" s="95"/>
      <c r="G575" s="96"/>
      <c r="H575" s="96" t="b">
        <f t="shared" si="64"/>
        <v>0</v>
      </c>
      <c r="I575" s="247" t="e">
        <f t="shared" si="66"/>
        <v>#N/A</v>
      </c>
      <c r="J575" s="97">
        <v>0</v>
      </c>
      <c r="K575" s="98">
        <v>0</v>
      </c>
      <c r="L575" s="98"/>
      <c r="M575" s="98"/>
      <c r="N575" s="98">
        <f t="shared" si="67"/>
        <v>0</v>
      </c>
      <c r="O575" s="240" t="b">
        <f t="shared" si="68"/>
        <v>0</v>
      </c>
      <c r="P575" s="240" t="b">
        <f t="shared" si="69"/>
        <v>0</v>
      </c>
    </row>
    <row r="576" spans="1:16" x14ac:dyDescent="0.35">
      <c r="A576" s="92">
        <f t="shared" si="65"/>
        <v>0</v>
      </c>
      <c r="B576" s="92" t="e">
        <f>VLOOKUP(A576,[1]Hoja3!$C$3:$D$14,2,FALSE)</f>
        <v>#N/A</v>
      </c>
      <c r="C576" s="93"/>
      <c r="D576" s="101"/>
      <c r="E576" s="94"/>
      <c r="F576" s="95"/>
      <c r="G576" s="96"/>
      <c r="H576" s="96" t="b">
        <f t="shared" si="64"/>
        <v>0</v>
      </c>
      <c r="I576" s="247" t="e">
        <f t="shared" si="66"/>
        <v>#N/A</v>
      </c>
      <c r="J576" s="97">
        <v>0</v>
      </c>
      <c r="K576" s="98">
        <v>0</v>
      </c>
      <c r="L576" s="98"/>
      <c r="M576" s="98"/>
      <c r="N576" s="98">
        <f t="shared" si="67"/>
        <v>0</v>
      </c>
      <c r="O576" s="240" t="b">
        <f t="shared" si="68"/>
        <v>0</v>
      </c>
      <c r="P576" s="240" t="b">
        <f t="shared" si="69"/>
        <v>0</v>
      </c>
    </row>
    <row r="577" spans="1:16" x14ac:dyDescent="0.35">
      <c r="A577" s="92">
        <f t="shared" si="65"/>
        <v>0</v>
      </c>
      <c r="B577" s="92" t="e">
        <f>VLOOKUP(A577,[1]Hoja3!$C$3:$D$14,2,FALSE)</f>
        <v>#N/A</v>
      </c>
      <c r="C577" s="93"/>
      <c r="D577" s="101"/>
      <c r="E577" s="94"/>
      <c r="F577" s="95"/>
      <c r="G577" s="96"/>
      <c r="H577" s="96" t="b">
        <f t="shared" si="64"/>
        <v>0</v>
      </c>
      <c r="I577" s="247" t="e">
        <f t="shared" si="66"/>
        <v>#N/A</v>
      </c>
      <c r="J577" s="97">
        <v>0</v>
      </c>
      <c r="K577" s="98">
        <v>0</v>
      </c>
      <c r="L577" s="98"/>
      <c r="M577" s="98"/>
      <c r="N577" s="98">
        <f t="shared" si="67"/>
        <v>0</v>
      </c>
      <c r="O577" s="240" t="b">
        <f t="shared" si="68"/>
        <v>0</v>
      </c>
      <c r="P577" s="240" t="b">
        <f t="shared" si="69"/>
        <v>0</v>
      </c>
    </row>
    <row r="578" spans="1:16" x14ac:dyDescent="0.35">
      <c r="A578" s="92">
        <f t="shared" si="65"/>
        <v>0</v>
      </c>
      <c r="B578" s="92" t="e">
        <f>VLOOKUP(A578,[1]Hoja3!$C$3:$D$14,2,FALSE)</f>
        <v>#N/A</v>
      </c>
      <c r="C578" s="93"/>
      <c r="D578" s="101"/>
      <c r="E578" s="94"/>
      <c r="F578" s="95"/>
      <c r="G578" s="96"/>
      <c r="H578" s="96" t="b">
        <f t="shared" si="64"/>
        <v>0</v>
      </c>
      <c r="I578" s="247" t="e">
        <f t="shared" si="66"/>
        <v>#N/A</v>
      </c>
      <c r="J578" s="97">
        <v>0</v>
      </c>
      <c r="K578" s="98">
        <v>0</v>
      </c>
      <c r="L578" s="98"/>
      <c r="M578" s="98"/>
      <c r="N578" s="98">
        <f t="shared" si="67"/>
        <v>0</v>
      </c>
      <c r="O578" s="240" t="b">
        <f t="shared" si="68"/>
        <v>0</v>
      </c>
      <c r="P578" s="240" t="b">
        <f t="shared" si="69"/>
        <v>0</v>
      </c>
    </row>
    <row r="579" spans="1:16" x14ac:dyDescent="0.35">
      <c r="A579" s="92">
        <f t="shared" si="65"/>
        <v>0</v>
      </c>
      <c r="B579" s="92" t="e">
        <f>VLOOKUP(A579,[1]Hoja3!$C$3:$D$14,2,FALSE)</f>
        <v>#N/A</v>
      </c>
      <c r="C579" s="93"/>
      <c r="D579" s="101"/>
      <c r="E579" s="94"/>
      <c r="F579" s="95"/>
      <c r="G579" s="96"/>
      <c r="H579" s="96" t="b">
        <f t="shared" si="64"/>
        <v>0</v>
      </c>
      <c r="I579" s="247" t="e">
        <f t="shared" si="66"/>
        <v>#N/A</v>
      </c>
      <c r="J579" s="97">
        <v>0</v>
      </c>
      <c r="K579" s="98">
        <v>0</v>
      </c>
      <c r="L579" s="98"/>
      <c r="M579" s="98"/>
      <c r="N579" s="98">
        <f t="shared" si="67"/>
        <v>0</v>
      </c>
      <c r="O579" s="240" t="b">
        <f t="shared" si="68"/>
        <v>0</v>
      </c>
      <c r="P579" s="240" t="b">
        <f t="shared" si="69"/>
        <v>0</v>
      </c>
    </row>
    <row r="580" spans="1:16" x14ac:dyDescent="0.35">
      <c r="A580" s="92">
        <f t="shared" si="65"/>
        <v>0</v>
      </c>
      <c r="B580" s="92" t="e">
        <f>VLOOKUP(A580,[1]Hoja3!$C$3:$D$14,2,FALSE)</f>
        <v>#N/A</v>
      </c>
      <c r="C580" s="93"/>
      <c r="D580" s="101"/>
      <c r="E580" s="94"/>
      <c r="F580" s="95"/>
      <c r="G580" s="96"/>
      <c r="H580" s="96" t="b">
        <f t="shared" si="64"/>
        <v>0</v>
      </c>
      <c r="I580" s="247" t="e">
        <f t="shared" si="66"/>
        <v>#N/A</v>
      </c>
      <c r="J580" s="97">
        <v>0</v>
      </c>
      <c r="K580" s="98">
        <v>0</v>
      </c>
      <c r="L580" s="98"/>
      <c r="M580" s="98"/>
      <c r="N580" s="98">
        <f t="shared" si="67"/>
        <v>0</v>
      </c>
      <c r="O580" s="240" t="b">
        <f t="shared" si="68"/>
        <v>0</v>
      </c>
      <c r="P580" s="240" t="b">
        <f t="shared" si="69"/>
        <v>0</v>
      </c>
    </row>
    <row r="581" spans="1:16" x14ac:dyDescent="0.35">
      <c r="A581" s="92">
        <f t="shared" si="65"/>
        <v>0</v>
      </c>
      <c r="B581" s="92" t="e">
        <f>VLOOKUP(A581,[1]Hoja3!$C$3:$D$14,2,FALSE)</f>
        <v>#N/A</v>
      </c>
      <c r="C581" s="93"/>
      <c r="D581" s="101"/>
      <c r="E581" s="94"/>
      <c r="F581" s="95"/>
      <c r="G581" s="96"/>
      <c r="H581" s="96" t="b">
        <f t="shared" si="64"/>
        <v>0</v>
      </c>
      <c r="I581" s="247" t="e">
        <f t="shared" si="66"/>
        <v>#N/A</v>
      </c>
      <c r="J581" s="97">
        <v>0</v>
      </c>
      <c r="K581" s="98">
        <v>0</v>
      </c>
      <c r="L581" s="98"/>
      <c r="M581" s="98"/>
      <c r="N581" s="98">
        <f t="shared" si="67"/>
        <v>0</v>
      </c>
      <c r="O581" s="240" t="b">
        <f t="shared" si="68"/>
        <v>0</v>
      </c>
      <c r="P581" s="240" t="b">
        <f t="shared" si="69"/>
        <v>0</v>
      </c>
    </row>
    <row r="582" spans="1:16" x14ac:dyDescent="0.35">
      <c r="A582" s="92">
        <f t="shared" si="65"/>
        <v>0</v>
      </c>
      <c r="B582" s="92" t="e">
        <f>VLOOKUP(A582,[1]Hoja3!$C$3:$D$14,2,FALSE)</f>
        <v>#N/A</v>
      </c>
      <c r="C582" s="93"/>
      <c r="D582" s="101"/>
      <c r="E582" s="94"/>
      <c r="F582" s="95"/>
      <c r="G582" s="96"/>
      <c r="H582" s="96" t="b">
        <f t="shared" si="64"/>
        <v>0</v>
      </c>
      <c r="I582" s="247" t="e">
        <f t="shared" si="66"/>
        <v>#N/A</v>
      </c>
      <c r="J582" s="97">
        <v>0</v>
      </c>
      <c r="K582" s="98">
        <v>0</v>
      </c>
      <c r="L582" s="98"/>
      <c r="M582" s="98"/>
      <c r="N582" s="98">
        <f t="shared" si="67"/>
        <v>0</v>
      </c>
      <c r="O582" s="240" t="b">
        <f t="shared" si="68"/>
        <v>0</v>
      </c>
      <c r="P582" s="240" t="b">
        <f t="shared" si="69"/>
        <v>0</v>
      </c>
    </row>
    <row r="583" spans="1:16" x14ac:dyDescent="0.35">
      <c r="A583" s="92">
        <f t="shared" si="65"/>
        <v>0</v>
      </c>
      <c r="B583" s="92" t="e">
        <f>VLOOKUP(A583,[1]Hoja3!$C$3:$D$14,2,FALSE)</f>
        <v>#N/A</v>
      </c>
      <c r="C583" s="93"/>
      <c r="D583" s="101"/>
      <c r="E583" s="94"/>
      <c r="F583" s="95"/>
      <c r="G583" s="96"/>
      <c r="H583" s="96" t="b">
        <f t="shared" si="64"/>
        <v>0</v>
      </c>
      <c r="I583" s="247" t="e">
        <f t="shared" si="66"/>
        <v>#N/A</v>
      </c>
      <c r="J583" s="97">
        <v>0</v>
      </c>
      <c r="K583" s="98">
        <v>0</v>
      </c>
      <c r="L583" s="98"/>
      <c r="M583" s="98"/>
      <c r="N583" s="98">
        <f t="shared" si="67"/>
        <v>0</v>
      </c>
      <c r="O583" s="240" t="b">
        <f t="shared" si="68"/>
        <v>0</v>
      </c>
      <c r="P583" s="240" t="b">
        <f t="shared" si="69"/>
        <v>0</v>
      </c>
    </row>
    <row r="584" spans="1:16" x14ac:dyDescent="0.35">
      <c r="A584" s="92">
        <f t="shared" si="65"/>
        <v>0</v>
      </c>
      <c r="B584" s="92" t="e">
        <f>VLOOKUP(A584,[1]Hoja3!$C$3:$D$14,2,FALSE)</f>
        <v>#N/A</v>
      </c>
      <c r="C584" s="93"/>
      <c r="D584" s="101"/>
      <c r="E584" s="94"/>
      <c r="F584" s="95"/>
      <c r="G584" s="96"/>
      <c r="H584" s="96" t="b">
        <f t="shared" si="64"/>
        <v>0</v>
      </c>
      <c r="I584" s="247" t="e">
        <f t="shared" si="66"/>
        <v>#N/A</v>
      </c>
      <c r="J584" s="97">
        <v>0</v>
      </c>
      <c r="K584" s="98">
        <v>0</v>
      </c>
      <c r="L584" s="98"/>
      <c r="M584" s="98"/>
      <c r="N584" s="98">
        <f t="shared" si="67"/>
        <v>0</v>
      </c>
      <c r="O584" s="240" t="b">
        <f t="shared" si="68"/>
        <v>0</v>
      </c>
      <c r="P584" s="240" t="b">
        <f t="shared" si="69"/>
        <v>0</v>
      </c>
    </row>
    <row r="585" spans="1:16" x14ac:dyDescent="0.35">
      <c r="A585" s="92">
        <f t="shared" si="65"/>
        <v>0</v>
      </c>
      <c r="B585" s="92" t="e">
        <f>VLOOKUP(A585,[1]Hoja3!$C$3:$D$14,2,FALSE)</f>
        <v>#N/A</v>
      </c>
      <c r="C585" s="93"/>
      <c r="D585" s="101"/>
      <c r="E585" s="94"/>
      <c r="F585" s="95"/>
      <c r="G585" s="96"/>
      <c r="H585" s="96" t="b">
        <f t="shared" si="64"/>
        <v>0</v>
      </c>
      <c r="I585" s="247" t="e">
        <f t="shared" si="66"/>
        <v>#N/A</v>
      </c>
      <c r="J585" s="97">
        <v>0</v>
      </c>
      <c r="K585" s="98">
        <v>0</v>
      </c>
      <c r="L585" s="98"/>
      <c r="M585" s="98"/>
      <c r="N585" s="98">
        <f t="shared" si="67"/>
        <v>0</v>
      </c>
      <c r="O585" s="240" t="b">
        <f t="shared" si="68"/>
        <v>0</v>
      </c>
      <c r="P585" s="240" t="b">
        <f t="shared" si="69"/>
        <v>0</v>
      </c>
    </row>
    <row r="586" spans="1:16" x14ac:dyDescent="0.35">
      <c r="A586" s="92">
        <f t="shared" si="65"/>
        <v>0</v>
      </c>
      <c r="B586" s="92" t="e">
        <f>VLOOKUP(A586,[1]Hoja3!$C$3:$D$14,2,FALSE)</f>
        <v>#N/A</v>
      </c>
      <c r="C586" s="93"/>
      <c r="D586" s="101"/>
      <c r="E586" s="94"/>
      <c r="F586" s="95"/>
      <c r="G586" s="96"/>
      <c r="H586" s="96" t="b">
        <f t="shared" si="64"/>
        <v>0</v>
      </c>
      <c r="I586" s="247" t="e">
        <f t="shared" si="66"/>
        <v>#N/A</v>
      </c>
      <c r="J586" s="97">
        <v>0</v>
      </c>
      <c r="K586" s="98">
        <v>0</v>
      </c>
      <c r="L586" s="98"/>
      <c r="M586" s="98"/>
      <c r="N586" s="98">
        <f t="shared" si="67"/>
        <v>0</v>
      </c>
      <c r="O586" s="240" t="b">
        <f t="shared" si="68"/>
        <v>0</v>
      </c>
      <c r="P586" s="240" t="b">
        <f t="shared" si="69"/>
        <v>0</v>
      </c>
    </row>
    <row r="587" spans="1:16" x14ac:dyDescent="0.35">
      <c r="A587" s="92">
        <f t="shared" si="65"/>
        <v>0</v>
      </c>
      <c r="B587" s="92" t="e">
        <f>VLOOKUP(A587,[1]Hoja3!$C$3:$D$14,2,FALSE)</f>
        <v>#N/A</v>
      </c>
      <c r="C587" s="93"/>
      <c r="D587" s="101"/>
      <c r="E587" s="94"/>
      <c r="F587" s="95"/>
      <c r="G587" s="96"/>
      <c r="H587" s="96" t="b">
        <f t="shared" si="64"/>
        <v>0</v>
      </c>
      <c r="I587" s="247" t="e">
        <f t="shared" si="66"/>
        <v>#N/A</v>
      </c>
      <c r="J587" s="97">
        <v>0</v>
      </c>
      <c r="K587" s="98">
        <v>0</v>
      </c>
      <c r="L587" s="98"/>
      <c r="M587" s="98"/>
      <c r="N587" s="98">
        <f t="shared" si="67"/>
        <v>0</v>
      </c>
      <c r="O587" s="240" t="b">
        <f t="shared" si="68"/>
        <v>0</v>
      </c>
      <c r="P587" s="240" t="b">
        <f t="shared" si="69"/>
        <v>0</v>
      </c>
    </row>
    <row r="588" spans="1:16" x14ac:dyDescent="0.35">
      <c r="A588" s="92">
        <f t="shared" si="65"/>
        <v>0</v>
      </c>
      <c r="B588" s="92" t="e">
        <f>VLOOKUP(A588,[1]Hoja3!$C$3:$D$14,2,FALSE)</f>
        <v>#N/A</v>
      </c>
      <c r="C588" s="93"/>
      <c r="D588" s="101"/>
      <c r="E588" s="94"/>
      <c r="F588" s="95"/>
      <c r="G588" s="96"/>
      <c r="H588" s="96" t="b">
        <f t="shared" si="64"/>
        <v>0</v>
      </c>
      <c r="I588" s="247" t="e">
        <f t="shared" si="66"/>
        <v>#N/A</v>
      </c>
      <c r="J588" s="97">
        <v>0</v>
      </c>
      <c r="K588" s="98">
        <v>0</v>
      </c>
      <c r="L588" s="98"/>
      <c r="M588" s="98"/>
      <c r="N588" s="98">
        <f t="shared" si="67"/>
        <v>0</v>
      </c>
      <c r="O588" s="240" t="b">
        <f t="shared" si="68"/>
        <v>0</v>
      </c>
      <c r="P588" s="240" t="b">
        <f t="shared" si="69"/>
        <v>0</v>
      </c>
    </row>
    <row r="589" spans="1:16" x14ac:dyDescent="0.35">
      <c r="A589" s="92">
        <f t="shared" si="65"/>
        <v>0</v>
      </c>
      <c r="B589" s="92" t="e">
        <f>VLOOKUP(A589,[1]Hoja3!$C$3:$D$14,2,FALSE)</f>
        <v>#N/A</v>
      </c>
      <c r="C589" s="93"/>
      <c r="D589" s="101"/>
      <c r="E589" s="94"/>
      <c r="F589" s="95"/>
      <c r="G589" s="96"/>
      <c r="H589" s="96" t="b">
        <f t="shared" si="64"/>
        <v>0</v>
      </c>
      <c r="I589" s="247" t="e">
        <f t="shared" si="66"/>
        <v>#N/A</v>
      </c>
      <c r="J589" s="97">
        <v>0</v>
      </c>
      <c r="K589" s="98">
        <v>0</v>
      </c>
      <c r="L589" s="98"/>
      <c r="M589" s="98"/>
      <c r="N589" s="98">
        <f t="shared" si="67"/>
        <v>0</v>
      </c>
      <c r="O589" s="240" t="b">
        <f t="shared" si="68"/>
        <v>0</v>
      </c>
      <c r="P589" s="240" t="b">
        <f t="shared" si="69"/>
        <v>0</v>
      </c>
    </row>
    <row r="590" spans="1:16" x14ac:dyDescent="0.35">
      <c r="A590" s="92">
        <f t="shared" si="65"/>
        <v>0</v>
      </c>
      <c r="B590" s="92" t="e">
        <f>VLOOKUP(A590,[1]Hoja3!$C$3:$D$14,2,FALSE)</f>
        <v>#N/A</v>
      </c>
      <c r="C590" s="93"/>
      <c r="D590" s="101"/>
      <c r="E590" s="94"/>
      <c r="F590" s="95"/>
      <c r="G590" s="96"/>
      <c r="H590" s="96" t="b">
        <f t="shared" si="64"/>
        <v>0</v>
      </c>
      <c r="I590" s="247" t="e">
        <f t="shared" si="66"/>
        <v>#N/A</v>
      </c>
      <c r="J590" s="97">
        <v>0</v>
      </c>
      <c r="K590" s="98">
        <v>0</v>
      </c>
      <c r="L590" s="98"/>
      <c r="M590" s="98"/>
      <c r="N590" s="98">
        <f t="shared" si="67"/>
        <v>0</v>
      </c>
      <c r="O590" s="240" t="b">
        <f t="shared" si="68"/>
        <v>0</v>
      </c>
      <c r="P590" s="240" t="b">
        <f t="shared" si="69"/>
        <v>0</v>
      </c>
    </row>
    <row r="591" spans="1:16" x14ac:dyDescent="0.35">
      <c r="A591" s="92">
        <f t="shared" si="65"/>
        <v>0</v>
      </c>
      <c r="B591" s="92" t="e">
        <f>VLOOKUP(A591,[1]Hoja3!$C$3:$D$14,2,FALSE)</f>
        <v>#N/A</v>
      </c>
      <c r="C591" s="93"/>
      <c r="D591" s="101"/>
      <c r="E591" s="94"/>
      <c r="F591" s="95"/>
      <c r="G591" s="96"/>
      <c r="H591" s="96" t="b">
        <f t="shared" si="64"/>
        <v>0</v>
      </c>
      <c r="I591" s="247" t="e">
        <f t="shared" si="66"/>
        <v>#N/A</v>
      </c>
      <c r="J591" s="97">
        <v>0</v>
      </c>
      <c r="K591" s="98">
        <v>0</v>
      </c>
      <c r="L591" s="98"/>
      <c r="M591" s="98"/>
      <c r="N591" s="98">
        <f t="shared" si="67"/>
        <v>0</v>
      </c>
      <c r="O591" s="240" t="b">
        <f t="shared" si="68"/>
        <v>0</v>
      </c>
      <c r="P591" s="240" t="b">
        <f t="shared" si="69"/>
        <v>0</v>
      </c>
    </row>
    <row r="592" spans="1:16" x14ac:dyDescent="0.35">
      <c r="A592" s="92">
        <f t="shared" si="65"/>
        <v>0</v>
      </c>
      <c r="B592" s="92" t="e">
        <f>VLOOKUP(A592,[1]Hoja3!$C$3:$D$14,2,FALSE)</f>
        <v>#N/A</v>
      </c>
      <c r="C592" s="93"/>
      <c r="D592" s="101"/>
      <c r="E592" s="94"/>
      <c r="F592" s="95"/>
      <c r="G592" s="96"/>
      <c r="H592" s="96" t="b">
        <f t="shared" ref="H592:H600" si="70">IF(G592="EFREN ABUNDEZ REYNA","AURE7306187IA",IF(G592="LUIS ALEJANDRO HERNANDEZ REYNA","HERL850705AL2",IF(G592="ANA BEATRIZ ESTRADA ARGOTE","EAAA860701UP2",IF(G592="SERGIO ROMERO DURAN","RODS620908QAA",IF(G592="MARIELA OLMOS GAONA","OOGM010703NX1",IF(G592="LUCIANO MIJAIL ORTEGA MUÑOZ","OEML881105IK2",IF(G592="GUSTAVO HUMBERTO VELAZCO GALVAN","VEGG9211019T1",IF(G592="JESUS AGUSTIN VELAZQUEZ FLORES","VEFJ900303M65",IF(G592="KARLA ESTEFANIA SALAZAR FLORES","SAFK9807277N1",IF(G592="ANGEL TERRAZAS MONROY","TEMA7105035N4"))))))))))</f>
        <v>0</v>
      </c>
      <c r="I592" s="247" t="e">
        <f t="shared" si="66"/>
        <v>#N/A</v>
      </c>
      <c r="J592" s="97">
        <v>0</v>
      </c>
      <c r="K592" s="98">
        <v>0</v>
      </c>
      <c r="L592" s="98"/>
      <c r="M592" s="98"/>
      <c r="N592" s="98">
        <f t="shared" si="67"/>
        <v>0</v>
      </c>
      <c r="O592" s="240" t="b">
        <f t="shared" si="68"/>
        <v>0</v>
      </c>
      <c r="P592" s="240" t="b">
        <f t="shared" si="69"/>
        <v>0</v>
      </c>
    </row>
    <row r="593" spans="1:16" x14ac:dyDescent="0.35">
      <c r="A593" s="92">
        <f t="shared" si="65"/>
        <v>0</v>
      </c>
      <c r="B593" s="92" t="e">
        <f>VLOOKUP(A593,[1]Hoja3!$C$3:$D$14,2,FALSE)</f>
        <v>#N/A</v>
      </c>
      <c r="C593" s="93"/>
      <c r="D593" s="101"/>
      <c r="E593" s="94"/>
      <c r="F593" s="95"/>
      <c r="G593" s="96"/>
      <c r="H593" s="96" t="b">
        <f t="shared" si="70"/>
        <v>0</v>
      </c>
      <c r="I593" s="247" t="e">
        <f t="shared" si="66"/>
        <v>#N/A</v>
      </c>
      <c r="J593" s="97">
        <v>0</v>
      </c>
      <c r="K593" s="98">
        <v>0</v>
      </c>
      <c r="L593" s="98"/>
      <c r="M593" s="98"/>
      <c r="N593" s="98">
        <f t="shared" si="67"/>
        <v>0</v>
      </c>
      <c r="O593" s="240" t="b">
        <f t="shared" si="68"/>
        <v>0</v>
      </c>
      <c r="P593" s="240" t="b">
        <f t="shared" si="69"/>
        <v>0</v>
      </c>
    </row>
    <row r="594" spans="1:16" x14ac:dyDescent="0.35">
      <c r="A594" s="92">
        <f t="shared" si="65"/>
        <v>0</v>
      </c>
      <c r="B594" s="92" t="e">
        <f>VLOOKUP(A594,[1]Hoja3!$C$3:$D$14,2,FALSE)</f>
        <v>#N/A</v>
      </c>
      <c r="C594" s="93"/>
      <c r="D594" s="101"/>
      <c r="E594" s="94"/>
      <c r="F594" s="95"/>
      <c r="G594" s="96"/>
      <c r="H594" s="96" t="b">
        <f t="shared" si="70"/>
        <v>0</v>
      </c>
      <c r="I594" s="247" t="e">
        <f t="shared" si="66"/>
        <v>#N/A</v>
      </c>
      <c r="J594" s="97">
        <v>0</v>
      </c>
      <c r="K594" s="98">
        <v>0</v>
      </c>
      <c r="L594" s="98"/>
      <c r="M594" s="98"/>
      <c r="N594" s="98">
        <f t="shared" si="67"/>
        <v>0</v>
      </c>
      <c r="O594" s="240" t="b">
        <f t="shared" si="68"/>
        <v>0</v>
      </c>
      <c r="P594" s="240" t="b">
        <f t="shared" si="69"/>
        <v>0</v>
      </c>
    </row>
    <row r="595" spans="1:16" x14ac:dyDescent="0.35">
      <c r="A595" s="92">
        <f t="shared" si="65"/>
        <v>0</v>
      </c>
      <c r="B595" s="92" t="e">
        <f>VLOOKUP(A595,[1]Hoja3!$C$3:$D$14,2,FALSE)</f>
        <v>#N/A</v>
      </c>
      <c r="C595" s="93"/>
      <c r="D595" s="101"/>
      <c r="E595" s="94"/>
      <c r="F595" s="95"/>
      <c r="G595" s="96"/>
      <c r="H595" s="96" t="b">
        <f t="shared" si="70"/>
        <v>0</v>
      </c>
      <c r="I595" s="247" t="e">
        <f t="shared" si="66"/>
        <v>#N/A</v>
      </c>
      <c r="J595" s="97">
        <v>0</v>
      </c>
      <c r="K595" s="98">
        <v>0</v>
      </c>
      <c r="L595" s="98"/>
      <c r="M595" s="98"/>
      <c r="N595" s="98">
        <f t="shared" si="67"/>
        <v>0</v>
      </c>
      <c r="O595" s="240" t="b">
        <f t="shared" si="68"/>
        <v>0</v>
      </c>
      <c r="P595" s="240" t="b">
        <f t="shared" si="69"/>
        <v>0</v>
      </c>
    </row>
    <row r="596" spans="1:16" x14ac:dyDescent="0.35">
      <c r="A596" s="92">
        <f t="shared" si="65"/>
        <v>0</v>
      </c>
      <c r="B596" s="92" t="e">
        <f>VLOOKUP(A596,[1]Hoja3!$C$3:$D$14,2,FALSE)</f>
        <v>#N/A</v>
      </c>
      <c r="C596" s="93"/>
      <c r="D596" s="101"/>
      <c r="E596" s="94"/>
      <c r="F596" s="95"/>
      <c r="G596" s="96"/>
      <c r="H596" s="96" t="b">
        <f t="shared" si="70"/>
        <v>0</v>
      </c>
      <c r="I596" s="247" t="e">
        <f t="shared" si="66"/>
        <v>#N/A</v>
      </c>
      <c r="J596" s="97">
        <v>0</v>
      </c>
      <c r="K596" s="98">
        <v>0</v>
      </c>
      <c r="L596" s="98"/>
      <c r="M596" s="98"/>
      <c r="N596" s="98">
        <f t="shared" si="67"/>
        <v>0</v>
      </c>
      <c r="O596" s="240" t="b">
        <f t="shared" si="68"/>
        <v>0</v>
      </c>
      <c r="P596" s="240" t="b">
        <f t="shared" si="69"/>
        <v>0</v>
      </c>
    </row>
    <row r="597" spans="1:16" x14ac:dyDescent="0.35">
      <c r="A597" s="92">
        <f t="shared" si="65"/>
        <v>0</v>
      </c>
      <c r="B597" s="92" t="e">
        <f>VLOOKUP(A597,[1]Hoja3!$C$3:$D$14,2,FALSE)</f>
        <v>#N/A</v>
      </c>
      <c r="C597" s="93"/>
      <c r="D597" s="101"/>
      <c r="E597" s="94"/>
      <c r="F597" s="95"/>
      <c r="G597" s="96"/>
      <c r="H597" s="96" t="b">
        <f t="shared" si="70"/>
        <v>0</v>
      </c>
      <c r="I597" s="247" t="e">
        <f t="shared" si="66"/>
        <v>#N/A</v>
      </c>
      <c r="J597" s="97">
        <v>0</v>
      </c>
      <c r="K597" s="98">
        <v>0</v>
      </c>
      <c r="L597" s="98"/>
      <c r="M597" s="98"/>
      <c r="N597" s="98">
        <f t="shared" si="67"/>
        <v>0</v>
      </c>
      <c r="O597" s="240" t="b">
        <f t="shared" si="68"/>
        <v>0</v>
      </c>
      <c r="P597" s="240" t="b">
        <f t="shared" si="69"/>
        <v>0</v>
      </c>
    </row>
    <row r="598" spans="1:16" x14ac:dyDescent="0.35">
      <c r="A598" s="92">
        <f t="shared" si="65"/>
        <v>0</v>
      </c>
      <c r="B598" s="92" t="e">
        <f>VLOOKUP(A598,[1]Hoja3!$C$3:$D$14,2,FALSE)</f>
        <v>#N/A</v>
      </c>
      <c r="C598" s="93"/>
      <c r="D598" s="101"/>
      <c r="E598" s="94"/>
      <c r="F598" s="95"/>
      <c r="G598" s="96"/>
      <c r="H598" s="96" t="b">
        <f t="shared" si="70"/>
        <v>0</v>
      </c>
      <c r="I598" s="247" t="e">
        <f t="shared" si="66"/>
        <v>#N/A</v>
      </c>
      <c r="J598" s="97">
        <v>0</v>
      </c>
      <c r="K598" s="98">
        <v>0</v>
      </c>
      <c r="L598" s="98"/>
      <c r="M598" s="98"/>
      <c r="N598" s="98">
        <f t="shared" si="67"/>
        <v>0</v>
      </c>
      <c r="O598" s="240" t="b">
        <f t="shared" si="68"/>
        <v>0</v>
      </c>
      <c r="P598" s="240" t="b">
        <f t="shared" si="69"/>
        <v>0</v>
      </c>
    </row>
    <row r="599" spans="1:16" x14ac:dyDescent="0.35">
      <c r="A599" s="92">
        <f t="shared" si="65"/>
        <v>0</v>
      </c>
      <c r="B599" s="92" t="e">
        <f>VLOOKUP(A599,[1]Hoja3!$C$3:$D$14,2,FALSE)</f>
        <v>#N/A</v>
      </c>
      <c r="C599" s="93"/>
      <c r="D599" s="101"/>
      <c r="E599" s="94"/>
      <c r="F599" s="95"/>
      <c r="G599" s="96"/>
      <c r="H599" s="96" t="b">
        <f t="shared" si="70"/>
        <v>0</v>
      </c>
      <c r="I599" s="247" t="e">
        <f t="shared" si="66"/>
        <v>#N/A</v>
      </c>
      <c r="J599" s="97">
        <v>0</v>
      </c>
      <c r="K599" s="98">
        <v>0</v>
      </c>
      <c r="L599" s="98"/>
      <c r="M599" s="98"/>
      <c r="N599" s="98">
        <f t="shared" si="67"/>
        <v>0</v>
      </c>
      <c r="O599" s="240" t="b">
        <f t="shared" si="68"/>
        <v>0</v>
      </c>
      <c r="P599" s="240" t="b">
        <f t="shared" si="69"/>
        <v>0</v>
      </c>
    </row>
    <row r="600" spans="1:16" x14ac:dyDescent="0.35">
      <c r="A600" s="92">
        <f t="shared" si="65"/>
        <v>0</v>
      </c>
      <c r="B600" s="92" t="e">
        <f>VLOOKUP(A600,[1]Hoja3!$C$3:$D$14,2,FALSE)</f>
        <v>#N/A</v>
      </c>
      <c r="C600" s="93"/>
      <c r="D600" s="101"/>
      <c r="E600" s="94"/>
      <c r="F600" s="95"/>
      <c r="G600" s="96"/>
      <c r="H600" s="96" t="b">
        <f t="shared" si="70"/>
        <v>0</v>
      </c>
      <c r="I600" s="247" t="e">
        <f t="shared" si="66"/>
        <v>#N/A</v>
      </c>
      <c r="J600" s="97">
        <v>0</v>
      </c>
      <c r="K600" s="98">
        <v>0</v>
      </c>
      <c r="L600" s="98"/>
      <c r="M600" s="98"/>
      <c r="N600" s="98">
        <f t="shared" si="67"/>
        <v>0</v>
      </c>
      <c r="O600" s="240" t="b">
        <f t="shared" si="68"/>
        <v>0</v>
      </c>
      <c r="P600" s="240" t="b">
        <f t="shared" si="69"/>
        <v>0</v>
      </c>
    </row>
  </sheetData>
  <autoFilter ref="A1:N600" xr:uid="{F0E9A185-AC37-4990-95AB-F2E1E7F525AC}"/>
  <hyperlinks>
    <hyperlink ref="Q77" r:id="rId1" xr:uid="{B5CF7E85-ADAB-48D0-9835-6132C408B1FE}"/>
    <hyperlink ref="Q82" r:id="rId2" xr:uid="{061BE3B2-3126-4FEF-90B7-AEAD7E13337C}"/>
    <hyperlink ref="Q88" r:id="rId3" xr:uid="{14B0B482-804C-4043-B615-2347CAA59A13}"/>
    <hyperlink ref="Q90" r:id="rId4" xr:uid="{02D8BAF8-6E73-411C-80BB-E2D6AC268E83}"/>
  </hyperlinks>
  <pageMargins left="0.7" right="0.7" top="0.75" bottom="0.75" header="0.3" footer="0.3"/>
  <pageSetup paperSize="9" orientation="portrait" horizontalDpi="300" r:id="rId5"/>
  <ignoredErrors>
    <ignoredError sqref="H15" formula="1"/>
  </ignoredErrors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C77F-A073-40E0-9A4A-6A1EFFCD6190}">
  <sheetPr>
    <tabColor rgb="FF00B0F0"/>
  </sheetPr>
  <dimension ref="A1:R982"/>
  <sheetViews>
    <sheetView workbookViewId="0">
      <pane ySplit="1" topLeftCell="A2" activePane="bottomLeft" state="frozen"/>
      <selection pane="bottomLeft" activeCell="F510" sqref="F510"/>
    </sheetView>
  </sheetViews>
  <sheetFormatPr baseColWidth="10" defaultRowHeight="14.5" x14ac:dyDescent="0.35"/>
  <cols>
    <col min="1" max="1" width="4.1796875" style="110" customWidth="1"/>
    <col min="2" max="2" width="8.08984375" style="110" customWidth="1"/>
    <col min="3" max="3" width="10.81640625" style="114" bestFit="1" customWidth="1"/>
    <col min="4" max="4" width="27.453125" style="115" bestFit="1" customWidth="1"/>
    <col min="5" max="5" width="13.08984375" style="115" customWidth="1"/>
    <col min="6" max="6" width="12.08984375" style="116" customWidth="1"/>
    <col min="7" max="7" width="12.453125" style="116" hidden="1" customWidth="1"/>
    <col min="8" max="8" width="12.08984375" style="254" bestFit="1" customWidth="1"/>
    <col min="9" max="9" width="11" style="113" hidden="1" customWidth="1"/>
    <col min="10" max="10" width="10.1796875" style="113" bestFit="1" customWidth="1"/>
    <col min="11" max="11" width="10.1796875" style="113" hidden="1" customWidth="1"/>
    <col min="12" max="12" width="11" style="113" customWidth="1"/>
    <col min="13" max="13" width="11.54296875" style="113" customWidth="1"/>
    <col min="14" max="14" width="10.453125" style="113" customWidth="1"/>
    <col min="15" max="15" width="4.6328125" customWidth="1"/>
    <col min="16" max="16" width="11.36328125" bestFit="1" customWidth="1"/>
    <col min="17" max="17" width="11.54296875" customWidth="1"/>
  </cols>
  <sheetData>
    <row r="1" spans="1:17" ht="30.5" customHeight="1" x14ac:dyDescent="0.35">
      <c r="A1" s="103" t="s">
        <v>49</v>
      </c>
      <c r="B1" s="103" t="s">
        <v>49</v>
      </c>
      <c r="C1" s="104" t="s">
        <v>61</v>
      </c>
      <c r="D1" s="103" t="s">
        <v>62</v>
      </c>
      <c r="E1" s="103" t="s">
        <v>55</v>
      </c>
      <c r="F1" s="103" t="s">
        <v>63</v>
      </c>
      <c r="G1" s="103"/>
      <c r="H1" s="251" t="s">
        <v>64</v>
      </c>
      <c r="I1" s="105"/>
      <c r="J1" s="105" t="s">
        <v>57</v>
      </c>
      <c r="K1" s="105"/>
      <c r="L1" s="105" t="s">
        <v>65</v>
      </c>
      <c r="M1" s="105" t="s">
        <v>66</v>
      </c>
      <c r="N1" s="105" t="s">
        <v>34</v>
      </c>
      <c r="O1" s="248" t="s">
        <v>340</v>
      </c>
      <c r="P1" s="248" t="s">
        <v>552</v>
      </c>
      <c r="Q1" s="248" t="s">
        <v>553</v>
      </c>
    </row>
    <row r="2" spans="1:17" x14ac:dyDescent="0.35">
      <c r="A2" s="106">
        <f t="shared" ref="A2:A33" si="0">IF(C2&gt;0,MONTH(C2),0)</f>
        <v>1</v>
      </c>
      <c r="B2" s="107" t="str">
        <f>VLOOKUP(A2,[1]Hoja3!$C$3:$D$14,2,FALSE)</f>
        <v>ENERO</v>
      </c>
      <c r="C2" s="108">
        <v>45293.767731481479</v>
      </c>
      <c r="D2" s="109" t="s">
        <v>382</v>
      </c>
      <c r="E2" s="109" t="s">
        <v>398</v>
      </c>
      <c r="F2" s="110" t="s">
        <v>414</v>
      </c>
      <c r="G2" s="110" t="str">
        <f t="shared" ref="G2:G41" si="1">+B2</f>
        <v>ENERO</v>
      </c>
      <c r="H2" s="47">
        <v>1164.4000000000001</v>
      </c>
      <c r="I2" s="102" t="str">
        <f t="shared" ref="I2:I33" si="2">+B2</f>
        <v>ENERO</v>
      </c>
      <c r="J2">
        <v>186.3</v>
      </c>
      <c r="K2" t="str">
        <f t="shared" ref="K2:K33" si="3">+B2</f>
        <v>ENERO</v>
      </c>
      <c r="L2" s="111">
        <f t="shared" ref="L2:L33" si="4">+J2/0.16</f>
        <v>1164.375</v>
      </c>
      <c r="M2" s="112">
        <f t="shared" ref="M2:M33" si="5">+H2-L2</f>
        <v>2.5000000000090949E-2</v>
      </c>
      <c r="N2" s="112">
        <f t="shared" ref="N2:N33" si="6">+H2+J2</f>
        <v>1350.7</v>
      </c>
      <c r="O2" t="s">
        <v>451</v>
      </c>
      <c r="P2" s="102">
        <f t="shared" ref="P2:P33" si="7">+N2</f>
        <v>1350.7</v>
      </c>
      <c r="Q2" s="102">
        <f t="shared" ref="Q2:Q33" si="8">+N2-P2</f>
        <v>0</v>
      </c>
    </row>
    <row r="3" spans="1:17" x14ac:dyDescent="0.35">
      <c r="A3" s="106">
        <f t="shared" si="0"/>
        <v>1</v>
      </c>
      <c r="B3" s="107" t="str">
        <f>VLOOKUP(A3,[1]Hoja3!$C$3:$D$14,2,FALSE)</f>
        <v>ENERO</v>
      </c>
      <c r="C3" s="108">
        <v>45293.998472222222</v>
      </c>
      <c r="D3" s="109" t="s">
        <v>383</v>
      </c>
      <c r="E3" s="109" t="s">
        <v>399</v>
      </c>
      <c r="F3" s="110" t="s">
        <v>415</v>
      </c>
      <c r="G3" s="110" t="str">
        <f t="shared" si="1"/>
        <v>ENERO</v>
      </c>
      <c r="H3" s="47">
        <v>33524</v>
      </c>
      <c r="I3" s="102" t="str">
        <f t="shared" si="2"/>
        <v>ENERO</v>
      </c>
      <c r="J3">
        <v>0</v>
      </c>
      <c r="K3" t="str">
        <f t="shared" si="3"/>
        <v>ENERO</v>
      </c>
      <c r="L3" s="111">
        <f t="shared" si="4"/>
        <v>0</v>
      </c>
      <c r="M3" s="112">
        <f t="shared" si="5"/>
        <v>33524</v>
      </c>
      <c r="N3" s="112">
        <f t="shared" si="6"/>
        <v>33524</v>
      </c>
      <c r="O3" t="s">
        <v>451</v>
      </c>
      <c r="P3" s="102">
        <f t="shared" si="7"/>
        <v>33524</v>
      </c>
      <c r="Q3" s="102">
        <f t="shared" si="8"/>
        <v>0</v>
      </c>
    </row>
    <row r="4" spans="1:17" x14ac:dyDescent="0.35">
      <c r="A4" s="106">
        <f t="shared" si="0"/>
        <v>1</v>
      </c>
      <c r="B4" s="107" t="str">
        <f>VLOOKUP(A4,[1]Hoja3!$C$3:$D$14,2,FALSE)</f>
        <v>ENERO</v>
      </c>
      <c r="C4" s="108">
        <v>45294.747337962966</v>
      </c>
      <c r="D4" s="109" t="s">
        <v>384</v>
      </c>
      <c r="E4" s="109" t="s">
        <v>400</v>
      </c>
      <c r="F4" s="110" t="s">
        <v>416</v>
      </c>
      <c r="G4" s="110" t="str">
        <f t="shared" si="1"/>
        <v>ENERO</v>
      </c>
      <c r="H4" s="47">
        <v>1928.45</v>
      </c>
      <c r="I4" s="102" t="str">
        <f t="shared" si="2"/>
        <v>ENERO</v>
      </c>
      <c r="J4">
        <v>308.55</v>
      </c>
      <c r="K4" t="str">
        <f t="shared" si="3"/>
        <v>ENERO</v>
      </c>
      <c r="L4" s="111">
        <f t="shared" si="4"/>
        <v>1928.4375</v>
      </c>
      <c r="M4" s="112">
        <f t="shared" si="5"/>
        <v>1.2500000000045475E-2</v>
      </c>
      <c r="N4" s="112">
        <f t="shared" si="6"/>
        <v>2237</v>
      </c>
      <c r="O4" t="s">
        <v>451</v>
      </c>
      <c r="P4" s="102">
        <f t="shared" si="7"/>
        <v>2237</v>
      </c>
      <c r="Q4" s="102">
        <f t="shared" si="8"/>
        <v>0</v>
      </c>
    </row>
    <row r="5" spans="1:17" x14ac:dyDescent="0.35">
      <c r="A5" s="106">
        <f t="shared" si="0"/>
        <v>1</v>
      </c>
      <c r="B5" s="107" t="str">
        <f>VLOOKUP(A5,[1]Hoja3!$C$3:$D$14,2,FALSE)</f>
        <v>ENERO</v>
      </c>
      <c r="C5" s="108">
        <v>45296.702997685185</v>
      </c>
      <c r="D5" s="109" t="s">
        <v>385</v>
      </c>
      <c r="E5" s="109" t="s">
        <v>401</v>
      </c>
      <c r="F5" s="110" t="s">
        <v>417</v>
      </c>
      <c r="G5" s="110" t="str">
        <f t="shared" si="1"/>
        <v>ENERO</v>
      </c>
      <c r="H5" s="47">
        <v>432.66</v>
      </c>
      <c r="I5" s="102" t="str">
        <f t="shared" si="2"/>
        <v>ENERO</v>
      </c>
      <c r="J5">
        <v>67.34</v>
      </c>
      <c r="K5" t="str">
        <f t="shared" si="3"/>
        <v>ENERO</v>
      </c>
      <c r="L5" s="111">
        <f t="shared" si="4"/>
        <v>420.875</v>
      </c>
      <c r="M5" s="112">
        <f t="shared" si="5"/>
        <v>11.785000000000025</v>
      </c>
      <c r="N5" s="112">
        <f t="shared" si="6"/>
        <v>500</v>
      </c>
      <c r="O5" t="s">
        <v>451</v>
      </c>
      <c r="P5" s="102">
        <f t="shared" si="7"/>
        <v>500</v>
      </c>
      <c r="Q5" s="102">
        <f t="shared" si="8"/>
        <v>0</v>
      </c>
    </row>
    <row r="6" spans="1:17" x14ac:dyDescent="0.35">
      <c r="A6" s="106">
        <f t="shared" si="0"/>
        <v>1</v>
      </c>
      <c r="B6" s="107" t="str">
        <f>VLOOKUP(A6,[1]Hoja3!$C$3:$D$14,2,FALSE)</f>
        <v>ENERO</v>
      </c>
      <c r="C6" s="108">
        <v>45299.400636574072</v>
      </c>
      <c r="D6" s="109" t="s">
        <v>386</v>
      </c>
      <c r="E6" s="109" t="s">
        <v>402</v>
      </c>
      <c r="F6" s="110" t="s">
        <v>418</v>
      </c>
      <c r="G6" s="110" t="str">
        <f t="shared" si="1"/>
        <v>ENERO</v>
      </c>
      <c r="H6" s="47">
        <v>0.01</v>
      </c>
      <c r="I6" s="102" t="str">
        <f t="shared" si="2"/>
        <v>ENERO</v>
      </c>
      <c r="J6"/>
      <c r="K6" t="str">
        <f t="shared" si="3"/>
        <v>ENERO</v>
      </c>
      <c r="L6" s="111">
        <f t="shared" si="4"/>
        <v>0</v>
      </c>
      <c r="M6" s="112">
        <f t="shared" si="5"/>
        <v>0.01</v>
      </c>
      <c r="N6" s="112">
        <f t="shared" si="6"/>
        <v>0.01</v>
      </c>
      <c r="O6" t="s">
        <v>451</v>
      </c>
      <c r="P6" s="102">
        <f t="shared" si="7"/>
        <v>0.01</v>
      </c>
      <c r="Q6" s="102">
        <f t="shared" si="8"/>
        <v>0</v>
      </c>
    </row>
    <row r="7" spans="1:17" x14ac:dyDescent="0.35">
      <c r="A7" s="106">
        <f t="shared" si="0"/>
        <v>1</v>
      </c>
      <c r="B7" s="107" t="str">
        <f>VLOOKUP(A7,[1]Hoja3!$C$3:$D$14,2,FALSE)</f>
        <v>ENERO</v>
      </c>
      <c r="C7" s="108">
        <v>45299.963784722226</v>
      </c>
      <c r="D7" s="109" t="s">
        <v>383</v>
      </c>
      <c r="E7" s="109" t="s">
        <v>399</v>
      </c>
      <c r="F7" s="110" t="s">
        <v>419</v>
      </c>
      <c r="G7" s="110" t="str">
        <f t="shared" si="1"/>
        <v>ENERO</v>
      </c>
      <c r="H7" s="47">
        <v>20000</v>
      </c>
      <c r="I7" s="102" t="str">
        <f t="shared" si="2"/>
        <v>ENERO</v>
      </c>
      <c r="J7">
        <v>0</v>
      </c>
      <c r="K7" t="str">
        <f t="shared" si="3"/>
        <v>ENERO</v>
      </c>
      <c r="L7" s="111">
        <f t="shared" si="4"/>
        <v>0</v>
      </c>
      <c r="M7" s="112">
        <f t="shared" si="5"/>
        <v>20000</v>
      </c>
      <c r="N7" s="112">
        <f t="shared" si="6"/>
        <v>20000</v>
      </c>
      <c r="O7" t="s">
        <v>451</v>
      </c>
      <c r="P7" s="102">
        <f t="shared" si="7"/>
        <v>20000</v>
      </c>
      <c r="Q7" s="102">
        <f t="shared" si="8"/>
        <v>0</v>
      </c>
    </row>
    <row r="8" spans="1:17" x14ac:dyDescent="0.35">
      <c r="A8" s="106">
        <f t="shared" si="0"/>
        <v>1</v>
      </c>
      <c r="B8" s="107" t="str">
        <f>VLOOKUP(A8,[1]Hoja3!$C$3:$D$14,2,FALSE)</f>
        <v>ENERO</v>
      </c>
      <c r="C8" s="108">
        <v>45300.506539351853</v>
      </c>
      <c r="D8" s="109" t="s">
        <v>387</v>
      </c>
      <c r="E8" s="109" t="s">
        <v>403</v>
      </c>
      <c r="F8" s="110" t="s">
        <v>420</v>
      </c>
      <c r="G8" s="110" t="str">
        <f t="shared" si="1"/>
        <v>ENERO</v>
      </c>
      <c r="H8" s="47">
        <v>11607.22</v>
      </c>
      <c r="I8" s="102" t="str">
        <f t="shared" si="2"/>
        <v>ENERO</v>
      </c>
      <c r="J8">
        <v>0</v>
      </c>
      <c r="K8" t="str">
        <f t="shared" si="3"/>
        <v>ENERO</v>
      </c>
      <c r="L8" s="111">
        <f t="shared" si="4"/>
        <v>0</v>
      </c>
      <c r="M8" s="112">
        <f t="shared" si="5"/>
        <v>11607.22</v>
      </c>
      <c r="N8" s="112">
        <f t="shared" si="6"/>
        <v>11607.22</v>
      </c>
      <c r="O8" t="s">
        <v>451</v>
      </c>
      <c r="P8" s="102">
        <f t="shared" si="7"/>
        <v>11607.22</v>
      </c>
      <c r="Q8" s="102">
        <f t="shared" si="8"/>
        <v>0</v>
      </c>
    </row>
    <row r="9" spans="1:17" x14ac:dyDescent="0.35">
      <c r="A9" s="106">
        <f t="shared" si="0"/>
        <v>1</v>
      </c>
      <c r="B9" s="107" t="str">
        <f>VLOOKUP(A9,[1]Hoja3!$C$3:$D$14,2,FALSE)</f>
        <v>ENERO</v>
      </c>
      <c r="C9" s="108">
        <v>45301.471446759257</v>
      </c>
      <c r="D9" s="109" t="s">
        <v>388</v>
      </c>
      <c r="E9" s="109" t="s">
        <v>404</v>
      </c>
      <c r="F9" s="110" t="s">
        <v>421</v>
      </c>
      <c r="G9" s="110" t="str">
        <f t="shared" si="1"/>
        <v>ENERO</v>
      </c>
      <c r="H9" s="47">
        <v>45019</v>
      </c>
      <c r="I9" s="102" t="str">
        <f t="shared" si="2"/>
        <v>ENERO</v>
      </c>
      <c r="J9">
        <v>0</v>
      </c>
      <c r="K9" t="str">
        <f t="shared" si="3"/>
        <v>ENERO</v>
      </c>
      <c r="L9" s="111">
        <f t="shared" si="4"/>
        <v>0</v>
      </c>
      <c r="M9" s="112">
        <f t="shared" si="5"/>
        <v>45019</v>
      </c>
      <c r="N9" s="112">
        <f t="shared" si="6"/>
        <v>45019</v>
      </c>
      <c r="O9" t="s">
        <v>451</v>
      </c>
      <c r="P9" s="102">
        <f t="shared" si="7"/>
        <v>45019</v>
      </c>
      <c r="Q9" s="102">
        <f t="shared" si="8"/>
        <v>0</v>
      </c>
    </row>
    <row r="10" spans="1:17" x14ac:dyDescent="0.35">
      <c r="A10" s="106">
        <f t="shared" si="0"/>
        <v>1</v>
      </c>
      <c r="B10" s="107" t="str">
        <f>VLOOKUP(A10,[1]Hoja3!$C$3:$D$14,2,FALSE)</f>
        <v>ENERO</v>
      </c>
      <c r="C10" s="108">
        <v>45301.531504629631</v>
      </c>
      <c r="D10" s="109" t="s">
        <v>389</v>
      </c>
      <c r="E10" s="109" t="s">
        <v>405</v>
      </c>
      <c r="F10" s="110" t="s">
        <v>422</v>
      </c>
      <c r="G10" s="110" t="str">
        <f t="shared" si="1"/>
        <v>ENERO</v>
      </c>
      <c r="H10" s="47">
        <v>16250</v>
      </c>
      <c r="I10" s="102" t="str">
        <f t="shared" si="2"/>
        <v>ENERO</v>
      </c>
      <c r="J10">
        <v>0</v>
      </c>
      <c r="K10" t="str">
        <f t="shared" si="3"/>
        <v>ENERO</v>
      </c>
      <c r="L10" s="111">
        <f t="shared" si="4"/>
        <v>0</v>
      </c>
      <c r="M10" s="112">
        <f t="shared" si="5"/>
        <v>16250</v>
      </c>
      <c r="N10" s="112">
        <f t="shared" si="6"/>
        <v>16250</v>
      </c>
      <c r="O10" t="s">
        <v>451</v>
      </c>
      <c r="P10" s="102">
        <f t="shared" si="7"/>
        <v>16250</v>
      </c>
      <c r="Q10" s="102">
        <f t="shared" si="8"/>
        <v>0</v>
      </c>
    </row>
    <row r="11" spans="1:17" x14ac:dyDescent="0.35">
      <c r="A11" s="106">
        <f t="shared" si="0"/>
        <v>1</v>
      </c>
      <c r="B11" s="107" t="str">
        <f>VLOOKUP(A11,[1]Hoja3!$C$3:$D$14,2,FALSE)</f>
        <v>ENERO</v>
      </c>
      <c r="C11" s="108">
        <v>45301.532488425924</v>
      </c>
      <c r="D11" s="109" t="s">
        <v>389</v>
      </c>
      <c r="E11" s="109" t="s">
        <v>405</v>
      </c>
      <c r="F11" s="110" t="s">
        <v>423</v>
      </c>
      <c r="G11" s="110" t="str">
        <f t="shared" si="1"/>
        <v>ENERO</v>
      </c>
      <c r="H11" s="47">
        <v>19000</v>
      </c>
      <c r="I11" s="102" t="str">
        <f t="shared" si="2"/>
        <v>ENERO</v>
      </c>
      <c r="J11">
        <v>0</v>
      </c>
      <c r="K11" t="str">
        <f t="shared" si="3"/>
        <v>ENERO</v>
      </c>
      <c r="L11" s="111">
        <f t="shared" si="4"/>
        <v>0</v>
      </c>
      <c r="M11" s="112">
        <f t="shared" si="5"/>
        <v>19000</v>
      </c>
      <c r="N11" s="112">
        <f t="shared" si="6"/>
        <v>19000</v>
      </c>
      <c r="O11" t="s">
        <v>451</v>
      </c>
      <c r="P11" s="102">
        <f t="shared" si="7"/>
        <v>19000</v>
      </c>
      <c r="Q11" s="102">
        <f t="shared" si="8"/>
        <v>0</v>
      </c>
    </row>
    <row r="12" spans="1:17" x14ac:dyDescent="0.35">
      <c r="A12" s="106">
        <f t="shared" si="0"/>
        <v>1</v>
      </c>
      <c r="B12" s="107" t="str">
        <f>VLOOKUP(A12,[1]Hoja3!$C$3:$D$14,2,FALSE)</f>
        <v>ENERO</v>
      </c>
      <c r="C12" s="108">
        <v>45303.517199074071</v>
      </c>
      <c r="D12" s="109" t="s">
        <v>390</v>
      </c>
      <c r="E12" s="109" t="s">
        <v>406</v>
      </c>
      <c r="F12" s="110" t="s">
        <v>424</v>
      </c>
      <c r="G12" s="110" t="str">
        <f t="shared" si="1"/>
        <v>ENERO</v>
      </c>
      <c r="H12" s="47">
        <v>2155.17</v>
      </c>
      <c r="I12" s="102" t="str">
        <f t="shared" si="2"/>
        <v>ENERO</v>
      </c>
      <c r="J12">
        <v>344.8272</v>
      </c>
      <c r="K12" t="str">
        <f t="shared" si="3"/>
        <v>ENERO</v>
      </c>
      <c r="L12" s="111">
        <f t="shared" si="4"/>
        <v>2155.17</v>
      </c>
      <c r="M12" s="112">
        <f t="shared" si="5"/>
        <v>0</v>
      </c>
      <c r="N12" s="112">
        <f t="shared" si="6"/>
        <v>2499.9972000000002</v>
      </c>
      <c r="O12" t="s">
        <v>451</v>
      </c>
      <c r="P12" s="102">
        <f t="shared" si="7"/>
        <v>2499.9972000000002</v>
      </c>
      <c r="Q12" s="102">
        <f t="shared" si="8"/>
        <v>0</v>
      </c>
    </row>
    <row r="13" spans="1:17" x14ac:dyDescent="0.35">
      <c r="A13" s="106">
        <f t="shared" si="0"/>
        <v>1</v>
      </c>
      <c r="B13" s="107" t="str">
        <f>VLOOKUP(A13,[1]Hoja3!$C$3:$D$14,2,FALSE)</f>
        <v>ENERO</v>
      </c>
      <c r="C13" s="108">
        <v>45303.51966435185</v>
      </c>
      <c r="D13" s="109" t="s">
        <v>390</v>
      </c>
      <c r="E13" s="109" t="s">
        <v>406</v>
      </c>
      <c r="F13" s="110" t="s">
        <v>425</v>
      </c>
      <c r="G13" s="110" t="str">
        <f t="shared" si="1"/>
        <v>ENERO</v>
      </c>
      <c r="H13" s="47">
        <v>2500</v>
      </c>
      <c r="I13" s="102" t="str">
        <f t="shared" si="2"/>
        <v>ENERO</v>
      </c>
      <c r="J13">
        <v>400</v>
      </c>
      <c r="K13" t="str">
        <f t="shared" si="3"/>
        <v>ENERO</v>
      </c>
      <c r="L13" s="111">
        <f t="shared" si="4"/>
        <v>2500</v>
      </c>
      <c r="M13" s="112">
        <f t="shared" si="5"/>
        <v>0</v>
      </c>
      <c r="N13" s="112">
        <f t="shared" si="6"/>
        <v>2900</v>
      </c>
      <c r="O13" t="s">
        <v>451</v>
      </c>
      <c r="P13" s="102">
        <f t="shared" si="7"/>
        <v>2900</v>
      </c>
      <c r="Q13" s="102">
        <f t="shared" si="8"/>
        <v>0</v>
      </c>
    </row>
    <row r="14" spans="1:17" x14ac:dyDescent="0.35">
      <c r="A14" s="106">
        <f t="shared" si="0"/>
        <v>1</v>
      </c>
      <c r="B14" s="107" t="str">
        <f>VLOOKUP(A14,[1]Hoja3!$C$3:$D$14,2,FALSE)</f>
        <v>ENERO</v>
      </c>
      <c r="C14" s="108">
        <v>45306.48065972222</v>
      </c>
      <c r="D14" s="109" t="s">
        <v>391</v>
      </c>
      <c r="E14" s="109" t="s">
        <v>407</v>
      </c>
      <c r="F14" s="110" t="s">
        <v>426</v>
      </c>
      <c r="G14" s="110" t="str">
        <f t="shared" si="1"/>
        <v>ENERO</v>
      </c>
      <c r="H14" s="47">
        <v>465.26</v>
      </c>
      <c r="I14" s="102" t="str">
        <f t="shared" si="2"/>
        <v>ENERO</v>
      </c>
      <c r="J14">
        <v>74.44</v>
      </c>
      <c r="K14" t="str">
        <f t="shared" si="3"/>
        <v>ENERO</v>
      </c>
      <c r="L14" s="111">
        <f t="shared" si="4"/>
        <v>465.25</v>
      </c>
      <c r="M14" s="112">
        <f t="shared" si="5"/>
        <v>9.9999999999909051E-3</v>
      </c>
      <c r="N14" s="112">
        <f t="shared" si="6"/>
        <v>539.70000000000005</v>
      </c>
      <c r="O14" t="s">
        <v>451</v>
      </c>
      <c r="P14" s="102">
        <f t="shared" si="7"/>
        <v>539.70000000000005</v>
      </c>
      <c r="Q14" s="102">
        <f t="shared" si="8"/>
        <v>0</v>
      </c>
    </row>
    <row r="15" spans="1:17" x14ac:dyDescent="0.35">
      <c r="A15" s="106">
        <f t="shared" si="0"/>
        <v>1</v>
      </c>
      <c r="B15" s="107" t="str">
        <f>VLOOKUP(A15,[1]Hoja3!$C$3:$D$14,2,FALSE)</f>
        <v>ENERO</v>
      </c>
      <c r="C15" s="108">
        <v>45307.531342592592</v>
      </c>
      <c r="D15" s="109" t="s">
        <v>385</v>
      </c>
      <c r="E15" s="109" t="s">
        <v>401</v>
      </c>
      <c r="F15" s="110" t="s">
        <v>427</v>
      </c>
      <c r="G15" s="110" t="str">
        <f t="shared" si="1"/>
        <v>ENERO</v>
      </c>
      <c r="H15" s="47">
        <v>259.60000000000002</v>
      </c>
      <c r="I15" s="102" t="str">
        <f t="shared" si="2"/>
        <v>ENERO</v>
      </c>
      <c r="J15">
        <v>40.4</v>
      </c>
      <c r="K15" t="str">
        <f t="shared" si="3"/>
        <v>ENERO</v>
      </c>
      <c r="L15" s="111">
        <f t="shared" si="4"/>
        <v>252.5</v>
      </c>
      <c r="M15" s="112">
        <f t="shared" si="5"/>
        <v>7.1000000000000227</v>
      </c>
      <c r="N15" s="112">
        <f t="shared" si="6"/>
        <v>300</v>
      </c>
      <c r="O15" t="s">
        <v>451</v>
      </c>
      <c r="P15" s="102">
        <f t="shared" si="7"/>
        <v>300</v>
      </c>
      <c r="Q15" s="102">
        <f t="shared" si="8"/>
        <v>0</v>
      </c>
    </row>
    <row r="16" spans="1:17" x14ac:dyDescent="0.35">
      <c r="A16" s="106">
        <f t="shared" si="0"/>
        <v>1</v>
      </c>
      <c r="B16" s="107" t="str">
        <f>VLOOKUP(A16,[1]Hoja3!$C$3:$D$14,2,FALSE)</f>
        <v>ENERO</v>
      </c>
      <c r="C16" s="108">
        <v>45307.53266203704</v>
      </c>
      <c r="D16" s="109" t="s">
        <v>385</v>
      </c>
      <c r="E16" s="109" t="s">
        <v>401</v>
      </c>
      <c r="F16" s="110" t="s">
        <v>428</v>
      </c>
      <c r="G16" s="110" t="str">
        <f t="shared" si="1"/>
        <v>ENERO</v>
      </c>
      <c r="H16" s="47">
        <v>432.67</v>
      </c>
      <c r="I16" s="102" t="str">
        <f t="shared" si="2"/>
        <v>ENERO</v>
      </c>
      <c r="J16">
        <v>67.33</v>
      </c>
      <c r="K16" t="str">
        <f t="shared" si="3"/>
        <v>ENERO</v>
      </c>
      <c r="L16" s="111">
        <f t="shared" si="4"/>
        <v>420.8125</v>
      </c>
      <c r="M16" s="112">
        <f t="shared" si="5"/>
        <v>11.857500000000016</v>
      </c>
      <c r="N16" s="112">
        <f t="shared" si="6"/>
        <v>500</v>
      </c>
      <c r="O16" t="s">
        <v>451</v>
      </c>
      <c r="P16" s="102">
        <f t="shared" si="7"/>
        <v>500</v>
      </c>
      <c r="Q16" s="102">
        <f t="shared" si="8"/>
        <v>0</v>
      </c>
    </row>
    <row r="17" spans="1:17" x14ac:dyDescent="0.35">
      <c r="A17" s="106">
        <f t="shared" si="0"/>
        <v>1</v>
      </c>
      <c r="B17" s="107" t="str">
        <f>VLOOKUP(A17,[1]Hoja3!$C$3:$D$14,2,FALSE)</f>
        <v>ENERO</v>
      </c>
      <c r="C17" s="108">
        <v>45307.840451388889</v>
      </c>
      <c r="D17" s="109" t="s">
        <v>385</v>
      </c>
      <c r="E17" s="109" t="s">
        <v>401</v>
      </c>
      <c r="F17" s="110" t="s">
        <v>429</v>
      </c>
      <c r="G17" s="110" t="str">
        <f t="shared" si="1"/>
        <v>ENERO</v>
      </c>
      <c r="H17" s="47">
        <v>1048.19</v>
      </c>
      <c r="I17" s="102" t="str">
        <f t="shared" si="2"/>
        <v>ENERO</v>
      </c>
      <c r="J17">
        <v>163.11000000000001</v>
      </c>
      <c r="K17" t="str">
        <f t="shared" si="3"/>
        <v>ENERO</v>
      </c>
      <c r="L17" s="111">
        <f t="shared" si="4"/>
        <v>1019.4375000000001</v>
      </c>
      <c r="M17" s="112">
        <f t="shared" si="5"/>
        <v>28.752499999999941</v>
      </c>
      <c r="N17" s="112">
        <f t="shared" si="6"/>
        <v>1211.3000000000002</v>
      </c>
      <c r="O17" t="s">
        <v>451</v>
      </c>
      <c r="P17" s="102">
        <f t="shared" si="7"/>
        <v>1211.3000000000002</v>
      </c>
      <c r="Q17" s="102">
        <f t="shared" si="8"/>
        <v>0</v>
      </c>
    </row>
    <row r="18" spans="1:17" x14ac:dyDescent="0.35">
      <c r="A18" s="106">
        <f t="shared" si="0"/>
        <v>1</v>
      </c>
      <c r="B18" s="107" t="str">
        <f>VLOOKUP(A18,[1]Hoja3!$C$3:$D$14,2,FALSE)</f>
        <v>ENERO</v>
      </c>
      <c r="C18" s="108">
        <v>45309.417719907404</v>
      </c>
      <c r="D18" s="109" t="s">
        <v>392</v>
      </c>
      <c r="E18" s="109" t="s">
        <v>408</v>
      </c>
      <c r="F18" s="110" t="s">
        <v>430</v>
      </c>
      <c r="G18" s="110" t="str">
        <f t="shared" si="1"/>
        <v>ENERO</v>
      </c>
      <c r="H18" s="47">
        <v>1800</v>
      </c>
      <c r="I18" s="102" t="str">
        <f t="shared" si="2"/>
        <v>ENERO</v>
      </c>
      <c r="J18">
        <v>0</v>
      </c>
      <c r="K18" t="str">
        <f t="shared" si="3"/>
        <v>ENERO</v>
      </c>
      <c r="L18" s="111">
        <f t="shared" si="4"/>
        <v>0</v>
      </c>
      <c r="M18" s="112">
        <f t="shared" si="5"/>
        <v>1800</v>
      </c>
      <c r="N18" s="112">
        <f t="shared" si="6"/>
        <v>1800</v>
      </c>
      <c r="O18" t="s">
        <v>451</v>
      </c>
      <c r="P18" s="102">
        <f t="shared" si="7"/>
        <v>1800</v>
      </c>
      <c r="Q18" s="102">
        <f t="shared" si="8"/>
        <v>0</v>
      </c>
    </row>
    <row r="19" spans="1:17" x14ac:dyDescent="0.35">
      <c r="A19" s="106">
        <f t="shared" si="0"/>
        <v>1</v>
      </c>
      <c r="B19" s="107" t="str">
        <f>VLOOKUP(A19,[1]Hoja3!$C$3:$D$14,2,FALSE)</f>
        <v>ENERO</v>
      </c>
      <c r="C19" s="108">
        <v>45309.427673611113</v>
      </c>
      <c r="D19" s="109" t="s">
        <v>393</v>
      </c>
      <c r="E19" s="109" t="s">
        <v>409</v>
      </c>
      <c r="F19" s="110" t="s">
        <v>431</v>
      </c>
      <c r="G19" s="110" t="str">
        <f t="shared" si="1"/>
        <v>ENERO</v>
      </c>
      <c r="H19" s="47">
        <v>0</v>
      </c>
      <c r="I19" s="102" t="str">
        <f t="shared" si="2"/>
        <v>ENERO</v>
      </c>
      <c r="J19"/>
      <c r="K19" t="str">
        <f t="shared" si="3"/>
        <v>ENERO</v>
      </c>
      <c r="L19" s="111">
        <f t="shared" si="4"/>
        <v>0</v>
      </c>
      <c r="M19" s="112">
        <f t="shared" si="5"/>
        <v>0</v>
      </c>
      <c r="N19" s="112">
        <f t="shared" si="6"/>
        <v>0</v>
      </c>
      <c r="P19" s="102">
        <f t="shared" si="7"/>
        <v>0</v>
      </c>
      <c r="Q19" s="102">
        <f t="shared" si="8"/>
        <v>0</v>
      </c>
    </row>
    <row r="20" spans="1:17" x14ac:dyDescent="0.35">
      <c r="A20" s="106">
        <f t="shared" si="0"/>
        <v>1</v>
      </c>
      <c r="B20" s="107" t="str">
        <f>VLOOKUP(A20,[1]Hoja3!$C$3:$D$14,2,FALSE)</f>
        <v>ENERO</v>
      </c>
      <c r="C20" s="108">
        <v>45309.627592592595</v>
      </c>
      <c r="D20" s="109" t="s">
        <v>394</v>
      </c>
      <c r="E20" s="109" t="s">
        <v>410</v>
      </c>
      <c r="F20" s="110" t="s">
        <v>432</v>
      </c>
      <c r="G20" s="110" t="str">
        <f t="shared" si="1"/>
        <v>ENERO</v>
      </c>
      <c r="H20" s="47">
        <v>37512.5</v>
      </c>
      <c r="I20" s="102" t="str">
        <f t="shared" si="2"/>
        <v>ENERO</v>
      </c>
      <c r="J20">
        <v>0</v>
      </c>
      <c r="K20" t="str">
        <f t="shared" si="3"/>
        <v>ENERO</v>
      </c>
      <c r="L20" s="111">
        <f t="shared" si="4"/>
        <v>0</v>
      </c>
      <c r="M20" s="112">
        <f t="shared" si="5"/>
        <v>37512.5</v>
      </c>
      <c r="N20" s="112">
        <f t="shared" si="6"/>
        <v>37512.5</v>
      </c>
      <c r="O20" t="s">
        <v>451</v>
      </c>
      <c r="P20" s="102">
        <f t="shared" si="7"/>
        <v>37512.5</v>
      </c>
      <c r="Q20" s="102">
        <f t="shared" si="8"/>
        <v>0</v>
      </c>
    </row>
    <row r="21" spans="1:17" x14ac:dyDescent="0.35">
      <c r="A21" s="106">
        <f t="shared" si="0"/>
        <v>1</v>
      </c>
      <c r="B21" s="107" t="str">
        <f>VLOOKUP(A21,[1]Hoja3!$C$3:$D$14,2,FALSE)</f>
        <v>ENERO</v>
      </c>
      <c r="C21" s="108">
        <v>45309.98715277778</v>
      </c>
      <c r="D21" s="109" t="s">
        <v>383</v>
      </c>
      <c r="E21" s="109" t="s">
        <v>399</v>
      </c>
      <c r="F21" s="110" t="s">
        <v>433</v>
      </c>
      <c r="G21" s="110" t="str">
        <f t="shared" si="1"/>
        <v>ENERO</v>
      </c>
      <c r="H21" s="47">
        <v>23191</v>
      </c>
      <c r="I21" s="102" t="str">
        <f t="shared" si="2"/>
        <v>ENERO</v>
      </c>
      <c r="J21">
        <v>0</v>
      </c>
      <c r="K21" t="str">
        <f t="shared" si="3"/>
        <v>ENERO</v>
      </c>
      <c r="L21" s="111">
        <f t="shared" si="4"/>
        <v>0</v>
      </c>
      <c r="M21" s="112">
        <f t="shared" si="5"/>
        <v>23191</v>
      </c>
      <c r="N21" s="112">
        <f t="shared" si="6"/>
        <v>23191</v>
      </c>
      <c r="O21" t="s">
        <v>451</v>
      </c>
      <c r="P21" s="102">
        <f t="shared" si="7"/>
        <v>23191</v>
      </c>
      <c r="Q21" s="102">
        <f t="shared" si="8"/>
        <v>0</v>
      </c>
    </row>
    <row r="22" spans="1:17" x14ac:dyDescent="0.35">
      <c r="A22" s="106">
        <f t="shared" si="0"/>
        <v>1</v>
      </c>
      <c r="B22" s="107" t="str">
        <f>VLOOKUP(A22,[1]Hoja3!$C$3:$D$14,2,FALSE)</f>
        <v>ENERO</v>
      </c>
      <c r="C22" s="108">
        <v>45312.366631944446</v>
      </c>
      <c r="D22" s="109" t="s">
        <v>395</v>
      </c>
      <c r="E22" s="109" t="s">
        <v>411</v>
      </c>
      <c r="F22" s="110" t="s">
        <v>434</v>
      </c>
      <c r="G22" s="110" t="str">
        <f t="shared" si="1"/>
        <v>ENERO</v>
      </c>
      <c r="H22" s="47">
        <v>0</v>
      </c>
      <c r="I22" s="102" t="str">
        <f t="shared" si="2"/>
        <v>ENERO</v>
      </c>
      <c r="J22"/>
      <c r="K22" t="str">
        <f t="shared" si="3"/>
        <v>ENERO</v>
      </c>
      <c r="L22" s="111">
        <f t="shared" si="4"/>
        <v>0</v>
      </c>
      <c r="M22" s="112">
        <f t="shared" si="5"/>
        <v>0</v>
      </c>
      <c r="N22" s="112">
        <f t="shared" si="6"/>
        <v>0</v>
      </c>
      <c r="P22" s="102">
        <f t="shared" si="7"/>
        <v>0</v>
      </c>
      <c r="Q22" s="102">
        <f t="shared" si="8"/>
        <v>0</v>
      </c>
    </row>
    <row r="23" spans="1:17" x14ac:dyDescent="0.35">
      <c r="A23" s="106">
        <f t="shared" si="0"/>
        <v>1</v>
      </c>
      <c r="B23" s="107" t="str">
        <f>VLOOKUP(A23,[1]Hoja3!$C$3:$D$14,2,FALSE)</f>
        <v>ENERO</v>
      </c>
      <c r="C23" s="108">
        <v>45312.366631944446</v>
      </c>
      <c r="D23" s="109" t="s">
        <v>396</v>
      </c>
      <c r="E23" s="109" t="s">
        <v>412</v>
      </c>
      <c r="F23" s="110" t="s">
        <v>435</v>
      </c>
      <c r="G23" s="110" t="str">
        <f t="shared" si="1"/>
        <v>ENERO</v>
      </c>
      <c r="H23" s="47">
        <v>0</v>
      </c>
      <c r="I23" s="102" t="str">
        <f t="shared" si="2"/>
        <v>ENERO</v>
      </c>
      <c r="J23"/>
      <c r="K23" t="str">
        <f t="shared" si="3"/>
        <v>ENERO</v>
      </c>
      <c r="L23" s="111">
        <f t="shared" si="4"/>
        <v>0</v>
      </c>
      <c r="M23" s="112">
        <f t="shared" si="5"/>
        <v>0</v>
      </c>
      <c r="N23" s="112">
        <f t="shared" si="6"/>
        <v>0</v>
      </c>
      <c r="P23" s="102">
        <f t="shared" si="7"/>
        <v>0</v>
      </c>
      <c r="Q23" s="102">
        <f t="shared" si="8"/>
        <v>0</v>
      </c>
    </row>
    <row r="24" spans="1:17" x14ac:dyDescent="0.35">
      <c r="A24" s="106">
        <f t="shared" si="0"/>
        <v>1</v>
      </c>
      <c r="B24" s="107" t="str">
        <f>VLOOKUP(A24,[1]Hoja3!$C$3:$D$14,2,FALSE)</f>
        <v>ENERO</v>
      </c>
      <c r="C24" s="108">
        <v>45312.860300925924</v>
      </c>
      <c r="D24" s="109" t="s">
        <v>385</v>
      </c>
      <c r="E24" s="109" t="s">
        <v>401</v>
      </c>
      <c r="F24" s="110" t="s">
        <v>436</v>
      </c>
      <c r="G24" s="110" t="str">
        <f t="shared" si="1"/>
        <v>ENERO</v>
      </c>
      <c r="H24" s="47">
        <v>1127.68</v>
      </c>
      <c r="I24" s="102" t="str">
        <f t="shared" si="2"/>
        <v>ENERO</v>
      </c>
      <c r="J24">
        <v>175.49</v>
      </c>
      <c r="K24" t="str">
        <f t="shared" si="3"/>
        <v>ENERO</v>
      </c>
      <c r="L24" s="111">
        <f t="shared" si="4"/>
        <v>1096.8125</v>
      </c>
      <c r="M24" s="112">
        <f t="shared" si="5"/>
        <v>30.867500000000064</v>
      </c>
      <c r="N24" s="112">
        <f t="shared" si="6"/>
        <v>1303.17</v>
      </c>
      <c r="O24" t="s">
        <v>451</v>
      </c>
      <c r="P24" s="102">
        <f t="shared" si="7"/>
        <v>1303.17</v>
      </c>
      <c r="Q24" s="102">
        <f t="shared" si="8"/>
        <v>0</v>
      </c>
    </row>
    <row r="25" spans="1:17" x14ac:dyDescent="0.35">
      <c r="A25" s="106">
        <f t="shared" si="0"/>
        <v>1</v>
      </c>
      <c r="B25" s="107" t="str">
        <f>VLOOKUP(A25,[1]Hoja3!$C$3:$D$14,2,FALSE)</f>
        <v>ENERO</v>
      </c>
      <c r="C25" s="108">
        <v>45314.71603009259</v>
      </c>
      <c r="D25" s="109" t="s">
        <v>387</v>
      </c>
      <c r="E25" s="109" t="s">
        <v>403</v>
      </c>
      <c r="F25" s="110" t="s">
        <v>437</v>
      </c>
      <c r="G25" s="110" t="str">
        <f t="shared" si="1"/>
        <v>ENERO</v>
      </c>
      <c r="H25" s="47">
        <v>1994.16</v>
      </c>
      <c r="I25" s="102" t="str">
        <f t="shared" si="2"/>
        <v>ENERO</v>
      </c>
      <c r="J25">
        <v>0</v>
      </c>
      <c r="K25" t="str">
        <f t="shared" si="3"/>
        <v>ENERO</v>
      </c>
      <c r="L25" s="111">
        <f t="shared" si="4"/>
        <v>0</v>
      </c>
      <c r="M25" s="112">
        <f t="shared" si="5"/>
        <v>1994.16</v>
      </c>
      <c r="N25" s="112">
        <f t="shared" si="6"/>
        <v>1994.16</v>
      </c>
      <c r="O25" t="s">
        <v>451</v>
      </c>
      <c r="P25" s="102">
        <f t="shared" si="7"/>
        <v>1994.16</v>
      </c>
      <c r="Q25" s="102">
        <f t="shared" si="8"/>
        <v>0</v>
      </c>
    </row>
    <row r="26" spans="1:17" x14ac:dyDescent="0.35">
      <c r="A26" s="106">
        <f t="shared" si="0"/>
        <v>1</v>
      </c>
      <c r="B26" s="107" t="str">
        <f>VLOOKUP(A26,[1]Hoja3!$C$3:$D$14,2,FALSE)</f>
        <v>ENERO</v>
      </c>
      <c r="C26" s="108">
        <v>45314.716307870367</v>
      </c>
      <c r="D26" s="109" t="s">
        <v>387</v>
      </c>
      <c r="E26" s="109" t="s">
        <v>403</v>
      </c>
      <c r="F26" s="110" t="s">
        <v>438</v>
      </c>
      <c r="G26" s="110" t="str">
        <f t="shared" si="1"/>
        <v>ENERO</v>
      </c>
      <c r="H26" s="47">
        <v>1942.68</v>
      </c>
      <c r="I26" s="102" t="str">
        <f t="shared" si="2"/>
        <v>ENERO</v>
      </c>
      <c r="J26">
        <v>0</v>
      </c>
      <c r="K26" t="str">
        <f t="shared" si="3"/>
        <v>ENERO</v>
      </c>
      <c r="L26" s="111">
        <f t="shared" si="4"/>
        <v>0</v>
      </c>
      <c r="M26" s="112">
        <f t="shared" si="5"/>
        <v>1942.68</v>
      </c>
      <c r="N26" s="112">
        <f t="shared" si="6"/>
        <v>1942.68</v>
      </c>
      <c r="O26" t="s">
        <v>451</v>
      </c>
      <c r="P26" s="102">
        <f t="shared" si="7"/>
        <v>1942.68</v>
      </c>
      <c r="Q26" s="102">
        <f t="shared" si="8"/>
        <v>0</v>
      </c>
    </row>
    <row r="27" spans="1:17" x14ac:dyDescent="0.35">
      <c r="A27" s="106">
        <f t="shared" si="0"/>
        <v>1</v>
      </c>
      <c r="B27" s="107" t="str">
        <f>VLOOKUP(A27,[1]Hoja3!$C$3:$D$14,2,FALSE)</f>
        <v>ENERO</v>
      </c>
      <c r="C27" s="108">
        <v>45314.716678240744</v>
      </c>
      <c r="D27" s="109" t="s">
        <v>387</v>
      </c>
      <c r="E27" s="109" t="s">
        <v>403</v>
      </c>
      <c r="F27" s="110" t="s">
        <v>439</v>
      </c>
      <c r="G27" s="110" t="str">
        <f t="shared" si="1"/>
        <v>ENERO</v>
      </c>
      <c r="H27" s="47">
        <v>1837.28</v>
      </c>
      <c r="I27" s="102" t="str">
        <f t="shared" si="2"/>
        <v>ENERO</v>
      </c>
      <c r="J27">
        <v>0</v>
      </c>
      <c r="K27" t="str">
        <f t="shared" si="3"/>
        <v>ENERO</v>
      </c>
      <c r="L27" s="111">
        <f t="shared" si="4"/>
        <v>0</v>
      </c>
      <c r="M27" s="112">
        <f t="shared" si="5"/>
        <v>1837.28</v>
      </c>
      <c r="N27" s="112">
        <f t="shared" si="6"/>
        <v>1837.28</v>
      </c>
      <c r="O27" t="s">
        <v>451</v>
      </c>
      <c r="P27" s="102">
        <f t="shared" si="7"/>
        <v>1837.28</v>
      </c>
      <c r="Q27" s="102">
        <f t="shared" si="8"/>
        <v>0</v>
      </c>
    </row>
    <row r="28" spans="1:17" x14ac:dyDescent="0.35">
      <c r="A28" s="106">
        <f t="shared" si="0"/>
        <v>1</v>
      </c>
      <c r="B28" s="107" t="str">
        <f>VLOOKUP(A28,[1]Hoja3!$C$3:$D$14,2,FALSE)</f>
        <v>ENERO</v>
      </c>
      <c r="C28" s="108">
        <v>45314.717002314814</v>
      </c>
      <c r="D28" s="109" t="s">
        <v>387</v>
      </c>
      <c r="E28" s="109" t="s">
        <v>403</v>
      </c>
      <c r="F28" s="110" t="s">
        <v>440</v>
      </c>
      <c r="G28" s="110" t="str">
        <f t="shared" si="1"/>
        <v>ENERO</v>
      </c>
      <c r="H28" s="47">
        <v>1998.48</v>
      </c>
      <c r="I28" s="102" t="str">
        <f t="shared" si="2"/>
        <v>ENERO</v>
      </c>
      <c r="J28">
        <v>0</v>
      </c>
      <c r="K28" t="str">
        <f t="shared" si="3"/>
        <v>ENERO</v>
      </c>
      <c r="L28" s="111">
        <f t="shared" si="4"/>
        <v>0</v>
      </c>
      <c r="M28" s="112">
        <f t="shared" si="5"/>
        <v>1998.48</v>
      </c>
      <c r="N28" s="112">
        <f t="shared" si="6"/>
        <v>1998.48</v>
      </c>
      <c r="O28" t="s">
        <v>451</v>
      </c>
      <c r="P28" s="102">
        <f t="shared" si="7"/>
        <v>1998.48</v>
      </c>
      <c r="Q28" s="102">
        <f t="shared" si="8"/>
        <v>0</v>
      </c>
    </row>
    <row r="29" spans="1:17" x14ac:dyDescent="0.35">
      <c r="A29" s="106">
        <f t="shared" si="0"/>
        <v>1</v>
      </c>
      <c r="B29" s="107" t="str">
        <f>VLOOKUP(A29,[1]Hoja3!$C$3:$D$14,2,FALSE)</f>
        <v>ENERO</v>
      </c>
      <c r="C29" s="108">
        <v>45314.717256944445</v>
      </c>
      <c r="D29" s="109" t="s">
        <v>387</v>
      </c>
      <c r="E29" s="109" t="s">
        <v>403</v>
      </c>
      <c r="F29" s="110" t="s">
        <v>441</v>
      </c>
      <c r="G29" s="110" t="str">
        <f t="shared" si="1"/>
        <v>ENERO</v>
      </c>
      <c r="H29" s="47">
        <v>929.04</v>
      </c>
      <c r="I29" s="102" t="str">
        <f t="shared" si="2"/>
        <v>ENERO</v>
      </c>
      <c r="J29">
        <v>0</v>
      </c>
      <c r="K29" t="str">
        <f t="shared" si="3"/>
        <v>ENERO</v>
      </c>
      <c r="L29" s="111">
        <f t="shared" si="4"/>
        <v>0</v>
      </c>
      <c r="M29" s="112">
        <f t="shared" si="5"/>
        <v>929.04</v>
      </c>
      <c r="N29" s="112">
        <f t="shared" si="6"/>
        <v>929.04</v>
      </c>
      <c r="O29" t="s">
        <v>451</v>
      </c>
      <c r="P29" s="102">
        <f t="shared" si="7"/>
        <v>929.04</v>
      </c>
      <c r="Q29" s="102">
        <f t="shared" si="8"/>
        <v>0</v>
      </c>
    </row>
    <row r="30" spans="1:17" x14ac:dyDescent="0.35">
      <c r="A30" s="106">
        <f t="shared" si="0"/>
        <v>1</v>
      </c>
      <c r="B30" s="107" t="str">
        <f>VLOOKUP(A30,[1]Hoja3!$C$3:$D$14,2,FALSE)</f>
        <v>ENERO</v>
      </c>
      <c r="C30" s="108">
        <v>45315.004583333335</v>
      </c>
      <c r="D30" s="109" t="s">
        <v>383</v>
      </c>
      <c r="E30" s="109" t="s">
        <v>399</v>
      </c>
      <c r="F30" s="110" t="s">
        <v>442</v>
      </c>
      <c r="G30" s="110" t="str">
        <f t="shared" si="1"/>
        <v>ENERO</v>
      </c>
      <c r="H30" s="47">
        <v>20000</v>
      </c>
      <c r="I30" s="102" t="str">
        <f t="shared" si="2"/>
        <v>ENERO</v>
      </c>
      <c r="J30">
        <v>0</v>
      </c>
      <c r="K30" t="str">
        <f t="shared" si="3"/>
        <v>ENERO</v>
      </c>
      <c r="L30" s="111">
        <f t="shared" si="4"/>
        <v>0</v>
      </c>
      <c r="M30" s="112">
        <f t="shared" si="5"/>
        <v>20000</v>
      </c>
      <c r="N30" s="112">
        <f t="shared" si="6"/>
        <v>20000</v>
      </c>
      <c r="O30" t="s">
        <v>451</v>
      </c>
      <c r="P30" s="102">
        <f t="shared" si="7"/>
        <v>20000</v>
      </c>
      <c r="Q30" s="102">
        <f t="shared" si="8"/>
        <v>0</v>
      </c>
    </row>
    <row r="31" spans="1:17" x14ac:dyDescent="0.35">
      <c r="A31" s="106">
        <f t="shared" si="0"/>
        <v>1</v>
      </c>
      <c r="B31" s="107" t="str">
        <f>VLOOKUP(A31,[1]Hoja3!$C$3:$D$14,2,FALSE)</f>
        <v>ENERO</v>
      </c>
      <c r="C31" s="108">
        <v>45316.846539351849</v>
      </c>
      <c r="D31" s="109" t="s">
        <v>385</v>
      </c>
      <c r="E31" s="109" t="s">
        <v>401</v>
      </c>
      <c r="F31" s="110" t="s">
        <v>443</v>
      </c>
      <c r="G31" s="110" t="str">
        <f t="shared" si="1"/>
        <v>ENERO</v>
      </c>
      <c r="H31" s="47">
        <v>984.34</v>
      </c>
      <c r="I31" s="102" t="str">
        <f t="shared" si="2"/>
        <v>ENERO</v>
      </c>
      <c r="J31">
        <v>153.18</v>
      </c>
      <c r="K31" t="str">
        <f t="shared" si="3"/>
        <v>ENERO</v>
      </c>
      <c r="L31" s="111">
        <f t="shared" si="4"/>
        <v>957.375</v>
      </c>
      <c r="M31" s="112">
        <f t="shared" si="5"/>
        <v>26.965000000000032</v>
      </c>
      <c r="N31" s="112">
        <f t="shared" si="6"/>
        <v>1137.52</v>
      </c>
      <c r="O31" t="s">
        <v>451</v>
      </c>
      <c r="P31" s="102">
        <f t="shared" si="7"/>
        <v>1137.52</v>
      </c>
      <c r="Q31" s="102">
        <f t="shared" si="8"/>
        <v>0</v>
      </c>
    </row>
    <row r="32" spans="1:17" x14ac:dyDescent="0.35">
      <c r="A32" s="106">
        <f t="shared" si="0"/>
        <v>1</v>
      </c>
      <c r="B32" s="107" t="str">
        <f>VLOOKUP(A32,[1]Hoja3!$C$3:$D$14,2,FALSE)</f>
        <v>ENERO</v>
      </c>
      <c r="C32" s="108">
        <v>45317.972592592596</v>
      </c>
      <c r="D32" s="109" t="s">
        <v>388</v>
      </c>
      <c r="E32" s="109" t="s">
        <v>404</v>
      </c>
      <c r="F32" s="110" t="s">
        <v>444</v>
      </c>
      <c r="G32" s="110" t="str">
        <f t="shared" si="1"/>
        <v>ENERO</v>
      </c>
      <c r="H32" s="47">
        <v>11620</v>
      </c>
      <c r="I32" s="102" t="str">
        <f t="shared" si="2"/>
        <v>ENERO</v>
      </c>
      <c r="J32">
        <v>0</v>
      </c>
      <c r="K32" t="str">
        <f t="shared" si="3"/>
        <v>ENERO</v>
      </c>
      <c r="L32" s="111">
        <f t="shared" si="4"/>
        <v>0</v>
      </c>
      <c r="M32" s="112">
        <f t="shared" si="5"/>
        <v>11620</v>
      </c>
      <c r="N32" s="112">
        <f t="shared" si="6"/>
        <v>11620</v>
      </c>
      <c r="O32" t="s">
        <v>451</v>
      </c>
      <c r="P32" s="102">
        <f t="shared" si="7"/>
        <v>11620</v>
      </c>
      <c r="Q32" s="102">
        <f t="shared" si="8"/>
        <v>0</v>
      </c>
    </row>
    <row r="33" spans="1:17" x14ac:dyDescent="0.35">
      <c r="A33" s="106">
        <f t="shared" si="0"/>
        <v>1</v>
      </c>
      <c r="B33" s="107" t="str">
        <f>VLOOKUP(A33,[1]Hoja3!$C$3:$D$14,2,FALSE)</f>
        <v>ENERO</v>
      </c>
      <c r="C33" s="108">
        <v>45319.549444444441</v>
      </c>
      <c r="D33" s="109" t="s">
        <v>386</v>
      </c>
      <c r="E33" s="109" t="s">
        <v>402</v>
      </c>
      <c r="F33" s="110" t="s">
        <v>445</v>
      </c>
      <c r="G33" s="110" t="str">
        <f t="shared" si="1"/>
        <v>ENERO</v>
      </c>
      <c r="H33" s="47">
        <v>0.01</v>
      </c>
      <c r="I33" s="102" t="str">
        <f t="shared" si="2"/>
        <v>ENERO</v>
      </c>
      <c r="J33"/>
      <c r="K33" t="str">
        <f t="shared" si="3"/>
        <v>ENERO</v>
      </c>
      <c r="L33" s="111">
        <f t="shared" si="4"/>
        <v>0</v>
      </c>
      <c r="M33" s="112">
        <f t="shared" si="5"/>
        <v>0.01</v>
      </c>
      <c r="N33" s="112">
        <f t="shared" si="6"/>
        <v>0.01</v>
      </c>
      <c r="O33" t="s">
        <v>451</v>
      </c>
      <c r="P33" s="102">
        <f t="shared" si="7"/>
        <v>0.01</v>
      </c>
      <c r="Q33" s="102">
        <f t="shared" si="8"/>
        <v>0</v>
      </c>
    </row>
    <row r="34" spans="1:17" x14ac:dyDescent="0.35">
      <c r="A34" s="106">
        <f t="shared" ref="A34:A65" si="9">IF(C34&gt;0,MONTH(C34),0)</f>
        <v>1</v>
      </c>
      <c r="B34" s="107" t="str">
        <f>VLOOKUP(A34,[1]Hoja3!$C$3:$D$14,2,FALSE)</f>
        <v>ENERO</v>
      </c>
      <c r="C34" s="108">
        <v>45322.404756944445</v>
      </c>
      <c r="D34" s="109" t="s">
        <v>270</v>
      </c>
      <c r="E34" s="109" t="s">
        <v>271</v>
      </c>
      <c r="F34" s="110" t="s">
        <v>446</v>
      </c>
      <c r="G34" s="110" t="str">
        <f t="shared" si="1"/>
        <v>ENERO</v>
      </c>
      <c r="H34" s="47">
        <v>8500</v>
      </c>
      <c r="I34" s="102" t="str">
        <f t="shared" ref="I34:I65" si="10">+B34</f>
        <v>ENERO</v>
      </c>
      <c r="J34">
        <v>0</v>
      </c>
      <c r="K34" t="str">
        <f t="shared" ref="K34:K65" si="11">+B34</f>
        <v>ENERO</v>
      </c>
      <c r="L34" s="111">
        <f t="shared" ref="L34:L65" si="12">+J34/0.16</f>
        <v>0</v>
      </c>
      <c r="M34" s="112">
        <f t="shared" ref="M34:M65" si="13">+H34-L34</f>
        <v>8500</v>
      </c>
      <c r="N34" s="112">
        <f t="shared" ref="N34:N65" si="14">+H34+J34</f>
        <v>8500</v>
      </c>
      <c r="O34" t="s">
        <v>451</v>
      </c>
      <c r="P34" s="102">
        <f t="shared" ref="P34:P65" si="15">+N34</f>
        <v>8500</v>
      </c>
      <c r="Q34" s="102">
        <f t="shared" ref="Q34:Q65" si="16">+N34-P34</f>
        <v>0</v>
      </c>
    </row>
    <row r="35" spans="1:17" x14ac:dyDescent="0.35">
      <c r="A35" s="106">
        <f t="shared" si="9"/>
        <v>1</v>
      </c>
      <c r="B35" s="107" t="str">
        <f>VLOOKUP(A35,[1]Hoja3!$C$3:$D$14,2,FALSE)</f>
        <v>ENERO</v>
      </c>
      <c r="C35" s="108">
        <v>45322.4062037037</v>
      </c>
      <c r="D35" s="109" t="s">
        <v>270</v>
      </c>
      <c r="E35" s="109" t="s">
        <v>271</v>
      </c>
      <c r="F35" s="110" t="s">
        <v>447</v>
      </c>
      <c r="G35" s="110" t="str">
        <f t="shared" si="1"/>
        <v>ENERO</v>
      </c>
      <c r="H35" s="47">
        <v>1880</v>
      </c>
      <c r="I35" s="102" t="str">
        <f t="shared" si="10"/>
        <v>ENERO</v>
      </c>
      <c r="J35">
        <v>0</v>
      </c>
      <c r="K35" t="str">
        <f t="shared" si="11"/>
        <v>ENERO</v>
      </c>
      <c r="L35" s="111">
        <f t="shared" si="12"/>
        <v>0</v>
      </c>
      <c r="M35" s="112">
        <f t="shared" si="13"/>
        <v>1880</v>
      </c>
      <c r="N35" s="112">
        <f t="shared" si="14"/>
        <v>1880</v>
      </c>
      <c r="O35" t="s">
        <v>451</v>
      </c>
      <c r="P35" s="102">
        <f t="shared" si="15"/>
        <v>1880</v>
      </c>
      <c r="Q35" s="102">
        <f t="shared" si="16"/>
        <v>0</v>
      </c>
    </row>
    <row r="36" spans="1:17" x14ac:dyDescent="0.35">
      <c r="A36" s="106">
        <f t="shared" si="9"/>
        <v>1</v>
      </c>
      <c r="B36" s="107" t="str">
        <f>VLOOKUP(A36,[1]Hoja3!$C$3:$D$14,2,FALSE)</f>
        <v>ENERO</v>
      </c>
      <c r="C36" s="108">
        <v>45322.807013888887</v>
      </c>
      <c r="D36" s="109" t="s">
        <v>397</v>
      </c>
      <c r="E36" s="109" t="s">
        <v>413</v>
      </c>
      <c r="F36" s="110" t="s">
        <v>448</v>
      </c>
      <c r="G36" s="110" t="str">
        <f t="shared" si="1"/>
        <v>ENERO</v>
      </c>
      <c r="H36" s="47">
        <v>1980</v>
      </c>
      <c r="I36" s="102" t="str">
        <f t="shared" si="10"/>
        <v>ENERO</v>
      </c>
      <c r="J36">
        <v>0</v>
      </c>
      <c r="K36" t="str">
        <f t="shared" si="11"/>
        <v>ENERO</v>
      </c>
      <c r="L36" s="111">
        <f t="shared" si="12"/>
        <v>0</v>
      </c>
      <c r="M36" s="112">
        <f t="shared" si="13"/>
        <v>1980</v>
      </c>
      <c r="N36" s="112">
        <f t="shared" si="14"/>
        <v>1980</v>
      </c>
      <c r="O36" t="s">
        <v>451</v>
      </c>
      <c r="P36" s="102">
        <f t="shared" si="15"/>
        <v>1980</v>
      </c>
      <c r="Q36" s="102">
        <f t="shared" si="16"/>
        <v>0</v>
      </c>
    </row>
    <row r="37" spans="1:17" x14ac:dyDescent="0.35">
      <c r="A37" s="106">
        <f t="shared" si="9"/>
        <v>1</v>
      </c>
      <c r="B37" s="107" t="str">
        <f>VLOOKUP(A37,[1]Hoja3!$C$3:$D$14,2,FALSE)</f>
        <v>ENERO</v>
      </c>
      <c r="C37" s="108">
        <v>45322.808703703704</v>
      </c>
      <c r="D37" s="109" t="s">
        <v>397</v>
      </c>
      <c r="E37" s="109" t="s">
        <v>413</v>
      </c>
      <c r="F37" s="110" t="s">
        <v>448</v>
      </c>
      <c r="G37" s="110" t="str">
        <f t="shared" si="1"/>
        <v>ENERO</v>
      </c>
      <c r="H37" s="47">
        <v>1980</v>
      </c>
      <c r="I37" s="102" t="str">
        <f t="shared" si="10"/>
        <v>ENERO</v>
      </c>
      <c r="J37">
        <v>0</v>
      </c>
      <c r="K37" t="str">
        <f t="shared" si="11"/>
        <v>ENERO</v>
      </c>
      <c r="L37" s="111">
        <f t="shared" si="12"/>
        <v>0</v>
      </c>
      <c r="M37" s="112">
        <f t="shared" si="13"/>
        <v>1980</v>
      </c>
      <c r="N37" s="112">
        <f t="shared" si="14"/>
        <v>1980</v>
      </c>
      <c r="O37" t="s">
        <v>451</v>
      </c>
      <c r="P37" s="102">
        <f t="shared" si="15"/>
        <v>1980</v>
      </c>
      <c r="Q37" s="102">
        <f t="shared" si="16"/>
        <v>0</v>
      </c>
    </row>
    <row r="38" spans="1:17" x14ac:dyDescent="0.35">
      <c r="A38" s="106">
        <f t="shared" si="9"/>
        <v>1</v>
      </c>
      <c r="B38" s="107" t="str">
        <f>VLOOKUP(A38,[1]Hoja3!$C$3:$D$14,2,FALSE)</f>
        <v>ENERO</v>
      </c>
      <c r="C38" s="108">
        <v>45322.810208333336</v>
      </c>
      <c r="D38" s="109" t="s">
        <v>397</v>
      </c>
      <c r="E38" s="109" t="s">
        <v>413</v>
      </c>
      <c r="F38" s="110" t="s">
        <v>448</v>
      </c>
      <c r="G38" s="110" t="str">
        <f t="shared" si="1"/>
        <v>ENERO</v>
      </c>
      <c r="H38" s="47">
        <v>1980</v>
      </c>
      <c r="I38" s="102" t="str">
        <f t="shared" si="10"/>
        <v>ENERO</v>
      </c>
      <c r="J38">
        <v>0</v>
      </c>
      <c r="K38" t="str">
        <f t="shared" si="11"/>
        <v>ENERO</v>
      </c>
      <c r="L38" s="111">
        <f t="shared" si="12"/>
        <v>0</v>
      </c>
      <c r="M38" s="112">
        <f t="shared" si="13"/>
        <v>1980</v>
      </c>
      <c r="N38" s="112">
        <f t="shared" si="14"/>
        <v>1980</v>
      </c>
      <c r="O38" t="s">
        <v>451</v>
      </c>
      <c r="P38" s="102">
        <f t="shared" si="15"/>
        <v>1980</v>
      </c>
      <c r="Q38" s="102">
        <f t="shared" si="16"/>
        <v>0</v>
      </c>
    </row>
    <row r="39" spans="1:17" x14ac:dyDescent="0.35">
      <c r="A39" s="106">
        <f t="shared" si="9"/>
        <v>1</v>
      </c>
      <c r="B39" s="107" t="str">
        <f>VLOOKUP(A39,[1]Hoja3!$C$3:$D$14,2,FALSE)</f>
        <v>ENERO</v>
      </c>
      <c r="C39" s="108">
        <v>45322.811909722222</v>
      </c>
      <c r="D39" s="109" t="s">
        <v>397</v>
      </c>
      <c r="E39" s="109" t="s">
        <v>413</v>
      </c>
      <c r="F39" s="110" t="s">
        <v>448</v>
      </c>
      <c r="G39" s="110" t="str">
        <f t="shared" si="1"/>
        <v>ENERO</v>
      </c>
      <c r="H39" s="47">
        <v>660</v>
      </c>
      <c r="I39" s="102" t="str">
        <f t="shared" si="10"/>
        <v>ENERO</v>
      </c>
      <c r="J39">
        <v>0</v>
      </c>
      <c r="K39" t="str">
        <f t="shared" si="11"/>
        <v>ENERO</v>
      </c>
      <c r="L39" s="111">
        <f t="shared" si="12"/>
        <v>0</v>
      </c>
      <c r="M39" s="112">
        <f t="shared" si="13"/>
        <v>660</v>
      </c>
      <c r="N39" s="112">
        <f t="shared" si="14"/>
        <v>660</v>
      </c>
      <c r="O39" t="s">
        <v>451</v>
      </c>
      <c r="P39" s="102">
        <f t="shared" si="15"/>
        <v>660</v>
      </c>
      <c r="Q39" s="102">
        <f t="shared" si="16"/>
        <v>0</v>
      </c>
    </row>
    <row r="40" spans="1:17" x14ac:dyDescent="0.35">
      <c r="A40" s="106">
        <f t="shared" si="9"/>
        <v>1</v>
      </c>
      <c r="B40" s="107" t="str">
        <f>VLOOKUP(A40,[1]Hoja3!$C$3:$D$14,2,FALSE)</f>
        <v>ENERO</v>
      </c>
      <c r="C40" s="108">
        <v>45322.813888888886</v>
      </c>
      <c r="D40" s="109" t="s">
        <v>385</v>
      </c>
      <c r="E40" s="109" t="s">
        <v>401</v>
      </c>
      <c r="F40" s="110" t="s">
        <v>449</v>
      </c>
      <c r="G40" s="110" t="str">
        <f t="shared" si="1"/>
        <v>ENERO</v>
      </c>
      <c r="H40" s="47">
        <v>982.49</v>
      </c>
      <c r="I40" s="102" t="str">
        <f t="shared" si="10"/>
        <v>ENERO</v>
      </c>
      <c r="J40">
        <v>152.91</v>
      </c>
      <c r="K40" t="str">
        <f t="shared" si="11"/>
        <v>ENERO</v>
      </c>
      <c r="L40" s="111">
        <f t="shared" si="12"/>
        <v>955.6875</v>
      </c>
      <c r="M40" s="112">
        <f t="shared" si="13"/>
        <v>26.802500000000009</v>
      </c>
      <c r="N40" s="112">
        <f t="shared" si="14"/>
        <v>1135.4000000000001</v>
      </c>
      <c r="O40" t="s">
        <v>451</v>
      </c>
      <c r="P40" s="102">
        <f t="shared" si="15"/>
        <v>1135.4000000000001</v>
      </c>
      <c r="Q40" s="102">
        <f t="shared" si="16"/>
        <v>0</v>
      </c>
    </row>
    <row r="41" spans="1:17" x14ac:dyDescent="0.35">
      <c r="A41" s="106">
        <f t="shared" si="9"/>
        <v>1</v>
      </c>
      <c r="B41" s="107" t="str">
        <f>VLOOKUP(A41,[1]Hoja3!$C$3:$D$14,2,FALSE)</f>
        <v>ENERO</v>
      </c>
      <c r="C41" s="108">
        <v>45322.959606481483</v>
      </c>
      <c r="D41" s="109" t="s">
        <v>388</v>
      </c>
      <c r="E41" s="109" t="s">
        <v>404</v>
      </c>
      <c r="F41" s="110" t="s">
        <v>450</v>
      </c>
      <c r="G41" s="110" t="str">
        <f t="shared" si="1"/>
        <v>ENERO</v>
      </c>
      <c r="H41" s="47">
        <v>25000</v>
      </c>
      <c r="I41" s="102" t="str">
        <f t="shared" si="10"/>
        <v>ENERO</v>
      </c>
      <c r="J41">
        <v>0</v>
      </c>
      <c r="K41" t="str">
        <f t="shared" si="11"/>
        <v>ENERO</v>
      </c>
      <c r="L41" s="111">
        <f t="shared" si="12"/>
        <v>0</v>
      </c>
      <c r="M41" s="112">
        <f t="shared" si="13"/>
        <v>25000</v>
      </c>
      <c r="N41" s="112">
        <f t="shared" si="14"/>
        <v>25000</v>
      </c>
      <c r="O41" t="s">
        <v>451</v>
      </c>
      <c r="P41" s="102">
        <f t="shared" si="15"/>
        <v>25000</v>
      </c>
      <c r="Q41" s="102">
        <f t="shared" si="16"/>
        <v>0</v>
      </c>
    </row>
    <row r="42" spans="1:17" x14ac:dyDescent="0.35">
      <c r="A42" s="106">
        <f t="shared" si="9"/>
        <v>2</v>
      </c>
      <c r="B42" s="107" t="str">
        <f>VLOOKUP(A42,[1]Hoja3!$C$3:$D$14,2,FALSE)</f>
        <v>FEBRERO</v>
      </c>
      <c r="C42" s="108">
        <v>45323.573425925926</v>
      </c>
      <c r="D42" s="109" t="s">
        <v>455</v>
      </c>
      <c r="E42" s="109" t="s">
        <v>458</v>
      </c>
      <c r="F42" s="110" t="s">
        <v>461</v>
      </c>
      <c r="G42" s="110"/>
      <c r="H42" s="47">
        <v>3712</v>
      </c>
      <c r="I42" s="102" t="str">
        <f t="shared" si="10"/>
        <v>FEBRERO</v>
      </c>
      <c r="J42">
        <f t="shared" ref="J42:J71" si="17">+H42*0.16</f>
        <v>593.91999999999996</v>
      </c>
      <c r="K42" t="str">
        <f t="shared" si="11"/>
        <v>FEBRERO</v>
      </c>
      <c r="L42" s="111">
        <f t="shared" si="12"/>
        <v>3711.9999999999995</v>
      </c>
      <c r="M42" s="112">
        <f t="shared" si="13"/>
        <v>0</v>
      </c>
      <c r="N42" s="112">
        <f t="shared" si="14"/>
        <v>4305.92</v>
      </c>
      <c r="O42" t="s">
        <v>451</v>
      </c>
      <c r="P42" s="102">
        <f t="shared" si="15"/>
        <v>4305.92</v>
      </c>
      <c r="Q42" s="102">
        <f t="shared" si="16"/>
        <v>0</v>
      </c>
    </row>
    <row r="43" spans="1:17" x14ac:dyDescent="0.35">
      <c r="A43" s="106">
        <f t="shared" si="9"/>
        <v>2</v>
      </c>
      <c r="B43" s="107" t="str">
        <f>VLOOKUP(A43,[1]Hoja3!$C$3:$D$14,2,FALSE)</f>
        <v>FEBRERO</v>
      </c>
      <c r="C43" s="108">
        <v>45323.828229166669</v>
      </c>
      <c r="D43" s="109" t="s">
        <v>382</v>
      </c>
      <c r="E43" s="109" t="s">
        <v>398</v>
      </c>
      <c r="F43" s="110" t="s">
        <v>414</v>
      </c>
      <c r="G43" s="110"/>
      <c r="H43" s="47">
        <v>629.82000000000005</v>
      </c>
      <c r="I43" s="102" t="str">
        <f t="shared" si="10"/>
        <v>FEBRERO</v>
      </c>
      <c r="J43">
        <f t="shared" si="17"/>
        <v>100.77120000000001</v>
      </c>
      <c r="K43" t="str">
        <f t="shared" si="11"/>
        <v>FEBRERO</v>
      </c>
      <c r="L43" s="111">
        <f t="shared" si="12"/>
        <v>629.82000000000005</v>
      </c>
      <c r="M43" s="112">
        <f t="shared" si="13"/>
        <v>0</v>
      </c>
      <c r="N43" s="112">
        <f t="shared" si="14"/>
        <v>730.59120000000007</v>
      </c>
      <c r="O43" t="s">
        <v>451</v>
      </c>
      <c r="P43" s="102">
        <f t="shared" si="15"/>
        <v>730.59120000000007</v>
      </c>
      <c r="Q43" s="102">
        <f t="shared" si="16"/>
        <v>0</v>
      </c>
    </row>
    <row r="44" spans="1:17" x14ac:dyDescent="0.35">
      <c r="A44" s="106">
        <f t="shared" si="9"/>
        <v>2</v>
      </c>
      <c r="B44" s="107" t="str">
        <f>VLOOKUP(A44,[1]Hoja3!$C$3:$D$14,2,FALSE)</f>
        <v>FEBRERO</v>
      </c>
      <c r="C44" s="108">
        <v>45328.589791666665</v>
      </c>
      <c r="D44" s="109" t="s">
        <v>387</v>
      </c>
      <c r="E44" s="109" t="s">
        <v>403</v>
      </c>
      <c r="F44" s="110" t="s">
        <v>462</v>
      </c>
      <c r="G44" s="110" t="str">
        <f t="shared" ref="G44:G71" si="18">+B44</f>
        <v>FEBRERO</v>
      </c>
      <c r="H44" s="47">
        <v>7671.47</v>
      </c>
      <c r="I44" s="102" t="str">
        <f t="shared" si="10"/>
        <v>FEBRERO</v>
      </c>
      <c r="J44">
        <f t="shared" si="17"/>
        <v>1227.4352000000001</v>
      </c>
      <c r="K44" t="str">
        <f t="shared" si="11"/>
        <v>FEBRERO</v>
      </c>
      <c r="L44" s="111">
        <f t="shared" si="12"/>
        <v>7671.47</v>
      </c>
      <c r="M44" s="112">
        <f t="shared" si="13"/>
        <v>0</v>
      </c>
      <c r="N44" s="112">
        <f t="shared" si="14"/>
        <v>8898.9052000000011</v>
      </c>
      <c r="O44" t="s">
        <v>451</v>
      </c>
      <c r="P44" s="102">
        <f t="shared" si="15"/>
        <v>8898.9052000000011</v>
      </c>
      <c r="Q44" s="102">
        <f t="shared" si="16"/>
        <v>0</v>
      </c>
    </row>
    <row r="45" spans="1:17" x14ac:dyDescent="0.35">
      <c r="A45" s="106">
        <f t="shared" si="9"/>
        <v>2</v>
      </c>
      <c r="B45" s="107" t="str">
        <f>VLOOKUP(A45,[1]Hoja3!$C$3:$D$14,2,FALSE)</f>
        <v>FEBRERO</v>
      </c>
      <c r="C45" s="108">
        <v>45328.644224537034</v>
      </c>
      <c r="D45" s="109" t="s">
        <v>456</v>
      </c>
      <c r="E45" s="109" t="s">
        <v>459</v>
      </c>
      <c r="F45" s="110" t="s">
        <v>463</v>
      </c>
      <c r="G45" s="110" t="str">
        <f t="shared" si="18"/>
        <v>FEBRERO</v>
      </c>
      <c r="H45" s="47">
        <v>985.77</v>
      </c>
      <c r="I45" s="102" t="str">
        <f t="shared" si="10"/>
        <v>FEBRERO</v>
      </c>
      <c r="J45">
        <f t="shared" si="17"/>
        <v>157.72319999999999</v>
      </c>
      <c r="K45" t="str">
        <f t="shared" si="11"/>
        <v>FEBRERO</v>
      </c>
      <c r="L45" s="111">
        <f t="shared" si="12"/>
        <v>985.77</v>
      </c>
      <c r="M45" s="112">
        <f t="shared" si="13"/>
        <v>0</v>
      </c>
      <c r="N45" s="112">
        <f t="shared" si="14"/>
        <v>1143.4931999999999</v>
      </c>
      <c r="O45" t="s">
        <v>451</v>
      </c>
      <c r="P45" s="102">
        <f t="shared" si="15"/>
        <v>1143.4931999999999</v>
      </c>
      <c r="Q45" s="102">
        <f t="shared" si="16"/>
        <v>0</v>
      </c>
    </row>
    <row r="46" spans="1:17" x14ac:dyDescent="0.35">
      <c r="A46" s="106">
        <f t="shared" si="9"/>
        <v>2</v>
      </c>
      <c r="B46" s="107" t="str">
        <f>VLOOKUP(A46,[1]Hoja3!$C$3:$D$14,2,FALSE)</f>
        <v>FEBRERO</v>
      </c>
      <c r="C46" s="108">
        <v>45329.506412037037</v>
      </c>
      <c r="D46" s="109" t="s">
        <v>392</v>
      </c>
      <c r="E46" s="109" t="s">
        <v>408</v>
      </c>
      <c r="F46" s="110" t="s">
        <v>464</v>
      </c>
      <c r="G46" s="110" t="str">
        <f t="shared" si="18"/>
        <v>FEBRERO</v>
      </c>
      <c r="H46" s="47">
        <v>3960</v>
      </c>
      <c r="I46" s="102" t="str">
        <f t="shared" si="10"/>
        <v>FEBRERO</v>
      </c>
      <c r="J46">
        <f t="shared" si="17"/>
        <v>633.6</v>
      </c>
      <c r="K46" t="str">
        <f t="shared" si="11"/>
        <v>FEBRERO</v>
      </c>
      <c r="L46" s="111">
        <f t="shared" si="12"/>
        <v>3960</v>
      </c>
      <c r="M46" s="112">
        <f t="shared" si="13"/>
        <v>0</v>
      </c>
      <c r="N46" s="112">
        <f t="shared" si="14"/>
        <v>4593.6000000000004</v>
      </c>
      <c r="O46" t="s">
        <v>451</v>
      </c>
      <c r="P46" s="102">
        <f t="shared" si="15"/>
        <v>4593.6000000000004</v>
      </c>
      <c r="Q46" s="102">
        <f t="shared" si="16"/>
        <v>0</v>
      </c>
    </row>
    <row r="47" spans="1:17" x14ac:dyDescent="0.35">
      <c r="A47" s="106">
        <f t="shared" si="9"/>
        <v>2</v>
      </c>
      <c r="B47" s="107" t="str">
        <f>VLOOKUP(A47,[1]Hoja3!$C$3:$D$14,2,FALSE)</f>
        <v>FEBRERO</v>
      </c>
      <c r="C47" s="108">
        <v>45329.751307870371</v>
      </c>
      <c r="D47" s="109" t="s">
        <v>394</v>
      </c>
      <c r="E47" s="109" t="s">
        <v>410</v>
      </c>
      <c r="F47" s="110" t="s">
        <v>465</v>
      </c>
      <c r="G47" s="110" t="str">
        <f t="shared" si="18"/>
        <v>FEBRERO</v>
      </c>
      <c r="H47" s="47">
        <v>36844.76</v>
      </c>
      <c r="I47" s="102" t="str">
        <f t="shared" si="10"/>
        <v>FEBRERO</v>
      </c>
      <c r="J47">
        <f t="shared" si="17"/>
        <v>5895.1616000000004</v>
      </c>
      <c r="K47" t="str">
        <f t="shared" si="11"/>
        <v>FEBRERO</v>
      </c>
      <c r="L47" s="111">
        <f t="shared" si="12"/>
        <v>36844.76</v>
      </c>
      <c r="M47" s="112">
        <f t="shared" si="13"/>
        <v>0</v>
      </c>
      <c r="N47" s="112">
        <f t="shared" si="14"/>
        <v>42739.921600000001</v>
      </c>
      <c r="O47" t="s">
        <v>451</v>
      </c>
      <c r="P47" s="102">
        <f t="shared" si="15"/>
        <v>42739.921600000001</v>
      </c>
      <c r="Q47" s="102">
        <f t="shared" si="16"/>
        <v>0</v>
      </c>
    </row>
    <row r="48" spans="1:17" x14ac:dyDescent="0.35">
      <c r="A48" s="106">
        <f t="shared" si="9"/>
        <v>2</v>
      </c>
      <c r="B48" s="107" t="str">
        <f>VLOOKUP(A48,[1]Hoja3!$C$3:$D$14,2,FALSE)</f>
        <v>FEBRERO</v>
      </c>
      <c r="C48" s="108">
        <v>45330.350706018522</v>
      </c>
      <c r="D48" s="109" t="s">
        <v>395</v>
      </c>
      <c r="E48" s="109" t="s">
        <v>411</v>
      </c>
      <c r="F48" s="110" t="s">
        <v>466</v>
      </c>
      <c r="G48" s="110" t="str">
        <f t="shared" si="18"/>
        <v>FEBRERO</v>
      </c>
      <c r="H48" s="47">
        <v>42.95</v>
      </c>
      <c r="I48" s="102" t="str">
        <f t="shared" si="10"/>
        <v>FEBRERO</v>
      </c>
      <c r="J48">
        <f t="shared" si="17"/>
        <v>6.8720000000000008</v>
      </c>
      <c r="K48" t="str">
        <f t="shared" si="11"/>
        <v>FEBRERO</v>
      </c>
      <c r="L48" s="111">
        <f t="shared" si="12"/>
        <v>42.95</v>
      </c>
      <c r="M48" s="112">
        <f t="shared" si="13"/>
        <v>0</v>
      </c>
      <c r="N48" s="112">
        <f t="shared" si="14"/>
        <v>49.822000000000003</v>
      </c>
      <c r="O48" t="s">
        <v>451</v>
      </c>
      <c r="P48" s="102">
        <f t="shared" si="15"/>
        <v>49.822000000000003</v>
      </c>
      <c r="Q48" s="102">
        <f t="shared" si="16"/>
        <v>0</v>
      </c>
    </row>
    <row r="49" spans="1:17" x14ac:dyDescent="0.35">
      <c r="A49" s="106">
        <f t="shared" si="9"/>
        <v>2</v>
      </c>
      <c r="B49" s="107" t="str">
        <f>VLOOKUP(A49,[1]Hoja3!$C$3:$D$14,2,FALSE)</f>
        <v>FEBRERO</v>
      </c>
      <c r="C49" s="108">
        <v>45330.350706018522</v>
      </c>
      <c r="D49" s="109" t="s">
        <v>395</v>
      </c>
      <c r="E49" s="109" t="s">
        <v>411</v>
      </c>
      <c r="F49" s="110" t="s">
        <v>467</v>
      </c>
      <c r="G49" s="110" t="str">
        <f t="shared" si="18"/>
        <v>FEBRERO</v>
      </c>
      <c r="H49" s="47">
        <v>0.15</v>
      </c>
      <c r="I49" s="102" t="str">
        <f t="shared" si="10"/>
        <v>FEBRERO</v>
      </c>
      <c r="J49">
        <f t="shared" si="17"/>
        <v>2.4E-2</v>
      </c>
      <c r="K49" t="str">
        <f t="shared" si="11"/>
        <v>FEBRERO</v>
      </c>
      <c r="L49" s="111">
        <f t="shared" si="12"/>
        <v>0.15</v>
      </c>
      <c r="M49" s="112">
        <f t="shared" si="13"/>
        <v>0</v>
      </c>
      <c r="N49" s="112">
        <f t="shared" si="14"/>
        <v>0.17399999999999999</v>
      </c>
      <c r="O49" t="s">
        <v>451</v>
      </c>
      <c r="P49" s="102">
        <f t="shared" si="15"/>
        <v>0.17399999999999999</v>
      </c>
      <c r="Q49" s="102">
        <f t="shared" si="16"/>
        <v>0</v>
      </c>
    </row>
    <row r="50" spans="1:17" x14ac:dyDescent="0.35">
      <c r="A50" s="106">
        <f t="shared" si="9"/>
        <v>2</v>
      </c>
      <c r="B50" s="107" t="str">
        <f>VLOOKUP(A50,[1]Hoja3!$C$3:$D$14,2,FALSE)</f>
        <v>FEBRERO</v>
      </c>
      <c r="C50" s="108">
        <v>45330.406527777777</v>
      </c>
      <c r="D50" s="109" t="s">
        <v>386</v>
      </c>
      <c r="E50" s="109" t="s">
        <v>402</v>
      </c>
      <c r="F50" s="110" t="s">
        <v>418</v>
      </c>
      <c r="G50" s="110" t="str">
        <f t="shared" si="18"/>
        <v>FEBRERO</v>
      </c>
      <c r="H50" s="47">
        <v>0.01</v>
      </c>
      <c r="I50" s="102" t="str">
        <f t="shared" si="10"/>
        <v>FEBRERO</v>
      </c>
      <c r="J50">
        <f t="shared" si="17"/>
        <v>1.6000000000000001E-3</v>
      </c>
      <c r="K50" t="str">
        <f t="shared" si="11"/>
        <v>FEBRERO</v>
      </c>
      <c r="L50" s="111">
        <f t="shared" si="12"/>
        <v>0.01</v>
      </c>
      <c r="M50" s="112">
        <f t="shared" si="13"/>
        <v>0</v>
      </c>
      <c r="N50" s="112">
        <f t="shared" si="14"/>
        <v>1.1600000000000001E-2</v>
      </c>
      <c r="O50" t="s">
        <v>451</v>
      </c>
      <c r="P50" s="102">
        <f t="shared" si="15"/>
        <v>1.1600000000000001E-2</v>
      </c>
      <c r="Q50" s="102">
        <f t="shared" si="16"/>
        <v>0</v>
      </c>
    </row>
    <row r="51" spans="1:17" x14ac:dyDescent="0.35">
      <c r="A51" s="106">
        <f t="shared" si="9"/>
        <v>2</v>
      </c>
      <c r="B51" s="107" t="str">
        <f>VLOOKUP(A51,[1]Hoja3!$C$3:$D$14,2,FALSE)</f>
        <v>FEBRERO</v>
      </c>
      <c r="C51" s="108">
        <v>45333.657685185186</v>
      </c>
      <c r="D51" s="109" t="s">
        <v>388</v>
      </c>
      <c r="E51" s="109" t="s">
        <v>404</v>
      </c>
      <c r="F51" s="110" t="s">
        <v>468</v>
      </c>
      <c r="G51" s="110" t="str">
        <f t="shared" si="18"/>
        <v>FEBRERO</v>
      </c>
      <c r="H51" s="47">
        <v>30000</v>
      </c>
      <c r="I51" s="102" t="str">
        <f t="shared" si="10"/>
        <v>FEBRERO</v>
      </c>
      <c r="J51">
        <f t="shared" si="17"/>
        <v>4800</v>
      </c>
      <c r="K51" t="str">
        <f t="shared" si="11"/>
        <v>FEBRERO</v>
      </c>
      <c r="L51" s="111">
        <f t="shared" si="12"/>
        <v>30000</v>
      </c>
      <c r="M51" s="112">
        <f t="shared" si="13"/>
        <v>0</v>
      </c>
      <c r="N51" s="112">
        <f t="shared" si="14"/>
        <v>34800</v>
      </c>
      <c r="O51" t="s">
        <v>451</v>
      </c>
      <c r="P51" s="102">
        <f t="shared" si="15"/>
        <v>34800</v>
      </c>
      <c r="Q51" s="102">
        <f t="shared" si="16"/>
        <v>0</v>
      </c>
    </row>
    <row r="52" spans="1:17" x14ac:dyDescent="0.35">
      <c r="A52" s="106">
        <f t="shared" si="9"/>
        <v>2</v>
      </c>
      <c r="B52" s="107" t="str">
        <f>VLOOKUP(A52,[1]Hoja3!$C$3:$D$14,2,FALSE)</f>
        <v>FEBRERO</v>
      </c>
      <c r="C52" s="108">
        <v>45333.833344907405</v>
      </c>
      <c r="D52" s="109" t="s">
        <v>396</v>
      </c>
      <c r="E52" s="109" t="s">
        <v>412</v>
      </c>
      <c r="F52" s="110" t="s">
        <v>469</v>
      </c>
      <c r="G52" s="110" t="str">
        <f t="shared" si="18"/>
        <v>FEBRERO</v>
      </c>
      <c r="H52" s="47">
        <v>0</v>
      </c>
      <c r="I52" s="102" t="str">
        <f t="shared" si="10"/>
        <v>FEBRERO</v>
      </c>
      <c r="J52">
        <f t="shared" si="17"/>
        <v>0</v>
      </c>
      <c r="K52" t="str">
        <f t="shared" si="11"/>
        <v>FEBRERO</v>
      </c>
      <c r="L52" s="111">
        <f t="shared" si="12"/>
        <v>0</v>
      </c>
      <c r="M52" s="112">
        <f t="shared" si="13"/>
        <v>0</v>
      </c>
      <c r="N52" s="112">
        <f t="shared" si="14"/>
        <v>0</v>
      </c>
      <c r="P52" s="102">
        <f t="shared" si="15"/>
        <v>0</v>
      </c>
      <c r="Q52" s="102">
        <f t="shared" si="16"/>
        <v>0</v>
      </c>
    </row>
    <row r="53" spans="1:17" x14ac:dyDescent="0.35">
      <c r="A53" s="106">
        <f t="shared" si="9"/>
        <v>2</v>
      </c>
      <c r="B53" s="107" t="str">
        <f>VLOOKUP(A53,[1]Hoja3!$C$3:$D$14,2,FALSE)</f>
        <v>FEBRERO</v>
      </c>
      <c r="C53" s="108">
        <v>45333.833344907405</v>
      </c>
      <c r="D53" s="109" t="s">
        <v>395</v>
      </c>
      <c r="E53" s="109" t="s">
        <v>411</v>
      </c>
      <c r="F53" s="110" t="s">
        <v>470</v>
      </c>
      <c r="G53" s="110" t="str">
        <f t="shared" si="18"/>
        <v>FEBRERO</v>
      </c>
      <c r="H53" s="47">
        <v>0</v>
      </c>
      <c r="I53" s="102" t="str">
        <f t="shared" si="10"/>
        <v>FEBRERO</v>
      </c>
      <c r="J53">
        <f t="shared" si="17"/>
        <v>0</v>
      </c>
      <c r="K53" t="str">
        <f t="shared" si="11"/>
        <v>FEBRERO</v>
      </c>
      <c r="L53" s="111">
        <f t="shared" si="12"/>
        <v>0</v>
      </c>
      <c r="M53" s="112">
        <f t="shared" si="13"/>
        <v>0</v>
      </c>
      <c r="N53" s="112">
        <f t="shared" si="14"/>
        <v>0</v>
      </c>
      <c r="P53" s="102">
        <f t="shared" si="15"/>
        <v>0</v>
      </c>
      <c r="Q53" s="102">
        <f t="shared" si="16"/>
        <v>0</v>
      </c>
    </row>
    <row r="54" spans="1:17" x14ac:dyDescent="0.35">
      <c r="A54" s="106">
        <f t="shared" si="9"/>
        <v>2</v>
      </c>
      <c r="B54" s="107" t="str">
        <f>VLOOKUP(A54,[1]Hoja3!$C$3:$D$14,2,FALSE)</f>
        <v>FEBRERO</v>
      </c>
      <c r="C54" s="108">
        <v>45334.63789351852</v>
      </c>
      <c r="D54" s="109" t="s">
        <v>354</v>
      </c>
      <c r="E54" s="109" t="s">
        <v>353</v>
      </c>
      <c r="F54" s="110" t="s">
        <v>448</v>
      </c>
      <c r="G54" s="110" t="str">
        <f t="shared" si="18"/>
        <v>FEBRERO</v>
      </c>
      <c r="H54" s="47">
        <v>3127.21</v>
      </c>
      <c r="I54" s="102" t="str">
        <f t="shared" si="10"/>
        <v>FEBRERO</v>
      </c>
      <c r="J54">
        <f t="shared" si="17"/>
        <v>500.35360000000003</v>
      </c>
      <c r="K54" t="str">
        <f t="shared" si="11"/>
        <v>FEBRERO</v>
      </c>
      <c r="L54" s="111">
        <f t="shared" si="12"/>
        <v>3127.21</v>
      </c>
      <c r="M54" s="112">
        <f t="shared" si="13"/>
        <v>0</v>
      </c>
      <c r="N54" s="112">
        <f t="shared" si="14"/>
        <v>3627.5636</v>
      </c>
      <c r="O54" t="s">
        <v>451</v>
      </c>
      <c r="P54" s="102">
        <f t="shared" si="15"/>
        <v>3627.5636</v>
      </c>
      <c r="Q54" s="102">
        <f t="shared" si="16"/>
        <v>0</v>
      </c>
    </row>
    <row r="55" spans="1:17" x14ac:dyDescent="0.35">
      <c r="A55" s="106">
        <f t="shared" si="9"/>
        <v>2</v>
      </c>
      <c r="B55" s="107" t="str">
        <f>VLOOKUP(A55,[1]Hoja3!$C$3:$D$14,2,FALSE)</f>
        <v>FEBRERO</v>
      </c>
      <c r="C55" s="108">
        <v>45335.541180555556</v>
      </c>
      <c r="D55" s="109" t="s">
        <v>385</v>
      </c>
      <c r="E55" s="109" t="s">
        <v>401</v>
      </c>
      <c r="F55" s="110" t="s">
        <v>471</v>
      </c>
      <c r="G55" s="110" t="str">
        <f t="shared" si="18"/>
        <v>FEBRERO</v>
      </c>
      <c r="H55" s="47">
        <v>519.19000000000005</v>
      </c>
      <c r="I55" s="102" t="str">
        <f t="shared" si="10"/>
        <v>FEBRERO</v>
      </c>
      <c r="J55">
        <f t="shared" si="17"/>
        <v>83.070400000000006</v>
      </c>
      <c r="K55" t="str">
        <f t="shared" si="11"/>
        <v>FEBRERO</v>
      </c>
      <c r="L55" s="111">
        <f t="shared" si="12"/>
        <v>519.19000000000005</v>
      </c>
      <c r="M55" s="112">
        <f t="shared" si="13"/>
        <v>0</v>
      </c>
      <c r="N55" s="112">
        <f t="shared" si="14"/>
        <v>602.26040000000012</v>
      </c>
      <c r="O55" t="s">
        <v>451</v>
      </c>
      <c r="P55" s="102">
        <f t="shared" si="15"/>
        <v>602.26040000000012</v>
      </c>
      <c r="Q55" s="102">
        <f t="shared" si="16"/>
        <v>0</v>
      </c>
    </row>
    <row r="56" spans="1:17" x14ac:dyDescent="0.35">
      <c r="A56" s="106">
        <f t="shared" si="9"/>
        <v>2</v>
      </c>
      <c r="B56" s="107" t="str">
        <f>VLOOKUP(A56,[1]Hoja3!$C$3:$D$14,2,FALSE)</f>
        <v>FEBRERO</v>
      </c>
      <c r="C56" s="108">
        <v>45335.639456018522</v>
      </c>
      <c r="D56" s="109" t="s">
        <v>457</v>
      </c>
      <c r="E56" s="109" t="s">
        <v>460</v>
      </c>
      <c r="F56" s="110" t="s">
        <v>472</v>
      </c>
      <c r="G56" s="110" t="str">
        <f t="shared" si="18"/>
        <v>FEBRERO</v>
      </c>
      <c r="H56" s="47">
        <v>3690</v>
      </c>
      <c r="I56" s="102" t="str">
        <f t="shared" si="10"/>
        <v>FEBRERO</v>
      </c>
      <c r="J56">
        <f t="shared" si="17"/>
        <v>590.4</v>
      </c>
      <c r="K56" t="str">
        <f t="shared" si="11"/>
        <v>FEBRERO</v>
      </c>
      <c r="L56" s="111">
        <f t="shared" si="12"/>
        <v>3690</v>
      </c>
      <c r="M56" s="112">
        <f t="shared" si="13"/>
        <v>0</v>
      </c>
      <c r="N56" s="112">
        <f t="shared" si="14"/>
        <v>4280.3999999999996</v>
      </c>
      <c r="O56" t="s">
        <v>451</v>
      </c>
      <c r="P56" s="102">
        <f t="shared" si="15"/>
        <v>4280.3999999999996</v>
      </c>
      <c r="Q56" s="102">
        <f t="shared" si="16"/>
        <v>0</v>
      </c>
    </row>
    <row r="57" spans="1:17" x14ac:dyDescent="0.35">
      <c r="A57" s="106">
        <f t="shared" si="9"/>
        <v>2</v>
      </c>
      <c r="B57" s="107" t="str">
        <f>VLOOKUP(A57,[1]Hoja3!$C$3:$D$14,2,FALSE)</f>
        <v>FEBRERO</v>
      </c>
      <c r="C57" s="108">
        <v>45336.999039351853</v>
      </c>
      <c r="D57" s="109" t="s">
        <v>383</v>
      </c>
      <c r="E57" s="109" t="s">
        <v>399</v>
      </c>
      <c r="F57" s="110" t="s">
        <v>473</v>
      </c>
      <c r="G57" s="110" t="str">
        <f t="shared" si="18"/>
        <v>FEBRERO</v>
      </c>
      <c r="H57" s="47">
        <v>31180</v>
      </c>
      <c r="I57" s="102" t="str">
        <f t="shared" si="10"/>
        <v>FEBRERO</v>
      </c>
      <c r="J57">
        <f t="shared" si="17"/>
        <v>4988.8</v>
      </c>
      <c r="K57" t="str">
        <f t="shared" si="11"/>
        <v>FEBRERO</v>
      </c>
      <c r="L57" s="111">
        <f t="shared" si="12"/>
        <v>31180</v>
      </c>
      <c r="M57" s="112">
        <f t="shared" si="13"/>
        <v>0</v>
      </c>
      <c r="N57" s="112">
        <f t="shared" si="14"/>
        <v>36168.800000000003</v>
      </c>
      <c r="O57" t="s">
        <v>451</v>
      </c>
      <c r="P57" s="102">
        <f t="shared" si="15"/>
        <v>36168.800000000003</v>
      </c>
      <c r="Q57" s="102">
        <f t="shared" si="16"/>
        <v>0</v>
      </c>
    </row>
    <row r="58" spans="1:17" x14ac:dyDescent="0.35">
      <c r="A58" s="106">
        <f t="shared" si="9"/>
        <v>2</v>
      </c>
      <c r="B58" s="107" t="str">
        <f>VLOOKUP(A58,[1]Hoja3!$C$3:$D$14,2,FALSE)</f>
        <v>FEBRERO</v>
      </c>
      <c r="C58" s="108">
        <v>45337.043240740742</v>
      </c>
      <c r="D58" s="109" t="s">
        <v>390</v>
      </c>
      <c r="E58" s="109" t="s">
        <v>406</v>
      </c>
      <c r="F58" s="110" t="s">
        <v>474</v>
      </c>
      <c r="G58" s="110" t="str">
        <f t="shared" si="18"/>
        <v>FEBRERO</v>
      </c>
      <c r="H58" s="47">
        <v>2327.59</v>
      </c>
      <c r="I58" s="102" t="str">
        <f t="shared" si="10"/>
        <v>FEBRERO</v>
      </c>
      <c r="J58">
        <f t="shared" si="17"/>
        <v>372.41440000000006</v>
      </c>
      <c r="K58" t="str">
        <f t="shared" si="11"/>
        <v>FEBRERO</v>
      </c>
      <c r="L58" s="111">
        <f t="shared" si="12"/>
        <v>2327.59</v>
      </c>
      <c r="M58" s="112">
        <f t="shared" si="13"/>
        <v>0</v>
      </c>
      <c r="N58" s="112">
        <f t="shared" si="14"/>
        <v>2700.0044000000003</v>
      </c>
      <c r="O58" t="s">
        <v>451</v>
      </c>
      <c r="P58" s="102">
        <f t="shared" si="15"/>
        <v>2700.0044000000003</v>
      </c>
      <c r="Q58" s="102">
        <f t="shared" si="16"/>
        <v>0</v>
      </c>
    </row>
    <row r="59" spans="1:17" x14ac:dyDescent="0.35">
      <c r="A59" s="106">
        <f t="shared" si="9"/>
        <v>2</v>
      </c>
      <c r="B59" s="107" t="str">
        <f>VLOOKUP(A59,[1]Hoja3!$C$3:$D$14,2,FALSE)</f>
        <v>FEBRERO</v>
      </c>
      <c r="C59" s="108">
        <v>45337.428703703707</v>
      </c>
      <c r="D59" s="109" t="s">
        <v>393</v>
      </c>
      <c r="E59" s="109" t="s">
        <v>409</v>
      </c>
      <c r="F59" s="110" t="s">
        <v>475</v>
      </c>
      <c r="G59" s="110" t="str">
        <f t="shared" si="18"/>
        <v>FEBRERO</v>
      </c>
      <c r="H59" s="47">
        <v>0</v>
      </c>
      <c r="I59" s="102" t="str">
        <f t="shared" si="10"/>
        <v>FEBRERO</v>
      </c>
      <c r="J59">
        <f t="shared" si="17"/>
        <v>0</v>
      </c>
      <c r="K59" t="str">
        <f t="shared" si="11"/>
        <v>FEBRERO</v>
      </c>
      <c r="L59" s="111">
        <f t="shared" si="12"/>
        <v>0</v>
      </c>
      <c r="M59" s="112">
        <f t="shared" si="13"/>
        <v>0</v>
      </c>
      <c r="N59" s="112">
        <f t="shared" si="14"/>
        <v>0</v>
      </c>
      <c r="P59" s="102">
        <f t="shared" si="15"/>
        <v>0</v>
      </c>
      <c r="Q59" s="102">
        <f t="shared" si="16"/>
        <v>0</v>
      </c>
    </row>
    <row r="60" spans="1:17" x14ac:dyDescent="0.35">
      <c r="A60" s="106">
        <f t="shared" si="9"/>
        <v>2</v>
      </c>
      <c r="B60" s="107" t="str">
        <f>VLOOKUP(A60,[1]Hoja3!$C$3:$D$14,2,FALSE)</f>
        <v>FEBRERO</v>
      </c>
      <c r="C60" s="108">
        <v>45337.561377314814</v>
      </c>
      <c r="D60" s="109" t="s">
        <v>389</v>
      </c>
      <c r="E60" s="109" t="s">
        <v>405</v>
      </c>
      <c r="F60" s="110" t="s">
        <v>476</v>
      </c>
      <c r="G60" s="110" t="str">
        <f t="shared" si="18"/>
        <v>FEBRERO</v>
      </c>
      <c r="H60" s="47">
        <v>13000</v>
      </c>
      <c r="I60" s="102" t="str">
        <f t="shared" si="10"/>
        <v>FEBRERO</v>
      </c>
      <c r="J60">
        <f t="shared" si="17"/>
        <v>2080</v>
      </c>
      <c r="K60" t="str">
        <f t="shared" si="11"/>
        <v>FEBRERO</v>
      </c>
      <c r="L60" s="111">
        <f t="shared" si="12"/>
        <v>13000</v>
      </c>
      <c r="M60" s="112">
        <f t="shared" si="13"/>
        <v>0</v>
      </c>
      <c r="N60" s="112">
        <f t="shared" si="14"/>
        <v>15080</v>
      </c>
      <c r="O60" t="s">
        <v>451</v>
      </c>
      <c r="P60" s="102">
        <f t="shared" si="15"/>
        <v>15080</v>
      </c>
      <c r="Q60" s="102">
        <f t="shared" si="16"/>
        <v>0</v>
      </c>
    </row>
    <row r="61" spans="1:17" x14ac:dyDescent="0.35">
      <c r="A61" s="106">
        <f t="shared" si="9"/>
        <v>2</v>
      </c>
      <c r="B61" s="107" t="str">
        <f>VLOOKUP(A61,[1]Hoja3!$C$3:$D$14,2,FALSE)</f>
        <v>FEBRERO</v>
      </c>
      <c r="C61" s="108">
        <v>45339.857349537036</v>
      </c>
      <c r="D61" s="109" t="s">
        <v>385</v>
      </c>
      <c r="E61" s="109" t="s">
        <v>401</v>
      </c>
      <c r="F61" s="110" t="s">
        <v>477</v>
      </c>
      <c r="G61" s="110" t="str">
        <f t="shared" si="18"/>
        <v>FEBRERO</v>
      </c>
      <c r="H61" s="47">
        <v>1105.69</v>
      </c>
      <c r="I61" s="102" t="str">
        <f t="shared" si="10"/>
        <v>FEBRERO</v>
      </c>
      <c r="J61">
        <f t="shared" si="17"/>
        <v>176.91040000000001</v>
      </c>
      <c r="K61" t="str">
        <f t="shared" si="11"/>
        <v>FEBRERO</v>
      </c>
      <c r="L61" s="111">
        <f t="shared" si="12"/>
        <v>1105.69</v>
      </c>
      <c r="M61" s="112">
        <f t="shared" si="13"/>
        <v>0</v>
      </c>
      <c r="N61" s="112">
        <f t="shared" si="14"/>
        <v>1282.6004</v>
      </c>
      <c r="O61" t="s">
        <v>451</v>
      </c>
      <c r="P61" s="102">
        <f t="shared" si="15"/>
        <v>1282.6004</v>
      </c>
      <c r="Q61" s="102">
        <f t="shared" si="16"/>
        <v>0</v>
      </c>
    </row>
    <row r="62" spans="1:17" x14ac:dyDescent="0.35">
      <c r="A62" s="106">
        <f t="shared" si="9"/>
        <v>2</v>
      </c>
      <c r="B62" s="107" t="str">
        <f>VLOOKUP(A62,[1]Hoja3!$C$3:$D$14,2,FALSE)</f>
        <v>FEBRERO</v>
      </c>
      <c r="C62" s="108">
        <v>45342.596666666665</v>
      </c>
      <c r="D62" s="109" t="s">
        <v>387</v>
      </c>
      <c r="E62" s="109" t="s">
        <v>403</v>
      </c>
      <c r="F62" s="110" t="s">
        <v>478</v>
      </c>
      <c r="G62" s="110" t="str">
        <f t="shared" si="18"/>
        <v>FEBRERO</v>
      </c>
      <c r="H62" s="47">
        <v>1704.72</v>
      </c>
      <c r="I62" s="102" t="str">
        <f t="shared" si="10"/>
        <v>FEBRERO</v>
      </c>
      <c r="J62">
        <f t="shared" si="17"/>
        <v>272.7552</v>
      </c>
      <c r="K62" t="str">
        <f t="shared" si="11"/>
        <v>FEBRERO</v>
      </c>
      <c r="L62" s="111">
        <f t="shared" si="12"/>
        <v>1704.72</v>
      </c>
      <c r="M62" s="112">
        <f t="shared" si="13"/>
        <v>0</v>
      </c>
      <c r="N62" s="112">
        <f t="shared" si="14"/>
        <v>1977.4752000000001</v>
      </c>
      <c r="O62" t="s">
        <v>451</v>
      </c>
      <c r="P62" s="102">
        <f t="shared" si="15"/>
        <v>1977.4752000000001</v>
      </c>
      <c r="Q62" s="102">
        <f t="shared" si="16"/>
        <v>0</v>
      </c>
    </row>
    <row r="63" spans="1:17" x14ac:dyDescent="0.35">
      <c r="A63" s="106">
        <f t="shared" si="9"/>
        <v>2</v>
      </c>
      <c r="B63" s="107" t="str">
        <f>VLOOKUP(A63,[1]Hoja3!$C$3:$D$14,2,FALSE)</f>
        <v>FEBRERO</v>
      </c>
      <c r="C63" s="108">
        <v>45342.596944444442</v>
      </c>
      <c r="D63" s="109" t="s">
        <v>387</v>
      </c>
      <c r="E63" s="109" t="s">
        <v>403</v>
      </c>
      <c r="F63" s="110" t="s">
        <v>479</v>
      </c>
      <c r="G63" s="110" t="str">
        <f t="shared" si="18"/>
        <v>FEBRERO</v>
      </c>
      <c r="H63" s="47">
        <v>1201.5999999999999</v>
      </c>
      <c r="I63" s="102" t="str">
        <f t="shared" si="10"/>
        <v>FEBRERO</v>
      </c>
      <c r="J63">
        <f t="shared" si="17"/>
        <v>192.256</v>
      </c>
      <c r="K63" t="str">
        <f t="shared" si="11"/>
        <v>FEBRERO</v>
      </c>
      <c r="L63" s="111">
        <f t="shared" si="12"/>
        <v>1201.5999999999999</v>
      </c>
      <c r="M63" s="112">
        <f t="shared" si="13"/>
        <v>0</v>
      </c>
      <c r="N63" s="112">
        <f t="shared" si="14"/>
        <v>1393.856</v>
      </c>
      <c r="O63" t="s">
        <v>451</v>
      </c>
      <c r="P63" s="102">
        <f t="shared" si="15"/>
        <v>1393.856</v>
      </c>
      <c r="Q63" s="102">
        <f t="shared" si="16"/>
        <v>0</v>
      </c>
    </row>
    <row r="64" spans="1:17" x14ac:dyDescent="0.35">
      <c r="A64" s="106">
        <f t="shared" si="9"/>
        <v>2</v>
      </c>
      <c r="B64" s="107" t="str">
        <f>VLOOKUP(A64,[1]Hoja3!$C$3:$D$14,2,FALSE)</f>
        <v>FEBRERO</v>
      </c>
      <c r="C64" s="108">
        <v>45342.59716435185</v>
      </c>
      <c r="D64" s="109" t="s">
        <v>387</v>
      </c>
      <c r="E64" s="109" t="s">
        <v>403</v>
      </c>
      <c r="F64" s="110" t="s">
        <v>480</v>
      </c>
      <c r="G64" s="110" t="str">
        <f t="shared" si="18"/>
        <v>FEBRERO</v>
      </c>
      <c r="H64" s="47">
        <v>1916.34</v>
      </c>
      <c r="I64" s="102" t="str">
        <f t="shared" si="10"/>
        <v>FEBRERO</v>
      </c>
      <c r="J64">
        <f t="shared" si="17"/>
        <v>306.61439999999999</v>
      </c>
      <c r="K64" t="str">
        <f t="shared" si="11"/>
        <v>FEBRERO</v>
      </c>
      <c r="L64" s="111">
        <f t="shared" si="12"/>
        <v>1916.34</v>
      </c>
      <c r="M64" s="112">
        <f t="shared" si="13"/>
        <v>0</v>
      </c>
      <c r="N64" s="112">
        <f t="shared" si="14"/>
        <v>2222.9544000000001</v>
      </c>
      <c r="O64" t="s">
        <v>451</v>
      </c>
      <c r="P64" s="102">
        <f t="shared" si="15"/>
        <v>2222.9544000000001</v>
      </c>
      <c r="Q64" s="102">
        <f t="shared" si="16"/>
        <v>0</v>
      </c>
    </row>
    <row r="65" spans="1:17" x14ac:dyDescent="0.35">
      <c r="A65" s="106">
        <f t="shared" si="9"/>
        <v>2</v>
      </c>
      <c r="B65" s="107" t="str">
        <f>VLOOKUP(A65,[1]Hoja3!$C$3:$D$14,2,FALSE)</f>
        <v>FEBRERO</v>
      </c>
      <c r="C65" s="108">
        <v>45343.521874999999</v>
      </c>
      <c r="D65" s="109" t="s">
        <v>392</v>
      </c>
      <c r="E65" s="109" t="s">
        <v>408</v>
      </c>
      <c r="F65" s="110" t="s">
        <v>481</v>
      </c>
      <c r="G65" s="110" t="str">
        <f t="shared" si="18"/>
        <v>FEBRERO</v>
      </c>
      <c r="H65" s="47">
        <v>5640</v>
      </c>
      <c r="I65" s="102" t="str">
        <f t="shared" si="10"/>
        <v>FEBRERO</v>
      </c>
      <c r="J65">
        <f t="shared" si="17"/>
        <v>902.4</v>
      </c>
      <c r="K65" t="str">
        <f t="shared" si="11"/>
        <v>FEBRERO</v>
      </c>
      <c r="L65" s="111">
        <f t="shared" si="12"/>
        <v>5640</v>
      </c>
      <c r="M65" s="112">
        <f t="shared" si="13"/>
        <v>0</v>
      </c>
      <c r="N65" s="112">
        <f t="shared" si="14"/>
        <v>6542.4</v>
      </c>
      <c r="O65" t="s">
        <v>451</v>
      </c>
      <c r="P65" s="102">
        <f t="shared" si="15"/>
        <v>6542.4</v>
      </c>
      <c r="Q65" s="102">
        <f t="shared" si="16"/>
        <v>0</v>
      </c>
    </row>
    <row r="66" spans="1:17" x14ac:dyDescent="0.35">
      <c r="A66" s="106">
        <f t="shared" ref="A66:A71" si="19">IF(C66&gt;0,MONTH(C66),0)</f>
        <v>2</v>
      </c>
      <c r="B66" s="107" t="str">
        <f>VLOOKUP(A66,[1]Hoja3!$C$3:$D$14,2,FALSE)</f>
        <v>FEBRERO</v>
      </c>
      <c r="C66" s="108">
        <v>45343.661504629628</v>
      </c>
      <c r="D66" s="109" t="s">
        <v>392</v>
      </c>
      <c r="E66" s="109" t="s">
        <v>408</v>
      </c>
      <c r="F66" s="110" t="s">
        <v>482</v>
      </c>
      <c r="G66" s="110" t="str">
        <f t="shared" si="18"/>
        <v>FEBRERO</v>
      </c>
      <c r="H66" s="47">
        <v>1980</v>
      </c>
      <c r="I66" s="102" t="str">
        <f t="shared" ref="I66:I71" si="20">+B66</f>
        <v>FEBRERO</v>
      </c>
      <c r="J66">
        <f t="shared" si="17"/>
        <v>316.8</v>
      </c>
      <c r="K66" t="str">
        <f t="shared" ref="K66:K71" si="21">+B66</f>
        <v>FEBRERO</v>
      </c>
      <c r="L66" s="111">
        <f t="shared" ref="L66:L71" si="22">+J66/0.16</f>
        <v>1980</v>
      </c>
      <c r="M66" s="112">
        <f t="shared" ref="M66:M71" si="23">+H66-L66</f>
        <v>0</v>
      </c>
      <c r="N66" s="112">
        <f t="shared" ref="N66:N71" si="24">+H66+J66</f>
        <v>2296.8000000000002</v>
      </c>
      <c r="O66" t="s">
        <v>451</v>
      </c>
      <c r="P66" s="102">
        <f t="shared" ref="P66:P84" si="25">+N66</f>
        <v>2296.8000000000002</v>
      </c>
      <c r="Q66" s="102">
        <f t="shared" ref="Q66:Q97" si="26">+N66-P66</f>
        <v>0</v>
      </c>
    </row>
    <row r="67" spans="1:17" x14ac:dyDescent="0.35">
      <c r="A67" s="106">
        <f t="shared" si="19"/>
        <v>2</v>
      </c>
      <c r="B67" s="107" t="str">
        <f>VLOOKUP(A67,[1]Hoja3!$C$3:$D$14,2,FALSE)</f>
        <v>FEBRERO</v>
      </c>
      <c r="C67" s="108">
        <v>45344.600949074076</v>
      </c>
      <c r="D67" s="109" t="s">
        <v>385</v>
      </c>
      <c r="E67" s="109" t="s">
        <v>401</v>
      </c>
      <c r="F67" s="110" t="s">
        <v>483</v>
      </c>
      <c r="G67" s="110" t="str">
        <f t="shared" si="18"/>
        <v>FEBRERO</v>
      </c>
      <c r="H67" s="47">
        <v>519.19000000000005</v>
      </c>
      <c r="I67" s="102" t="str">
        <f t="shared" si="20"/>
        <v>FEBRERO</v>
      </c>
      <c r="J67">
        <f t="shared" si="17"/>
        <v>83.070400000000006</v>
      </c>
      <c r="K67" t="str">
        <f t="shared" si="21"/>
        <v>FEBRERO</v>
      </c>
      <c r="L67" s="111">
        <f t="shared" si="22"/>
        <v>519.19000000000005</v>
      </c>
      <c r="M67" s="112">
        <f t="shared" si="23"/>
        <v>0</v>
      </c>
      <c r="N67" s="112">
        <f t="shared" si="24"/>
        <v>602.26040000000012</v>
      </c>
      <c r="O67" t="s">
        <v>451</v>
      </c>
      <c r="P67" s="102">
        <f t="shared" si="25"/>
        <v>602.26040000000012</v>
      </c>
      <c r="Q67" s="102">
        <f t="shared" si="26"/>
        <v>0</v>
      </c>
    </row>
    <row r="68" spans="1:17" x14ac:dyDescent="0.35">
      <c r="A68" s="106">
        <f t="shared" si="19"/>
        <v>2</v>
      </c>
      <c r="B68" s="107" t="str">
        <f>VLOOKUP(A68,[1]Hoja3!$C$3:$D$14,2,FALSE)</f>
        <v>FEBRERO</v>
      </c>
      <c r="C68" s="108">
        <v>45344.622870370367</v>
      </c>
      <c r="D68" s="109" t="s">
        <v>387</v>
      </c>
      <c r="E68" s="109" t="s">
        <v>403</v>
      </c>
      <c r="F68" s="110" t="s">
        <v>484</v>
      </c>
      <c r="G68" s="110" t="str">
        <f t="shared" si="18"/>
        <v>FEBRERO</v>
      </c>
      <c r="H68" s="47">
        <v>2682.56</v>
      </c>
      <c r="I68" s="102" t="str">
        <f t="shared" si="20"/>
        <v>FEBRERO</v>
      </c>
      <c r="J68">
        <f t="shared" si="17"/>
        <v>429.20960000000002</v>
      </c>
      <c r="K68" t="str">
        <f t="shared" si="21"/>
        <v>FEBRERO</v>
      </c>
      <c r="L68" s="111">
        <f t="shared" si="22"/>
        <v>2682.56</v>
      </c>
      <c r="M68" s="112">
        <f t="shared" si="23"/>
        <v>0</v>
      </c>
      <c r="N68" s="112">
        <f t="shared" si="24"/>
        <v>3111.7696000000001</v>
      </c>
      <c r="O68" t="s">
        <v>451</v>
      </c>
      <c r="P68" s="102">
        <f t="shared" si="25"/>
        <v>3111.7696000000001</v>
      </c>
      <c r="Q68" s="102">
        <f t="shared" si="26"/>
        <v>0</v>
      </c>
    </row>
    <row r="69" spans="1:17" x14ac:dyDescent="0.35">
      <c r="A69" s="106">
        <f t="shared" si="19"/>
        <v>2</v>
      </c>
      <c r="B69" s="107" t="str">
        <f>VLOOKUP(A69,[1]Hoja3!$C$3:$D$14,2,FALSE)</f>
        <v>FEBRERO</v>
      </c>
      <c r="C69" s="108">
        <v>45344.657546296294</v>
      </c>
      <c r="D69" s="109" t="s">
        <v>388</v>
      </c>
      <c r="E69" s="109" t="s">
        <v>404</v>
      </c>
      <c r="F69" s="110" t="s">
        <v>485</v>
      </c>
      <c r="G69" s="110" t="str">
        <f t="shared" si="18"/>
        <v>FEBRERO</v>
      </c>
      <c r="H69" s="47">
        <v>12085</v>
      </c>
      <c r="I69" s="102" t="str">
        <f t="shared" si="20"/>
        <v>FEBRERO</v>
      </c>
      <c r="J69">
        <f t="shared" si="17"/>
        <v>1933.6000000000001</v>
      </c>
      <c r="K69" t="str">
        <f t="shared" si="21"/>
        <v>FEBRERO</v>
      </c>
      <c r="L69" s="111">
        <f t="shared" si="22"/>
        <v>12085</v>
      </c>
      <c r="M69" s="112">
        <f t="shared" si="23"/>
        <v>0</v>
      </c>
      <c r="N69" s="112">
        <f t="shared" si="24"/>
        <v>14018.6</v>
      </c>
      <c r="O69" t="s">
        <v>451</v>
      </c>
      <c r="P69" s="102">
        <f t="shared" si="25"/>
        <v>14018.6</v>
      </c>
      <c r="Q69" s="102">
        <f t="shared" si="26"/>
        <v>0</v>
      </c>
    </row>
    <row r="70" spans="1:17" x14ac:dyDescent="0.35">
      <c r="A70" s="106">
        <f t="shared" si="19"/>
        <v>2</v>
      </c>
      <c r="B70" s="107" t="str">
        <f>VLOOKUP(A70,[1]Hoja3!$C$3:$D$14,2,FALSE)</f>
        <v>FEBRERO</v>
      </c>
      <c r="C70" s="108">
        <v>45344.659861111111</v>
      </c>
      <c r="D70" s="109" t="s">
        <v>388</v>
      </c>
      <c r="E70" s="109" t="s">
        <v>404</v>
      </c>
      <c r="F70" s="110" t="s">
        <v>486</v>
      </c>
      <c r="G70" s="110" t="str">
        <f t="shared" si="18"/>
        <v>FEBRERO</v>
      </c>
      <c r="H70" s="47">
        <v>2970</v>
      </c>
      <c r="I70" s="102" t="str">
        <f t="shared" si="20"/>
        <v>FEBRERO</v>
      </c>
      <c r="J70">
        <f t="shared" si="17"/>
        <v>475.2</v>
      </c>
      <c r="K70" t="str">
        <f t="shared" si="21"/>
        <v>FEBRERO</v>
      </c>
      <c r="L70" s="111">
        <f t="shared" si="22"/>
        <v>2970</v>
      </c>
      <c r="M70" s="112">
        <f t="shared" si="23"/>
        <v>0</v>
      </c>
      <c r="N70" s="112">
        <f t="shared" si="24"/>
        <v>3445.2</v>
      </c>
      <c r="O70" t="s">
        <v>451</v>
      </c>
      <c r="P70" s="102">
        <f t="shared" si="25"/>
        <v>3445.2</v>
      </c>
      <c r="Q70" s="102">
        <f t="shared" si="26"/>
        <v>0</v>
      </c>
    </row>
    <row r="71" spans="1:17" x14ac:dyDescent="0.35">
      <c r="A71" s="106">
        <f t="shared" si="19"/>
        <v>2</v>
      </c>
      <c r="B71" s="107" t="str">
        <f>VLOOKUP(A71,[1]Hoja3!$C$3:$D$14,2,FALSE)</f>
        <v>FEBRERO</v>
      </c>
      <c r="C71" s="108">
        <v>45344.773611111108</v>
      </c>
      <c r="D71" s="109" t="s">
        <v>387</v>
      </c>
      <c r="E71" s="109" t="s">
        <v>403</v>
      </c>
      <c r="F71" s="110" t="s">
        <v>487</v>
      </c>
      <c r="G71" s="110" t="str">
        <f t="shared" si="18"/>
        <v>FEBRERO</v>
      </c>
      <c r="H71" s="47">
        <v>2865.93</v>
      </c>
      <c r="I71" s="102" t="str">
        <f t="shared" si="20"/>
        <v>FEBRERO</v>
      </c>
      <c r="J71">
        <f t="shared" si="17"/>
        <v>458.54879999999997</v>
      </c>
      <c r="K71" t="str">
        <f t="shared" si="21"/>
        <v>FEBRERO</v>
      </c>
      <c r="L71" s="111">
        <f t="shared" si="22"/>
        <v>2865.93</v>
      </c>
      <c r="M71" s="112">
        <f t="shared" si="23"/>
        <v>0</v>
      </c>
      <c r="N71" s="112">
        <f t="shared" si="24"/>
        <v>3324.4787999999999</v>
      </c>
      <c r="O71" t="s">
        <v>451</v>
      </c>
      <c r="P71" s="102">
        <f t="shared" si="25"/>
        <v>3324.4787999999999</v>
      </c>
      <c r="Q71" s="102">
        <f t="shared" si="26"/>
        <v>0</v>
      </c>
    </row>
    <row r="72" spans="1:17" x14ac:dyDescent="0.35">
      <c r="A72" s="106"/>
      <c r="B72" s="107"/>
      <c r="C72" s="108"/>
      <c r="D72" s="109"/>
      <c r="E72" s="109"/>
      <c r="F72" s="110"/>
      <c r="G72" s="110"/>
      <c r="H72" s="47"/>
      <c r="I72" s="102"/>
      <c r="J72"/>
      <c r="K72"/>
      <c r="L72" s="111"/>
      <c r="M72" s="112"/>
      <c r="N72" s="112"/>
      <c r="P72" s="102">
        <f t="shared" si="25"/>
        <v>0</v>
      </c>
      <c r="Q72" s="102">
        <f t="shared" si="26"/>
        <v>0</v>
      </c>
    </row>
    <row r="73" spans="1:17" x14ac:dyDescent="0.35">
      <c r="A73" s="106">
        <f>IF(C73&gt;0,MONTH(C73),0)</f>
        <v>2</v>
      </c>
      <c r="B73" s="107" t="str">
        <f>VLOOKUP(A73,[1]Hoja3!$C$3:$D$14,2,FALSE)</f>
        <v>FEBRERO</v>
      </c>
      <c r="C73" s="108">
        <v>45346.509270833332</v>
      </c>
      <c r="D73" s="109" t="s">
        <v>383</v>
      </c>
      <c r="E73" s="109" t="s">
        <v>399</v>
      </c>
      <c r="F73" s="110" t="s">
        <v>488</v>
      </c>
      <c r="G73" s="110" t="str">
        <f>+B73</f>
        <v>FEBRERO</v>
      </c>
      <c r="H73" s="252">
        <v>18300</v>
      </c>
      <c r="I73" s="102" t="str">
        <f>+B73</f>
        <v>FEBRERO</v>
      </c>
      <c r="J73">
        <f>+H73*0.16</f>
        <v>2928</v>
      </c>
      <c r="K73" t="str">
        <f>+B73</f>
        <v>FEBRERO</v>
      </c>
      <c r="L73" s="111">
        <f>+J73/0.16</f>
        <v>18300</v>
      </c>
      <c r="M73" s="112">
        <f>+H73-L73</f>
        <v>0</v>
      </c>
      <c r="N73" s="112">
        <f>+H73+J73</f>
        <v>21228</v>
      </c>
      <c r="O73" s="102" t="s">
        <v>451</v>
      </c>
      <c r="P73" s="102">
        <f t="shared" si="25"/>
        <v>21228</v>
      </c>
      <c r="Q73" s="102">
        <f t="shared" si="26"/>
        <v>0</v>
      </c>
    </row>
    <row r="74" spans="1:17" x14ac:dyDescent="0.35">
      <c r="A74" s="106">
        <f>IF(C74&gt;0,MONTH(C74),0)</f>
        <v>2</v>
      </c>
      <c r="B74" s="107" t="str">
        <f>VLOOKUP(A74,[1]Hoja3!$C$3:$D$14,2,FALSE)</f>
        <v>FEBRERO</v>
      </c>
      <c r="C74" s="108">
        <v>45347.406759259262</v>
      </c>
      <c r="D74" s="109" t="s">
        <v>385</v>
      </c>
      <c r="E74" s="109" t="s">
        <v>401</v>
      </c>
      <c r="F74" s="110" t="s">
        <v>489</v>
      </c>
      <c r="G74" s="110" t="str">
        <f>+B74</f>
        <v>FEBRERO</v>
      </c>
      <c r="H74" s="252">
        <v>1122.55</v>
      </c>
      <c r="I74" s="102" t="str">
        <f>+B74</f>
        <v>FEBRERO</v>
      </c>
      <c r="J74">
        <f>+H74*0.16</f>
        <v>179.608</v>
      </c>
      <c r="K74" t="str">
        <f>+B74</f>
        <v>FEBRERO</v>
      </c>
      <c r="L74" s="111">
        <f>+J74/0.16</f>
        <v>1122.55</v>
      </c>
      <c r="M74" s="112">
        <f>+H74-L74</f>
        <v>0</v>
      </c>
      <c r="N74" s="112">
        <f>+H74+J74</f>
        <v>1302.1579999999999</v>
      </c>
      <c r="O74" t="s">
        <v>451</v>
      </c>
      <c r="P74" s="102">
        <f t="shared" si="25"/>
        <v>1302.1579999999999</v>
      </c>
      <c r="Q74" s="102">
        <f t="shared" si="26"/>
        <v>0</v>
      </c>
    </row>
    <row r="75" spans="1:17" x14ac:dyDescent="0.35">
      <c r="A75" s="106">
        <f>IF(C75&gt;0,MONTH(C75),0)</f>
        <v>2</v>
      </c>
      <c r="B75" s="107" t="str">
        <f>VLOOKUP(A75,[1]Hoja3!$C$3:$D$14,2,FALSE)</f>
        <v>FEBRERO</v>
      </c>
      <c r="C75" s="108">
        <v>45347.489120370374</v>
      </c>
      <c r="D75" s="109" t="s">
        <v>387</v>
      </c>
      <c r="E75" s="109" t="s">
        <v>403</v>
      </c>
      <c r="F75" s="110" t="s">
        <v>490</v>
      </c>
      <c r="G75" s="110" t="str">
        <f>+B75</f>
        <v>FEBRERO</v>
      </c>
      <c r="H75" s="252">
        <v>9158.52</v>
      </c>
      <c r="I75" s="102" t="str">
        <f>+B75</f>
        <v>FEBRERO</v>
      </c>
      <c r="J75">
        <f>+H75*0.16</f>
        <v>1465.3632</v>
      </c>
      <c r="K75" t="str">
        <f>+B75</f>
        <v>FEBRERO</v>
      </c>
      <c r="L75" s="111">
        <f>+J75/0.16</f>
        <v>9158.52</v>
      </c>
      <c r="M75" s="112">
        <f>+H75-L75</f>
        <v>0</v>
      </c>
      <c r="N75" s="112">
        <f>+H75+J75</f>
        <v>10623.8832</v>
      </c>
      <c r="O75" t="s">
        <v>451</v>
      </c>
      <c r="P75" s="102">
        <f t="shared" si="25"/>
        <v>10623.8832</v>
      </c>
      <c r="Q75" s="102">
        <f t="shared" si="26"/>
        <v>0</v>
      </c>
    </row>
    <row r="76" spans="1:17" x14ac:dyDescent="0.35">
      <c r="A76" s="106">
        <f>IF(C76&gt;0,MONTH(C76),0)</f>
        <v>2</v>
      </c>
      <c r="B76" s="107" t="str">
        <f>VLOOKUP(A76,[1]Hoja3!$C$3:$D$14,2,FALSE)</f>
        <v>FEBRERO</v>
      </c>
      <c r="C76" s="108">
        <v>45348.464328703703</v>
      </c>
      <c r="D76" s="109" t="s">
        <v>392</v>
      </c>
      <c r="E76" s="109" t="s">
        <v>408</v>
      </c>
      <c r="F76" s="110" t="s">
        <v>491</v>
      </c>
      <c r="G76" s="110" t="str">
        <f>+B76</f>
        <v>FEBRERO</v>
      </c>
      <c r="H76" s="252">
        <v>2640</v>
      </c>
      <c r="I76" s="102" t="str">
        <f>+B76</f>
        <v>FEBRERO</v>
      </c>
      <c r="J76">
        <f>+H76*0.16</f>
        <v>422.40000000000003</v>
      </c>
      <c r="K76" t="str">
        <f>+B76</f>
        <v>FEBRERO</v>
      </c>
      <c r="L76" s="111">
        <f>+J76/0.16</f>
        <v>2640</v>
      </c>
      <c r="M76" s="112">
        <f>+H76-L76</f>
        <v>0</v>
      </c>
      <c r="N76" s="112">
        <f>+H76+J76</f>
        <v>3062.4</v>
      </c>
      <c r="O76" t="s">
        <v>451</v>
      </c>
      <c r="P76" s="102">
        <f t="shared" si="25"/>
        <v>3062.4</v>
      </c>
      <c r="Q76" s="102">
        <f t="shared" si="26"/>
        <v>0</v>
      </c>
    </row>
    <row r="77" spans="1:17" x14ac:dyDescent="0.35">
      <c r="A77" s="106">
        <f>IF(C77&gt;0,MONTH(C77),0)</f>
        <v>2</v>
      </c>
      <c r="B77" s="107" t="str">
        <f>VLOOKUP(A77,[1]Hoja3!$C$3:$D$14,2,FALSE)</f>
        <v>FEBRERO</v>
      </c>
      <c r="C77" s="108">
        <v>45350.399745370371</v>
      </c>
      <c r="D77" s="109" t="s">
        <v>386</v>
      </c>
      <c r="E77" s="109" t="s">
        <v>402</v>
      </c>
      <c r="F77" s="110" t="s">
        <v>445</v>
      </c>
      <c r="G77" s="110" t="str">
        <f>+B77</f>
        <v>FEBRERO</v>
      </c>
      <c r="H77" s="252">
        <v>0.01</v>
      </c>
      <c r="I77" s="102" t="str">
        <f>+B77</f>
        <v>FEBRERO</v>
      </c>
      <c r="J77">
        <f>+H77*0.16</f>
        <v>1.6000000000000001E-3</v>
      </c>
      <c r="K77" t="str">
        <f>+B77</f>
        <v>FEBRERO</v>
      </c>
      <c r="L77" s="111">
        <f>+J77/0.16</f>
        <v>0.01</v>
      </c>
      <c r="M77" s="112">
        <f>+H77-L77</f>
        <v>0</v>
      </c>
      <c r="N77" s="112">
        <f>+H77+J77</f>
        <v>1.1600000000000001E-2</v>
      </c>
      <c r="O77" t="s">
        <v>451</v>
      </c>
      <c r="P77" s="102">
        <f t="shared" si="25"/>
        <v>1.1600000000000001E-2</v>
      </c>
      <c r="Q77" s="102">
        <f t="shared" si="26"/>
        <v>0</v>
      </c>
    </row>
    <row r="78" spans="1:17" x14ac:dyDescent="0.35">
      <c r="A78" s="106"/>
      <c r="B78" s="107"/>
      <c r="C78" s="108"/>
      <c r="D78" s="109"/>
      <c r="E78" s="109"/>
      <c r="F78" s="110"/>
      <c r="G78" s="110"/>
      <c r="H78" s="252"/>
      <c r="I78" s="102"/>
      <c r="J78"/>
      <c r="K78"/>
      <c r="L78" s="111"/>
      <c r="M78" s="112"/>
      <c r="N78" s="112"/>
      <c r="P78" s="102">
        <f t="shared" si="25"/>
        <v>0</v>
      </c>
      <c r="Q78" s="102">
        <f t="shared" si="26"/>
        <v>0</v>
      </c>
    </row>
    <row r="79" spans="1:17" x14ac:dyDescent="0.35">
      <c r="A79" s="106"/>
      <c r="B79" s="107"/>
      <c r="C79" s="108"/>
      <c r="D79" s="109"/>
      <c r="E79" s="109"/>
      <c r="F79" s="110"/>
      <c r="G79" s="110"/>
      <c r="H79" s="252"/>
      <c r="I79" s="102"/>
      <c r="J79"/>
      <c r="K79"/>
      <c r="L79" s="111"/>
      <c r="M79" s="112"/>
      <c r="N79" s="112"/>
      <c r="P79" s="102">
        <f t="shared" si="25"/>
        <v>0</v>
      </c>
      <c r="Q79" s="102">
        <f t="shared" si="26"/>
        <v>0</v>
      </c>
    </row>
    <row r="80" spans="1:17" x14ac:dyDescent="0.35">
      <c r="A80" s="106"/>
      <c r="B80" s="107"/>
      <c r="C80" s="108"/>
      <c r="D80" s="109"/>
      <c r="E80" s="109"/>
      <c r="F80" s="110"/>
      <c r="G80" s="110"/>
      <c r="H80" s="252"/>
      <c r="I80" s="102"/>
      <c r="J80"/>
      <c r="K80"/>
      <c r="L80" s="111"/>
      <c r="M80" s="112"/>
      <c r="N80" s="112"/>
      <c r="P80" s="102">
        <f t="shared" si="25"/>
        <v>0</v>
      </c>
      <c r="Q80" s="102">
        <f t="shared" si="26"/>
        <v>0</v>
      </c>
    </row>
    <row r="81" spans="1:17" x14ac:dyDescent="0.35">
      <c r="A81" s="106">
        <f t="shared" ref="A81:A119" si="27">IF(C81&gt;0,MONTH(C81),0)</f>
        <v>2</v>
      </c>
      <c r="B81" s="107" t="str">
        <f>VLOOKUP(A81,[1]Hoja3!$C$3:$D$14,2,FALSE)</f>
        <v>FEBRERO</v>
      </c>
      <c r="C81" s="108">
        <v>45350.602152777778</v>
      </c>
      <c r="D81" s="109" t="s">
        <v>394</v>
      </c>
      <c r="E81" s="109" t="s">
        <v>410</v>
      </c>
      <c r="F81" s="110" t="s">
        <v>492</v>
      </c>
      <c r="G81" s="110" t="str">
        <f t="shared" ref="G81:G119" si="28">+B81</f>
        <v>FEBRERO</v>
      </c>
      <c r="H81" s="252">
        <v>18000</v>
      </c>
      <c r="I81" s="102" t="str">
        <f t="shared" ref="I81:I119" si="29">+B81</f>
        <v>FEBRERO</v>
      </c>
      <c r="J81">
        <f>+H81*0.16</f>
        <v>2880</v>
      </c>
      <c r="K81" t="str">
        <f t="shared" ref="K81:K119" si="30">+B81</f>
        <v>FEBRERO</v>
      </c>
      <c r="L81" s="111">
        <f t="shared" ref="L81:L119" si="31">+J81/0.16</f>
        <v>18000</v>
      </c>
      <c r="M81" s="112">
        <f t="shared" ref="M81:M119" si="32">+H81-L81</f>
        <v>0</v>
      </c>
      <c r="N81" s="112">
        <f t="shared" ref="N81:N119" si="33">+H81+J81</f>
        <v>20880</v>
      </c>
      <c r="O81" t="s">
        <v>451</v>
      </c>
      <c r="P81" s="102">
        <f t="shared" si="25"/>
        <v>20880</v>
      </c>
      <c r="Q81" s="102">
        <f t="shared" si="26"/>
        <v>0</v>
      </c>
    </row>
    <row r="82" spans="1:17" x14ac:dyDescent="0.35">
      <c r="A82" s="106">
        <f t="shared" si="27"/>
        <v>2</v>
      </c>
      <c r="B82" s="107" t="str">
        <f>VLOOKUP(A82,[1]Hoja3!$C$3:$D$14,2,FALSE)</f>
        <v>FEBRERO</v>
      </c>
      <c r="C82" s="108">
        <v>45351.432858796295</v>
      </c>
      <c r="D82" s="109" t="s">
        <v>387</v>
      </c>
      <c r="E82" s="109" t="s">
        <v>403</v>
      </c>
      <c r="F82" s="110" t="s">
        <v>493</v>
      </c>
      <c r="G82" s="110" t="str">
        <f t="shared" si="28"/>
        <v>FEBRERO</v>
      </c>
      <c r="H82" s="252">
        <v>1385.56</v>
      </c>
      <c r="I82" s="102" t="str">
        <f t="shared" si="29"/>
        <v>FEBRERO</v>
      </c>
      <c r="J82">
        <f>+H82*0.16</f>
        <v>221.68959999999998</v>
      </c>
      <c r="K82" t="str">
        <f t="shared" si="30"/>
        <v>FEBRERO</v>
      </c>
      <c r="L82" s="111">
        <f t="shared" si="31"/>
        <v>1385.56</v>
      </c>
      <c r="M82" s="112">
        <f t="shared" si="32"/>
        <v>0</v>
      </c>
      <c r="N82" s="112">
        <f t="shared" si="33"/>
        <v>1607.2495999999999</v>
      </c>
      <c r="O82" t="s">
        <v>451</v>
      </c>
      <c r="P82" s="102">
        <f t="shared" si="25"/>
        <v>1607.2495999999999</v>
      </c>
      <c r="Q82" s="102">
        <f t="shared" si="26"/>
        <v>0</v>
      </c>
    </row>
    <row r="83" spans="1:17" x14ac:dyDescent="0.35">
      <c r="A83" s="106">
        <f t="shared" si="27"/>
        <v>2</v>
      </c>
      <c r="B83" s="107" t="str">
        <f>VLOOKUP(A83,[1]Hoja3!$C$3:$D$14,2,FALSE)</f>
        <v>FEBRERO</v>
      </c>
      <c r="C83" s="108">
        <v>45351.467824074076</v>
      </c>
      <c r="D83" s="109" t="s">
        <v>387</v>
      </c>
      <c r="E83" s="109" t="s">
        <v>403</v>
      </c>
      <c r="F83" s="110" t="s">
        <v>494</v>
      </c>
      <c r="G83" s="110" t="str">
        <f t="shared" si="28"/>
        <v>FEBRERO</v>
      </c>
      <c r="H83" s="252">
        <v>1927.17</v>
      </c>
      <c r="I83" s="102" t="str">
        <f t="shared" si="29"/>
        <v>FEBRERO</v>
      </c>
      <c r="J83">
        <f>+H83*0.16</f>
        <v>308.34720000000004</v>
      </c>
      <c r="K83" t="str">
        <f t="shared" si="30"/>
        <v>FEBRERO</v>
      </c>
      <c r="L83" s="111">
        <f t="shared" si="31"/>
        <v>1927.1700000000003</v>
      </c>
      <c r="M83" s="112">
        <f t="shared" si="32"/>
        <v>0</v>
      </c>
      <c r="N83" s="112">
        <f t="shared" si="33"/>
        <v>2235.5172000000002</v>
      </c>
      <c r="O83" t="s">
        <v>451</v>
      </c>
      <c r="P83" s="102">
        <f t="shared" si="25"/>
        <v>2235.5172000000002</v>
      </c>
      <c r="Q83" s="102">
        <f t="shared" si="26"/>
        <v>0</v>
      </c>
    </row>
    <row r="84" spans="1:17" x14ac:dyDescent="0.35">
      <c r="A84" s="106">
        <f t="shared" si="27"/>
        <v>2</v>
      </c>
      <c r="B84" s="107" t="str">
        <f>VLOOKUP(A84,[1]Hoja3!$C$3:$D$14,2,FALSE)</f>
        <v>FEBRERO</v>
      </c>
      <c r="C84" s="108">
        <v>45351.572743055556</v>
      </c>
      <c r="D84" s="109" t="s">
        <v>455</v>
      </c>
      <c r="E84" s="109" t="s">
        <v>458</v>
      </c>
      <c r="F84" s="110" t="s">
        <v>495</v>
      </c>
      <c r="G84" s="110" t="str">
        <f t="shared" si="28"/>
        <v>FEBRERO</v>
      </c>
      <c r="H84" s="252">
        <v>3712</v>
      </c>
      <c r="I84" s="102" t="str">
        <f t="shared" si="29"/>
        <v>FEBRERO</v>
      </c>
      <c r="J84">
        <f>+H84*0.16</f>
        <v>593.91999999999996</v>
      </c>
      <c r="K84" t="str">
        <f t="shared" si="30"/>
        <v>FEBRERO</v>
      </c>
      <c r="L84" s="111">
        <f t="shared" si="31"/>
        <v>3711.9999999999995</v>
      </c>
      <c r="M84" s="112">
        <f t="shared" si="32"/>
        <v>0</v>
      </c>
      <c r="N84" s="112">
        <f t="shared" si="33"/>
        <v>4305.92</v>
      </c>
      <c r="O84" t="s">
        <v>451</v>
      </c>
      <c r="P84" s="102">
        <f t="shared" si="25"/>
        <v>4305.92</v>
      </c>
      <c r="Q84" s="102">
        <f t="shared" si="26"/>
        <v>0</v>
      </c>
    </row>
    <row r="85" spans="1:17" x14ac:dyDescent="0.35">
      <c r="A85" s="106">
        <f t="shared" si="27"/>
        <v>3</v>
      </c>
      <c r="B85" s="107" t="str">
        <f>VLOOKUP(A85,[1]Hoja3!$C$3:$D$14,2,FALSE)</f>
        <v>MARZO</v>
      </c>
      <c r="C85" s="108">
        <v>45352.408564814818</v>
      </c>
      <c r="D85" s="109" t="s">
        <v>390</v>
      </c>
      <c r="E85" s="109" t="s">
        <v>406</v>
      </c>
      <c r="F85" s="110" t="s">
        <v>516</v>
      </c>
      <c r="G85" s="110" t="str">
        <f t="shared" si="28"/>
        <v>MARZO</v>
      </c>
      <c r="H85" s="252">
        <v>2327.59</v>
      </c>
      <c r="I85" s="102" t="str">
        <f t="shared" si="29"/>
        <v>MARZO</v>
      </c>
      <c r="J85">
        <v>372.4144</v>
      </c>
      <c r="K85" t="str">
        <f t="shared" si="30"/>
        <v>MARZO</v>
      </c>
      <c r="L85" s="111">
        <f t="shared" si="31"/>
        <v>2327.59</v>
      </c>
      <c r="M85" s="112">
        <f t="shared" si="32"/>
        <v>0</v>
      </c>
      <c r="N85" s="112">
        <f t="shared" si="33"/>
        <v>2700.0044000000003</v>
      </c>
      <c r="O85" t="s">
        <v>451</v>
      </c>
      <c r="P85" s="102">
        <v>2700</v>
      </c>
      <c r="Q85" s="102">
        <f t="shared" si="26"/>
        <v>4.4000000002597517E-3</v>
      </c>
    </row>
    <row r="86" spans="1:17" x14ac:dyDescent="0.35">
      <c r="A86" s="106">
        <f t="shared" si="27"/>
        <v>3</v>
      </c>
      <c r="B86" s="107" t="str">
        <f>VLOOKUP(A86,[1]Hoja3!$C$3:$D$14,2,FALSE)</f>
        <v>MARZO</v>
      </c>
      <c r="C86" s="108">
        <v>45352.760451388887</v>
      </c>
      <c r="D86" s="109" t="s">
        <v>382</v>
      </c>
      <c r="E86" s="109" t="s">
        <v>398</v>
      </c>
      <c r="F86" s="110" t="s">
        <v>414</v>
      </c>
      <c r="G86" s="110" t="str">
        <f t="shared" si="28"/>
        <v>MARZO</v>
      </c>
      <c r="H86" s="252">
        <v>687.05</v>
      </c>
      <c r="I86" s="102" t="str">
        <f t="shared" si="29"/>
        <v>MARZO</v>
      </c>
      <c r="J86">
        <v>109.93</v>
      </c>
      <c r="K86" t="str">
        <f t="shared" si="30"/>
        <v>MARZO</v>
      </c>
      <c r="L86" s="111">
        <f t="shared" si="31"/>
        <v>687.0625</v>
      </c>
      <c r="M86" s="112">
        <f t="shared" si="32"/>
        <v>-1.2500000000045475E-2</v>
      </c>
      <c r="N86" s="112">
        <f t="shared" si="33"/>
        <v>796.98</v>
      </c>
      <c r="O86" t="s">
        <v>451</v>
      </c>
      <c r="P86" s="102">
        <v>796.98</v>
      </c>
      <c r="Q86" s="102">
        <f t="shared" si="26"/>
        <v>0</v>
      </c>
    </row>
    <row r="87" spans="1:17" x14ac:dyDescent="0.35">
      <c r="A87" s="106">
        <f t="shared" si="27"/>
        <v>3</v>
      </c>
      <c r="B87" s="107" t="str">
        <f>VLOOKUP(A87,[1]Hoja3!$C$3:$D$14,2,FALSE)</f>
        <v>MARZO</v>
      </c>
      <c r="C87" s="108">
        <v>45352.881793981483</v>
      </c>
      <c r="D87" s="109" t="s">
        <v>385</v>
      </c>
      <c r="E87" s="109" t="s">
        <v>401</v>
      </c>
      <c r="F87" s="110" t="s">
        <v>517</v>
      </c>
      <c r="G87" s="110" t="str">
        <f t="shared" si="28"/>
        <v>MARZO</v>
      </c>
      <c r="H87" s="252">
        <v>519.19000000000005</v>
      </c>
      <c r="I87" s="102" t="str">
        <f t="shared" si="29"/>
        <v>MARZO</v>
      </c>
      <c r="J87">
        <v>80.81</v>
      </c>
      <c r="K87" t="str">
        <f t="shared" si="30"/>
        <v>MARZO</v>
      </c>
      <c r="L87" s="111">
        <f t="shared" si="31"/>
        <v>505.0625</v>
      </c>
      <c r="M87" s="112">
        <f t="shared" si="32"/>
        <v>14.127500000000055</v>
      </c>
      <c r="N87" s="112">
        <f t="shared" si="33"/>
        <v>600</v>
      </c>
      <c r="O87" t="s">
        <v>451</v>
      </c>
      <c r="P87" s="102">
        <v>600</v>
      </c>
      <c r="Q87" s="102">
        <f t="shared" si="26"/>
        <v>0</v>
      </c>
    </row>
    <row r="88" spans="1:17" x14ac:dyDescent="0.35">
      <c r="A88" s="106">
        <f t="shared" si="27"/>
        <v>3</v>
      </c>
      <c r="B88" s="107" t="str">
        <f>VLOOKUP(A88,[1]Hoja3!$C$3:$D$14,2,FALSE)</f>
        <v>MARZO</v>
      </c>
      <c r="C88" s="108">
        <v>45355.44871527778</v>
      </c>
      <c r="D88" s="109" t="s">
        <v>512</v>
      </c>
      <c r="E88" s="109" t="s">
        <v>514</v>
      </c>
      <c r="F88" s="110" t="s">
        <v>518</v>
      </c>
      <c r="G88" s="110" t="str">
        <f t="shared" si="28"/>
        <v>MARZO</v>
      </c>
      <c r="H88" s="252">
        <v>2850</v>
      </c>
      <c r="I88" s="102" t="str">
        <f t="shared" si="29"/>
        <v>MARZO</v>
      </c>
      <c r="J88">
        <v>0</v>
      </c>
      <c r="K88" t="str">
        <f t="shared" si="30"/>
        <v>MARZO</v>
      </c>
      <c r="L88" s="111">
        <f t="shared" si="31"/>
        <v>0</v>
      </c>
      <c r="M88" s="112">
        <f t="shared" si="32"/>
        <v>2850</v>
      </c>
      <c r="N88" s="112">
        <f t="shared" si="33"/>
        <v>2850</v>
      </c>
      <c r="O88" t="s">
        <v>451</v>
      </c>
      <c r="P88" s="102">
        <v>2850</v>
      </c>
      <c r="Q88" s="102">
        <f t="shared" si="26"/>
        <v>0</v>
      </c>
    </row>
    <row r="89" spans="1:17" x14ac:dyDescent="0.35">
      <c r="A89" s="106">
        <f t="shared" si="27"/>
        <v>3</v>
      </c>
      <c r="B89" s="107" t="str">
        <f>VLOOKUP(A89,[1]Hoja3!$C$3:$D$14,2,FALSE)</f>
        <v>MARZO</v>
      </c>
      <c r="C89" s="108">
        <v>45355.598113425927</v>
      </c>
      <c r="D89" s="109" t="s">
        <v>392</v>
      </c>
      <c r="E89" s="109" t="s">
        <v>408</v>
      </c>
      <c r="F89" s="110" t="s">
        <v>519</v>
      </c>
      <c r="G89" s="110" t="str">
        <f t="shared" si="28"/>
        <v>MARZO</v>
      </c>
      <c r="H89" s="252">
        <v>3980</v>
      </c>
      <c r="I89" s="102" t="str">
        <f t="shared" si="29"/>
        <v>MARZO</v>
      </c>
      <c r="J89">
        <v>0</v>
      </c>
      <c r="K89" t="str">
        <f t="shared" si="30"/>
        <v>MARZO</v>
      </c>
      <c r="L89" s="111">
        <f t="shared" si="31"/>
        <v>0</v>
      </c>
      <c r="M89" s="112">
        <f t="shared" si="32"/>
        <v>3980</v>
      </c>
      <c r="N89" s="112">
        <f t="shared" si="33"/>
        <v>3980</v>
      </c>
      <c r="O89" t="s">
        <v>451</v>
      </c>
      <c r="P89" s="102">
        <v>3980</v>
      </c>
      <c r="Q89" s="102">
        <f t="shared" si="26"/>
        <v>0</v>
      </c>
    </row>
    <row r="90" spans="1:17" x14ac:dyDescent="0.35">
      <c r="A90" s="106">
        <f t="shared" si="27"/>
        <v>3</v>
      </c>
      <c r="B90" s="107" t="str">
        <f>VLOOKUP(A90,[1]Hoja3!$C$3:$D$14,2,FALSE)</f>
        <v>MARZO</v>
      </c>
      <c r="C90" s="108">
        <v>45356.322581018518</v>
      </c>
      <c r="D90" s="109" t="s">
        <v>385</v>
      </c>
      <c r="E90" s="109" t="s">
        <v>401</v>
      </c>
      <c r="F90" s="110" t="s">
        <v>520</v>
      </c>
      <c r="G90" s="110" t="str">
        <f t="shared" si="28"/>
        <v>MARZO</v>
      </c>
      <c r="H90" s="252">
        <v>975.21</v>
      </c>
      <c r="I90" s="102" t="str">
        <f t="shared" si="29"/>
        <v>MARZO</v>
      </c>
      <c r="J90">
        <v>151.80000000000001</v>
      </c>
      <c r="K90" t="str">
        <f t="shared" si="30"/>
        <v>MARZO</v>
      </c>
      <c r="L90" s="111">
        <f t="shared" si="31"/>
        <v>948.75</v>
      </c>
      <c r="M90" s="112">
        <f t="shared" si="32"/>
        <v>26.460000000000036</v>
      </c>
      <c r="N90" s="112">
        <f t="shared" si="33"/>
        <v>1127.01</v>
      </c>
      <c r="O90" t="s">
        <v>451</v>
      </c>
      <c r="P90" s="102">
        <v>1127.01</v>
      </c>
      <c r="Q90" s="102">
        <f t="shared" si="26"/>
        <v>0</v>
      </c>
    </row>
    <row r="91" spans="1:17" x14ac:dyDescent="0.35">
      <c r="A91" s="106">
        <f t="shared" si="27"/>
        <v>3</v>
      </c>
      <c r="B91" s="107" t="str">
        <f>VLOOKUP(A91,[1]Hoja3!$C$3:$D$14,2,FALSE)</f>
        <v>MARZO</v>
      </c>
      <c r="C91" s="108">
        <v>45356.52171296296</v>
      </c>
      <c r="D91" s="109" t="s">
        <v>394</v>
      </c>
      <c r="E91" s="109" t="s">
        <v>410</v>
      </c>
      <c r="F91" s="110" t="s">
        <v>521</v>
      </c>
      <c r="G91" s="110" t="str">
        <f t="shared" si="28"/>
        <v>MARZO</v>
      </c>
      <c r="H91" s="252">
        <v>32432.2</v>
      </c>
      <c r="I91" s="102" t="str">
        <f t="shared" si="29"/>
        <v>MARZO</v>
      </c>
      <c r="J91">
        <v>0</v>
      </c>
      <c r="K91" t="str">
        <f t="shared" si="30"/>
        <v>MARZO</v>
      </c>
      <c r="L91" s="111">
        <f t="shared" si="31"/>
        <v>0</v>
      </c>
      <c r="M91" s="112">
        <f t="shared" si="32"/>
        <v>32432.2</v>
      </c>
      <c r="N91" s="112">
        <f t="shared" si="33"/>
        <v>32432.2</v>
      </c>
      <c r="O91" t="s">
        <v>451</v>
      </c>
      <c r="P91" s="102">
        <v>32432.2</v>
      </c>
      <c r="Q91" s="102">
        <f t="shared" si="26"/>
        <v>0</v>
      </c>
    </row>
    <row r="92" spans="1:17" x14ac:dyDescent="0.35">
      <c r="A92" s="106">
        <f t="shared" si="27"/>
        <v>3</v>
      </c>
      <c r="B92" s="107" t="str">
        <f>VLOOKUP(A92,[1]Hoja3!$C$3:$D$14,2,FALSE)</f>
        <v>MARZO</v>
      </c>
      <c r="C92" s="108">
        <v>45359.285057870373</v>
      </c>
      <c r="D92" s="109" t="s">
        <v>386</v>
      </c>
      <c r="E92" s="109" t="s">
        <v>402</v>
      </c>
      <c r="F92" s="110" t="s">
        <v>418</v>
      </c>
      <c r="G92" s="110" t="str">
        <f t="shared" si="28"/>
        <v>MARZO</v>
      </c>
      <c r="H92" s="252">
        <v>0.01</v>
      </c>
      <c r="I92" s="102" t="str">
        <f t="shared" si="29"/>
        <v>MARZO</v>
      </c>
      <c r="J92"/>
      <c r="K92" t="str">
        <f t="shared" si="30"/>
        <v>MARZO</v>
      </c>
      <c r="L92" s="111">
        <f t="shared" si="31"/>
        <v>0</v>
      </c>
      <c r="M92" s="112">
        <f t="shared" si="32"/>
        <v>0.01</v>
      </c>
      <c r="N92" s="112">
        <f t="shared" si="33"/>
        <v>0.01</v>
      </c>
      <c r="O92" t="s">
        <v>451</v>
      </c>
      <c r="P92" s="102">
        <v>0</v>
      </c>
      <c r="Q92" s="102">
        <f t="shared" si="26"/>
        <v>0.01</v>
      </c>
    </row>
    <row r="93" spans="1:17" x14ac:dyDescent="0.35">
      <c r="A93" s="106">
        <f t="shared" si="27"/>
        <v>3</v>
      </c>
      <c r="B93" s="107" t="str">
        <f>VLOOKUP(A93,[1]Hoja3!$C$3:$D$14,2,FALSE)</f>
        <v>MARZO</v>
      </c>
      <c r="C93" s="108">
        <v>45360.723819444444</v>
      </c>
      <c r="D93" s="109" t="s">
        <v>387</v>
      </c>
      <c r="E93" s="109" t="s">
        <v>403</v>
      </c>
      <c r="F93" s="110" t="s">
        <v>522</v>
      </c>
      <c r="G93" s="110" t="str">
        <f t="shared" si="28"/>
        <v>MARZO</v>
      </c>
      <c r="H93" s="252">
        <v>1924.48</v>
      </c>
      <c r="I93" s="102" t="str">
        <f t="shared" si="29"/>
        <v>MARZO</v>
      </c>
      <c r="J93">
        <v>0</v>
      </c>
      <c r="K93" t="str">
        <f t="shared" si="30"/>
        <v>MARZO</v>
      </c>
      <c r="L93" s="111">
        <f t="shared" si="31"/>
        <v>0</v>
      </c>
      <c r="M93" s="112">
        <f t="shared" si="32"/>
        <v>1924.48</v>
      </c>
      <c r="N93" s="112">
        <f t="shared" si="33"/>
        <v>1924.48</v>
      </c>
      <c r="O93" t="s">
        <v>451</v>
      </c>
      <c r="P93" s="102">
        <v>1924.48</v>
      </c>
      <c r="Q93" s="102">
        <f t="shared" si="26"/>
        <v>0</v>
      </c>
    </row>
    <row r="94" spans="1:17" x14ac:dyDescent="0.35">
      <c r="A94" s="106">
        <f t="shared" si="27"/>
        <v>3</v>
      </c>
      <c r="B94" s="107" t="str">
        <f>VLOOKUP(A94,[1]Hoja3!$C$3:$D$14,2,FALSE)</f>
        <v>MARZO</v>
      </c>
      <c r="C94" s="108">
        <v>45360.724085648151</v>
      </c>
      <c r="D94" s="109" t="s">
        <v>387</v>
      </c>
      <c r="E94" s="109" t="s">
        <v>403</v>
      </c>
      <c r="F94" s="110" t="s">
        <v>523</v>
      </c>
      <c r="G94" s="110" t="str">
        <f t="shared" si="28"/>
        <v>MARZO</v>
      </c>
      <c r="H94" s="252">
        <v>1972.15</v>
      </c>
      <c r="I94" s="102" t="str">
        <f t="shared" si="29"/>
        <v>MARZO</v>
      </c>
      <c r="J94">
        <v>0</v>
      </c>
      <c r="K94" t="str">
        <f t="shared" si="30"/>
        <v>MARZO</v>
      </c>
      <c r="L94" s="111">
        <f t="shared" si="31"/>
        <v>0</v>
      </c>
      <c r="M94" s="112">
        <f t="shared" si="32"/>
        <v>1972.15</v>
      </c>
      <c r="N94" s="112">
        <f t="shared" si="33"/>
        <v>1972.15</v>
      </c>
      <c r="O94" t="s">
        <v>451</v>
      </c>
      <c r="P94" s="102">
        <v>1972.15</v>
      </c>
      <c r="Q94" s="102">
        <f t="shared" si="26"/>
        <v>0</v>
      </c>
    </row>
    <row r="95" spans="1:17" x14ac:dyDescent="0.35">
      <c r="A95" s="106">
        <f t="shared" si="27"/>
        <v>3</v>
      </c>
      <c r="B95" s="107" t="str">
        <f>VLOOKUP(A95,[1]Hoja3!$C$3:$D$14,2,FALSE)</f>
        <v>MARZO</v>
      </c>
      <c r="C95" s="108">
        <v>45360.724293981482</v>
      </c>
      <c r="D95" s="109" t="s">
        <v>387</v>
      </c>
      <c r="E95" s="109" t="s">
        <v>403</v>
      </c>
      <c r="F95" s="110" t="s">
        <v>524</v>
      </c>
      <c r="G95" s="110" t="str">
        <f t="shared" si="28"/>
        <v>MARZO</v>
      </c>
      <c r="H95" s="252">
        <v>1875.02</v>
      </c>
      <c r="I95" s="102" t="str">
        <f t="shared" si="29"/>
        <v>MARZO</v>
      </c>
      <c r="J95">
        <v>0</v>
      </c>
      <c r="K95" t="str">
        <f t="shared" si="30"/>
        <v>MARZO</v>
      </c>
      <c r="L95" s="111">
        <f t="shared" si="31"/>
        <v>0</v>
      </c>
      <c r="M95" s="112">
        <f t="shared" si="32"/>
        <v>1875.02</v>
      </c>
      <c r="N95" s="112">
        <f t="shared" si="33"/>
        <v>1875.02</v>
      </c>
      <c r="O95" t="s">
        <v>451</v>
      </c>
      <c r="P95" s="102">
        <v>1875.02</v>
      </c>
      <c r="Q95" s="102">
        <f t="shared" si="26"/>
        <v>0</v>
      </c>
    </row>
    <row r="96" spans="1:17" x14ac:dyDescent="0.35">
      <c r="A96" s="106">
        <f t="shared" si="27"/>
        <v>3</v>
      </c>
      <c r="B96" s="107" t="str">
        <f>VLOOKUP(A96,[1]Hoja3!$C$3:$D$14,2,FALSE)</f>
        <v>MARZO</v>
      </c>
      <c r="C96" s="108">
        <v>45360.724652777775</v>
      </c>
      <c r="D96" s="109" t="s">
        <v>387</v>
      </c>
      <c r="E96" s="109" t="s">
        <v>403</v>
      </c>
      <c r="F96" s="110" t="s">
        <v>525</v>
      </c>
      <c r="G96" s="110" t="str">
        <f t="shared" si="28"/>
        <v>MARZO</v>
      </c>
      <c r="H96" s="252">
        <v>928.92</v>
      </c>
      <c r="I96" s="102" t="str">
        <f t="shared" si="29"/>
        <v>MARZO</v>
      </c>
      <c r="J96">
        <v>0</v>
      </c>
      <c r="K96" t="str">
        <f t="shared" si="30"/>
        <v>MARZO</v>
      </c>
      <c r="L96" s="111">
        <f t="shared" si="31"/>
        <v>0</v>
      </c>
      <c r="M96" s="112">
        <f t="shared" si="32"/>
        <v>928.92</v>
      </c>
      <c r="N96" s="112">
        <f t="shared" si="33"/>
        <v>928.92</v>
      </c>
      <c r="O96" t="s">
        <v>451</v>
      </c>
      <c r="P96" s="102">
        <v>928.92</v>
      </c>
      <c r="Q96" s="102">
        <f t="shared" si="26"/>
        <v>0</v>
      </c>
    </row>
    <row r="97" spans="1:18" x14ac:dyDescent="0.35">
      <c r="A97" s="106">
        <f t="shared" si="27"/>
        <v>3</v>
      </c>
      <c r="B97" s="107" t="str">
        <f>VLOOKUP(A97,[1]Hoja3!$C$3:$D$14,2,FALSE)</f>
        <v>MARZO</v>
      </c>
      <c r="C97" s="108">
        <v>45360.724976851852</v>
      </c>
      <c r="D97" s="109" t="s">
        <v>387</v>
      </c>
      <c r="E97" s="109" t="s">
        <v>403</v>
      </c>
      <c r="F97" s="110" t="s">
        <v>526</v>
      </c>
      <c r="G97" s="110" t="str">
        <f t="shared" si="28"/>
        <v>MARZO</v>
      </c>
      <c r="H97" s="252">
        <v>1971.27</v>
      </c>
      <c r="I97" s="102" t="str">
        <f t="shared" si="29"/>
        <v>MARZO</v>
      </c>
      <c r="J97">
        <v>0</v>
      </c>
      <c r="K97" t="str">
        <f t="shared" si="30"/>
        <v>MARZO</v>
      </c>
      <c r="L97" s="111">
        <f t="shared" si="31"/>
        <v>0</v>
      </c>
      <c r="M97" s="112">
        <f t="shared" si="32"/>
        <v>1971.27</v>
      </c>
      <c r="N97" s="112">
        <f t="shared" si="33"/>
        <v>1971.27</v>
      </c>
      <c r="O97" t="s">
        <v>451</v>
      </c>
      <c r="P97" s="102">
        <v>1971.27</v>
      </c>
      <c r="Q97" s="102">
        <f t="shared" si="26"/>
        <v>0</v>
      </c>
    </row>
    <row r="98" spans="1:18" x14ac:dyDescent="0.35">
      <c r="A98" s="106">
        <f t="shared" si="27"/>
        <v>3</v>
      </c>
      <c r="B98" s="107" t="str">
        <f>VLOOKUP(A98,[1]Hoja3!$C$3:$D$14,2,FALSE)</f>
        <v>MARZO</v>
      </c>
      <c r="C98" s="108">
        <v>45362.608703703707</v>
      </c>
      <c r="D98" s="109" t="s">
        <v>392</v>
      </c>
      <c r="E98" s="109" t="s">
        <v>408</v>
      </c>
      <c r="F98" s="110" t="s">
        <v>527</v>
      </c>
      <c r="G98" s="110" t="str">
        <f t="shared" si="28"/>
        <v>MARZO</v>
      </c>
      <c r="H98" s="252">
        <v>4640</v>
      </c>
      <c r="I98" s="102" t="str">
        <f t="shared" si="29"/>
        <v>MARZO</v>
      </c>
      <c r="J98">
        <v>0</v>
      </c>
      <c r="K98" t="str">
        <f t="shared" si="30"/>
        <v>MARZO</v>
      </c>
      <c r="L98" s="111">
        <f t="shared" si="31"/>
        <v>0</v>
      </c>
      <c r="M98" s="112">
        <f t="shared" si="32"/>
        <v>4640</v>
      </c>
      <c r="N98" s="112">
        <f t="shared" si="33"/>
        <v>4640</v>
      </c>
      <c r="O98" t="s">
        <v>451</v>
      </c>
      <c r="P98" s="102">
        <v>4640</v>
      </c>
      <c r="Q98" s="102">
        <f t="shared" ref="Q98:Q105" si="34">+N98-P98</f>
        <v>0</v>
      </c>
    </row>
    <row r="99" spans="1:18" x14ac:dyDescent="0.35">
      <c r="A99" s="106">
        <f t="shared" si="27"/>
        <v>3</v>
      </c>
      <c r="B99" s="107" t="str">
        <f>VLOOKUP(A99,[1]Hoja3!$C$3:$D$14,2,FALSE)</f>
        <v>MARZO</v>
      </c>
      <c r="C99" s="108">
        <v>45363.505011574074</v>
      </c>
      <c r="D99" s="109" t="s">
        <v>385</v>
      </c>
      <c r="E99" s="109" t="s">
        <v>401</v>
      </c>
      <c r="F99" s="110" t="s">
        <v>528</v>
      </c>
      <c r="G99" s="110" t="str">
        <f t="shared" si="28"/>
        <v>MARZO</v>
      </c>
      <c r="H99" s="252">
        <v>1106.0899999999999</v>
      </c>
      <c r="I99" s="102" t="str">
        <f t="shared" si="29"/>
        <v>MARZO</v>
      </c>
      <c r="J99">
        <v>172.15</v>
      </c>
      <c r="K99" t="str">
        <f t="shared" si="30"/>
        <v>MARZO</v>
      </c>
      <c r="L99" s="111">
        <f t="shared" si="31"/>
        <v>1075.9375</v>
      </c>
      <c r="M99" s="112">
        <f t="shared" si="32"/>
        <v>30.152499999999918</v>
      </c>
      <c r="N99" s="112">
        <f t="shared" si="33"/>
        <v>1278.24</v>
      </c>
      <c r="O99" t="s">
        <v>451</v>
      </c>
      <c r="P99" s="102">
        <v>1278.24</v>
      </c>
      <c r="Q99" s="102">
        <f t="shared" si="34"/>
        <v>0</v>
      </c>
    </row>
    <row r="100" spans="1:18" x14ac:dyDescent="0.35">
      <c r="A100" s="106">
        <f t="shared" si="27"/>
        <v>3</v>
      </c>
      <c r="B100" s="107" t="str">
        <f>VLOOKUP(A100,[1]Hoja3!$C$3:$D$14,2,FALSE)</f>
        <v>MARZO</v>
      </c>
      <c r="C100" s="108">
        <v>45364.035358796296</v>
      </c>
      <c r="D100" s="109" t="s">
        <v>383</v>
      </c>
      <c r="E100" s="109" t="s">
        <v>399</v>
      </c>
      <c r="F100" s="110" t="s">
        <v>529</v>
      </c>
      <c r="G100" s="110" t="str">
        <f t="shared" si="28"/>
        <v>MARZO</v>
      </c>
      <c r="H100" s="252">
        <v>17800</v>
      </c>
      <c r="I100" s="102" t="str">
        <f t="shared" si="29"/>
        <v>MARZO</v>
      </c>
      <c r="J100">
        <v>0</v>
      </c>
      <c r="K100" t="str">
        <f t="shared" si="30"/>
        <v>MARZO</v>
      </c>
      <c r="L100" s="111">
        <f t="shared" si="31"/>
        <v>0</v>
      </c>
      <c r="M100" s="112">
        <f t="shared" si="32"/>
        <v>17800</v>
      </c>
      <c r="N100" s="112">
        <f t="shared" si="33"/>
        <v>17800</v>
      </c>
      <c r="O100" t="s">
        <v>451</v>
      </c>
      <c r="P100" s="102">
        <v>17800</v>
      </c>
      <c r="Q100" s="102">
        <f t="shared" si="34"/>
        <v>0</v>
      </c>
    </row>
    <row r="101" spans="1:18" x14ac:dyDescent="0.35">
      <c r="A101" s="106">
        <f t="shared" si="27"/>
        <v>3</v>
      </c>
      <c r="B101" s="107" t="str">
        <f>VLOOKUP(A101,[1]Hoja3!$C$3:$D$14,2,FALSE)</f>
        <v>MARZO</v>
      </c>
      <c r="C101" s="108">
        <v>45364.643923611111</v>
      </c>
      <c r="D101" s="109" t="s">
        <v>513</v>
      </c>
      <c r="E101" s="109" t="s">
        <v>515</v>
      </c>
      <c r="F101" s="110" t="s">
        <v>530</v>
      </c>
      <c r="G101" s="110" t="str">
        <f t="shared" si="28"/>
        <v>MARZO</v>
      </c>
      <c r="H101" s="252">
        <v>1000</v>
      </c>
      <c r="I101" s="102" t="str">
        <f t="shared" si="29"/>
        <v>MARZO</v>
      </c>
      <c r="J101">
        <v>160</v>
      </c>
      <c r="K101" t="str">
        <f t="shared" si="30"/>
        <v>MARZO</v>
      </c>
      <c r="L101" s="111">
        <f t="shared" si="31"/>
        <v>1000</v>
      </c>
      <c r="M101" s="112">
        <f t="shared" si="32"/>
        <v>0</v>
      </c>
      <c r="N101" s="112">
        <f t="shared" si="33"/>
        <v>1160</v>
      </c>
      <c r="O101" t="s">
        <v>451</v>
      </c>
      <c r="P101" s="102">
        <v>1160</v>
      </c>
      <c r="Q101" s="102">
        <f t="shared" si="34"/>
        <v>0</v>
      </c>
    </row>
    <row r="102" spans="1:18" x14ac:dyDescent="0.35">
      <c r="A102" s="106">
        <f t="shared" si="27"/>
        <v>3</v>
      </c>
      <c r="B102" s="107" t="str">
        <f>VLOOKUP(A102,[1]Hoja3!$C$3:$D$14,2,FALSE)</f>
        <v>MARZO</v>
      </c>
      <c r="C102" s="108">
        <v>45364.990486111114</v>
      </c>
      <c r="D102" s="109" t="s">
        <v>383</v>
      </c>
      <c r="E102" s="109" t="s">
        <v>399</v>
      </c>
      <c r="F102" s="110" t="s">
        <v>531</v>
      </c>
      <c r="G102" s="110" t="str">
        <f t="shared" si="28"/>
        <v>MARZO</v>
      </c>
      <c r="H102" s="252">
        <v>16137</v>
      </c>
      <c r="I102" s="102" t="str">
        <f t="shared" si="29"/>
        <v>MARZO</v>
      </c>
      <c r="J102">
        <v>0</v>
      </c>
      <c r="K102" t="str">
        <f t="shared" si="30"/>
        <v>MARZO</v>
      </c>
      <c r="L102" s="111">
        <f t="shared" si="31"/>
        <v>0</v>
      </c>
      <c r="M102" s="112">
        <f t="shared" si="32"/>
        <v>16137</v>
      </c>
      <c r="N102" s="112">
        <f t="shared" si="33"/>
        <v>16137</v>
      </c>
      <c r="O102" t="s">
        <v>451</v>
      </c>
      <c r="P102" s="102">
        <v>16137</v>
      </c>
      <c r="Q102" s="102">
        <f t="shared" si="34"/>
        <v>0</v>
      </c>
    </row>
    <row r="103" spans="1:18" x14ac:dyDescent="0.35">
      <c r="A103" s="106">
        <f t="shared" si="27"/>
        <v>3</v>
      </c>
      <c r="B103" s="107" t="str">
        <f>VLOOKUP(A103,[1]Hoja3!$C$3:$D$14,2,FALSE)</f>
        <v>MARZO</v>
      </c>
      <c r="C103" s="108">
        <v>45369.663564814815</v>
      </c>
      <c r="D103" s="109" t="s">
        <v>392</v>
      </c>
      <c r="E103" s="109" t="s">
        <v>408</v>
      </c>
      <c r="F103" s="110" t="s">
        <v>532</v>
      </c>
      <c r="G103" s="110" t="str">
        <f t="shared" si="28"/>
        <v>MARZO</v>
      </c>
      <c r="H103" s="252">
        <v>4480</v>
      </c>
      <c r="I103" s="102" t="str">
        <f t="shared" si="29"/>
        <v>MARZO</v>
      </c>
      <c r="J103">
        <v>0</v>
      </c>
      <c r="K103" t="str">
        <f t="shared" si="30"/>
        <v>MARZO</v>
      </c>
      <c r="L103" s="111">
        <f t="shared" si="31"/>
        <v>0</v>
      </c>
      <c r="M103" s="112">
        <f t="shared" si="32"/>
        <v>4480</v>
      </c>
      <c r="N103" s="112">
        <f t="shared" si="33"/>
        <v>4480</v>
      </c>
      <c r="O103" t="s">
        <v>451</v>
      </c>
      <c r="P103" s="102">
        <v>4480</v>
      </c>
      <c r="Q103" s="102">
        <f t="shared" si="34"/>
        <v>0</v>
      </c>
    </row>
    <row r="104" spans="1:18" x14ac:dyDescent="0.35">
      <c r="A104" s="106">
        <f t="shared" si="27"/>
        <v>3</v>
      </c>
      <c r="B104" s="107" t="str">
        <f>VLOOKUP(A104,[1]Hoja3!$C$3:$D$14,2,FALSE)</f>
        <v>MARZO</v>
      </c>
      <c r="C104" s="108">
        <v>45370.406261574077</v>
      </c>
      <c r="D104" s="109" t="s">
        <v>385</v>
      </c>
      <c r="E104" s="109" t="s">
        <v>401</v>
      </c>
      <c r="F104" s="110" t="s">
        <v>533</v>
      </c>
      <c r="G104" s="110" t="str">
        <f t="shared" si="28"/>
        <v>MARZO</v>
      </c>
      <c r="H104" s="252">
        <v>1041.5</v>
      </c>
      <c r="I104" s="102" t="str">
        <f t="shared" si="29"/>
        <v>MARZO</v>
      </c>
      <c r="J104">
        <v>162.09</v>
      </c>
      <c r="K104" t="str">
        <f t="shared" si="30"/>
        <v>MARZO</v>
      </c>
      <c r="L104" s="111">
        <f t="shared" si="31"/>
        <v>1013.0625</v>
      </c>
      <c r="M104" s="112">
        <f t="shared" si="32"/>
        <v>28.4375</v>
      </c>
      <c r="N104" s="112">
        <f t="shared" si="33"/>
        <v>1203.5899999999999</v>
      </c>
      <c r="O104" t="s">
        <v>451</v>
      </c>
      <c r="P104" s="102">
        <v>1203.5899999999999</v>
      </c>
      <c r="Q104" s="102">
        <f t="shared" si="34"/>
        <v>0</v>
      </c>
    </row>
    <row r="105" spans="1:18" x14ac:dyDescent="0.35">
      <c r="A105" s="106">
        <f t="shared" si="27"/>
        <v>3</v>
      </c>
      <c r="B105" s="107" t="str">
        <f>VLOOKUP(A105,[1]Hoja3!$C$3:$D$14,2,FALSE)</f>
        <v>MARZO</v>
      </c>
      <c r="C105" s="108">
        <v>45370.498368055552</v>
      </c>
      <c r="D105" s="109" t="s">
        <v>354</v>
      </c>
      <c r="E105" s="109" t="s">
        <v>353</v>
      </c>
      <c r="F105" s="110" t="s">
        <v>448</v>
      </c>
      <c r="G105" s="110" t="str">
        <f t="shared" si="28"/>
        <v>MARZO</v>
      </c>
      <c r="H105" s="252">
        <v>3573.64</v>
      </c>
      <c r="I105" s="102" t="str">
        <f t="shared" si="29"/>
        <v>MARZO</v>
      </c>
      <c r="J105">
        <v>407.99</v>
      </c>
      <c r="K105" t="str">
        <f t="shared" si="30"/>
        <v>MARZO</v>
      </c>
      <c r="L105" s="111">
        <f t="shared" si="31"/>
        <v>2549.9375</v>
      </c>
      <c r="M105" s="112">
        <f t="shared" si="32"/>
        <v>1023.7024999999999</v>
      </c>
      <c r="N105" s="112">
        <f t="shared" si="33"/>
        <v>3981.63</v>
      </c>
      <c r="O105" t="s">
        <v>451</v>
      </c>
      <c r="P105" s="102">
        <v>3981.63</v>
      </c>
      <c r="Q105" s="102">
        <f t="shared" si="34"/>
        <v>0</v>
      </c>
    </row>
    <row r="106" spans="1:18" x14ac:dyDescent="0.35">
      <c r="A106" s="106">
        <f t="shared" si="27"/>
        <v>3</v>
      </c>
      <c r="B106" s="107" t="str">
        <f>VLOOKUP(A106,[1]Hoja3!$C$3:$D$14,2,FALSE)</f>
        <v>MARZO</v>
      </c>
      <c r="C106" s="108">
        <v>45370.594942129632</v>
      </c>
      <c r="D106" s="109" t="s">
        <v>394</v>
      </c>
      <c r="E106" s="109" t="s">
        <v>410</v>
      </c>
      <c r="F106" s="110" t="s">
        <v>534</v>
      </c>
      <c r="G106" s="110" t="str">
        <f t="shared" si="28"/>
        <v>MARZO</v>
      </c>
      <c r="H106" s="252"/>
      <c r="I106" s="102" t="str">
        <f t="shared" si="29"/>
        <v>MARZO</v>
      </c>
      <c r="J106">
        <v>0</v>
      </c>
      <c r="K106" t="str">
        <f t="shared" si="30"/>
        <v>MARZO</v>
      </c>
      <c r="L106" s="111">
        <f t="shared" si="31"/>
        <v>0</v>
      </c>
      <c r="M106" s="112">
        <f t="shared" si="32"/>
        <v>0</v>
      </c>
      <c r="N106" s="112">
        <f t="shared" si="33"/>
        <v>0</v>
      </c>
      <c r="O106" t="s">
        <v>551</v>
      </c>
      <c r="P106" s="47">
        <v>62188</v>
      </c>
      <c r="Q106" s="47">
        <v>0</v>
      </c>
      <c r="R106" s="47">
        <v>62188</v>
      </c>
    </row>
    <row r="107" spans="1:18" x14ac:dyDescent="0.35">
      <c r="A107" s="106">
        <f t="shared" si="27"/>
        <v>3</v>
      </c>
      <c r="B107" s="107" t="str">
        <f>VLOOKUP(A107,[1]Hoja3!$C$3:$D$14,2,FALSE)</f>
        <v>MARZO</v>
      </c>
      <c r="C107" s="108">
        <v>45370.59646990741</v>
      </c>
      <c r="D107" s="109" t="s">
        <v>394</v>
      </c>
      <c r="E107" s="109" t="s">
        <v>410</v>
      </c>
      <c r="F107" s="110" t="s">
        <v>535</v>
      </c>
      <c r="G107" s="110" t="str">
        <f t="shared" si="28"/>
        <v>MARZO</v>
      </c>
      <c r="H107" s="252">
        <v>0</v>
      </c>
      <c r="I107" s="102" t="str">
        <f t="shared" si="29"/>
        <v>MARZO</v>
      </c>
      <c r="J107"/>
      <c r="K107" t="str">
        <f t="shared" si="30"/>
        <v>MARZO</v>
      </c>
      <c r="L107" s="111">
        <f t="shared" si="31"/>
        <v>0</v>
      </c>
      <c r="M107" s="112">
        <f t="shared" si="32"/>
        <v>0</v>
      </c>
      <c r="N107" s="112">
        <f t="shared" si="33"/>
        <v>0</v>
      </c>
      <c r="P107">
        <v>0</v>
      </c>
      <c r="Q107" s="102"/>
    </row>
    <row r="108" spans="1:18" x14ac:dyDescent="0.35">
      <c r="A108" s="106">
        <f t="shared" si="27"/>
        <v>3</v>
      </c>
      <c r="B108" s="107" t="str">
        <f>VLOOKUP(A108,[1]Hoja3!$C$3:$D$14,2,FALSE)</f>
        <v>MARZO</v>
      </c>
      <c r="C108" s="108">
        <v>45370.597361111111</v>
      </c>
      <c r="D108" s="109" t="s">
        <v>394</v>
      </c>
      <c r="E108" s="109" t="s">
        <v>410</v>
      </c>
      <c r="F108" s="110" t="s">
        <v>536</v>
      </c>
      <c r="G108" s="110" t="str">
        <f t="shared" si="28"/>
        <v>MARZO</v>
      </c>
      <c r="H108" s="252">
        <v>0</v>
      </c>
      <c r="I108" s="102" t="str">
        <f t="shared" si="29"/>
        <v>MARZO</v>
      </c>
      <c r="J108"/>
      <c r="K108" t="str">
        <f t="shared" si="30"/>
        <v>MARZO</v>
      </c>
      <c r="L108" s="111">
        <f t="shared" si="31"/>
        <v>0</v>
      </c>
      <c r="M108" s="112">
        <f t="shared" si="32"/>
        <v>0</v>
      </c>
      <c r="N108" s="112">
        <f t="shared" si="33"/>
        <v>0</v>
      </c>
      <c r="P108">
        <v>0</v>
      </c>
      <c r="Q108" s="102"/>
    </row>
    <row r="109" spans="1:18" x14ac:dyDescent="0.35">
      <c r="A109" s="106">
        <f t="shared" si="27"/>
        <v>3</v>
      </c>
      <c r="B109" s="107" t="str">
        <f>VLOOKUP(A109,[1]Hoja3!$C$3:$D$14,2,FALSE)</f>
        <v>MARZO</v>
      </c>
      <c r="C109" s="108">
        <v>45370.964502314811</v>
      </c>
      <c r="D109" s="109" t="s">
        <v>383</v>
      </c>
      <c r="E109" s="109" t="s">
        <v>399</v>
      </c>
      <c r="F109" s="110" t="s">
        <v>537</v>
      </c>
      <c r="G109" s="110" t="str">
        <f t="shared" si="28"/>
        <v>MARZO</v>
      </c>
      <c r="H109" s="252">
        <v>20000</v>
      </c>
      <c r="I109" s="102" t="str">
        <f t="shared" si="29"/>
        <v>MARZO</v>
      </c>
      <c r="J109">
        <v>0</v>
      </c>
      <c r="K109" t="str">
        <f t="shared" si="30"/>
        <v>MARZO</v>
      </c>
      <c r="L109" s="111">
        <f t="shared" si="31"/>
        <v>0</v>
      </c>
      <c r="M109" s="112">
        <f t="shared" si="32"/>
        <v>20000</v>
      </c>
      <c r="N109" s="112">
        <f t="shared" si="33"/>
        <v>20000</v>
      </c>
      <c r="O109" t="s">
        <v>451</v>
      </c>
      <c r="P109" s="102">
        <v>20000</v>
      </c>
      <c r="Q109" s="102">
        <f t="shared" ref="Q109:Q114" si="35">+N109-P109</f>
        <v>0</v>
      </c>
    </row>
    <row r="110" spans="1:18" x14ac:dyDescent="0.35">
      <c r="A110" s="106">
        <f t="shared" si="27"/>
        <v>3</v>
      </c>
      <c r="B110" s="107" t="str">
        <f>VLOOKUP(A110,[1]Hoja3!$C$3:$D$14,2,FALSE)</f>
        <v>MARZO</v>
      </c>
      <c r="C110" s="108">
        <v>45370.965324074074</v>
      </c>
      <c r="D110" s="109" t="s">
        <v>383</v>
      </c>
      <c r="E110" s="109" t="s">
        <v>399</v>
      </c>
      <c r="F110" s="110" t="s">
        <v>538</v>
      </c>
      <c r="G110" s="110" t="str">
        <f t="shared" si="28"/>
        <v>MARZO</v>
      </c>
      <c r="H110" s="252">
        <v>20000</v>
      </c>
      <c r="I110" s="102" t="str">
        <f t="shared" si="29"/>
        <v>MARZO</v>
      </c>
      <c r="J110">
        <v>0</v>
      </c>
      <c r="K110" t="str">
        <f t="shared" si="30"/>
        <v>MARZO</v>
      </c>
      <c r="L110" s="111">
        <f t="shared" si="31"/>
        <v>0</v>
      </c>
      <c r="M110" s="112">
        <f t="shared" si="32"/>
        <v>20000</v>
      </c>
      <c r="N110" s="112">
        <f t="shared" si="33"/>
        <v>20000</v>
      </c>
      <c r="O110" t="s">
        <v>451</v>
      </c>
      <c r="P110" s="102">
        <v>20000</v>
      </c>
      <c r="Q110" s="102">
        <f t="shared" si="35"/>
        <v>0</v>
      </c>
    </row>
    <row r="111" spans="1:18" x14ac:dyDescent="0.35">
      <c r="A111" s="106">
        <f t="shared" si="27"/>
        <v>3</v>
      </c>
      <c r="B111" s="107" t="str">
        <f>VLOOKUP(A111,[1]Hoja3!$C$3:$D$14,2,FALSE)</f>
        <v>MARZO</v>
      </c>
      <c r="C111" s="108">
        <v>45371.444293981483</v>
      </c>
      <c r="D111" s="109" t="s">
        <v>393</v>
      </c>
      <c r="E111" s="109" t="s">
        <v>409</v>
      </c>
      <c r="F111" s="110" t="s">
        <v>539</v>
      </c>
      <c r="G111" s="110" t="str">
        <f t="shared" si="28"/>
        <v>MARZO</v>
      </c>
      <c r="H111" s="252">
        <v>0</v>
      </c>
      <c r="I111" s="102" t="str">
        <f t="shared" si="29"/>
        <v>MARZO</v>
      </c>
      <c r="J111"/>
      <c r="K111" t="str">
        <f t="shared" si="30"/>
        <v>MARZO</v>
      </c>
      <c r="L111" s="111">
        <f t="shared" si="31"/>
        <v>0</v>
      </c>
      <c r="M111" s="112">
        <f t="shared" si="32"/>
        <v>0</v>
      </c>
      <c r="N111" s="112">
        <f t="shared" si="33"/>
        <v>0</v>
      </c>
      <c r="P111" s="102">
        <v>0</v>
      </c>
      <c r="Q111" s="102">
        <f t="shared" si="35"/>
        <v>0</v>
      </c>
    </row>
    <row r="112" spans="1:18" x14ac:dyDescent="0.35">
      <c r="A112" s="106">
        <f t="shared" si="27"/>
        <v>3</v>
      </c>
      <c r="B112" s="107" t="str">
        <f>VLOOKUP(A112,[1]Hoja3!$C$3:$D$14,2,FALSE)</f>
        <v>MARZO</v>
      </c>
      <c r="C112" s="108">
        <v>45371.527141203704</v>
      </c>
      <c r="D112" s="109" t="s">
        <v>391</v>
      </c>
      <c r="E112" s="109" t="s">
        <v>407</v>
      </c>
      <c r="F112" s="110" t="s">
        <v>540</v>
      </c>
      <c r="G112" s="110" t="str">
        <f t="shared" si="28"/>
        <v>MARZO</v>
      </c>
      <c r="H112" s="252">
        <v>496.64</v>
      </c>
      <c r="I112" s="102" t="str">
        <f t="shared" si="29"/>
        <v>MARZO</v>
      </c>
      <c r="J112">
        <v>79.459999999999994</v>
      </c>
      <c r="K112" t="str">
        <f t="shared" si="30"/>
        <v>MARZO</v>
      </c>
      <c r="L112" s="111">
        <f t="shared" si="31"/>
        <v>496.62499999999994</v>
      </c>
      <c r="M112" s="112">
        <f t="shared" si="32"/>
        <v>1.5000000000043201E-2</v>
      </c>
      <c r="N112" s="112">
        <f t="shared" si="33"/>
        <v>576.1</v>
      </c>
      <c r="O112" t="s">
        <v>451</v>
      </c>
      <c r="P112" s="102">
        <v>576.1</v>
      </c>
      <c r="Q112" s="102">
        <f t="shared" si="35"/>
        <v>0</v>
      </c>
    </row>
    <row r="113" spans="1:17" x14ac:dyDescent="0.35">
      <c r="A113" s="106">
        <f t="shared" si="27"/>
        <v>3</v>
      </c>
      <c r="B113" s="107" t="str">
        <f>VLOOKUP(A113,[1]Hoja3!$C$3:$D$14,2,FALSE)</f>
        <v>MARZO</v>
      </c>
      <c r="C113" s="108">
        <v>45374.530787037038</v>
      </c>
      <c r="D113" s="109" t="s">
        <v>387</v>
      </c>
      <c r="E113" s="109" t="s">
        <v>403</v>
      </c>
      <c r="F113" s="110" t="s">
        <v>541</v>
      </c>
      <c r="G113" s="110" t="str">
        <f t="shared" si="28"/>
        <v>MARZO</v>
      </c>
      <c r="H113" s="252">
        <v>9795.48</v>
      </c>
      <c r="I113" s="102" t="str">
        <f t="shared" si="29"/>
        <v>MARZO</v>
      </c>
      <c r="J113">
        <v>0</v>
      </c>
      <c r="K113" t="str">
        <f t="shared" si="30"/>
        <v>MARZO</v>
      </c>
      <c r="L113" s="111">
        <f t="shared" si="31"/>
        <v>0</v>
      </c>
      <c r="M113" s="112">
        <f t="shared" si="32"/>
        <v>9795.48</v>
      </c>
      <c r="N113" s="112">
        <f t="shared" si="33"/>
        <v>9795.48</v>
      </c>
      <c r="O113" t="s">
        <v>451</v>
      </c>
      <c r="P113" s="102">
        <v>9795.48</v>
      </c>
      <c r="Q113" s="102">
        <f t="shared" si="35"/>
        <v>0</v>
      </c>
    </row>
    <row r="114" spans="1:17" x14ac:dyDescent="0.35">
      <c r="A114" s="106">
        <f t="shared" si="27"/>
        <v>3</v>
      </c>
      <c r="B114" s="107" t="str">
        <f>VLOOKUP(A114,[1]Hoja3!$C$3:$D$14,2,FALSE)</f>
        <v>MARZO</v>
      </c>
      <c r="C114" s="108">
        <v>45374.531064814815</v>
      </c>
      <c r="D114" s="109" t="s">
        <v>387</v>
      </c>
      <c r="E114" s="109" t="s">
        <v>403</v>
      </c>
      <c r="F114" s="110" t="s">
        <v>542</v>
      </c>
      <c r="G114" s="110" t="str">
        <f t="shared" si="28"/>
        <v>MARZO</v>
      </c>
      <c r="H114" s="252">
        <v>14553.68</v>
      </c>
      <c r="I114" s="102" t="str">
        <f t="shared" si="29"/>
        <v>MARZO</v>
      </c>
      <c r="J114">
        <v>0</v>
      </c>
      <c r="K114" t="str">
        <f t="shared" si="30"/>
        <v>MARZO</v>
      </c>
      <c r="L114" s="111">
        <f t="shared" si="31"/>
        <v>0</v>
      </c>
      <c r="M114" s="112">
        <f t="shared" si="32"/>
        <v>14553.68</v>
      </c>
      <c r="N114" s="112">
        <f t="shared" si="33"/>
        <v>14553.68</v>
      </c>
      <c r="O114" t="s">
        <v>451</v>
      </c>
      <c r="P114" s="102">
        <v>14553.68</v>
      </c>
      <c r="Q114" s="102">
        <f t="shared" si="35"/>
        <v>0</v>
      </c>
    </row>
    <row r="115" spans="1:17" x14ac:dyDescent="0.35">
      <c r="A115" s="106">
        <f t="shared" si="27"/>
        <v>3</v>
      </c>
      <c r="B115" s="107" t="str">
        <f>VLOOKUP(A115,[1]Hoja3!$C$3:$D$14,2,FALSE)</f>
        <v>MARZO</v>
      </c>
      <c r="C115" s="108">
        <v>45374.841238425928</v>
      </c>
      <c r="D115" s="109" t="s">
        <v>393</v>
      </c>
      <c r="E115" s="109" t="s">
        <v>409</v>
      </c>
      <c r="F115" s="110" t="s">
        <v>543</v>
      </c>
      <c r="G115" s="110" t="str">
        <f t="shared" si="28"/>
        <v>MARZO</v>
      </c>
      <c r="H115" s="252"/>
      <c r="I115" s="102" t="str">
        <f t="shared" si="29"/>
        <v>MARZO</v>
      </c>
      <c r="J115"/>
      <c r="K115" t="str">
        <f t="shared" si="30"/>
        <v>MARZO</v>
      </c>
      <c r="L115" s="111">
        <f t="shared" si="31"/>
        <v>0</v>
      </c>
      <c r="M115" s="112">
        <f t="shared" si="32"/>
        <v>0</v>
      </c>
      <c r="N115" s="112">
        <f t="shared" si="33"/>
        <v>0</v>
      </c>
      <c r="O115" t="s">
        <v>551</v>
      </c>
      <c r="P115" s="102"/>
      <c r="Q115" s="102"/>
    </row>
    <row r="116" spans="1:17" x14ac:dyDescent="0.35">
      <c r="A116" s="106">
        <f t="shared" si="27"/>
        <v>3</v>
      </c>
      <c r="B116" s="107" t="str">
        <f>VLOOKUP(A116,[1]Hoja3!$C$3:$D$14,2,FALSE)</f>
        <v>MARZO</v>
      </c>
      <c r="C116" s="108">
        <v>45374.841956018521</v>
      </c>
      <c r="D116" s="109" t="s">
        <v>385</v>
      </c>
      <c r="E116" s="109" t="s">
        <v>401</v>
      </c>
      <c r="F116" s="110" t="s">
        <v>544</v>
      </c>
      <c r="G116" s="110" t="str">
        <f t="shared" si="28"/>
        <v>MARZO</v>
      </c>
      <c r="H116" s="252">
        <v>1085.97</v>
      </c>
      <c r="I116" s="102" t="str">
        <f t="shared" si="29"/>
        <v>MARZO</v>
      </c>
      <c r="J116">
        <v>169.06</v>
      </c>
      <c r="K116" t="str">
        <f t="shared" si="30"/>
        <v>MARZO</v>
      </c>
      <c r="L116" s="111">
        <f t="shared" si="31"/>
        <v>1056.625</v>
      </c>
      <c r="M116" s="112">
        <f t="shared" si="32"/>
        <v>29.345000000000027</v>
      </c>
      <c r="N116" s="112">
        <f t="shared" si="33"/>
        <v>1255.03</v>
      </c>
      <c r="O116" t="s">
        <v>451</v>
      </c>
      <c r="P116" s="102">
        <v>1255.03</v>
      </c>
      <c r="Q116" s="102">
        <f>+N116-P116</f>
        <v>0</v>
      </c>
    </row>
    <row r="117" spans="1:17" x14ac:dyDescent="0.35">
      <c r="A117" s="106">
        <f t="shared" si="27"/>
        <v>3</v>
      </c>
      <c r="B117" s="107" t="str">
        <f>VLOOKUP(A117,[1]Hoja3!$C$3:$D$14,2,FALSE)</f>
        <v>MARZO</v>
      </c>
      <c r="C117" s="108">
        <v>45375.031261574077</v>
      </c>
      <c r="D117" s="108" t="s">
        <v>395</v>
      </c>
      <c r="E117" s="109" t="s">
        <v>411</v>
      </c>
      <c r="F117" s="109" t="s">
        <v>545</v>
      </c>
      <c r="G117" s="110" t="str">
        <f t="shared" si="28"/>
        <v>MARZO</v>
      </c>
      <c r="H117" s="252">
        <v>0</v>
      </c>
      <c r="I117" s="102" t="str">
        <f t="shared" si="29"/>
        <v>MARZO</v>
      </c>
      <c r="J117"/>
      <c r="K117" t="str">
        <f t="shared" si="30"/>
        <v>MARZO</v>
      </c>
      <c r="L117" s="111">
        <f t="shared" si="31"/>
        <v>0</v>
      </c>
      <c r="M117" s="112">
        <f t="shared" si="32"/>
        <v>0</v>
      </c>
      <c r="N117" s="112">
        <f t="shared" si="33"/>
        <v>0</v>
      </c>
      <c r="P117" s="102">
        <v>0</v>
      </c>
      <c r="Q117" s="102">
        <f>+N117-P117</f>
        <v>0</v>
      </c>
    </row>
    <row r="118" spans="1:17" x14ac:dyDescent="0.35">
      <c r="A118" s="106">
        <f t="shared" si="27"/>
        <v>3</v>
      </c>
      <c r="B118" s="107" t="str">
        <f>VLOOKUP(A118,[1]Hoja3!$C$3:$D$14,2,FALSE)</f>
        <v>MARZO</v>
      </c>
      <c r="C118" s="108">
        <v>45375.031261574077</v>
      </c>
      <c r="D118" s="108" t="s">
        <v>396</v>
      </c>
      <c r="E118" s="109" t="s">
        <v>412</v>
      </c>
      <c r="F118" s="109" t="s">
        <v>546</v>
      </c>
      <c r="G118" s="110" t="str">
        <f t="shared" si="28"/>
        <v>MARZO</v>
      </c>
      <c r="H118" s="252">
        <v>0</v>
      </c>
      <c r="I118" s="102" t="str">
        <f t="shared" si="29"/>
        <v>MARZO</v>
      </c>
      <c r="J118"/>
      <c r="K118" t="str">
        <f t="shared" si="30"/>
        <v>MARZO</v>
      </c>
      <c r="L118" s="111">
        <f t="shared" si="31"/>
        <v>0</v>
      </c>
      <c r="M118" s="112">
        <f t="shared" si="32"/>
        <v>0</v>
      </c>
      <c r="N118" s="112">
        <f t="shared" si="33"/>
        <v>0</v>
      </c>
      <c r="P118" s="102">
        <v>0</v>
      </c>
      <c r="Q118" s="102">
        <f>+N118-P118</f>
        <v>0</v>
      </c>
    </row>
    <row r="119" spans="1:17" x14ac:dyDescent="0.35">
      <c r="A119" s="106">
        <f t="shared" si="27"/>
        <v>3</v>
      </c>
      <c r="B119" s="107" t="str">
        <f>VLOOKUP(A119,[1]Hoja3!$C$3:$D$14,2,FALSE)</f>
        <v>MARZO</v>
      </c>
      <c r="C119" s="108">
        <v>45378.556759259256</v>
      </c>
      <c r="D119" s="108" t="s">
        <v>392</v>
      </c>
      <c r="E119" s="109" t="s">
        <v>408</v>
      </c>
      <c r="F119" s="109" t="s">
        <v>547</v>
      </c>
      <c r="G119" s="110" t="str">
        <f t="shared" si="28"/>
        <v>MARZO</v>
      </c>
      <c r="H119" s="252">
        <v>9370</v>
      </c>
      <c r="I119" s="102" t="str">
        <f t="shared" si="29"/>
        <v>MARZO</v>
      </c>
      <c r="J119">
        <v>0</v>
      </c>
      <c r="K119" t="str">
        <f t="shared" si="30"/>
        <v>MARZO</v>
      </c>
      <c r="L119" s="111">
        <f t="shared" si="31"/>
        <v>0</v>
      </c>
      <c r="M119" s="112">
        <f t="shared" si="32"/>
        <v>9370</v>
      </c>
      <c r="N119" s="112">
        <f t="shared" si="33"/>
        <v>9370</v>
      </c>
      <c r="O119" t="s">
        <v>451</v>
      </c>
      <c r="P119" s="102">
        <v>9370</v>
      </c>
      <c r="Q119" s="102">
        <f>+N119-P119</f>
        <v>0</v>
      </c>
    </row>
    <row r="120" spans="1:17" x14ac:dyDescent="0.35">
      <c r="A120" s="106"/>
      <c r="B120" s="107"/>
      <c r="C120" s="108"/>
      <c r="D120" s="108"/>
      <c r="E120" s="109"/>
      <c r="F120" s="109"/>
      <c r="G120" s="110"/>
      <c r="H120" s="252"/>
      <c r="I120" s="102"/>
      <c r="J120"/>
      <c r="K120"/>
      <c r="L120" s="111"/>
      <c r="M120" s="112"/>
      <c r="N120" s="112"/>
      <c r="O120" t="s">
        <v>551</v>
      </c>
      <c r="P120" s="102"/>
      <c r="Q120" s="102"/>
    </row>
    <row r="121" spans="1:17" x14ac:dyDescent="0.35">
      <c r="A121" s="106"/>
      <c r="B121" s="107"/>
      <c r="C121" s="108"/>
      <c r="D121" s="108"/>
      <c r="E121" s="109"/>
      <c r="F121" s="109"/>
      <c r="G121" s="110"/>
      <c r="H121" s="252"/>
      <c r="I121" s="102"/>
      <c r="J121"/>
      <c r="K121"/>
      <c r="L121" s="111"/>
      <c r="M121" s="112"/>
      <c r="N121" s="112"/>
      <c r="O121" t="s">
        <v>551</v>
      </c>
      <c r="P121" s="102"/>
      <c r="Q121" s="102"/>
    </row>
    <row r="122" spans="1:17" x14ac:dyDescent="0.35">
      <c r="A122" s="106"/>
      <c r="B122" s="107"/>
      <c r="C122" s="108"/>
      <c r="D122" s="108"/>
      <c r="E122" s="109"/>
      <c r="F122" s="109"/>
      <c r="G122" s="110"/>
      <c r="H122" s="252"/>
      <c r="I122" s="102"/>
      <c r="J122"/>
      <c r="K122"/>
      <c r="L122" s="111"/>
      <c r="M122" s="112"/>
      <c r="N122" s="112"/>
      <c r="O122" t="s">
        <v>551</v>
      </c>
      <c r="P122" s="102"/>
      <c r="Q122" s="102"/>
    </row>
    <row r="123" spans="1:17" x14ac:dyDescent="0.35">
      <c r="A123" s="106">
        <f t="shared" ref="A123:A174" si="36">IF(C123&gt;0,MONTH(C123),0)</f>
        <v>3</v>
      </c>
      <c r="B123" s="107" t="str">
        <f>VLOOKUP(A123,[1]Hoja3!$C$3:$D$14,2,FALSE)</f>
        <v>MARZO</v>
      </c>
      <c r="C123" s="108">
        <v>45379.372824074075</v>
      </c>
      <c r="D123" s="108" t="s">
        <v>386</v>
      </c>
      <c r="E123" s="109" t="s">
        <v>402</v>
      </c>
      <c r="F123" s="109" t="s">
        <v>445</v>
      </c>
      <c r="G123" s="110" t="str">
        <f t="shared" ref="G123:G158" si="37">+B123</f>
        <v>MARZO</v>
      </c>
      <c r="H123" s="252">
        <v>0.01</v>
      </c>
      <c r="I123" s="102" t="str">
        <f t="shared" ref="I123:I158" si="38">+B123</f>
        <v>MARZO</v>
      </c>
      <c r="J123"/>
      <c r="K123" t="str">
        <f t="shared" ref="K123:K174" si="39">+B123</f>
        <v>MARZO</v>
      </c>
      <c r="L123" s="111">
        <f t="shared" ref="L123:L174" si="40">+J123/0.16</f>
        <v>0</v>
      </c>
      <c r="M123" s="112">
        <f t="shared" ref="M123:M174" si="41">+H123-L123</f>
        <v>0.01</v>
      </c>
      <c r="N123" s="112">
        <f t="shared" ref="N123:N174" si="42">+H123+J123</f>
        <v>0.01</v>
      </c>
      <c r="O123" t="s">
        <v>451</v>
      </c>
      <c r="P123" s="102">
        <v>0</v>
      </c>
      <c r="Q123" s="102">
        <f t="shared" ref="Q123:Q158" si="43">+N123-P123</f>
        <v>0.01</v>
      </c>
    </row>
    <row r="124" spans="1:17" x14ac:dyDescent="0.35">
      <c r="A124" s="106">
        <f t="shared" si="36"/>
        <v>3</v>
      </c>
      <c r="B124" s="107" t="str">
        <f>VLOOKUP(A124,[1]Hoja3!$C$3:$D$14,2,FALSE)</f>
        <v>MARZO</v>
      </c>
      <c r="C124" s="108">
        <v>45379.763310185182</v>
      </c>
      <c r="D124" s="108" t="s">
        <v>385</v>
      </c>
      <c r="E124" s="109" t="s">
        <v>401</v>
      </c>
      <c r="F124" s="109" t="s">
        <v>548</v>
      </c>
      <c r="G124" s="110" t="str">
        <f t="shared" si="37"/>
        <v>MARZO</v>
      </c>
      <c r="H124" s="252">
        <v>1134.53</v>
      </c>
      <c r="I124" s="102" t="str">
        <f t="shared" si="38"/>
        <v>MARZO</v>
      </c>
      <c r="J124">
        <v>176.66</v>
      </c>
      <c r="K124" t="str">
        <f t="shared" si="39"/>
        <v>MARZO</v>
      </c>
      <c r="L124" s="111">
        <f t="shared" si="40"/>
        <v>1104.125</v>
      </c>
      <c r="M124" s="112">
        <f t="shared" si="41"/>
        <v>30.404999999999973</v>
      </c>
      <c r="N124" s="112">
        <f t="shared" si="42"/>
        <v>1311.19</v>
      </c>
      <c r="O124" t="s">
        <v>451</v>
      </c>
      <c r="P124" s="102">
        <v>1311.19</v>
      </c>
      <c r="Q124" s="102">
        <f t="shared" si="43"/>
        <v>0</v>
      </c>
    </row>
    <row r="125" spans="1:17" x14ac:dyDescent="0.35">
      <c r="A125" s="106">
        <f t="shared" si="36"/>
        <v>3</v>
      </c>
      <c r="B125" s="107" t="str">
        <f>VLOOKUP(A125,[1]Hoja3!$C$3:$D$14,2,FALSE)</f>
        <v>MARZO</v>
      </c>
      <c r="C125" s="108">
        <v>45380.118692129632</v>
      </c>
      <c r="D125" s="108" t="s">
        <v>383</v>
      </c>
      <c r="E125" s="109" t="s">
        <v>399</v>
      </c>
      <c r="F125" s="109" t="s">
        <v>549</v>
      </c>
      <c r="G125" s="110" t="str">
        <f t="shared" si="37"/>
        <v>MARZO</v>
      </c>
      <c r="H125" s="252">
        <v>29650</v>
      </c>
      <c r="I125" s="102" t="str">
        <f t="shared" si="38"/>
        <v>MARZO</v>
      </c>
      <c r="J125">
        <v>0</v>
      </c>
      <c r="K125" t="str">
        <f t="shared" si="39"/>
        <v>MARZO</v>
      </c>
      <c r="L125" s="111">
        <f t="shared" si="40"/>
        <v>0</v>
      </c>
      <c r="M125" s="112">
        <f t="shared" si="41"/>
        <v>29650</v>
      </c>
      <c r="N125" s="112">
        <f t="shared" si="42"/>
        <v>29650</v>
      </c>
      <c r="O125" t="s">
        <v>451</v>
      </c>
      <c r="P125" s="102">
        <v>29650</v>
      </c>
      <c r="Q125" s="102">
        <f t="shared" si="43"/>
        <v>0</v>
      </c>
    </row>
    <row r="126" spans="1:17" x14ac:dyDescent="0.35">
      <c r="A126" s="106">
        <f t="shared" si="36"/>
        <v>3</v>
      </c>
      <c r="B126" s="107" t="str">
        <f>VLOOKUP(A126,[1]Hoja3!$C$3:$D$14,2,FALSE)</f>
        <v>MARZO</v>
      </c>
      <c r="C126" s="108">
        <v>45380.587071759262</v>
      </c>
      <c r="D126" s="108" t="s">
        <v>387</v>
      </c>
      <c r="E126" s="109" t="s">
        <v>403</v>
      </c>
      <c r="F126" s="109" t="s">
        <v>550</v>
      </c>
      <c r="G126" s="110" t="str">
        <f t="shared" si="37"/>
        <v>MARZO</v>
      </c>
      <c r="H126" s="252">
        <v>6794.12</v>
      </c>
      <c r="I126" s="102" t="str">
        <f t="shared" si="38"/>
        <v>MARZO</v>
      </c>
      <c r="J126">
        <v>0</v>
      </c>
      <c r="K126" t="str">
        <f t="shared" si="39"/>
        <v>MARZO</v>
      </c>
      <c r="L126" s="111">
        <f t="shared" si="40"/>
        <v>0</v>
      </c>
      <c r="M126" s="112">
        <f t="shared" si="41"/>
        <v>6794.12</v>
      </c>
      <c r="N126" s="112">
        <f t="shared" si="42"/>
        <v>6794.12</v>
      </c>
      <c r="O126" t="s">
        <v>451</v>
      </c>
      <c r="P126" s="102">
        <v>6794.12</v>
      </c>
      <c r="Q126" s="102">
        <f t="shared" si="43"/>
        <v>0</v>
      </c>
    </row>
    <row r="127" spans="1:17" x14ac:dyDescent="0.35">
      <c r="A127" s="106">
        <f t="shared" si="36"/>
        <v>3</v>
      </c>
      <c r="B127" s="107" t="str">
        <f>VLOOKUP(A127,[1]Hoja3!$C$3:$D$14,2,FALSE)</f>
        <v>MARZO</v>
      </c>
      <c r="C127" s="108">
        <v>45382.878113425926</v>
      </c>
      <c r="D127" s="108" t="s">
        <v>397</v>
      </c>
      <c r="E127" s="109" t="s">
        <v>413</v>
      </c>
      <c r="F127" s="109"/>
      <c r="G127" s="110" t="str">
        <f t="shared" si="37"/>
        <v>MARZO</v>
      </c>
      <c r="H127" s="252">
        <v>1840</v>
      </c>
      <c r="I127" s="102" t="str">
        <f t="shared" si="38"/>
        <v>MARZO</v>
      </c>
      <c r="J127">
        <v>0</v>
      </c>
      <c r="K127" t="str">
        <f t="shared" si="39"/>
        <v>MARZO</v>
      </c>
      <c r="L127" s="111">
        <f t="shared" si="40"/>
        <v>0</v>
      </c>
      <c r="M127" s="112">
        <f t="shared" si="41"/>
        <v>1840</v>
      </c>
      <c r="N127" s="112">
        <f t="shared" si="42"/>
        <v>1840</v>
      </c>
      <c r="O127" t="s">
        <v>451</v>
      </c>
      <c r="P127" s="102">
        <v>1840</v>
      </c>
      <c r="Q127" s="102">
        <f t="shared" si="43"/>
        <v>0</v>
      </c>
    </row>
    <row r="128" spans="1:17" x14ac:dyDescent="0.35">
      <c r="A128" s="106">
        <f t="shared" si="36"/>
        <v>3</v>
      </c>
      <c r="B128" s="107" t="str">
        <f>VLOOKUP(A128,[1]Hoja3!$C$3:$D$14,2,FALSE)</f>
        <v>MARZO</v>
      </c>
      <c r="C128" s="108">
        <v>45382.88548611111</v>
      </c>
      <c r="D128" s="108" t="s">
        <v>397</v>
      </c>
      <c r="E128" s="109" t="s">
        <v>413</v>
      </c>
      <c r="F128" s="109"/>
      <c r="G128" s="110" t="str">
        <f t="shared" si="37"/>
        <v>MARZO</v>
      </c>
      <c r="H128" s="252">
        <v>1840</v>
      </c>
      <c r="I128" s="102" t="str">
        <f t="shared" si="38"/>
        <v>MARZO</v>
      </c>
      <c r="J128">
        <v>0</v>
      </c>
      <c r="K128" t="str">
        <f t="shared" si="39"/>
        <v>MARZO</v>
      </c>
      <c r="L128" s="111">
        <f t="shared" si="40"/>
        <v>0</v>
      </c>
      <c r="M128" s="112">
        <f t="shared" si="41"/>
        <v>1840</v>
      </c>
      <c r="N128" s="112">
        <f t="shared" si="42"/>
        <v>1840</v>
      </c>
      <c r="O128" t="s">
        <v>451</v>
      </c>
      <c r="P128" s="102">
        <v>1840</v>
      </c>
      <c r="Q128" s="102">
        <f t="shared" si="43"/>
        <v>0</v>
      </c>
    </row>
    <row r="129" spans="1:17" x14ac:dyDescent="0.35">
      <c r="A129" s="106">
        <f t="shared" si="36"/>
        <v>3</v>
      </c>
      <c r="B129" s="107" t="str">
        <f>VLOOKUP(A129,[1]Hoja3!$C$3:$D$14,2,FALSE)</f>
        <v>MARZO</v>
      </c>
      <c r="C129" s="108">
        <v>45382.890972222223</v>
      </c>
      <c r="D129" s="108" t="s">
        <v>397</v>
      </c>
      <c r="E129" s="109" t="s">
        <v>413</v>
      </c>
      <c r="F129" s="109"/>
      <c r="G129" s="110" t="str">
        <f t="shared" si="37"/>
        <v>MARZO</v>
      </c>
      <c r="H129" s="252">
        <v>1840</v>
      </c>
      <c r="I129" s="102" t="str">
        <f t="shared" si="38"/>
        <v>MARZO</v>
      </c>
      <c r="J129">
        <v>0</v>
      </c>
      <c r="K129" t="str">
        <f t="shared" si="39"/>
        <v>MARZO</v>
      </c>
      <c r="L129" s="111">
        <f t="shared" si="40"/>
        <v>0</v>
      </c>
      <c r="M129" s="112">
        <f t="shared" si="41"/>
        <v>1840</v>
      </c>
      <c r="N129" s="112">
        <f t="shared" si="42"/>
        <v>1840</v>
      </c>
      <c r="O129" t="s">
        <v>451</v>
      </c>
      <c r="P129" s="102">
        <v>1840</v>
      </c>
      <c r="Q129" s="102">
        <f t="shared" si="43"/>
        <v>0</v>
      </c>
    </row>
    <row r="130" spans="1:17" x14ac:dyDescent="0.35">
      <c r="A130" s="106">
        <f t="shared" si="36"/>
        <v>3</v>
      </c>
      <c r="B130" s="107" t="str">
        <f>VLOOKUP(A130,[1]Hoja3!$C$3:$D$14,2,FALSE)</f>
        <v>MARZO</v>
      </c>
      <c r="C130" s="108">
        <v>45382.894733796296</v>
      </c>
      <c r="D130" s="108" t="s">
        <v>397</v>
      </c>
      <c r="E130" s="109" t="s">
        <v>413</v>
      </c>
      <c r="F130" s="109"/>
      <c r="G130" s="110" t="str">
        <f t="shared" si="37"/>
        <v>MARZO</v>
      </c>
      <c r="H130" s="252">
        <v>1380</v>
      </c>
      <c r="I130" s="102" t="str">
        <f t="shared" si="38"/>
        <v>MARZO</v>
      </c>
      <c r="J130">
        <v>0</v>
      </c>
      <c r="K130" t="str">
        <f t="shared" si="39"/>
        <v>MARZO</v>
      </c>
      <c r="L130" s="111">
        <f t="shared" si="40"/>
        <v>0</v>
      </c>
      <c r="M130" s="112">
        <f t="shared" si="41"/>
        <v>1380</v>
      </c>
      <c r="N130" s="112">
        <f t="shared" si="42"/>
        <v>1380</v>
      </c>
      <c r="O130" t="s">
        <v>451</v>
      </c>
      <c r="P130" s="102">
        <v>1380</v>
      </c>
      <c r="Q130" s="102">
        <f t="shared" si="43"/>
        <v>0</v>
      </c>
    </row>
    <row r="131" spans="1:17" x14ac:dyDescent="0.35">
      <c r="A131" s="106">
        <f t="shared" si="36"/>
        <v>4</v>
      </c>
      <c r="B131" s="107" t="str">
        <f>VLOOKUP(A131,[1]Hoja3!$C$3:$D$14,2,FALSE)</f>
        <v>ABRIL</v>
      </c>
      <c r="C131" s="108">
        <v>45383.504143518519</v>
      </c>
      <c r="D131" s="108" t="s">
        <v>385</v>
      </c>
      <c r="E131" s="109" t="s">
        <v>401</v>
      </c>
      <c r="F131" s="109" t="s">
        <v>556</v>
      </c>
      <c r="G131" s="110" t="str">
        <f t="shared" si="37"/>
        <v>ABRIL</v>
      </c>
      <c r="H131" s="252">
        <v>1076.19</v>
      </c>
      <c r="I131" s="102" t="str">
        <f t="shared" si="38"/>
        <v>ABRIL</v>
      </c>
      <c r="J131">
        <v>167.55</v>
      </c>
      <c r="K131" t="str">
        <f t="shared" si="39"/>
        <v>ABRIL</v>
      </c>
      <c r="L131" s="111">
        <f t="shared" si="40"/>
        <v>1047.1875</v>
      </c>
      <c r="M131" s="112">
        <f t="shared" si="41"/>
        <v>29.002500000000055</v>
      </c>
      <c r="N131" s="112">
        <f t="shared" si="42"/>
        <v>1243.74</v>
      </c>
      <c r="O131" t="s">
        <v>451</v>
      </c>
      <c r="P131">
        <v>1243.74</v>
      </c>
      <c r="Q131" s="102">
        <f t="shared" si="43"/>
        <v>0</v>
      </c>
    </row>
    <row r="132" spans="1:17" x14ac:dyDescent="0.35">
      <c r="A132" s="106">
        <f t="shared" si="36"/>
        <v>4</v>
      </c>
      <c r="B132" s="107" t="str">
        <f>VLOOKUP(A132,[1]Hoja3!$C$3:$D$14,2,FALSE)</f>
        <v>ABRIL</v>
      </c>
      <c r="C132" s="108">
        <v>45383.551354166666</v>
      </c>
      <c r="D132" s="108" t="s">
        <v>455</v>
      </c>
      <c r="E132" s="109" t="s">
        <v>458</v>
      </c>
      <c r="F132" s="109" t="s">
        <v>557</v>
      </c>
      <c r="G132" s="110" t="str">
        <f t="shared" si="37"/>
        <v>ABRIL</v>
      </c>
      <c r="H132" s="252">
        <v>4640</v>
      </c>
      <c r="I132" s="102" t="str">
        <f t="shared" si="38"/>
        <v>ABRIL</v>
      </c>
      <c r="J132">
        <v>0</v>
      </c>
      <c r="K132" t="str">
        <f t="shared" si="39"/>
        <v>ABRIL</v>
      </c>
      <c r="L132" s="111">
        <f t="shared" si="40"/>
        <v>0</v>
      </c>
      <c r="M132" s="112">
        <f t="shared" si="41"/>
        <v>4640</v>
      </c>
      <c r="N132" s="112">
        <f t="shared" si="42"/>
        <v>4640</v>
      </c>
      <c r="O132" t="s">
        <v>451</v>
      </c>
      <c r="P132">
        <v>4640</v>
      </c>
      <c r="Q132" s="102">
        <f t="shared" si="43"/>
        <v>0</v>
      </c>
    </row>
    <row r="133" spans="1:17" x14ac:dyDescent="0.35">
      <c r="A133" s="106">
        <f t="shared" si="36"/>
        <v>4</v>
      </c>
      <c r="B133" s="107" t="str">
        <f>VLOOKUP(A133,[1]Hoja3!$C$3:$D$14,2,FALSE)</f>
        <v>ABRIL</v>
      </c>
      <c r="C133" s="108">
        <v>45383.692928240744</v>
      </c>
      <c r="D133" s="108" t="s">
        <v>392</v>
      </c>
      <c r="E133" s="109" t="s">
        <v>408</v>
      </c>
      <c r="F133" s="109" t="s">
        <v>558</v>
      </c>
      <c r="G133" s="110" t="str">
        <f t="shared" si="37"/>
        <v>ABRIL</v>
      </c>
      <c r="H133" s="252">
        <v>11760</v>
      </c>
      <c r="I133" s="102" t="str">
        <f t="shared" si="38"/>
        <v>ABRIL</v>
      </c>
      <c r="J133">
        <v>0</v>
      </c>
      <c r="K133" t="str">
        <f t="shared" si="39"/>
        <v>ABRIL</v>
      </c>
      <c r="L133" s="111">
        <f t="shared" si="40"/>
        <v>0</v>
      </c>
      <c r="M133" s="112">
        <f t="shared" si="41"/>
        <v>11760</v>
      </c>
      <c r="N133" s="112">
        <f t="shared" si="42"/>
        <v>11760</v>
      </c>
      <c r="O133" t="s">
        <v>451</v>
      </c>
      <c r="P133">
        <v>11760</v>
      </c>
      <c r="Q133" s="102">
        <f t="shared" si="43"/>
        <v>0</v>
      </c>
    </row>
    <row r="134" spans="1:17" x14ac:dyDescent="0.35">
      <c r="A134" s="106">
        <f t="shared" si="36"/>
        <v>4</v>
      </c>
      <c r="B134" s="107" t="str">
        <f>VLOOKUP(A134,[1]Hoja3!$C$3:$D$14,2,FALSE)</f>
        <v>ABRIL</v>
      </c>
      <c r="C134" s="108">
        <v>45383.743252314816</v>
      </c>
      <c r="D134" s="108" t="s">
        <v>382</v>
      </c>
      <c r="E134" s="109" t="s">
        <v>398</v>
      </c>
      <c r="F134" s="109" t="s">
        <v>414</v>
      </c>
      <c r="G134" s="110" t="str">
        <f t="shared" si="37"/>
        <v>ABRIL</v>
      </c>
      <c r="H134" s="252">
        <v>974.76</v>
      </c>
      <c r="I134" s="102" t="str">
        <f t="shared" si="38"/>
        <v>ABRIL</v>
      </c>
      <c r="J134">
        <v>155.96</v>
      </c>
      <c r="K134" t="str">
        <f t="shared" si="39"/>
        <v>ABRIL</v>
      </c>
      <c r="L134" s="111">
        <f t="shared" si="40"/>
        <v>974.75</v>
      </c>
      <c r="M134" s="112">
        <f t="shared" si="41"/>
        <v>9.9999999999909051E-3</v>
      </c>
      <c r="N134" s="112">
        <f t="shared" si="42"/>
        <v>1130.72</v>
      </c>
      <c r="O134" t="s">
        <v>451</v>
      </c>
      <c r="P134">
        <v>1130.72</v>
      </c>
      <c r="Q134" s="102">
        <f t="shared" si="43"/>
        <v>0</v>
      </c>
    </row>
    <row r="135" spans="1:17" x14ac:dyDescent="0.35">
      <c r="A135" s="106">
        <f t="shared" si="36"/>
        <v>4</v>
      </c>
      <c r="B135" s="107" t="str">
        <f>VLOOKUP(A135,[1]Hoja3!$C$3:$D$14,2,FALSE)</f>
        <v>ABRIL</v>
      </c>
      <c r="C135" s="108">
        <v>45384.412870370368</v>
      </c>
      <c r="D135" s="108" t="s">
        <v>394</v>
      </c>
      <c r="E135" s="109" t="s">
        <v>410</v>
      </c>
      <c r="F135" s="109" t="s">
        <v>559</v>
      </c>
      <c r="G135" s="110" t="str">
        <f t="shared" si="37"/>
        <v>ABRIL</v>
      </c>
      <c r="H135" s="252">
        <v>46601.5</v>
      </c>
      <c r="I135" s="102" t="str">
        <f t="shared" si="38"/>
        <v>ABRIL</v>
      </c>
      <c r="J135">
        <v>0</v>
      </c>
      <c r="K135" t="str">
        <f t="shared" si="39"/>
        <v>ABRIL</v>
      </c>
      <c r="L135" s="111">
        <f t="shared" si="40"/>
        <v>0</v>
      </c>
      <c r="M135" s="112">
        <f t="shared" si="41"/>
        <v>46601.5</v>
      </c>
      <c r="N135" s="112">
        <f t="shared" si="42"/>
        <v>46601.5</v>
      </c>
      <c r="O135" t="s">
        <v>451</v>
      </c>
      <c r="P135">
        <v>46601.5</v>
      </c>
      <c r="Q135" s="102">
        <f t="shared" si="43"/>
        <v>0</v>
      </c>
    </row>
    <row r="136" spans="1:17" x14ac:dyDescent="0.35">
      <c r="A136" s="106">
        <f t="shared" si="36"/>
        <v>4</v>
      </c>
      <c r="B136" s="107" t="str">
        <f>VLOOKUP(A136,[1]Hoja3!$C$3:$D$14,2,FALSE)</f>
        <v>ABRIL</v>
      </c>
      <c r="C136" s="273">
        <v>45384.993726851855</v>
      </c>
      <c r="D136" s="249" t="s">
        <v>383</v>
      </c>
      <c r="E136" s="250" t="s">
        <v>399</v>
      </c>
      <c r="F136" s="250" t="s">
        <v>560</v>
      </c>
      <c r="G136" s="110" t="str">
        <f t="shared" si="37"/>
        <v>ABRIL</v>
      </c>
      <c r="H136" s="253">
        <v>75000</v>
      </c>
      <c r="I136" s="102" t="str">
        <f t="shared" si="38"/>
        <v>ABRIL</v>
      </c>
      <c r="J136">
        <v>0</v>
      </c>
      <c r="K136" t="str">
        <f t="shared" si="39"/>
        <v>ABRIL</v>
      </c>
      <c r="L136" s="111">
        <f t="shared" si="40"/>
        <v>0</v>
      </c>
      <c r="M136" s="112">
        <f t="shared" si="41"/>
        <v>75000</v>
      </c>
      <c r="N136" s="112">
        <f t="shared" si="42"/>
        <v>75000</v>
      </c>
      <c r="O136" t="s">
        <v>451</v>
      </c>
      <c r="P136">
        <v>75000</v>
      </c>
      <c r="Q136" s="102">
        <f t="shared" si="43"/>
        <v>0</v>
      </c>
    </row>
    <row r="137" spans="1:17" x14ac:dyDescent="0.35">
      <c r="A137" s="106">
        <f t="shared" si="36"/>
        <v>4</v>
      </c>
      <c r="B137" s="107" t="str">
        <f>VLOOKUP(A137,[1]Hoja3!$C$3:$D$14,2,FALSE)</f>
        <v>ABRIL</v>
      </c>
      <c r="C137" s="108">
        <v>45385.442673611113</v>
      </c>
      <c r="D137" s="108" t="s">
        <v>393</v>
      </c>
      <c r="E137" s="109" t="s">
        <v>409</v>
      </c>
      <c r="F137" s="109" t="s">
        <v>561</v>
      </c>
      <c r="G137" s="110" t="str">
        <f t="shared" si="37"/>
        <v>ABRIL</v>
      </c>
      <c r="H137" s="252">
        <v>0</v>
      </c>
      <c r="I137" s="102" t="str">
        <f t="shared" si="38"/>
        <v>ABRIL</v>
      </c>
      <c r="J137"/>
      <c r="K137" t="str">
        <f t="shared" si="39"/>
        <v>ABRIL</v>
      </c>
      <c r="L137" s="111">
        <f t="shared" si="40"/>
        <v>0</v>
      </c>
      <c r="M137" s="112">
        <f t="shared" si="41"/>
        <v>0</v>
      </c>
      <c r="N137" s="112">
        <f t="shared" si="42"/>
        <v>0</v>
      </c>
      <c r="P137">
        <v>0</v>
      </c>
      <c r="Q137" s="102">
        <f t="shared" si="43"/>
        <v>0</v>
      </c>
    </row>
    <row r="138" spans="1:17" x14ac:dyDescent="0.35">
      <c r="A138" s="106">
        <f t="shared" si="36"/>
        <v>4</v>
      </c>
      <c r="B138" s="107" t="str">
        <f>VLOOKUP(A138,[1]Hoja3!$C$3:$D$14,2,FALSE)</f>
        <v>ABRIL</v>
      </c>
      <c r="C138" s="108">
        <v>45385.473495370374</v>
      </c>
      <c r="D138" s="108" t="s">
        <v>390</v>
      </c>
      <c r="E138" s="109" t="s">
        <v>406</v>
      </c>
      <c r="F138" s="109" t="s">
        <v>562</v>
      </c>
      <c r="G138" s="110" t="str">
        <f t="shared" si="37"/>
        <v>ABRIL</v>
      </c>
      <c r="H138" s="252">
        <v>2327.59</v>
      </c>
      <c r="I138" s="102" t="str">
        <f t="shared" si="38"/>
        <v>ABRIL</v>
      </c>
      <c r="J138">
        <v>372.4144</v>
      </c>
      <c r="K138" t="str">
        <f t="shared" si="39"/>
        <v>ABRIL</v>
      </c>
      <c r="L138" s="111">
        <f t="shared" si="40"/>
        <v>2327.59</v>
      </c>
      <c r="M138" s="112">
        <f t="shared" si="41"/>
        <v>0</v>
      </c>
      <c r="N138" s="112">
        <f t="shared" si="42"/>
        <v>2700.0044000000003</v>
      </c>
      <c r="O138" t="s">
        <v>451</v>
      </c>
      <c r="P138">
        <v>2700</v>
      </c>
      <c r="Q138" s="102">
        <f t="shared" si="43"/>
        <v>4.4000000002597517E-3</v>
      </c>
    </row>
    <row r="139" spans="1:17" x14ac:dyDescent="0.35">
      <c r="A139" s="106">
        <f t="shared" si="36"/>
        <v>4</v>
      </c>
      <c r="B139" s="107" t="str">
        <f>VLOOKUP(A139,[1]Hoja3!$C$3:$D$14,2,FALSE)</f>
        <v>ABRIL</v>
      </c>
      <c r="C139" s="108">
        <v>45385.697569444441</v>
      </c>
      <c r="D139" s="108" t="s">
        <v>457</v>
      </c>
      <c r="E139" s="109" t="s">
        <v>460</v>
      </c>
      <c r="F139" s="109" t="s">
        <v>563</v>
      </c>
      <c r="G139" s="110" t="str">
        <f t="shared" si="37"/>
        <v>ABRIL</v>
      </c>
      <c r="H139" s="252">
        <v>2900</v>
      </c>
      <c r="I139" s="102" t="str">
        <f t="shared" si="38"/>
        <v>ABRIL</v>
      </c>
      <c r="J139">
        <v>0</v>
      </c>
      <c r="K139" t="str">
        <f t="shared" si="39"/>
        <v>ABRIL</v>
      </c>
      <c r="L139" s="111">
        <f t="shared" si="40"/>
        <v>0</v>
      </c>
      <c r="M139" s="112">
        <f t="shared" si="41"/>
        <v>2900</v>
      </c>
      <c r="N139" s="112">
        <f t="shared" si="42"/>
        <v>2900</v>
      </c>
      <c r="O139" t="s">
        <v>551</v>
      </c>
      <c r="P139">
        <v>2900</v>
      </c>
      <c r="Q139" s="102">
        <f t="shared" si="43"/>
        <v>0</v>
      </c>
    </row>
    <row r="140" spans="1:17" x14ac:dyDescent="0.35">
      <c r="A140" s="106">
        <f t="shared" si="36"/>
        <v>4</v>
      </c>
      <c r="B140" s="107" t="str">
        <f>VLOOKUP(A140,[1]Hoja3!$C$3:$D$14,2,FALSE)</f>
        <v>ABRIL</v>
      </c>
      <c r="C140" s="108">
        <v>45385.721388888887</v>
      </c>
      <c r="D140" s="108" t="s">
        <v>387</v>
      </c>
      <c r="E140" s="109" t="s">
        <v>403</v>
      </c>
      <c r="F140" s="109" t="s">
        <v>564</v>
      </c>
      <c r="G140" s="110" t="str">
        <f t="shared" si="37"/>
        <v>ABRIL</v>
      </c>
      <c r="H140" s="252">
        <v>4659.76</v>
      </c>
      <c r="I140" s="102" t="str">
        <f t="shared" si="38"/>
        <v>ABRIL</v>
      </c>
      <c r="J140">
        <v>0</v>
      </c>
      <c r="K140" t="str">
        <f t="shared" si="39"/>
        <v>ABRIL</v>
      </c>
      <c r="L140" s="111">
        <f t="shared" si="40"/>
        <v>0</v>
      </c>
      <c r="M140" s="112">
        <f t="shared" si="41"/>
        <v>4659.76</v>
      </c>
      <c r="N140" s="112">
        <f t="shared" si="42"/>
        <v>4659.76</v>
      </c>
      <c r="O140" t="s">
        <v>451</v>
      </c>
      <c r="P140">
        <v>4659.76</v>
      </c>
      <c r="Q140" s="102">
        <f t="shared" si="43"/>
        <v>0</v>
      </c>
    </row>
    <row r="141" spans="1:17" x14ac:dyDescent="0.35">
      <c r="A141" s="106">
        <f t="shared" si="36"/>
        <v>4</v>
      </c>
      <c r="B141" s="107" t="str">
        <f>VLOOKUP(A141,[1]Hoja3!$C$3:$D$14,2,FALSE)</f>
        <v>ABRIL</v>
      </c>
      <c r="C141" s="108">
        <v>45387.696261574078</v>
      </c>
      <c r="D141" s="108" t="s">
        <v>554</v>
      </c>
      <c r="E141" s="109" t="s">
        <v>555</v>
      </c>
      <c r="F141" s="109" t="s">
        <v>565</v>
      </c>
      <c r="G141" s="110" t="str">
        <f t="shared" si="37"/>
        <v>ABRIL</v>
      </c>
      <c r="H141" s="252">
        <v>895.69</v>
      </c>
      <c r="I141" s="102" t="str">
        <f t="shared" si="38"/>
        <v>ABRIL</v>
      </c>
      <c r="J141">
        <v>143.31</v>
      </c>
      <c r="K141" t="str">
        <f t="shared" si="39"/>
        <v>ABRIL</v>
      </c>
      <c r="L141" s="111">
        <f t="shared" si="40"/>
        <v>895.6875</v>
      </c>
      <c r="M141" s="112">
        <f t="shared" si="41"/>
        <v>2.5000000000545697E-3</v>
      </c>
      <c r="N141" s="112">
        <f t="shared" si="42"/>
        <v>1039</v>
      </c>
      <c r="O141" t="s">
        <v>451</v>
      </c>
      <c r="P141">
        <v>1039</v>
      </c>
      <c r="Q141" s="102">
        <f t="shared" si="43"/>
        <v>0</v>
      </c>
    </row>
    <row r="142" spans="1:17" x14ac:dyDescent="0.35">
      <c r="A142" s="106">
        <f t="shared" si="36"/>
        <v>4</v>
      </c>
      <c r="B142" s="107" t="str">
        <f>VLOOKUP(A142,[1]Hoja3!$C$3:$D$14,2,FALSE)</f>
        <v>ABRIL</v>
      </c>
      <c r="C142" s="108">
        <v>45388.70449074074</v>
      </c>
      <c r="D142" s="108" t="s">
        <v>393</v>
      </c>
      <c r="E142" s="109" t="s">
        <v>409</v>
      </c>
      <c r="F142" s="109" t="s">
        <v>566</v>
      </c>
      <c r="G142" s="110" t="str">
        <f t="shared" si="37"/>
        <v>ABRIL</v>
      </c>
      <c r="H142" s="252">
        <v>44.11</v>
      </c>
      <c r="I142" s="102" t="str">
        <f t="shared" si="38"/>
        <v>ABRIL</v>
      </c>
      <c r="J142">
        <v>7.05</v>
      </c>
      <c r="K142" t="str">
        <f t="shared" si="39"/>
        <v>ABRIL</v>
      </c>
      <c r="L142" s="111">
        <f t="shared" si="40"/>
        <v>44.0625</v>
      </c>
      <c r="M142" s="112">
        <f t="shared" si="41"/>
        <v>4.7499999999999432E-2</v>
      </c>
      <c r="N142" s="112">
        <f t="shared" si="42"/>
        <v>51.16</v>
      </c>
      <c r="O142" t="s">
        <v>551</v>
      </c>
      <c r="P142">
        <v>51.16</v>
      </c>
      <c r="Q142" s="102">
        <f t="shared" si="43"/>
        <v>0</v>
      </c>
    </row>
    <row r="143" spans="1:17" x14ac:dyDescent="0.35">
      <c r="A143" s="106">
        <f t="shared" si="36"/>
        <v>4</v>
      </c>
      <c r="B143" s="107" t="str">
        <f>VLOOKUP(A143,[1]Hoja3!$C$3:$D$14,2,FALSE)</f>
        <v>ABRIL</v>
      </c>
      <c r="C143" s="108">
        <v>45390.383055555554</v>
      </c>
      <c r="D143" s="108" t="s">
        <v>386</v>
      </c>
      <c r="E143" s="109" t="s">
        <v>402</v>
      </c>
      <c r="F143" s="109" t="s">
        <v>418</v>
      </c>
      <c r="G143" s="110" t="str">
        <f t="shared" si="37"/>
        <v>ABRIL</v>
      </c>
      <c r="H143" s="252">
        <v>0.01</v>
      </c>
      <c r="I143" s="102" t="str">
        <f t="shared" si="38"/>
        <v>ABRIL</v>
      </c>
      <c r="J143"/>
      <c r="K143" t="str">
        <f t="shared" si="39"/>
        <v>ABRIL</v>
      </c>
      <c r="L143" s="111">
        <f t="shared" si="40"/>
        <v>0</v>
      </c>
      <c r="M143" s="112">
        <f t="shared" si="41"/>
        <v>0.01</v>
      </c>
      <c r="N143" s="112">
        <f t="shared" si="42"/>
        <v>0.01</v>
      </c>
      <c r="O143" t="s">
        <v>451</v>
      </c>
      <c r="P143">
        <v>0</v>
      </c>
      <c r="Q143" s="102">
        <f t="shared" si="43"/>
        <v>0.01</v>
      </c>
    </row>
    <row r="144" spans="1:17" x14ac:dyDescent="0.35">
      <c r="A144" s="106">
        <f t="shared" si="36"/>
        <v>4</v>
      </c>
      <c r="B144" s="107" t="str">
        <f>VLOOKUP(A144,[1]Hoja3!$C$3:$D$14,2,FALSE)</f>
        <v>ABRIL</v>
      </c>
      <c r="C144" s="108">
        <v>45390.58425925926</v>
      </c>
      <c r="D144" s="108" t="s">
        <v>392</v>
      </c>
      <c r="E144" s="109" t="s">
        <v>408</v>
      </c>
      <c r="F144" s="109" t="s">
        <v>567</v>
      </c>
      <c r="G144" s="110" t="str">
        <f t="shared" si="37"/>
        <v>ABRIL</v>
      </c>
      <c r="H144" s="252">
        <v>6325</v>
      </c>
      <c r="I144" s="102" t="str">
        <f t="shared" si="38"/>
        <v>ABRIL</v>
      </c>
      <c r="J144">
        <v>0</v>
      </c>
      <c r="K144" t="str">
        <f t="shared" si="39"/>
        <v>ABRIL</v>
      </c>
      <c r="L144" s="111">
        <f t="shared" si="40"/>
        <v>0</v>
      </c>
      <c r="M144" s="112">
        <f t="shared" si="41"/>
        <v>6325</v>
      </c>
      <c r="N144" s="112">
        <f t="shared" si="42"/>
        <v>6325</v>
      </c>
      <c r="O144" t="s">
        <v>451</v>
      </c>
      <c r="P144">
        <v>6325</v>
      </c>
      <c r="Q144" s="102">
        <f t="shared" si="43"/>
        <v>0</v>
      </c>
    </row>
    <row r="145" spans="1:17" x14ac:dyDescent="0.35">
      <c r="A145" s="106">
        <f t="shared" si="36"/>
        <v>4</v>
      </c>
      <c r="B145" s="107" t="str">
        <f>VLOOKUP(A145,[1]Hoja3!$C$3:$D$14,2,FALSE)</f>
        <v>ABRIL</v>
      </c>
      <c r="C145" s="108">
        <v>45390.988449074073</v>
      </c>
      <c r="D145" s="108" t="s">
        <v>383</v>
      </c>
      <c r="E145" s="109" t="s">
        <v>399</v>
      </c>
      <c r="F145" s="109" t="s">
        <v>568</v>
      </c>
      <c r="G145" s="110" t="str">
        <f t="shared" si="37"/>
        <v>ABRIL</v>
      </c>
      <c r="H145" s="252">
        <v>18155</v>
      </c>
      <c r="I145" s="102" t="str">
        <f t="shared" si="38"/>
        <v>ABRIL</v>
      </c>
      <c r="J145">
        <v>0</v>
      </c>
      <c r="K145" t="str">
        <f t="shared" si="39"/>
        <v>ABRIL</v>
      </c>
      <c r="L145" s="111">
        <f t="shared" si="40"/>
        <v>0</v>
      </c>
      <c r="M145" s="112">
        <f t="shared" si="41"/>
        <v>18155</v>
      </c>
      <c r="N145" s="112">
        <f t="shared" si="42"/>
        <v>18155</v>
      </c>
      <c r="O145" t="s">
        <v>451</v>
      </c>
      <c r="P145">
        <v>18155</v>
      </c>
      <c r="Q145" s="102">
        <f t="shared" si="43"/>
        <v>0</v>
      </c>
    </row>
    <row r="146" spans="1:17" x14ac:dyDescent="0.35">
      <c r="A146" s="106">
        <f t="shared" si="36"/>
        <v>4</v>
      </c>
      <c r="B146" s="107" t="str">
        <f>VLOOKUP(A146,[1]Hoja3!$C$3:$D$14,2,FALSE)</f>
        <v>ABRIL</v>
      </c>
      <c r="C146" s="108">
        <v>45392.556620370371</v>
      </c>
      <c r="D146" s="108" t="s">
        <v>389</v>
      </c>
      <c r="E146" s="109" t="s">
        <v>405</v>
      </c>
      <c r="F146" s="109" t="s">
        <v>569</v>
      </c>
      <c r="G146" s="110" t="str">
        <f t="shared" si="37"/>
        <v>ABRIL</v>
      </c>
      <c r="H146" s="252">
        <v>13000</v>
      </c>
      <c r="I146" s="102" t="str">
        <f t="shared" si="38"/>
        <v>ABRIL</v>
      </c>
      <c r="J146">
        <v>0</v>
      </c>
      <c r="K146" t="str">
        <f t="shared" si="39"/>
        <v>ABRIL</v>
      </c>
      <c r="L146" s="111">
        <f t="shared" si="40"/>
        <v>0</v>
      </c>
      <c r="M146" s="112">
        <f t="shared" si="41"/>
        <v>13000</v>
      </c>
      <c r="N146" s="112">
        <f t="shared" si="42"/>
        <v>13000</v>
      </c>
      <c r="O146" t="s">
        <v>451</v>
      </c>
      <c r="P146">
        <v>13000</v>
      </c>
      <c r="Q146" s="102">
        <f t="shared" si="43"/>
        <v>0</v>
      </c>
    </row>
    <row r="147" spans="1:17" x14ac:dyDescent="0.35">
      <c r="A147" s="106">
        <f t="shared" si="36"/>
        <v>4</v>
      </c>
      <c r="B147" s="107" t="str">
        <f>VLOOKUP(A147,[1]Hoja3!$C$3:$D$14,2,FALSE)</f>
        <v>ABRIL</v>
      </c>
      <c r="C147" s="108">
        <v>45392.55704861111</v>
      </c>
      <c r="D147" s="108" t="s">
        <v>389</v>
      </c>
      <c r="E147" s="109" t="s">
        <v>405</v>
      </c>
      <c r="F147" s="109" t="s">
        <v>570</v>
      </c>
      <c r="G147" s="110" t="str">
        <f t="shared" si="37"/>
        <v>ABRIL</v>
      </c>
      <c r="H147" s="252">
        <v>12500</v>
      </c>
      <c r="I147" s="102" t="str">
        <f t="shared" si="38"/>
        <v>ABRIL</v>
      </c>
      <c r="J147">
        <v>0</v>
      </c>
      <c r="K147" t="str">
        <f t="shared" si="39"/>
        <v>ABRIL</v>
      </c>
      <c r="L147" s="111">
        <f t="shared" si="40"/>
        <v>0</v>
      </c>
      <c r="M147" s="112">
        <f t="shared" si="41"/>
        <v>12500</v>
      </c>
      <c r="N147" s="112">
        <f t="shared" si="42"/>
        <v>12500</v>
      </c>
      <c r="O147" t="s">
        <v>451</v>
      </c>
      <c r="P147">
        <v>12500</v>
      </c>
      <c r="Q147" s="102">
        <f t="shared" si="43"/>
        <v>0</v>
      </c>
    </row>
    <row r="148" spans="1:17" x14ac:dyDescent="0.35">
      <c r="A148" s="106">
        <f t="shared" si="36"/>
        <v>4</v>
      </c>
      <c r="B148" s="107" t="str">
        <f>VLOOKUP(A148,[1]Hoja3!$C$3:$D$14,2,FALSE)</f>
        <v>ABRIL</v>
      </c>
      <c r="C148" s="108">
        <v>45392.55740740741</v>
      </c>
      <c r="D148" s="108" t="s">
        <v>389</v>
      </c>
      <c r="E148" s="109" t="s">
        <v>405</v>
      </c>
      <c r="F148" s="109" t="s">
        <v>571</v>
      </c>
      <c r="G148" s="110" t="str">
        <f t="shared" si="37"/>
        <v>ABRIL</v>
      </c>
      <c r="H148" s="252">
        <v>18000</v>
      </c>
      <c r="I148" s="102" t="str">
        <f t="shared" si="38"/>
        <v>ABRIL</v>
      </c>
      <c r="J148">
        <v>0</v>
      </c>
      <c r="K148" t="str">
        <f t="shared" si="39"/>
        <v>ABRIL</v>
      </c>
      <c r="L148" s="111">
        <f t="shared" si="40"/>
        <v>0</v>
      </c>
      <c r="M148" s="112">
        <f t="shared" si="41"/>
        <v>18000</v>
      </c>
      <c r="N148" s="112">
        <f t="shared" si="42"/>
        <v>18000</v>
      </c>
      <c r="O148" t="s">
        <v>451</v>
      </c>
      <c r="P148">
        <v>18000</v>
      </c>
      <c r="Q148" s="102">
        <f t="shared" si="43"/>
        <v>0</v>
      </c>
    </row>
    <row r="149" spans="1:17" x14ac:dyDescent="0.35">
      <c r="A149" s="106">
        <f t="shared" si="36"/>
        <v>4</v>
      </c>
      <c r="B149" s="107" t="str">
        <f>VLOOKUP(A149,[1]Hoja3!$C$3:$D$14,2,FALSE)</f>
        <v>ABRIL</v>
      </c>
      <c r="C149" s="108">
        <v>45392.958715277775</v>
      </c>
      <c r="D149" s="108" t="s">
        <v>388</v>
      </c>
      <c r="E149" s="109" t="s">
        <v>404</v>
      </c>
      <c r="F149" s="109" t="s">
        <v>572</v>
      </c>
      <c r="G149" s="110" t="str">
        <f t="shared" si="37"/>
        <v>ABRIL</v>
      </c>
      <c r="H149" s="252">
        <v>52863</v>
      </c>
      <c r="I149" s="102" t="str">
        <f t="shared" si="38"/>
        <v>ABRIL</v>
      </c>
      <c r="J149">
        <v>0</v>
      </c>
      <c r="K149" t="str">
        <f t="shared" si="39"/>
        <v>ABRIL</v>
      </c>
      <c r="L149" s="111">
        <f t="shared" si="40"/>
        <v>0</v>
      </c>
      <c r="M149" s="112">
        <f t="shared" si="41"/>
        <v>52863</v>
      </c>
      <c r="N149" s="112">
        <f t="shared" si="42"/>
        <v>52863</v>
      </c>
      <c r="O149" t="s">
        <v>451</v>
      </c>
      <c r="P149">
        <v>52863</v>
      </c>
      <c r="Q149" s="102">
        <f t="shared" si="43"/>
        <v>0</v>
      </c>
    </row>
    <row r="150" spans="1:17" x14ac:dyDescent="0.35">
      <c r="A150" s="106">
        <f t="shared" si="36"/>
        <v>4</v>
      </c>
      <c r="B150" s="107" t="str">
        <f>VLOOKUP(A150,[1]Hoja3!$C$3:$D$14,2,FALSE)</f>
        <v>ABRIL</v>
      </c>
      <c r="C150" s="108">
        <v>45394.671423611115</v>
      </c>
      <c r="D150" s="108" t="s">
        <v>387</v>
      </c>
      <c r="E150" s="109" t="s">
        <v>403</v>
      </c>
      <c r="F150" s="109" t="s">
        <v>573</v>
      </c>
      <c r="G150" s="110" t="str">
        <f t="shared" si="37"/>
        <v>ABRIL</v>
      </c>
      <c r="H150" s="252">
        <v>2331.8200000000002</v>
      </c>
      <c r="I150" s="102" t="str">
        <f t="shared" si="38"/>
        <v>ABRIL</v>
      </c>
      <c r="J150">
        <v>0</v>
      </c>
      <c r="K150" t="str">
        <f t="shared" si="39"/>
        <v>ABRIL</v>
      </c>
      <c r="L150" s="111">
        <f t="shared" si="40"/>
        <v>0</v>
      </c>
      <c r="M150" s="112">
        <f t="shared" si="41"/>
        <v>2331.8200000000002</v>
      </c>
      <c r="N150" s="112">
        <f t="shared" si="42"/>
        <v>2331.8200000000002</v>
      </c>
      <c r="O150" t="s">
        <v>451</v>
      </c>
      <c r="P150">
        <v>2331.8200000000002</v>
      </c>
      <c r="Q150" s="102">
        <f t="shared" si="43"/>
        <v>0</v>
      </c>
    </row>
    <row r="151" spans="1:17" x14ac:dyDescent="0.35">
      <c r="A151" s="106">
        <f t="shared" si="36"/>
        <v>4</v>
      </c>
      <c r="B151" s="107" t="str">
        <f>VLOOKUP(A151,[1]Hoja3!$C$3:$D$14,2,FALSE)</f>
        <v>ABRIL</v>
      </c>
      <c r="C151" s="108">
        <v>45394.756307870368</v>
      </c>
      <c r="D151" s="108" t="s">
        <v>385</v>
      </c>
      <c r="E151" s="109" t="s">
        <v>401</v>
      </c>
      <c r="F151" s="109" t="s">
        <v>574</v>
      </c>
      <c r="G151" s="110" t="str">
        <f t="shared" si="37"/>
        <v>ABRIL</v>
      </c>
      <c r="H151" s="252">
        <v>1075.06</v>
      </c>
      <c r="I151" s="102" t="str">
        <f t="shared" si="38"/>
        <v>ABRIL</v>
      </c>
      <c r="J151">
        <v>167.34</v>
      </c>
      <c r="K151" t="str">
        <f t="shared" si="39"/>
        <v>ABRIL</v>
      </c>
      <c r="L151" s="111">
        <f t="shared" si="40"/>
        <v>1045.875</v>
      </c>
      <c r="M151" s="112">
        <f t="shared" si="41"/>
        <v>29.184999999999945</v>
      </c>
      <c r="N151" s="112">
        <f t="shared" si="42"/>
        <v>1242.3999999999999</v>
      </c>
      <c r="O151" t="s">
        <v>451</v>
      </c>
      <c r="P151">
        <v>1242.4000000000001</v>
      </c>
      <c r="Q151" s="102">
        <f t="shared" si="43"/>
        <v>0</v>
      </c>
    </row>
    <row r="152" spans="1:17" x14ac:dyDescent="0.35">
      <c r="A152" s="106">
        <f t="shared" si="36"/>
        <v>4</v>
      </c>
      <c r="B152" s="107" t="str">
        <f>VLOOKUP(A152,[1]Hoja3!$C$3:$D$14,2,FALSE)</f>
        <v>ABRIL</v>
      </c>
      <c r="C152" s="108">
        <v>45398.534548611111</v>
      </c>
      <c r="D152" s="108" t="s">
        <v>392</v>
      </c>
      <c r="E152" s="109" t="s">
        <v>408</v>
      </c>
      <c r="F152" s="109" t="s">
        <v>575</v>
      </c>
      <c r="G152" s="110" t="str">
        <f t="shared" si="37"/>
        <v>ABRIL</v>
      </c>
      <c r="H152" s="252">
        <v>4480</v>
      </c>
      <c r="I152" s="102" t="str">
        <f t="shared" si="38"/>
        <v>ABRIL</v>
      </c>
      <c r="J152">
        <v>0</v>
      </c>
      <c r="K152" t="str">
        <f t="shared" si="39"/>
        <v>ABRIL</v>
      </c>
      <c r="L152" s="111">
        <f t="shared" si="40"/>
        <v>0</v>
      </c>
      <c r="M152" s="112">
        <f t="shared" si="41"/>
        <v>4480</v>
      </c>
      <c r="N152" s="112">
        <f t="shared" si="42"/>
        <v>4480</v>
      </c>
      <c r="O152" t="s">
        <v>451</v>
      </c>
      <c r="P152">
        <v>4480</v>
      </c>
      <c r="Q152" s="102">
        <f t="shared" si="43"/>
        <v>0</v>
      </c>
    </row>
    <row r="153" spans="1:17" x14ac:dyDescent="0.35">
      <c r="A153" s="106">
        <f t="shared" si="36"/>
        <v>4</v>
      </c>
      <c r="B153" s="107" t="str">
        <f>VLOOKUP(A153,[1]Hoja3!$C$3:$D$14,2,FALSE)</f>
        <v>ABRIL</v>
      </c>
      <c r="C153" s="108">
        <v>45400.861064814817</v>
      </c>
      <c r="D153" s="108" t="s">
        <v>385</v>
      </c>
      <c r="E153" s="109" t="s">
        <v>401</v>
      </c>
      <c r="F153" s="109" t="s">
        <v>576</v>
      </c>
      <c r="G153" s="110" t="str">
        <f t="shared" si="37"/>
        <v>ABRIL</v>
      </c>
      <c r="H153" s="252">
        <v>1141.6300000000001</v>
      </c>
      <c r="I153" s="102" t="str">
        <f t="shared" si="38"/>
        <v>ABRIL</v>
      </c>
      <c r="J153">
        <v>177.7</v>
      </c>
      <c r="K153" t="str">
        <f t="shared" si="39"/>
        <v>ABRIL</v>
      </c>
      <c r="L153" s="111">
        <f t="shared" si="40"/>
        <v>1110.625</v>
      </c>
      <c r="M153" s="112">
        <f t="shared" si="41"/>
        <v>31.005000000000109</v>
      </c>
      <c r="N153" s="112">
        <f t="shared" si="42"/>
        <v>1319.3300000000002</v>
      </c>
      <c r="O153" t="s">
        <v>451</v>
      </c>
      <c r="P153">
        <v>1319.33</v>
      </c>
      <c r="Q153" s="102">
        <f t="shared" si="43"/>
        <v>0</v>
      </c>
    </row>
    <row r="154" spans="1:17" x14ac:dyDescent="0.35">
      <c r="A154" s="106">
        <f t="shared" si="36"/>
        <v>4</v>
      </c>
      <c r="B154" s="107" t="str">
        <f>VLOOKUP(A154,[1]Hoja3!$C$3:$D$14,2,FALSE)</f>
        <v>ABRIL</v>
      </c>
      <c r="C154" s="108">
        <v>45402.337060185186</v>
      </c>
      <c r="D154" s="108" t="s">
        <v>387</v>
      </c>
      <c r="E154" s="109" t="s">
        <v>403</v>
      </c>
      <c r="F154" s="109" t="s">
        <v>577</v>
      </c>
      <c r="G154" s="110" t="str">
        <f t="shared" si="37"/>
        <v>ABRIL</v>
      </c>
      <c r="H154" s="252">
        <v>5215.6000000000004</v>
      </c>
      <c r="I154" s="102" t="str">
        <f t="shared" si="38"/>
        <v>ABRIL</v>
      </c>
      <c r="J154">
        <v>0</v>
      </c>
      <c r="K154" t="str">
        <f t="shared" si="39"/>
        <v>ABRIL</v>
      </c>
      <c r="L154" s="111">
        <f t="shared" si="40"/>
        <v>0</v>
      </c>
      <c r="M154" s="112">
        <f t="shared" si="41"/>
        <v>5215.6000000000004</v>
      </c>
      <c r="N154" s="112">
        <f t="shared" si="42"/>
        <v>5215.6000000000004</v>
      </c>
      <c r="O154" t="s">
        <v>451</v>
      </c>
      <c r="P154">
        <v>5215.6000000000004</v>
      </c>
      <c r="Q154" s="102">
        <f t="shared" si="43"/>
        <v>0</v>
      </c>
    </row>
    <row r="155" spans="1:17" x14ac:dyDescent="0.35">
      <c r="A155" s="106">
        <f t="shared" si="36"/>
        <v>4</v>
      </c>
      <c r="B155" s="107" t="str">
        <f>VLOOKUP(A155,[1]Hoja3!$C$3:$D$14,2,FALSE)</f>
        <v>ABRIL</v>
      </c>
      <c r="C155" s="108">
        <v>45403.951168981483</v>
      </c>
      <c r="D155" s="108" t="s">
        <v>383</v>
      </c>
      <c r="E155" s="109" t="s">
        <v>399</v>
      </c>
      <c r="F155" s="109" t="s">
        <v>578</v>
      </c>
      <c r="G155" s="110" t="str">
        <f t="shared" si="37"/>
        <v>ABRIL</v>
      </c>
      <c r="H155" s="252">
        <v>25000</v>
      </c>
      <c r="I155" s="102" t="str">
        <f t="shared" si="38"/>
        <v>ABRIL</v>
      </c>
      <c r="J155">
        <v>0</v>
      </c>
      <c r="K155" t="str">
        <f t="shared" si="39"/>
        <v>ABRIL</v>
      </c>
      <c r="L155" s="111">
        <f t="shared" si="40"/>
        <v>0</v>
      </c>
      <c r="M155" s="112">
        <f t="shared" si="41"/>
        <v>25000</v>
      </c>
      <c r="N155" s="112">
        <f t="shared" si="42"/>
        <v>25000</v>
      </c>
      <c r="O155" t="s">
        <v>451</v>
      </c>
      <c r="P155">
        <v>25000</v>
      </c>
      <c r="Q155" s="102">
        <f t="shared" si="43"/>
        <v>0</v>
      </c>
    </row>
    <row r="156" spans="1:17" x14ac:dyDescent="0.35">
      <c r="A156" s="106">
        <f t="shared" si="36"/>
        <v>4</v>
      </c>
      <c r="B156" s="107" t="str">
        <f>VLOOKUP(A156,[1]Hoja3!$C$3:$D$14,2,FALSE)</f>
        <v>ABRIL</v>
      </c>
      <c r="C156" s="108">
        <v>45404.833344907405</v>
      </c>
      <c r="D156" s="108" t="s">
        <v>396</v>
      </c>
      <c r="E156" s="109" t="s">
        <v>412</v>
      </c>
      <c r="F156" s="109" t="s">
        <v>579</v>
      </c>
      <c r="G156" s="110" t="str">
        <f t="shared" si="37"/>
        <v>ABRIL</v>
      </c>
      <c r="H156" s="252">
        <v>0</v>
      </c>
      <c r="I156" s="102" t="str">
        <f t="shared" si="38"/>
        <v>ABRIL</v>
      </c>
      <c r="J156"/>
      <c r="K156" t="str">
        <f t="shared" si="39"/>
        <v>ABRIL</v>
      </c>
      <c r="L156" s="111">
        <f t="shared" si="40"/>
        <v>0</v>
      </c>
      <c r="M156" s="112">
        <f t="shared" si="41"/>
        <v>0</v>
      </c>
      <c r="N156" s="112">
        <f t="shared" si="42"/>
        <v>0</v>
      </c>
      <c r="P156">
        <v>0</v>
      </c>
      <c r="Q156" s="102">
        <f t="shared" si="43"/>
        <v>0</v>
      </c>
    </row>
    <row r="157" spans="1:17" x14ac:dyDescent="0.35">
      <c r="A157" s="106">
        <f t="shared" si="36"/>
        <v>4</v>
      </c>
      <c r="B157" s="107" t="str">
        <f>VLOOKUP(A157,[1]Hoja3!$C$3:$D$14,2,FALSE)</f>
        <v>ABRIL</v>
      </c>
      <c r="C157" s="108">
        <v>45404.833344907405</v>
      </c>
      <c r="D157" s="108" t="s">
        <v>395</v>
      </c>
      <c r="E157" s="109" t="s">
        <v>411</v>
      </c>
      <c r="F157" s="109" t="s">
        <v>580</v>
      </c>
      <c r="G157" s="110" t="str">
        <f t="shared" si="37"/>
        <v>ABRIL</v>
      </c>
      <c r="H157" s="252">
        <v>0</v>
      </c>
      <c r="I157" s="102" t="str">
        <f t="shared" si="38"/>
        <v>ABRIL</v>
      </c>
      <c r="J157"/>
      <c r="K157" t="str">
        <f t="shared" si="39"/>
        <v>ABRIL</v>
      </c>
      <c r="L157" s="111">
        <f t="shared" si="40"/>
        <v>0</v>
      </c>
      <c r="M157" s="112">
        <f t="shared" si="41"/>
        <v>0</v>
      </c>
      <c r="N157" s="112">
        <f t="shared" si="42"/>
        <v>0</v>
      </c>
      <c r="P157">
        <v>0</v>
      </c>
      <c r="Q157" s="102">
        <f t="shared" si="43"/>
        <v>0</v>
      </c>
    </row>
    <row r="158" spans="1:17" x14ac:dyDescent="0.35">
      <c r="A158" s="106">
        <f t="shared" si="36"/>
        <v>4</v>
      </c>
      <c r="B158" s="107" t="str">
        <f>VLOOKUP(A158,[1]Hoja3!$C$3:$D$14,2,FALSE)</f>
        <v>ABRIL</v>
      </c>
      <c r="C158" s="108">
        <v>45405.574675925927</v>
      </c>
      <c r="D158" s="108" t="s">
        <v>392</v>
      </c>
      <c r="E158" s="109" t="s">
        <v>408</v>
      </c>
      <c r="F158" s="109" t="s">
        <v>581</v>
      </c>
      <c r="G158" s="110" t="str">
        <f t="shared" si="37"/>
        <v>ABRIL</v>
      </c>
      <c r="H158" s="252">
        <v>5140</v>
      </c>
      <c r="I158" s="102" t="str">
        <f t="shared" si="38"/>
        <v>ABRIL</v>
      </c>
      <c r="J158">
        <v>0</v>
      </c>
      <c r="K158" t="str">
        <f t="shared" si="39"/>
        <v>ABRIL</v>
      </c>
      <c r="L158" s="111">
        <f t="shared" si="40"/>
        <v>0</v>
      </c>
      <c r="M158" s="112">
        <f t="shared" si="41"/>
        <v>5140</v>
      </c>
      <c r="N158" s="112">
        <f t="shared" si="42"/>
        <v>5140</v>
      </c>
      <c r="O158" t="s">
        <v>451</v>
      </c>
      <c r="P158">
        <v>5140</v>
      </c>
      <c r="Q158" s="102">
        <f t="shared" si="43"/>
        <v>0</v>
      </c>
    </row>
    <row r="159" spans="1:17" x14ac:dyDescent="0.35">
      <c r="A159" s="106">
        <f t="shared" si="36"/>
        <v>0</v>
      </c>
      <c r="B159" s="107" t="e">
        <f>VLOOKUP(A159,[1]Hoja3!$C$3:$D$14,2,FALSE)</f>
        <v>#N/A</v>
      </c>
      <c r="C159" s="108"/>
      <c r="D159" s="108"/>
      <c r="E159" s="109"/>
      <c r="F159" s="109"/>
      <c r="G159" s="110"/>
      <c r="H159" s="252"/>
      <c r="I159" s="102"/>
      <c r="J159"/>
      <c r="K159" t="e">
        <f t="shared" si="39"/>
        <v>#N/A</v>
      </c>
      <c r="L159" s="111">
        <f t="shared" si="40"/>
        <v>0</v>
      </c>
      <c r="M159" s="112">
        <f t="shared" si="41"/>
        <v>0</v>
      </c>
      <c r="N159" s="112">
        <f t="shared" si="42"/>
        <v>0</v>
      </c>
      <c r="Q159" s="102"/>
    </row>
    <row r="160" spans="1:17" x14ac:dyDescent="0.35">
      <c r="A160" s="106">
        <f t="shared" si="36"/>
        <v>0</v>
      </c>
      <c r="B160" s="107" t="e">
        <f>VLOOKUP(A160,[1]Hoja3!$C$3:$D$14,2,FALSE)</f>
        <v>#N/A</v>
      </c>
      <c r="C160" s="108"/>
      <c r="D160" s="108"/>
      <c r="E160" s="109"/>
      <c r="F160" s="109"/>
      <c r="G160" s="110"/>
      <c r="H160" s="252"/>
      <c r="I160" s="102"/>
      <c r="J160"/>
      <c r="K160" t="e">
        <f t="shared" si="39"/>
        <v>#N/A</v>
      </c>
      <c r="L160" s="111">
        <f t="shared" si="40"/>
        <v>0</v>
      </c>
      <c r="M160" s="112">
        <f t="shared" si="41"/>
        <v>0</v>
      </c>
      <c r="N160" s="112">
        <f t="shared" si="42"/>
        <v>0</v>
      </c>
      <c r="Q160" s="102"/>
    </row>
    <row r="161" spans="1:18" x14ac:dyDescent="0.35">
      <c r="A161" s="106">
        <f t="shared" si="36"/>
        <v>4</v>
      </c>
      <c r="B161" s="107" t="str">
        <f>VLOOKUP(A161,[1]Hoja3!$C$3:$D$14,2,FALSE)</f>
        <v>ABRIL</v>
      </c>
      <c r="C161" s="108">
        <v>45408.079421296294</v>
      </c>
      <c r="D161" s="108" t="s">
        <v>383</v>
      </c>
      <c r="E161" s="109" t="s">
        <v>399</v>
      </c>
      <c r="F161" s="109" t="s">
        <v>582</v>
      </c>
      <c r="G161" s="110" t="str">
        <f>+B161</f>
        <v>ABRIL</v>
      </c>
      <c r="H161" s="252">
        <v>4280</v>
      </c>
      <c r="I161" s="102" t="str">
        <f>+B161</f>
        <v>ABRIL</v>
      </c>
      <c r="J161">
        <v>0</v>
      </c>
      <c r="K161" t="str">
        <f t="shared" si="39"/>
        <v>ABRIL</v>
      </c>
      <c r="L161" s="111">
        <f t="shared" si="40"/>
        <v>0</v>
      </c>
      <c r="M161" s="112">
        <f t="shared" si="41"/>
        <v>4280</v>
      </c>
      <c r="N161" s="112">
        <f t="shared" si="42"/>
        <v>4280</v>
      </c>
      <c r="O161" t="s">
        <v>451</v>
      </c>
      <c r="P161">
        <v>4280</v>
      </c>
      <c r="Q161" s="102">
        <f>+N161-P161</f>
        <v>0</v>
      </c>
    </row>
    <row r="162" spans="1:18" x14ac:dyDescent="0.35">
      <c r="A162" s="106">
        <f t="shared" si="36"/>
        <v>4</v>
      </c>
      <c r="B162" s="107" t="str">
        <f>VLOOKUP(A162,[1]Hoja3!$C$3:$D$14,2,FALSE)</f>
        <v>ABRIL</v>
      </c>
      <c r="C162" s="108">
        <v>45409.47488425926</v>
      </c>
      <c r="D162" s="108" t="s">
        <v>387</v>
      </c>
      <c r="E162" s="109" t="s">
        <v>403</v>
      </c>
      <c r="F162" s="109" t="s">
        <v>583</v>
      </c>
      <c r="G162" s="110" t="str">
        <f>+B162</f>
        <v>ABRIL</v>
      </c>
      <c r="H162" s="252">
        <v>4389.0600000000004</v>
      </c>
      <c r="I162" s="102" t="str">
        <f>+B162</f>
        <v>ABRIL</v>
      </c>
      <c r="J162">
        <v>0</v>
      </c>
      <c r="K162" t="str">
        <f t="shared" si="39"/>
        <v>ABRIL</v>
      </c>
      <c r="L162" s="111">
        <f t="shared" si="40"/>
        <v>0</v>
      </c>
      <c r="M162" s="112">
        <f t="shared" si="41"/>
        <v>4389.0600000000004</v>
      </c>
      <c r="N162" s="112">
        <f t="shared" si="42"/>
        <v>4389.0600000000004</v>
      </c>
      <c r="O162" t="s">
        <v>451</v>
      </c>
      <c r="P162">
        <v>4389.0600000000004</v>
      </c>
      <c r="Q162" s="102">
        <f>+N162-P162</f>
        <v>0</v>
      </c>
    </row>
    <row r="163" spans="1:18" x14ac:dyDescent="0.35">
      <c r="A163" s="106">
        <f t="shared" si="36"/>
        <v>0</v>
      </c>
      <c r="B163" s="107" t="e">
        <f>VLOOKUP(A163,[1]Hoja3!$C$3:$D$14,2,FALSE)</f>
        <v>#N/A</v>
      </c>
      <c r="C163" s="108"/>
      <c r="D163" s="108"/>
      <c r="E163" s="109"/>
      <c r="F163" s="109"/>
      <c r="G163" s="110"/>
      <c r="H163" s="252"/>
      <c r="I163" s="102"/>
      <c r="J163"/>
      <c r="K163" t="e">
        <f t="shared" si="39"/>
        <v>#N/A</v>
      </c>
      <c r="L163" s="111">
        <f t="shared" si="40"/>
        <v>0</v>
      </c>
      <c r="M163" s="112">
        <f t="shared" si="41"/>
        <v>0</v>
      </c>
      <c r="N163" s="112">
        <f t="shared" si="42"/>
        <v>0</v>
      </c>
      <c r="O163" t="s">
        <v>551</v>
      </c>
      <c r="Q163" s="102"/>
    </row>
    <row r="164" spans="1:18" x14ac:dyDescent="0.35">
      <c r="A164" s="106">
        <f t="shared" si="36"/>
        <v>0</v>
      </c>
      <c r="B164" s="107" t="e">
        <f>VLOOKUP(A164,[1]Hoja3!$C$3:$D$14,2,FALSE)</f>
        <v>#N/A</v>
      </c>
      <c r="C164" s="108"/>
      <c r="D164" s="108"/>
      <c r="E164" s="109"/>
      <c r="F164" s="109"/>
      <c r="G164" s="110"/>
      <c r="H164" s="252"/>
      <c r="I164" s="102"/>
      <c r="J164"/>
      <c r="K164" t="e">
        <f t="shared" si="39"/>
        <v>#N/A</v>
      </c>
      <c r="L164" s="111">
        <f t="shared" si="40"/>
        <v>0</v>
      </c>
      <c r="M164" s="112">
        <f t="shared" si="41"/>
        <v>0</v>
      </c>
      <c r="N164" s="112">
        <f t="shared" si="42"/>
        <v>0</v>
      </c>
      <c r="O164" t="s">
        <v>551</v>
      </c>
      <c r="Q164" s="102"/>
    </row>
    <row r="165" spans="1:18" x14ac:dyDescent="0.35">
      <c r="A165" s="106">
        <f t="shared" si="36"/>
        <v>0</v>
      </c>
      <c r="B165" s="107" t="e">
        <f>VLOOKUP(A165,[1]Hoja3!$C$3:$D$14,2,FALSE)</f>
        <v>#N/A</v>
      </c>
      <c r="C165" s="108"/>
      <c r="D165" s="108"/>
      <c r="E165" s="109"/>
      <c r="F165" s="109"/>
      <c r="G165" s="110"/>
      <c r="H165" s="252"/>
      <c r="I165" s="102"/>
      <c r="J165"/>
      <c r="K165" t="e">
        <f t="shared" si="39"/>
        <v>#N/A</v>
      </c>
      <c r="L165" s="111">
        <f t="shared" si="40"/>
        <v>0</v>
      </c>
      <c r="M165" s="112">
        <f t="shared" si="41"/>
        <v>0</v>
      </c>
      <c r="N165" s="112">
        <f t="shared" si="42"/>
        <v>0</v>
      </c>
      <c r="O165" t="s">
        <v>551</v>
      </c>
      <c r="Q165" s="102"/>
    </row>
    <row r="166" spans="1:18" x14ac:dyDescent="0.35">
      <c r="A166" s="106">
        <f t="shared" si="36"/>
        <v>4</v>
      </c>
      <c r="B166" s="107" t="str">
        <f>VLOOKUP(A166,[1]Hoja3!$C$3:$D$14,2,FALSE)</f>
        <v>ABRIL</v>
      </c>
      <c r="C166" s="108">
        <v>45410.41134259259</v>
      </c>
      <c r="D166" s="108" t="s">
        <v>386</v>
      </c>
      <c r="E166" s="109" t="s">
        <v>402</v>
      </c>
      <c r="F166" s="109" t="s">
        <v>445</v>
      </c>
      <c r="G166" s="110" t="str">
        <f t="shared" ref="G166:G188" si="44">+B166</f>
        <v>ABRIL</v>
      </c>
      <c r="H166" s="252">
        <v>0.01</v>
      </c>
      <c r="I166" s="102" t="str">
        <f t="shared" ref="I166:I188" si="45">+B166</f>
        <v>ABRIL</v>
      </c>
      <c r="J166"/>
      <c r="K166" t="str">
        <f t="shared" si="39"/>
        <v>ABRIL</v>
      </c>
      <c r="L166" s="111">
        <f t="shared" si="40"/>
        <v>0</v>
      </c>
      <c r="M166" s="112">
        <f t="shared" si="41"/>
        <v>0.01</v>
      </c>
      <c r="N166" s="112">
        <f t="shared" si="42"/>
        <v>0.01</v>
      </c>
      <c r="O166" t="s">
        <v>451</v>
      </c>
      <c r="P166">
        <v>0</v>
      </c>
      <c r="Q166" s="102">
        <f t="shared" ref="Q166:Q174" si="46">+N166-P166</f>
        <v>0.01</v>
      </c>
    </row>
    <row r="167" spans="1:18" x14ac:dyDescent="0.35">
      <c r="A167" s="106">
        <f t="shared" si="36"/>
        <v>4</v>
      </c>
      <c r="B167" s="107" t="str">
        <f>VLOOKUP(A167,[1]Hoja3!$C$3:$D$14,2,FALSE)</f>
        <v>ABRIL</v>
      </c>
      <c r="C167" s="108">
        <v>45410.530300925922</v>
      </c>
      <c r="D167" s="108" t="s">
        <v>388</v>
      </c>
      <c r="E167" s="109" t="s">
        <v>404</v>
      </c>
      <c r="F167" s="109" t="s">
        <v>584</v>
      </c>
      <c r="G167" s="110" t="str">
        <f t="shared" si="44"/>
        <v>ABRIL</v>
      </c>
      <c r="H167" s="252">
        <v>8000</v>
      </c>
      <c r="I167" s="102" t="str">
        <f t="shared" si="45"/>
        <v>ABRIL</v>
      </c>
      <c r="J167">
        <v>0</v>
      </c>
      <c r="K167" t="str">
        <f t="shared" si="39"/>
        <v>ABRIL</v>
      </c>
      <c r="L167" s="111">
        <f t="shared" si="40"/>
        <v>0</v>
      </c>
      <c r="M167" s="112">
        <f t="shared" si="41"/>
        <v>8000</v>
      </c>
      <c r="N167" s="112">
        <f t="shared" si="42"/>
        <v>8000</v>
      </c>
      <c r="O167" t="s">
        <v>451</v>
      </c>
      <c r="P167">
        <v>8000</v>
      </c>
      <c r="Q167" s="102">
        <f t="shared" si="46"/>
        <v>0</v>
      </c>
    </row>
    <row r="168" spans="1:18" x14ac:dyDescent="0.35">
      <c r="A168" s="106">
        <f t="shared" si="36"/>
        <v>4</v>
      </c>
      <c r="B168" s="107" t="str">
        <f>VLOOKUP(A168,[1]Hoja3!$C$3:$D$14,2,FALSE)</f>
        <v>ABRIL</v>
      </c>
      <c r="C168" s="108">
        <v>45410.532326388886</v>
      </c>
      <c r="D168" s="108" t="s">
        <v>388</v>
      </c>
      <c r="E168" s="109" t="s">
        <v>404</v>
      </c>
      <c r="F168" s="109" t="s">
        <v>585</v>
      </c>
      <c r="G168" s="110" t="str">
        <f t="shared" si="44"/>
        <v>ABRIL</v>
      </c>
      <c r="H168" s="252">
        <v>7398</v>
      </c>
      <c r="I168" s="102" t="str">
        <f t="shared" si="45"/>
        <v>ABRIL</v>
      </c>
      <c r="J168">
        <v>0</v>
      </c>
      <c r="K168" t="str">
        <f t="shared" si="39"/>
        <v>ABRIL</v>
      </c>
      <c r="L168" s="111">
        <f t="shared" si="40"/>
        <v>0</v>
      </c>
      <c r="M168" s="112">
        <f t="shared" si="41"/>
        <v>7398</v>
      </c>
      <c r="N168" s="112">
        <f t="shared" si="42"/>
        <v>7398</v>
      </c>
      <c r="O168" t="s">
        <v>451</v>
      </c>
      <c r="P168">
        <v>7398</v>
      </c>
      <c r="Q168" s="102">
        <f t="shared" si="46"/>
        <v>0</v>
      </c>
    </row>
    <row r="169" spans="1:18" x14ac:dyDescent="0.35">
      <c r="A169" s="106">
        <f t="shared" si="36"/>
        <v>4</v>
      </c>
      <c r="B169" s="107" t="str">
        <f>VLOOKUP(A169,[1]Hoja3!$C$3:$D$14,2,FALSE)</f>
        <v>ABRIL</v>
      </c>
      <c r="C169" s="108">
        <v>45411.659189814818</v>
      </c>
      <c r="D169" s="108" t="s">
        <v>392</v>
      </c>
      <c r="E169" s="109" t="s">
        <v>408</v>
      </c>
      <c r="F169" s="109" t="s">
        <v>586</v>
      </c>
      <c r="G169" s="110" t="str">
        <f t="shared" si="44"/>
        <v>ABRIL</v>
      </c>
      <c r="H169" s="252">
        <v>1980</v>
      </c>
      <c r="I169" s="102" t="str">
        <f t="shared" si="45"/>
        <v>ABRIL</v>
      </c>
      <c r="J169">
        <v>0</v>
      </c>
      <c r="K169" t="str">
        <f t="shared" si="39"/>
        <v>ABRIL</v>
      </c>
      <c r="L169" s="111">
        <f t="shared" si="40"/>
        <v>0</v>
      </c>
      <c r="M169" s="112">
        <f t="shared" si="41"/>
        <v>1980</v>
      </c>
      <c r="N169" s="112">
        <f t="shared" si="42"/>
        <v>1980</v>
      </c>
      <c r="O169" t="s">
        <v>451</v>
      </c>
      <c r="P169">
        <v>1980</v>
      </c>
      <c r="Q169" s="102">
        <f t="shared" si="46"/>
        <v>0</v>
      </c>
    </row>
    <row r="170" spans="1:18" x14ac:dyDescent="0.35">
      <c r="A170" s="106">
        <f t="shared" si="36"/>
        <v>4</v>
      </c>
      <c r="B170" s="107" t="str">
        <f>VLOOKUP(A170,[1]Hoja3!$C$3:$D$14,2,FALSE)</f>
        <v>ABRIL</v>
      </c>
      <c r="C170" s="108">
        <v>45412.827210648145</v>
      </c>
      <c r="D170" s="108" t="s">
        <v>270</v>
      </c>
      <c r="E170" s="109" t="s">
        <v>271</v>
      </c>
      <c r="F170" s="109" t="s">
        <v>587</v>
      </c>
      <c r="G170" s="110" t="str">
        <f t="shared" si="44"/>
        <v>ABRIL</v>
      </c>
      <c r="H170" s="252">
        <v>1100</v>
      </c>
      <c r="I170" s="102" t="str">
        <f t="shared" si="45"/>
        <v>ABRIL</v>
      </c>
      <c r="J170">
        <v>0</v>
      </c>
      <c r="K170" t="str">
        <f t="shared" si="39"/>
        <v>ABRIL</v>
      </c>
      <c r="L170" s="111">
        <f t="shared" si="40"/>
        <v>0</v>
      </c>
      <c r="M170" s="112">
        <f t="shared" si="41"/>
        <v>1100</v>
      </c>
      <c r="N170" s="112">
        <f t="shared" si="42"/>
        <v>1100</v>
      </c>
      <c r="O170" t="s">
        <v>451</v>
      </c>
      <c r="P170">
        <v>1100</v>
      </c>
      <c r="Q170" s="102">
        <f t="shared" si="46"/>
        <v>0</v>
      </c>
    </row>
    <row r="171" spans="1:18" x14ac:dyDescent="0.35">
      <c r="A171" s="106">
        <f t="shared" si="36"/>
        <v>4</v>
      </c>
      <c r="B171" s="107" t="str">
        <f>VLOOKUP(A171,[1]Hoja3!$C$3:$D$14,2,FALSE)</f>
        <v>ABRIL</v>
      </c>
      <c r="C171" s="108">
        <v>45412.8283912037</v>
      </c>
      <c r="D171" s="108" t="s">
        <v>270</v>
      </c>
      <c r="E171" s="109" t="s">
        <v>271</v>
      </c>
      <c r="F171" s="109" t="s">
        <v>588</v>
      </c>
      <c r="G171" s="110" t="str">
        <f t="shared" si="44"/>
        <v>ABRIL</v>
      </c>
      <c r="H171" s="252">
        <v>2200</v>
      </c>
      <c r="I171" s="102" t="str">
        <f t="shared" si="45"/>
        <v>ABRIL</v>
      </c>
      <c r="J171">
        <v>0</v>
      </c>
      <c r="K171" t="str">
        <f t="shared" si="39"/>
        <v>ABRIL</v>
      </c>
      <c r="L171" s="111">
        <f t="shared" si="40"/>
        <v>0</v>
      </c>
      <c r="M171" s="112">
        <f t="shared" si="41"/>
        <v>2200</v>
      </c>
      <c r="N171" s="112">
        <f t="shared" si="42"/>
        <v>2200</v>
      </c>
      <c r="O171" t="s">
        <v>451</v>
      </c>
      <c r="P171">
        <v>2200</v>
      </c>
      <c r="Q171" s="102">
        <f t="shared" si="46"/>
        <v>0</v>
      </c>
    </row>
    <row r="172" spans="1:18" x14ac:dyDescent="0.35">
      <c r="A172" s="274">
        <f t="shared" si="36"/>
        <v>5</v>
      </c>
      <c r="B172" s="275" t="str">
        <f>VLOOKUP(A172,[1]Hoja3!$C$3:$D$14,2,FALSE)</f>
        <v>MAYO</v>
      </c>
      <c r="C172" s="108">
        <v>45413.819108796299</v>
      </c>
      <c r="D172" t="s">
        <v>382</v>
      </c>
      <c r="E172" s="108" t="s">
        <v>398</v>
      </c>
      <c r="F172" s="109" t="s">
        <v>414</v>
      </c>
      <c r="G172" s="276" t="str">
        <f t="shared" si="44"/>
        <v>MAYO</v>
      </c>
      <c r="H172" s="277">
        <v>634.30999999999995</v>
      </c>
      <c r="I172" s="102" t="str">
        <f t="shared" si="45"/>
        <v>MAYO</v>
      </c>
      <c r="J172">
        <f>+H172*0.16</f>
        <v>101.4896</v>
      </c>
      <c r="K172" t="str">
        <f t="shared" si="39"/>
        <v>MAYO</v>
      </c>
      <c r="L172" s="111">
        <f t="shared" si="40"/>
        <v>634.30999999999995</v>
      </c>
      <c r="M172" s="278">
        <f t="shared" si="41"/>
        <v>0</v>
      </c>
      <c r="N172" s="278">
        <f t="shared" si="42"/>
        <v>735.79959999999994</v>
      </c>
      <c r="O172" t="s">
        <v>451</v>
      </c>
      <c r="P172">
        <v>735.8</v>
      </c>
      <c r="Q172" s="102">
        <f t="shared" si="46"/>
        <v>-4.0000000001327862E-4</v>
      </c>
    </row>
    <row r="173" spans="1:18" x14ac:dyDescent="0.35">
      <c r="A173" s="106">
        <f t="shared" si="36"/>
        <v>5</v>
      </c>
      <c r="B173" s="107" t="str">
        <f>VLOOKUP(A173,[1]Hoja3!$C$3:$D$14,2,FALSE)</f>
        <v>MAYO</v>
      </c>
      <c r="C173" s="108">
        <v>45416.475347222222</v>
      </c>
      <c r="D173" t="s">
        <v>385</v>
      </c>
      <c r="E173" s="108" t="s">
        <v>401</v>
      </c>
      <c r="F173" s="109" t="s">
        <v>607</v>
      </c>
      <c r="G173" s="110" t="str">
        <f t="shared" si="44"/>
        <v>MAYO</v>
      </c>
      <c r="H173" s="252">
        <v>1134.44</v>
      </c>
      <c r="I173" s="102" t="str">
        <f t="shared" si="45"/>
        <v>MAYO</v>
      </c>
      <c r="J173">
        <v>176.62</v>
      </c>
      <c r="K173" t="str">
        <f t="shared" si="39"/>
        <v>MAYO</v>
      </c>
      <c r="L173" s="111">
        <f t="shared" si="40"/>
        <v>1103.875</v>
      </c>
      <c r="M173" s="112">
        <f t="shared" si="41"/>
        <v>30.565000000000055</v>
      </c>
      <c r="N173" s="112">
        <f t="shared" si="42"/>
        <v>1311.06</v>
      </c>
      <c r="O173" t="s">
        <v>451</v>
      </c>
      <c r="P173">
        <v>1311.06</v>
      </c>
      <c r="Q173" s="102">
        <f t="shared" si="46"/>
        <v>0</v>
      </c>
      <c r="R173" s="102">
        <f>+Q173-J173</f>
        <v>-176.62</v>
      </c>
    </row>
    <row r="174" spans="1:18" x14ac:dyDescent="0.35">
      <c r="A174" s="106">
        <f t="shared" si="36"/>
        <v>5</v>
      </c>
      <c r="B174" s="107" t="str">
        <f>VLOOKUP(A174,[1]Hoja3!$C$3:$D$14,2,FALSE)</f>
        <v>MAYO</v>
      </c>
      <c r="C174" s="108">
        <v>45418.694606481484</v>
      </c>
      <c r="D174" t="s">
        <v>385</v>
      </c>
      <c r="E174" s="108" t="s">
        <v>401</v>
      </c>
      <c r="F174" s="109" t="s">
        <v>608</v>
      </c>
      <c r="G174" s="110" t="str">
        <f t="shared" si="44"/>
        <v>MAYO</v>
      </c>
      <c r="H174" s="252">
        <v>985.07</v>
      </c>
      <c r="I174" s="102" t="str">
        <f t="shared" si="45"/>
        <v>MAYO</v>
      </c>
      <c r="J174">
        <v>153.46</v>
      </c>
      <c r="K174" t="str">
        <f t="shared" si="39"/>
        <v>MAYO</v>
      </c>
      <c r="L174" s="111">
        <f t="shared" si="40"/>
        <v>959.125</v>
      </c>
      <c r="M174" s="112">
        <f t="shared" si="41"/>
        <v>25.94500000000005</v>
      </c>
      <c r="N174" s="112">
        <f t="shared" si="42"/>
        <v>1138.53</v>
      </c>
      <c r="O174" t="s">
        <v>451</v>
      </c>
      <c r="P174">
        <v>1138.53</v>
      </c>
      <c r="Q174" s="102">
        <f t="shared" si="46"/>
        <v>0</v>
      </c>
      <c r="R174" s="102">
        <f>+Q174-J174</f>
        <v>-153.46</v>
      </c>
    </row>
    <row r="175" spans="1:18" x14ac:dyDescent="0.35">
      <c r="A175" s="106">
        <f t="shared" ref="A175:A196" si="47">IF(C175&gt;0,MONTH(C175),0)</f>
        <v>5</v>
      </c>
      <c r="B175" s="107" t="str">
        <f>VLOOKUP(A175,[1]Hoja3!$C$3:$D$14,2,FALSE)</f>
        <v>MAYO</v>
      </c>
      <c r="C175" s="108">
        <v>45419.637430555558</v>
      </c>
      <c r="D175" t="s">
        <v>394</v>
      </c>
      <c r="E175" s="108" t="s">
        <v>410</v>
      </c>
      <c r="F175" s="109" t="s">
        <v>609</v>
      </c>
      <c r="G175" s="110" t="str">
        <f t="shared" si="44"/>
        <v>MAYO</v>
      </c>
      <c r="H175" s="252">
        <v>29850</v>
      </c>
      <c r="I175" s="102" t="str">
        <f t="shared" si="45"/>
        <v>MAYO</v>
      </c>
      <c r="J175">
        <v>0</v>
      </c>
      <c r="K175" t="str">
        <f t="shared" ref="K175:K196" si="48">+B175</f>
        <v>MAYO</v>
      </c>
      <c r="L175" s="111">
        <f t="shared" ref="L175:L196" si="49">+J175/0.16</f>
        <v>0</v>
      </c>
      <c r="M175" s="112">
        <f t="shared" ref="M175:M196" si="50">+H175-L175</f>
        <v>29850</v>
      </c>
      <c r="N175" s="112">
        <f t="shared" ref="N175:N196" si="51">+H175+J175</f>
        <v>29850</v>
      </c>
      <c r="O175" t="s">
        <v>451</v>
      </c>
      <c r="P175">
        <v>29850</v>
      </c>
      <c r="Q175" s="102">
        <f t="shared" ref="Q175:Q187" si="52">+N175-P175</f>
        <v>0</v>
      </c>
    </row>
    <row r="176" spans="1:18" x14ac:dyDescent="0.35">
      <c r="A176" s="106">
        <f t="shared" si="47"/>
        <v>5</v>
      </c>
      <c r="B176" s="107" t="str">
        <f>VLOOKUP(A176,[1]Hoja3!$C$3:$D$14,2,FALSE)</f>
        <v>MAYO</v>
      </c>
      <c r="C176" s="108">
        <v>45420.363263888888</v>
      </c>
      <c r="D176" t="s">
        <v>386</v>
      </c>
      <c r="E176" s="108" t="s">
        <v>402</v>
      </c>
      <c r="F176" s="109" t="s">
        <v>418</v>
      </c>
      <c r="G176" s="110" t="str">
        <f t="shared" si="44"/>
        <v>MAYO</v>
      </c>
      <c r="H176" s="252">
        <v>0.01</v>
      </c>
      <c r="I176" s="102" t="str">
        <f t="shared" si="45"/>
        <v>MAYO</v>
      </c>
      <c r="J176">
        <v>0</v>
      </c>
      <c r="K176" t="str">
        <f t="shared" si="48"/>
        <v>MAYO</v>
      </c>
      <c r="L176" s="111">
        <f t="shared" si="49"/>
        <v>0</v>
      </c>
      <c r="M176" s="112">
        <f t="shared" si="50"/>
        <v>0.01</v>
      </c>
      <c r="N176" s="112">
        <f t="shared" si="51"/>
        <v>0.01</v>
      </c>
      <c r="O176" t="s">
        <v>451</v>
      </c>
      <c r="P176">
        <v>0</v>
      </c>
      <c r="Q176" s="102">
        <f t="shared" si="52"/>
        <v>0.01</v>
      </c>
    </row>
    <row r="177" spans="1:18" x14ac:dyDescent="0.35">
      <c r="A177" s="106">
        <f t="shared" si="47"/>
        <v>5</v>
      </c>
      <c r="B177" s="107" t="str">
        <f>VLOOKUP(A177,[1]Hoja3!$C$3:$D$14,2,FALSE)</f>
        <v>MAYO</v>
      </c>
      <c r="C177" s="108">
        <v>45420.410104166665</v>
      </c>
      <c r="D177" t="s">
        <v>603</v>
      </c>
      <c r="E177" s="108" t="s">
        <v>599</v>
      </c>
      <c r="F177" s="109" t="s">
        <v>610</v>
      </c>
      <c r="G177" s="110" t="str">
        <f t="shared" si="44"/>
        <v>MAYO</v>
      </c>
      <c r="H177" s="252">
        <v>47392.639999999999</v>
      </c>
      <c r="I177" s="102" t="str">
        <f t="shared" si="45"/>
        <v>MAYO</v>
      </c>
      <c r="J177">
        <v>0</v>
      </c>
      <c r="K177" t="str">
        <f t="shared" si="48"/>
        <v>MAYO</v>
      </c>
      <c r="L177" s="111">
        <f t="shared" si="49"/>
        <v>0</v>
      </c>
      <c r="M177" s="112">
        <f t="shared" si="50"/>
        <v>47392.639999999999</v>
      </c>
      <c r="N177" s="112">
        <f t="shared" si="51"/>
        <v>47392.639999999999</v>
      </c>
      <c r="O177" t="s">
        <v>451</v>
      </c>
      <c r="P177">
        <v>47392.639999999999</v>
      </c>
      <c r="Q177" s="102">
        <f t="shared" si="52"/>
        <v>0</v>
      </c>
    </row>
    <row r="178" spans="1:18" x14ac:dyDescent="0.35">
      <c r="A178" s="106">
        <f t="shared" si="47"/>
        <v>5</v>
      </c>
      <c r="B178" s="107" t="str">
        <f>VLOOKUP(A178,[1]Hoja3!$C$3:$D$14,2,FALSE)</f>
        <v>MAYO</v>
      </c>
      <c r="C178" s="108">
        <v>45420.416087962964</v>
      </c>
      <c r="D178" t="s">
        <v>394</v>
      </c>
      <c r="E178" s="108" t="s">
        <v>410</v>
      </c>
      <c r="F178" s="109" t="s">
        <v>611</v>
      </c>
      <c r="G178" s="110" t="str">
        <f t="shared" si="44"/>
        <v>MAYO</v>
      </c>
      <c r="H178" s="252">
        <v>0</v>
      </c>
      <c r="I178" s="102" t="str">
        <f t="shared" si="45"/>
        <v>MAYO</v>
      </c>
      <c r="J178">
        <f>+H178*0.16</f>
        <v>0</v>
      </c>
      <c r="K178" t="str">
        <f t="shared" si="48"/>
        <v>MAYO</v>
      </c>
      <c r="L178" s="111">
        <f t="shared" si="49"/>
        <v>0</v>
      </c>
      <c r="M178" s="112">
        <f t="shared" si="50"/>
        <v>0</v>
      </c>
      <c r="N178" s="112">
        <f t="shared" si="51"/>
        <v>0</v>
      </c>
      <c r="P178">
        <v>0</v>
      </c>
      <c r="Q178" s="102">
        <f t="shared" si="52"/>
        <v>0</v>
      </c>
    </row>
    <row r="179" spans="1:18" x14ac:dyDescent="0.35">
      <c r="A179" s="106">
        <f t="shared" si="47"/>
        <v>5</v>
      </c>
      <c r="B179" s="107" t="str">
        <f>VLOOKUP(A179,[1]Hoja3!$C$3:$D$14,2,FALSE)</f>
        <v>MAYO</v>
      </c>
      <c r="C179" s="108">
        <v>45420.416620370372</v>
      </c>
      <c r="D179" t="s">
        <v>394</v>
      </c>
      <c r="E179" s="108" t="s">
        <v>410</v>
      </c>
      <c r="F179" s="109" t="s">
        <v>612</v>
      </c>
      <c r="G179" s="110" t="str">
        <f t="shared" si="44"/>
        <v>MAYO</v>
      </c>
      <c r="H179" s="252">
        <v>0</v>
      </c>
      <c r="I179" s="102" t="str">
        <f t="shared" si="45"/>
        <v>MAYO</v>
      </c>
      <c r="J179">
        <f>+H179*0.16</f>
        <v>0</v>
      </c>
      <c r="K179" t="str">
        <f t="shared" si="48"/>
        <v>MAYO</v>
      </c>
      <c r="L179" s="111">
        <f t="shared" si="49"/>
        <v>0</v>
      </c>
      <c r="M179" s="112">
        <f t="shared" si="50"/>
        <v>0</v>
      </c>
      <c r="N179" s="112">
        <f t="shared" si="51"/>
        <v>0</v>
      </c>
      <c r="P179">
        <v>0</v>
      </c>
      <c r="Q179" s="102">
        <f t="shared" si="52"/>
        <v>0</v>
      </c>
    </row>
    <row r="180" spans="1:18" x14ac:dyDescent="0.35">
      <c r="A180" s="106">
        <f t="shared" si="47"/>
        <v>5</v>
      </c>
      <c r="B180" s="107" t="str">
        <f>VLOOKUP(A180,[1]Hoja3!$C$3:$D$14,2,FALSE)</f>
        <v>MAYO</v>
      </c>
      <c r="C180" s="108">
        <v>45420.52238425926</v>
      </c>
      <c r="D180" t="s">
        <v>455</v>
      </c>
      <c r="E180" s="108" t="s">
        <v>458</v>
      </c>
      <c r="F180" s="109" t="s">
        <v>613</v>
      </c>
      <c r="G180" s="110" t="str">
        <f t="shared" si="44"/>
        <v>MAYO</v>
      </c>
      <c r="H180" s="252">
        <v>3712</v>
      </c>
      <c r="I180" s="102" t="str">
        <f t="shared" si="45"/>
        <v>MAYO</v>
      </c>
      <c r="J180">
        <v>0</v>
      </c>
      <c r="K180" t="str">
        <f t="shared" si="48"/>
        <v>MAYO</v>
      </c>
      <c r="L180" s="111">
        <f t="shared" si="49"/>
        <v>0</v>
      </c>
      <c r="M180" s="112">
        <f t="shared" si="50"/>
        <v>3712</v>
      </c>
      <c r="N180" s="112">
        <f t="shared" si="51"/>
        <v>3712</v>
      </c>
      <c r="O180" t="s">
        <v>451</v>
      </c>
      <c r="P180">
        <v>3712</v>
      </c>
      <c r="Q180" s="102">
        <f t="shared" si="52"/>
        <v>0</v>
      </c>
    </row>
    <row r="181" spans="1:18" x14ac:dyDescent="0.35">
      <c r="A181" s="106">
        <f t="shared" si="47"/>
        <v>5</v>
      </c>
      <c r="B181" s="107" t="str">
        <f>VLOOKUP(A181,[1]Hoja3!$C$3:$D$14,2,FALSE)</f>
        <v>MAYO</v>
      </c>
      <c r="C181" s="108">
        <v>45421.697731481479</v>
      </c>
      <c r="D181" t="s">
        <v>457</v>
      </c>
      <c r="E181" s="108" t="s">
        <v>460</v>
      </c>
      <c r="F181" s="109" t="s">
        <v>614</v>
      </c>
      <c r="G181" s="110" t="str">
        <f t="shared" si="44"/>
        <v>MAYO</v>
      </c>
      <c r="H181" s="252">
        <v>0</v>
      </c>
      <c r="I181" s="102" t="str">
        <f t="shared" si="45"/>
        <v>MAYO</v>
      </c>
      <c r="J181">
        <f>+H181*0.16</f>
        <v>0</v>
      </c>
      <c r="K181" t="str">
        <f t="shared" si="48"/>
        <v>MAYO</v>
      </c>
      <c r="L181" s="111">
        <f t="shared" si="49"/>
        <v>0</v>
      </c>
      <c r="M181" s="112">
        <f t="shared" si="50"/>
        <v>0</v>
      </c>
      <c r="N181" s="112">
        <f t="shared" si="51"/>
        <v>0</v>
      </c>
      <c r="P181">
        <v>0</v>
      </c>
      <c r="Q181" s="102">
        <f t="shared" si="52"/>
        <v>0</v>
      </c>
    </row>
    <row r="182" spans="1:18" x14ac:dyDescent="0.35">
      <c r="A182" s="106">
        <f t="shared" si="47"/>
        <v>5</v>
      </c>
      <c r="B182" s="107" t="str">
        <f>VLOOKUP(A182,[1]Hoja3!$C$3:$D$14,2,FALSE)</f>
        <v>MAYO</v>
      </c>
      <c r="C182" s="108">
        <v>45424.759351851855</v>
      </c>
      <c r="D182" t="s">
        <v>385</v>
      </c>
      <c r="E182" s="108" t="s">
        <v>401</v>
      </c>
      <c r="F182" s="109" t="s">
        <v>615</v>
      </c>
      <c r="G182" s="110" t="str">
        <f t="shared" si="44"/>
        <v>MAYO</v>
      </c>
      <c r="H182" s="252">
        <v>933.36</v>
      </c>
      <c r="I182" s="102" t="str">
        <f t="shared" si="45"/>
        <v>MAYO</v>
      </c>
      <c r="J182">
        <v>145.41999999999999</v>
      </c>
      <c r="K182" t="str">
        <f t="shared" si="48"/>
        <v>MAYO</v>
      </c>
      <c r="L182" s="111">
        <f t="shared" si="49"/>
        <v>908.87499999999989</v>
      </c>
      <c r="M182" s="112">
        <f t="shared" si="50"/>
        <v>24.485000000000127</v>
      </c>
      <c r="N182" s="112">
        <f t="shared" si="51"/>
        <v>1078.78</v>
      </c>
      <c r="O182" t="s">
        <v>451</v>
      </c>
      <c r="P182">
        <v>1078.78</v>
      </c>
      <c r="Q182" s="102">
        <f t="shared" si="52"/>
        <v>0</v>
      </c>
    </row>
    <row r="183" spans="1:18" x14ac:dyDescent="0.35">
      <c r="A183" s="106">
        <f t="shared" si="47"/>
        <v>5</v>
      </c>
      <c r="B183" s="107" t="str">
        <f>VLOOKUP(A183,[1]Hoja3!$C$3:$D$14,2,FALSE)</f>
        <v>MAYO</v>
      </c>
      <c r="C183" s="108">
        <v>45425.719270833331</v>
      </c>
      <c r="D183" t="s">
        <v>390</v>
      </c>
      <c r="E183" s="108" t="s">
        <v>406</v>
      </c>
      <c r="F183" s="109" t="s">
        <v>616</v>
      </c>
      <c r="G183" s="110" t="str">
        <f t="shared" si="44"/>
        <v>MAYO</v>
      </c>
      <c r="H183" s="252">
        <v>2327.59</v>
      </c>
      <c r="I183" s="102" t="str">
        <f t="shared" si="45"/>
        <v>MAYO</v>
      </c>
      <c r="J183">
        <f>+H183*0.16</f>
        <v>372.41440000000006</v>
      </c>
      <c r="K183" t="str">
        <f t="shared" si="48"/>
        <v>MAYO</v>
      </c>
      <c r="L183" s="111">
        <f t="shared" si="49"/>
        <v>2327.59</v>
      </c>
      <c r="M183" s="112">
        <f t="shared" si="50"/>
        <v>0</v>
      </c>
      <c r="N183" s="112">
        <f t="shared" si="51"/>
        <v>2700.0044000000003</v>
      </c>
      <c r="O183" t="s">
        <v>451</v>
      </c>
      <c r="P183">
        <v>2700</v>
      </c>
      <c r="Q183" s="102">
        <f t="shared" si="52"/>
        <v>4.4000000002597517E-3</v>
      </c>
    </row>
    <row r="184" spans="1:18" x14ac:dyDescent="0.35">
      <c r="A184" s="106">
        <f t="shared" si="47"/>
        <v>5</v>
      </c>
      <c r="B184" s="107" t="str">
        <f>VLOOKUP(A184,[1]Hoja3!$C$3:$D$14,2,FALSE)</f>
        <v>MAYO</v>
      </c>
      <c r="C184" s="108">
        <v>45426.666562500002</v>
      </c>
      <c r="D184" t="s">
        <v>392</v>
      </c>
      <c r="E184" s="108" t="s">
        <v>408</v>
      </c>
      <c r="F184" s="109" t="s">
        <v>617</v>
      </c>
      <c r="G184" s="110" t="str">
        <f t="shared" si="44"/>
        <v>MAYO</v>
      </c>
      <c r="H184" s="252">
        <v>3980</v>
      </c>
      <c r="I184" s="102" t="str">
        <f t="shared" si="45"/>
        <v>MAYO</v>
      </c>
      <c r="J184">
        <v>0</v>
      </c>
      <c r="K184" t="str">
        <f t="shared" si="48"/>
        <v>MAYO</v>
      </c>
      <c r="L184" s="111">
        <f t="shared" si="49"/>
        <v>0</v>
      </c>
      <c r="M184" s="112">
        <f t="shared" si="50"/>
        <v>3980</v>
      </c>
      <c r="N184" s="112">
        <f t="shared" si="51"/>
        <v>3980</v>
      </c>
      <c r="O184" t="s">
        <v>451</v>
      </c>
      <c r="P184">
        <v>3980</v>
      </c>
      <c r="Q184" s="102">
        <f t="shared" si="52"/>
        <v>0</v>
      </c>
    </row>
    <row r="185" spans="1:18" x14ac:dyDescent="0.35">
      <c r="A185" s="106">
        <f t="shared" si="47"/>
        <v>5</v>
      </c>
      <c r="B185" s="107" t="str">
        <f>VLOOKUP(A185,[1]Hoja3!$C$3:$D$14,2,FALSE)</f>
        <v>MAYO</v>
      </c>
      <c r="C185" s="108">
        <v>45426.693726851852</v>
      </c>
      <c r="D185" t="s">
        <v>354</v>
      </c>
      <c r="E185" s="108" t="s">
        <v>353</v>
      </c>
      <c r="F185" s="109" t="s">
        <v>448</v>
      </c>
      <c r="G185" s="110" t="str">
        <f t="shared" si="44"/>
        <v>MAYO</v>
      </c>
      <c r="H185" s="252">
        <v>3117.31</v>
      </c>
      <c r="I185" s="102" t="str">
        <f t="shared" si="45"/>
        <v>MAYO</v>
      </c>
      <c r="J185">
        <v>402.02</v>
      </c>
      <c r="K185" t="str">
        <f t="shared" si="48"/>
        <v>MAYO</v>
      </c>
      <c r="L185" s="111">
        <f t="shared" si="49"/>
        <v>2512.625</v>
      </c>
      <c r="M185" s="112">
        <f t="shared" si="50"/>
        <v>604.68499999999995</v>
      </c>
      <c r="N185" s="112">
        <f t="shared" si="51"/>
        <v>3519.33</v>
      </c>
      <c r="O185" t="s">
        <v>451</v>
      </c>
      <c r="P185">
        <v>3519.33</v>
      </c>
      <c r="Q185" s="102">
        <f t="shared" si="52"/>
        <v>0</v>
      </c>
      <c r="R185" s="102">
        <f>+Q185-J185</f>
        <v>-402.02</v>
      </c>
    </row>
    <row r="186" spans="1:18" x14ac:dyDescent="0.35">
      <c r="A186" s="106">
        <f t="shared" si="47"/>
        <v>5</v>
      </c>
      <c r="B186" s="107" t="str">
        <f>VLOOKUP(A186,[1]Hoja3!$C$3:$D$14,2,FALSE)</f>
        <v>MAYO</v>
      </c>
      <c r="C186" s="108">
        <v>45427.37940972222</v>
      </c>
      <c r="D186" t="s">
        <v>388</v>
      </c>
      <c r="E186" s="108" t="s">
        <v>404</v>
      </c>
      <c r="F186" s="109" t="s">
        <v>618</v>
      </c>
      <c r="G186" s="110" t="str">
        <f t="shared" si="44"/>
        <v>MAYO</v>
      </c>
      <c r="H186" s="252">
        <v>17984</v>
      </c>
      <c r="I186" s="102" t="str">
        <f t="shared" si="45"/>
        <v>MAYO</v>
      </c>
      <c r="J186">
        <v>0</v>
      </c>
      <c r="K186" t="str">
        <f t="shared" si="48"/>
        <v>MAYO</v>
      </c>
      <c r="L186" s="111">
        <f t="shared" si="49"/>
        <v>0</v>
      </c>
      <c r="M186" s="112">
        <f t="shared" si="50"/>
        <v>17984</v>
      </c>
      <c r="N186" s="112">
        <f t="shared" si="51"/>
        <v>17984</v>
      </c>
      <c r="O186" t="s">
        <v>451</v>
      </c>
      <c r="P186">
        <v>17984</v>
      </c>
      <c r="Q186" s="102">
        <f t="shared" si="52"/>
        <v>0</v>
      </c>
    </row>
    <row r="187" spans="1:18" x14ac:dyDescent="0.35">
      <c r="A187" s="106">
        <f t="shared" si="47"/>
        <v>5</v>
      </c>
      <c r="B187" s="107" t="str">
        <f>VLOOKUP(A187,[1]Hoja3!$C$3:$D$14,2,FALSE)</f>
        <v>MAYO</v>
      </c>
      <c r="C187" s="108">
        <v>45427.967824074076</v>
      </c>
      <c r="D187" t="s">
        <v>388</v>
      </c>
      <c r="E187" s="108" t="s">
        <v>404</v>
      </c>
      <c r="F187" s="109" t="s">
        <v>619</v>
      </c>
      <c r="G187" s="110" t="str">
        <f t="shared" si="44"/>
        <v>MAYO</v>
      </c>
      <c r="H187" s="252">
        <v>11873</v>
      </c>
      <c r="I187" s="102" t="str">
        <f t="shared" si="45"/>
        <v>MAYO</v>
      </c>
      <c r="J187">
        <v>0</v>
      </c>
      <c r="K187" t="str">
        <f t="shared" si="48"/>
        <v>MAYO</v>
      </c>
      <c r="L187" s="111">
        <f t="shared" si="49"/>
        <v>0</v>
      </c>
      <c r="M187" s="112">
        <f t="shared" si="50"/>
        <v>11873</v>
      </c>
      <c r="N187" s="112">
        <f t="shared" si="51"/>
        <v>11873</v>
      </c>
      <c r="O187" t="s">
        <v>451</v>
      </c>
      <c r="P187">
        <v>11873</v>
      </c>
      <c r="Q187" s="102">
        <f t="shared" si="52"/>
        <v>0</v>
      </c>
    </row>
    <row r="188" spans="1:18" x14ac:dyDescent="0.35">
      <c r="A188" s="106">
        <f t="shared" si="47"/>
        <v>5</v>
      </c>
      <c r="B188" s="107" t="str">
        <f>VLOOKUP(A188,[1]Hoja3!$C$3:$D$14,2,FALSE)</f>
        <v>MAYO</v>
      </c>
      <c r="C188" s="108">
        <v>45428.665659722225</v>
      </c>
      <c r="D188" t="s">
        <v>387</v>
      </c>
      <c r="E188" s="108" t="s">
        <v>403</v>
      </c>
      <c r="F188" s="109" t="s">
        <v>620</v>
      </c>
      <c r="G188" s="110" t="str">
        <f t="shared" si="44"/>
        <v>MAYO</v>
      </c>
      <c r="H188" s="252">
        <v>9843</v>
      </c>
      <c r="I188" s="102" t="str">
        <f t="shared" si="45"/>
        <v>MAYO</v>
      </c>
      <c r="J188">
        <v>0</v>
      </c>
      <c r="K188" t="str">
        <f t="shared" si="48"/>
        <v>MAYO</v>
      </c>
      <c r="L188" s="111">
        <f t="shared" si="49"/>
        <v>0</v>
      </c>
      <c r="M188" s="112">
        <f t="shared" si="50"/>
        <v>9843</v>
      </c>
      <c r="N188" s="112">
        <f t="shared" si="51"/>
        <v>9843</v>
      </c>
      <c r="O188" t="s">
        <v>451</v>
      </c>
      <c r="P188">
        <v>9843</v>
      </c>
      <c r="Q188" s="102">
        <f t="shared" ref="Q188:Q193" si="53">+N188-P188</f>
        <v>0</v>
      </c>
    </row>
    <row r="189" spans="1:18" x14ac:dyDescent="0.35">
      <c r="A189" s="106">
        <f t="shared" si="47"/>
        <v>5</v>
      </c>
      <c r="B189" s="107" t="str">
        <f>VLOOKUP(A189,[1]Hoja3!$C$3:$D$14,2,FALSE)</f>
        <v>MAYO</v>
      </c>
      <c r="C189" s="108">
        <v>45429.386770833335</v>
      </c>
      <c r="D189" t="s">
        <v>512</v>
      </c>
      <c r="E189" s="108" t="s">
        <v>514</v>
      </c>
      <c r="F189" s="109" t="s">
        <v>621</v>
      </c>
      <c r="G189" s="110" t="str">
        <f t="shared" ref="G189:G213" si="54">+B189</f>
        <v>MAYO</v>
      </c>
      <c r="H189" s="252">
        <v>3325</v>
      </c>
      <c r="I189" s="102" t="str">
        <f t="shared" ref="I189:I213" si="55">+B189</f>
        <v>MAYO</v>
      </c>
      <c r="J189">
        <v>0</v>
      </c>
      <c r="K189" t="str">
        <f t="shared" si="48"/>
        <v>MAYO</v>
      </c>
      <c r="L189" s="111">
        <f t="shared" si="49"/>
        <v>0</v>
      </c>
      <c r="M189" s="112">
        <f t="shared" si="50"/>
        <v>3325</v>
      </c>
      <c r="N189" s="112">
        <f t="shared" si="51"/>
        <v>3325</v>
      </c>
      <c r="O189" t="s">
        <v>451</v>
      </c>
      <c r="P189">
        <v>3325</v>
      </c>
      <c r="Q189" s="102">
        <f t="shared" si="53"/>
        <v>0</v>
      </c>
    </row>
    <row r="190" spans="1:18" x14ac:dyDescent="0.35">
      <c r="A190" s="106">
        <f t="shared" si="47"/>
        <v>5</v>
      </c>
      <c r="B190" s="107" t="str">
        <f>VLOOKUP(A190,[1]Hoja3!$C$3:$D$14,2,FALSE)</f>
        <v>MAYO</v>
      </c>
      <c r="C190" s="108">
        <v>45429.42423611111</v>
      </c>
      <c r="D190" t="s">
        <v>393</v>
      </c>
      <c r="E190" s="108" t="s">
        <v>409</v>
      </c>
      <c r="F190" s="109" t="s">
        <v>622</v>
      </c>
      <c r="G190" s="110" t="str">
        <f t="shared" si="54"/>
        <v>MAYO</v>
      </c>
      <c r="H190" s="252">
        <v>0</v>
      </c>
      <c r="I190" s="102" t="str">
        <f t="shared" si="55"/>
        <v>MAYO</v>
      </c>
      <c r="J190">
        <v>0</v>
      </c>
      <c r="K190" t="str">
        <f t="shared" si="48"/>
        <v>MAYO</v>
      </c>
      <c r="L190" s="111">
        <f t="shared" si="49"/>
        <v>0</v>
      </c>
      <c r="M190" s="112">
        <f t="shared" si="50"/>
        <v>0</v>
      </c>
      <c r="N190" s="112">
        <f t="shared" si="51"/>
        <v>0</v>
      </c>
      <c r="P190">
        <v>0</v>
      </c>
      <c r="Q190" s="102">
        <f t="shared" si="53"/>
        <v>0</v>
      </c>
    </row>
    <row r="191" spans="1:18" x14ac:dyDescent="0.35">
      <c r="A191" s="106">
        <f t="shared" si="47"/>
        <v>5</v>
      </c>
      <c r="B191" s="107" t="str">
        <f>VLOOKUP(A191,[1]Hoja3!$C$3:$D$14,2,FALSE)</f>
        <v>MAYO</v>
      </c>
      <c r="C191" s="108">
        <v>45429.739664351851</v>
      </c>
      <c r="D191" t="s">
        <v>388</v>
      </c>
      <c r="E191" s="108" t="s">
        <v>404</v>
      </c>
      <c r="F191" s="109" t="s">
        <v>623</v>
      </c>
      <c r="G191" s="110" t="str">
        <f t="shared" si="54"/>
        <v>MAYO</v>
      </c>
      <c r="H191" s="252">
        <v>47141</v>
      </c>
      <c r="I191" s="102" t="str">
        <f t="shared" si="55"/>
        <v>MAYO</v>
      </c>
      <c r="J191">
        <v>0</v>
      </c>
      <c r="K191" t="str">
        <f t="shared" si="48"/>
        <v>MAYO</v>
      </c>
      <c r="L191" s="111">
        <f t="shared" si="49"/>
        <v>0</v>
      </c>
      <c r="M191" s="112">
        <f t="shared" si="50"/>
        <v>47141</v>
      </c>
      <c r="N191" s="112">
        <f t="shared" si="51"/>
        <v>47141</v>
      </c>
      <c r="O191" t="s">
        <v>451</v>
      </c>
      <c r="P191">
        <v>47141</v>
      </c>
      <c r="Q191" s="102">
        <f t="shared" si="53"/>
        <v>0</v>
      </c>
    </row>
    <row r="192" spans="1:18" x14ac:dyDescent="0.35">
      <c r="A192" s="106">
        <f t="shared" si="47"/>
        <v>5</v>
      </c>
      <c r="B192" s="107" t="str">
        <f>VLOOKUP(A192,[1]Hoja3!$C$3:$D$14,2,FALSE)</f>
        <v>MAYO</v>
      </c>
      <c r="C192" s="108">
        <v>45430.312951388885</v>
      </c>
      <c r="D192" t="s">
        <v>603</v>
      </c>
      <c r="E192" s="108" t="s">
        <v>599</v>
      </c>
      <c r="F192" s="109" t="s">
        <v>624</v>
      </c>
      <c r="G192" s="110" t="str">
        <f t="shared" si="54"/>
        <v>MAYO</v>
      </c>
      <c r="H192" s="252"/>
      <c r="I192" s="102" t="str">
        <f t="shared" si="55"/>
        <v>MAYO</v>
      </c>
      <c r="J192">
        <v>0</v>
      </c>
      <c r="K192" t="str">
        <f t="shared" si="48"/>
        <v>MAYO</v>
      </c>
      <c r="L192" s="111">
        <f t="shared" si="49"/>
        <v>0</v>
      </c>
      <c r="M192" s="112">
        <f t="shared" si="50"/>
        <v>0</v>
      </c>
      <c r="N192" s="112">
        <f t="shared" si="51"/>
        <v>0</v>
      </c>
      <c r="O192" t="s">
        <v>551</v>
      </c>
      <c r="P192">
        <v>35970</v>
      </c>
      <c r="Q192" s="102">
        <f t="shared" si="53"/>
        <v>-35970</v>
      </c>
      <c r="R192">
        <v>35970</v>
      </c>
    </row>
    <row r="193" spans="1:17" x14ac:dyDescent="0.35">
      <c r="A193" s="106">
        <f t="shared" si="47"/>
        <v>5</v>
      </c>
      <c r="B193" s="107" t="str">
        <f>VLOOKUP(A193,[1]Hoja3!$C$3:$D$14,2,FALSE)</f>
        <v>MAYO</v>
      </c>
      <c r="C193" s="108">
        <v>45432.545844907407</v>
      </c>
      <c r="D193" t="s">
        <v>603</v>
      </c>
      <c r="E193" s="108" t="s">
        <v>599</v>
      </c>
      <c r="F193" s="109" t="s">
        <v>625</v>
      </c>
      <c r="G193" s="110" t="str">
        <f t="shared" si="54"/>
        <v>MAYO</v>
      </c>
      <c r="H193" s="252">
        <v>0</v>
      </c>
      <c r="I193" s="102" t="str">
        <f t="shared" si="55"/>
        <v>MAYO</v>
      </c>
      <c r="J193">
        <f>+H193*0.16</f>
        <v>0</v>
      </c>
      <c r="K193" t="str">
        <f t="shared" si="48"/>
        <v>MAYO</v>
      </c>
      <c r="L193" s="111">
        <f t="shared" si="49"/>
        <v>0</v>
      </c>
      <c r="M193" s="112">
        <f t="shared" si="50"/>
        <v>0</v>
      </c>
      <c r="N193" s="112">
        <f t="shared" si="51"/>
        <v>0</v>
      </c>
      <c r="P193">
        <v>0</v>
      </c>
      <c r="Q193" s="102">
        <f t="shared" si="53"/>
        <v>0</v>
      </c>
    </row>
    <row r="194" spans="1:17" x14ac:dyDescent="0.35">
      <c r="A194" s="106">
        <f t="shared" si="47"/>
        <v>5</v>
      </c>
      <c r="B194" s="107" t="str">
        <f>VLOOKUP(A194,[1]Hoja3!$C$3:$D$14,2,FALSE)</f>
        <v>MAYO</v>
      </c>
      <c r="C194" s="108">
        <v>45433.546307870369</v>
      </c>
      <c r="D194" t="s">
        <v>391</v>
      </c>
      <c r="E194" s="108" t="s">
        <v>407</v>
      </c>
      <c r="F194" s="109" t="s">
        <v>626</v>
      </c>
      <c r="G194" s="110" t="str">
        <f t="shared" si="54"/>
        <v>MAYO</v>
      </c>
      <c r="H194" s="252">
        <v>471.4</v>
      </c>
      <c r="I194" s="102" t="str">
        <f t="shared" si="55"/>
        <v>MAYO</v>
      </c>
      <c r="J194">
        <f>+H194*0.16</f>
        <v>75.423999999999992</v>
      </c>
      <c r="K194" t="str">
        <f t="shared" si="48"/>
        <v>MAYO</v>
      </c>
      <c r="L194" s="111">
        <f t="shared" si="49"/>
        <v>471.39999999999992</v>
      </c>
      <c r="M194" s="112">
        <f t="shared" si="50"/>
        <v>0</v>
      </c>
      <c r="N194" s="112">
        <f t="shared" si="51"/>
        <v>546.82399999999996</v>
      </c>
      <c r="O194" t="s">
        <v>451</v>
      </c>
      <c r="P194">
        <v>546.82000000000005</v>
      </c>
      <c r="Q194" s="102">
        <f t="shared" ref="Q194:Q207" si="56">+N194-P194</f>
        <v>3.9999999999054126E-3</v>
      </c>
    </row>
    <row r="195" spans="1:17" x14ac:dyDescent="0.35">
      <c r="A195" s="106">
        <f t="shared" si="47"/>
        <v>5</v>
      </c>
      <c r="B195" s="107" t="str">
        <f>VLOOKUP(A195,[1]Hoja3!$C$3:$D$14,2,FALSE)</f>
        <v>MAYO</v>
      </c>
      <c r="C195" s="108">
        <v>45433.603726851848</v>
      </c>
      <c r="D195" t="s">
        <v>389</v>
      </c>
      <c r="E195" s="108" t="s">
        <v>405</v>
      </c>
      <c r="F195" s="109" t="s">
        <v>627</v>
      </c>
      <c r="G195" s="110" t="str">
        <f t="shared" si="54"/>
        <v>MAYO</v>
      </c>
      <c r="H195" s="252">
        <v>15000</v>
      </c>
      <c r="I195" s="102" t="str">
        <f t="shared" si="55"/>
        <v>MAYO</v>
      </c>
      <c r="J195">
        <v>0</v>
      </c>
      <c r="K195" t="str">
        <f t="shared" si="48"/>
        <v>MAYO</v>
      </c>
      <c r="L195" s="111">
        <f t="shared" si="49"/>
        <v>0</v>
      </c>
      <c r="M195" s="112">
        <f t="shared" si="50"/>
        <v>15000</v>
      </c>
      <c r="N195" s="112">
        <f t="shared" si="51"/>
        <v>15000</v>
      </c>
      <c r="O195" t="s">
        <v>451</v>
      </c>
      <c r="P195">
        <v>15000</v>
      </c>
      <c r="Q195" s="102">
        <f t="shared" si="56"/>
        <v>0</v>
      </c>
    </row>
    <row r="196" spans="1:17" x14ac:dyDescent="0.35">
      <c r="A196" s="106">
        <f t="shared" si="47"/>
        <v>5</v>
      </c>
      <c r="B196" s="107" t="str">
        <f>VLOOKUP(A196,[1]Hoja3!$C$3:$D$14,2,FALSE)</f>
        <v>MAYO</v>
      </c>
      <c r="C196" s="108">
        <v>45433.604328703703</v>
      </c>
      <c r="D196" t="s">
        <v>389</v>
      </c>
      <c r="E196" s="108" t="s">
        <v>405</v>
      </c>
      <c r="F196" s="109" t="s">
        <v>628</v>
      </c>
      <c r="G196" s="110" t="str">
        <f t="shared" si="54"/>
        <v>MAYO</v>
      </c>
      <c r="H196" s="252">
        <v>9000</v>
      </c>
      <c r="I196" s="102" t="str">
        <f t="shared" si="55"/>
        <v>MAYO</v>
      </c>
      <c r="J196">
        <v>0</v>
      </c>
      <c r="K196" t="str">
        <f t="shared" si="48"/>
        <v>MAYO</v>
      </c>
      <c r="L196" s="111">
        <f t="shared" si="49"/>
        <v>0</v>
      </c>
      <c r="M196" s="112">
        <f t="shared" si="50"/>
        <v>9000</v>
      </c>
      <c r="N196" s="112">
        <f t="shared" si="51"/>
        <v>9000</v>
      </c>
      <c r="O196" t="s">
        <v>451</v>
      </c>
      <c r="P196">
        <v>9000</v>
      </c>
      <c r="Q196" s="102">
        <f t="shared" si="56"/>
        <v>0</v>
      </c>
    </row>
    <row r="197" spans="1:17" x14ac:dyDescent="0.35">
      <c r="A197" s="106">
        <f t="shared" ref="A197:A224" si="57">IF(C197&gt;0,MONTH(C197),0)</f>
        <v>5</v>
      </c>
      <c r="B197" s="107" t="str">
        <f>VLOOKUP(A197,[1]Hoja3!$C$3:$D$14,2,FALSE)</f>
        <v>MAYO</v>
      </c>
      <c r="C197" s="108">
        <v>45433.604780092595</v>
      </c>
      <c r="D197" t="s">
        <v>389</v>
      </c>
      <c r="E197" s="108" t="s">
        <v>405</v>
      </c>
      <c r="F197" s="109" t="s">
        <v>629</v>
      </c>
      <c r="G197" s="110" t="str">
        <f t="shared" si="54"/>
        <v>MAYO</v>
      </c>
      <c r="H197" s="252">
        <v>6000</v>
      </c>
      <c r="I197" s="102" t="str">
        <f t="shared" si="55"/>
        <v>MAYO</v>
      </c>
      <c r="J197">
        <v>0</v>
      </c>
      <c r="K197" t="str">
        <f t="shared" ref="K197:K224" si="58">+B197</f>
        <v>MAYO</v>
      </c>
      <c r="L197" s="111">
        <f t="shared" ref="L197:L224" si="59">+J197/0.16</f>
        <v>0</v>
      </c>
      <c r="M197" s="112">
        <f t="shared" ref="M197:M224" si="60">+H197-L197</f>
        <v>6000</v>
      </c>
      <c r="N197" s="112">
        <f t="shared" ref="N197:N224" si="61">+H197+J197</f>
        <v>6000</v>
      </c>
      <c r="O197" t="s">
        <v>451</v>
      </c>
      <c r="P197">
        <v>6000</v>
      </c>
      <c r="Q197" s="102">
        <f t="shared" si="56"/>
        <v>0</v>
      </c>
    </row>
    <row r="198" spans="1:17" x14ac:dyDescent="0.35">
      <c r="A198" s="106">
        <f t="shared" si="57"/>
        <v>5</v>
      </c>
      <c r="B198" s="107" t="str">
        <f>VLOOKUP(A198,[1]Hoja3!$C$3:$D$14,2,FALSE)</f>
        <v>MAYO</v>
      </c>
      <c r="C198" s="108">
        <v>45433.807175925926</v>
      </c>
      <c r="D198" t="s">
        <v>385</v>
      </c>
      <c r="E198" s="108" t="s">
        <v>401</v>
      </c>
      <c r="F198" s="109" t="s">
        <v>630</v>
      </c>
      <c r="G198" s="110" t="str">
        <f t="shared" si="54"/>
        <v>MAYO</v>
      </c>
      <c r="H198" s="252">
        <v>218.96</v>
      </c>
      <c r="I198" s="102" t="str">
        <f t="shared" si="55"/>
        <v>MAYO</v>
      </c>
      <c r="J198">
        <f t="shared" ref="J198:J201" si="62">+H198*0.16</f>
        <v>35.0336</v>
      </c>
      <c r="K198" t="str">
        <f t="shared" si="58"/>
        <v>MAYO</v>
      </c>
      <c r="L198" s="111">
        <f t="shared" si="59"/>
        <v>218.96</v>
      </c>
      <c r="M198" s="112">
        <f t="shared" si="60"/>
        <v>0</v>
      </c>
      <c r="N198" s="112">
        <f t="shared" si="61"/>
        <v>253.99360000000001</v>
      </c>
      <c r="O198" t="s">
        <v>451</v>
      </c>
      <c r="P198">
        <v>254</v>
      </c>
      <c r="Q198" s="102">
        <f t="shared" si="56"/>
        <v>-6.3999999999850843E-3</v>
      </c>
    </row>
    <row r="199" spans="1:17" x14ac:dyDescent="0.35">
      <c r="A199" s="106">
        <f t="shared" si="57"/>
        <v>5</v>
      </c>
      <c r="B199" s="107" t="str">
        <f>VLOOKUP(A199,[1]Hoja3!$C$3:$D$14,2,FALSE)</f>
        <v>MAYO</v>
      </c>
      <c r="C199" s="108">
        <v>45433.808252314811</v>
      </c>
      <c r="D199" t="s">
        <v>385</v>
      </c>
      <c r="E199" s="108" t="s">
        <v>401</v>
      </c>
      <c r="F199" s="109" t="s">
        <v>631</v>
      </c>
      <c r="G199" s="110" t="str">
        <f t="shared" si="54"/>
        <v>MAYO</v>
      </c>
      <c r="H199" s="252">
        <v>519.16999999999996</v>
      </c>
      <c r="I199" s="102" t="str">
        <f t="shared" si="55"/>
        <v>MAYO</v>
      </c>
      <c r="J199">
        <f t="shared" si="62"/>
        <v>83.0672</v>
      </c>
      <c r="K199" t="str">
        <f t="shared" si="58"/>
        <v>MAYO</v>
      </c>
      <c r="L199" s="111">
        <f t="shared" si="59"/>
        <v>519.16999999999996</v>
      </c>
      <c r="M199" s="112">
        <f t="shared" si="60"/>
        <v>0</v>
      </c>
      <c r="N199" s="112">
        <f t="shared" si="61"/>
        <v>602.23719999999992</v>
      </c>
      <c r="O199" t="s">
        <v>451</v>
      </c>
      <c r="P199">
        <v>600</v>
      </c>
      <c r="Q199" s="102">
        <f t="shared" si="56"/>
        <v>2.2371999999999161</v>
      </c>
    </row>
    <row r="200" spans="1:17" x14ac:dyDescent="0.35">
      <c r="A200" s="106">
        <f t="shared" si="57"/>
        <v>5</v>
      </c>
      <c r="B200" s="107" t="str">
        <f>VLOOKUP(A200,[1]Hoja3!$C$3:$D$14,2,FALSE)</f>
        <v>MAYO</v>
      </c>
      <c r="C200" s="108">
        <v>45433.833344907405</v>
      </c>
      <c r="D200" t="s">
        <v>396</v>
      </c>
      <c r="E200" s="108" t="s">
        <v>412</v>
      </c>
      <c r="F200" s="109" t="s">
        <v>632</v>
      </c>
      <c r="G200" s="110" t="str">
        <f t="shared" si="54"/>
        <v>MAYO</v>
      </c>
      <c r="H200" s="252">
        <v>0</v>
      </c>
      <c r="I200" s="102" t="str">
        <f t="shared" si="55"/>
        <v>MAYO</v>
      </c>
      <c r="J200">
        <f t="shared" si="62"/>
        <v>0</v>
      </c>
      <c r="K200" t="str">
        <f t="shared" si="58"/>
        <v>MAYO</v>
      </c>
      <c r="L200" s="111">
        <f t="shared" si="59"/>
        <v>0</v>
      </c>
      <c r="M200" s="112">
        <f t="shared" si="60"/>
        <v>0</v>
      </c>
      <c r="N200" s="112">
        <f t="shared" si="61"/>
        <v>0</v>
      </c>
      <c r="P200">
        <v>0</v>
      </c>
      <c r="Q200" s="102">
        <f t="shared" si="56"/>
        <v>0</v>
      </c>
    </row>
    <row r="201" spans="1:17" x14ac:dyDescent="0.35">
      <c r="A201" s="106">
        <f t="shared" si="57"/>
        <v>5</v>
      </c>
      <c r="B201" s="107" t="str">
        <f>VLOOKUP(A201,[1]Hoja3!$C$3:$D$14,2,FALSE)</f>
        <v>MAYO</v>
      </c>
      <c r="C201" s="108">
        <v>45433.833344907405</v>
      </c>
      <c r="D201" t="s">
        <v>395</v>
      </c>
      <c r="E201" s="108" t="s">
        <v>411</v>
      </c>
      <c r="F201" s="109" t="s">
        <v>633</v>
      </c>
      <c r="G201" s="110" t="str">
        <f t="shared" si="54"/>
        <v>MAYO</v>
      </c>
      <c r="H201" s="252">
        <v>0</v>
      </c>
      <c r="I201" s="102" t="str">
        <f t="shared" si="55"/>
        <v>MAYO</v>
      </c>
      <c r="J201">
        <f t="shared" si="62"/>
        <v>0</v>
      </c>
      <c r="K201" t="str">
        <f t="shared" si="58"/>
        <v>MAYO</v>
      </c>
      <c r="L201" s="111">
        <f t="shared" si="59"/>
        <v>0</v>
      </c>
      <c r="M201" s="112">
        <f t="shared" si="60"/>
        <v>0</v>
      </c>
      <c r="N201" s="112">
        <f t="shared" si="61"/>
        <v>0</v>
      </c>
      <c r="P201">
        <v>0</v>
      </c>
      <c r="Q201" s="102">
        <f t="shared" si="56"/>
        <v>0</v>
      </c>
    </row>
    <row r="202" spans="1:17" x14ac:dyDescent="0.35">
      <c r="A202" s="106">
        <f t="shared" si="57"/>
        <v>5</v>
      </c>
      <c r="B202" s="107" t="str">
        <f>VLOOKUP(A202,[1]Hoja3!$C$3:$D$14,2,FALSE)</f>
        <v>MAYO</v>
      </c>
      <c r="C202" s="108">
        <v>45435.600115740737</v>
      </c>
      <c r="D202" t="s">
        <v>392</v>
      </c>
      <c r="E202" s="108" t="s">
        <v>408</v>
      </c>
      <c r="F202" s="109" t="s">
        <v>634</v>
      </c>
      <c r="G202" s="110" t="str">
        <f t="shared" si="54"/>
        <v>MAYO</v>
      </c>
      <c r="H202" s="252">
        <v>4800</v>
      </c>
      <c r="I202" s="102" t="str">
        <f t="shared" si="55"/>
        <v>MAYO</v>
      </c>
      <c r="J202">
        <v>0</v>
      </c>
      <c r="K202" t="str">
        <f t="shared" si="58"/>
        <v>MAYO</v>
      </c>
      <c r="L202" s="111">
        <f t="shared" si="59"/>
        <v>0</v>
      </c>
      <c r="M202" s="112">
        <f t="shared" si="60"/>
        <v>4800</v>
      </c>
      <c r="N202" s="112">
        <f t="shared" si="61"/>
        <v>4800</v>
      </c>
      <c r="O202" t="s">
        <v>451</v>
      </c>
      <c r="P202">
        <v>4800</v>
      </c>
      <c r="Q202" s="102">
        <f t="shared" si="56"/>
        <v>0</v>
      </c>
    </row>
    <row r="203" spans="1:17" x14ac:dyDescent="0.35">
      <c r="A203" s="106">
        <f t="shared" si="57"/>
        <v>5</v>
      </c>
      <c r="B203" s="107" t="str">
        <f>VLOOKUP(A203,[1]Hoja3!$C$3:$D$14,2,FALSE)</f>
        <v>MAYO</v>
      </c>
      <c r="C203" s="108">
        <v>45435.918726851851</v>
      </c>
      <c r="D203" t="s">
        <v>393</v>
      </c>
      <c r="E203" s="108" t="s">
        <v>409</v>
      </c>
      <c r="F203" s="109" t="s">
        <v>635</v>
      </c>
      <c r="G203" s="110" t="str">
        <f t="shared" si="54"/>
        <v>MAYO</v>
      </c>
      <c r="H203" s="252"/>
      <c r="I203" s="102" t="str">
        <f t="shared" si="55"/>
        <v>MAYO</v>
      </c>
      <c r="J203"/>
      <c r="K203" t="str">
        <f t="shared" si="58"/>
        <v>MAYO</v>
      </c>
      <c r="L203" s="111">
        <f t="shared" si="59"/>
        <v>0</v>
      </c>
      <c r="M203" s="112">
        <f t="shared" si="60"/>
        <v>0</v>
      </c>
      <c r="N203" s="112">
        <f t="shared" si="61"/>
        <v>0</v>
      </c>
      <c r="O203" t="s">
        <v>551</v>
      </c>
      <c r="P203">
        <v>867</v>
      </c>
      <c r="Q203" s="102">
        <f t="shared" si="56"/>
        <v>-867</v>
      </c>
    </row>
    <row r="204" spans="1:17" x14ac:dyDescent="0.35">
      <c r="A204" s="106">
        <f t="shared" si="57"/>
        <v>5</v>
      </c>
      <c r="B204" s="107" t="str">
        <f>VLOOKUP(A204,[1]Hoja3!$C$3:$D$14,2,FALSE)</f>
        <v>MAYO</v>
      </c>
      <c r="C204" s="108">
        <v>45436.659131944441</v>
      </c>
      <c r="D204" t="s">
        <v>512</v>
      </c>
      <c r="E204" s="108" t="s">
        <v>514</v>
      </c>
      <c r="F204" s="109" t="s">
        <v>636</v>
      </c>
      <c r="G204" s="110" t="str">
        <f t="shared" si="54"/>
        <v>MAYO</v>
      </c>
      <c r="H204" s="252">
        <v>1056</v>
      </c>
      <c r="I204" s="102" t="str">
        <f t="shared" si="55"/>
        <v>MAYO</v>
      </c>
      <c r="J204">
        <v>0</v>
      </c>
      <c r="K204" t="str">
        <f t="shared" si="58"/>
        <v>MAYO</v>
      </c>
      <c r="L204" s="111">
        <f t="shared" si="59"/>
        <v>0</v>
      </c>
      <c r="M204" s="112">
        <f t="shared" si="60"/>
        <v>1056</v>
      </c>
      <c r="N204" s="112">
        <f t="shared" si="61"/>
        <v>1056</v>
      </c>
      <c r="O204" t="s">
        <v>451</v>
      </c>
      <c r="P204">
        <v>1056</v>
      </c>
      <c r="Q204" s="102">
        <f t="shared" si="56"/>
        <v>0</v>
      </c>
    </row>
    <row r="205" spans="1:17" x14ac:dyDescent="0.35">
      <c r="A205" s="106">
        <f t="shared" si="57"/>
        <v>5</v>
      </c>
      <c r="B205" s="107" t="str">
        <f>VLOOKUP(A205,[1]Hoja3!$C$3:$D$14,2,FALSE)</f>
        <v>MAYO</v>
      </c>
      <c r="C205" s="108">
        <v>45438.610162037039</v>
      </c>
      <c r="D205" t="s">
        <v>388</v>
      </c>
      <c r="E205" s="108" t="s">
        <v>404</v>
      </c>
      <c r="F205" s="109" t="s">
        <v>637</v>
      </c>
      <c r="G205" s="110" t="str">
        <f t="shared" si="54"/>
        <v>MAYO</v>
      </c>
      <c r="H205" s="252">
        <v>6200</v>
      </c>
      <c r="I205" s="102" t="str">
        <f t="shared" si="55"/>
        <v>MAYO</v>
      </c>
      <c r="J205">
        <v>0</v>
      </c>
      <c r="K205" t="str">
        <f t="shared" si="58"/>
        <v>MAYO</v>
      </c>
      <c r="L205" s="111">
        <f t="shared" si="59"/>
        <v>0</v>
      </c>
      <c r="M205" s="112">
        <f t="shared" si="60"/>
        <v>6200</v>
      </c>
      <c r="N205" s="112">
        <f t="shared" si="61"/>
        <v>6200</v>
      </c>
      <c r="O205" t="s">
        <v>451</v>
      </c>
      <c r="P205">
        <v>6200</v>
      </c>
      <c r="Q205" s="102">
        <f t="shared" si="56"/>
        <v>0</v>
      </c>
    </row>
    <row r="206" spans="1:17" x14ac:dyDescent="0.35">
      <c r="A206" s="106">
        <f t="shared" si="57"/>
        <v>5</v>
      </c>
      <c r="B206" s="107" t="str">
        <f>VLOOKUP(A206,[1]Hoja3!$C$3:$D$14,2,FALSE)</f>
        <v>MAYO</v>
      </c>
      <c r="C206" s="108">
        <v>45438.612881944442</v>
      </c>
      <c r="D206" t="s">
        <v>388</v>
      </c>
      <c r="E206" s="108" t="s">
        <v>404</v>
      </c>
      <c r="F206" s="109" t="s">
        <v>638</v>
      </c>
      <c r="G206" s="110" t="str">
        <f t="shared" si="54"/>
        <v>MAYO</v>
      </c>
      <c r="H206" s="252">
        <v>27000</v>
      </c>
      <c r="I206" s="102" t="str">
        <f t="shared" si="55"/>
        <v>MAYO</v>
      </c>
      <c r="J206">
        <v>0</v>
      </c>
      <c r="K206" t="str">
        <f t="shared" si="58"/>
        <v>MAYO</v>
      </c>
      <c r="L206" s="111">
        <f t="shared" si="59"/>
        <v>0</v>
      </c>
      <c r="M206" s="112">
        <f t="shared" si="60"/>
        <v>27000</v>
      </c>
      <c r="N206" s="112">
        <f t="shared" si="61"/>
        <v>27000</v>
      </c>
      <c r="O206" t="s">
        <v>451</v>
      </c>
      <c r="P206">
        <v>27000</v>
      </c>
      <c r="Q206" s="102">
        <f t="shared" si="56"/>
        <v>0</v>
      </c>
    </row>
    <row r="207" spans="1:17" x14ac:dyDescent="0.35">
      <c r="A207" s="106">
        <f t="shared" si="57"/>
        <v>5</v>
      </c>
      <c r="B207" s="107" t="str">
        <f>VLOOKUP(A207,[1]Hoja3!$C$3:$D$14,2,FALSE)</f>
        <v>MAYO</v>
      </c>
      <c r="C207" s="108">
        <v>45439.603634259256</v>
      </c>
      <c r="D207" t="s">
        <v>389</v>
      </c>
      <c r="E207" s="108" t="s">
        <v>405</v>
      </c>
      <c r="F207" s="109" t="s">
        <v>639</v>
      </c>
      <c r="G207" s="110" t="str">
        <f t="shared" si="54"/>
        <v>MAYO</v>
      </c>
      <c r="H207" s="252">
        <v>12000</v>
      </c>
      <c r="I207" s="102" t="str">
        <f t="shared" si="55"/>
        <v>MAYO</v>
      </c>
      <c r="J207">
        <v>0</v>
      </c>
      <c r="K207" t="str">
        <f t="shared" si="58"/>
        <v>MAYO</v>
      </c>
      <c r="L207" s="111">
        <f t="shared" si="59"/>
        <v>0</v>
      </c>
      <c r="M207" s="112">
        <f t="shared" si="60"/>
        <v>12000</v>
      </c>
      <c r="N207" s="112">
        <f t="shared" si="61"/>
        <v>12000</v>
      </c>
      <c r="O207" t="s">
        <v>451</v>
      </c>
      <c r="P207">
        <v>12000</v>
      </c>
      <c r="Q207" s="102">
        <f t="shared" si="56"/>
        <v>0</v>
      </c>
    </row>
    <row r="208" spans="1:17" x14ac:dyDescent="0.35">
      <c r="A208" s="106">
        <f t="shared" si="57"/>
        <v>5</v>
      </c>
      <c r="B208" s="107" t="str">
        <f>VLOOKUP(A208,[1]Hoja3!$C$3:$D$14,2,FALSE)</f>
        <v>MAYO</v>
      </c>
      <c r="C208" s="108">
        <v>45439.674050925925</v>
      </c>
      <c r="D208" t="s">
        <v>392</v>
      </c>
      <c r="E208" s="108" t="s">
        <v>408</v>
      </c>
      <c r="F208" s="109" t="s">
        <v>640</v>
      </c>
      <c r="G208" s="110" t="str">
        <f t="shared" si="54"/>
        <v>MAYO</v>
      </c>
      <c r="H208" s="252">
        <v>5140</v>
      </c>
      <c r="I208" s="102" t="str">
        <f t="shared" si="55"/>
        <v>MAYO</v>
      </c>
      <c r="J208">
        <v>0</v>
      </c>
      <c r="K208" t="str">
        <f t="shared" si="58"/>
        <v>MAYO</v>
      </c>
      <c r="L208" s="111">
        <f t="shared" si="59"/>
        <v>0</v>
      </c>
      <c r="M208" s="112">
        <f t="shared" si="60"/>
        <v>5140</v>
      </c>
      <c r="N208" s="112">
        <f t="shared" si="61"/>
        <v>5140</v>
      </c>
      <c r="O208" t="s">
        <v>451</v>
      </c>
      <c r="P208">
        <v>5140</v>
      </c>
      <c r="Q208" s="102">
        <f t="shared" ref="Q208:Q218" si="63">+N208-P208</f>
        <v>0</v>
      </c>
    </row>
    <row r="209" spans="1:18" x14ac:dyDescent="0.35">
      <c r="A209" s="106">
        <f t="shared" si="57"/>
        <v>5</v>
      </c>
      <c r="B209" s="107" t="str">
        <f>VLOOKUP(A209,[1]Hoja3!$C$3:$D$14,2,FALSE)</f>
        <v>MAYO</v>
      </c>
      <c r="C209" s="108">
        <v>45440.333333333336</v>
      </c>
      <c r="D209" t="s">
        <v>395</v>
      </c>
      <c r="E209" s="108" t="s">
        <v>411</v>
      </c>
      <c r="F209" s="109" t="s">
        <v>641</v>
      </c>
      <c r="G209" s="110" t="str">
        <f t="shared" si="54"/>
        <v>MAYO</v>
      </c>
      <c r="H209" s="252"/>
      <c r="I209" s="102" t="str">
        <f t="shared" si="55"/>
        <v>MAYO</v>
      </c>
      <c r="J209"/>
      <c r="K209" t="str">
        <f t="shared" si="58"/>
        <v>MAYO</v>
      </c>
      <c r="L209" s="111">
        <f t="shared" si="59"/>
        <v>0</v>
      </c>
      <c r="M209" s="112">
        <f t="shared" si="60"/>
        <v>0</v>
      </c>
      <c r="N209" s="112">
        <f t="shared" si="61"/>
        <v>0</v>
      </c>
      <c r="O209" t="s">
        <v>551</v>
      </c>
      <c r="P209">
        <v>377.9</v>
      </c>
      <c r="Q209" s="102">
        <f t="shared" si="63"/>
        <v>-377.9</v>
      </c>
    </row>
    <row r="210" spans="1:18" x14ac:dyDescent="0.35">
      <c r="A210" s="106">
        <f t="shared" si="57"/>
        <v>5</v>
      </c>
      <c r="B210" s="107" t="str">
        <f>VLOOKUP(A210,[1]Hoja3!$C$3:$D$14,2,FALSE)</f>
        <v>MAYO</v>
      </c>
      <c r="C210" s="108">
        <v>45440.333333333336</v>
      </c>
      <c r="D210" t="s">
        <v>396</v>
      </c>
      <c r="E210" s="108" t="s">
        <v>412</v>
      </c>
      <c r="F210" s="109" t="s">
        <v>642</v>
      </c>
      <c r="G210" s="110" t="str">
        <f t="shared" si="54"/>
        <v>MAYO</v>
      </c>
      <c r="H210" s="252"/>
      <c r="I210" s="102" t="str">
        <f t="shared" si="55"/>
        <v>MAYO</v>
      </c>
      <c r="J210"/>
      <c r="K210" t="str">
        <f t="shared" si="58"/>
        <v>MAYO</v>
      </c>
      <c r="L210" s="111">
        <f t="shared" si="59"/>
        <v>0</v>
      </c>
      <c r="M210" s="112">
        <f t="shared" si="60"/>
        <v>0</v>
      </c>
      <c r="N210" s="112">
        <f t="shared" si="61"/>
        <v>0</v>
      </c>
      <c r="O210" t="s">
        <v>551</v>
      </c>
      <c r="P210">
        <v>150.02000000000001</v>
      </c>
      <c r="Q210" s="102">
        <f t="shared" si="63"/>
        <v>-150.02000000000001</v>
      </c>
    </row>
    <row r="211" spans="1:18" x14ac:dyDescent="0.35">
      <c r="A211" s="106">
        <f t="shared" si="57"/>
        <v>5</v>
      </c>
      <c r="B211" s="107" t="str">
        <f>VLOOKUP(A211,[1]Hoja3!$C$3:$D$14,2,FALSE)</f>
        <v>MAYO</v>
      </c>
      <c r="C211" s="108">
        <v>45440.333333333336</v>
      </c>
      <c r="D211" t="s">
        <v>395</v>
      </c>
      <c r="E211" s="108" t="s">
        <v>411</v>
      </c>
      <c r="F211" s="109" t="s">
        <v>643</v>
      </c>
      <c r="G211" s="110" t="str">
        <f t="shared" si="54"/>
        <v>MAYO</v>
      </c>
      <c r="H211" s="252"/>
      <c r="I211" s="102" t="str">
        <f t="shared" si="55"/>
        <v>MAYO</v>
      </c>
      <c r="J211"/>
      <c r="K211" t="str">
        <f t="shared" si="58"/>
        <v>MAYO</v>
      </c>
      <c r="L211" s="111">
        <f t="shared" si="59"/>
        <v>0</v>
      </c>
      <c r="M211" s="112">
        <f t="shared" si="60"/>
        <v>0</v>
      </c>
      <c r="N211" s="112">
        <f t="shared" si="61"/>
        <v>0</v>
      </c>
      <c r="O211" t="s">
        <v>551</v>
      </c>
      <c r="P211">
        <v>1.06</v>
      </c>
      <c r="Q211" s="102">
        <f t="shared" si="63"/>
        <v>-1.06</v>
      </c>
    </row>
    <row r="212" spans="1:18" x14ac:dyDescent="0.35">
      <c r="A212" s="106">
        <f t="shared" si="57"/>
        <v>5</v>
      </c>
      <c r="B212" s="107" t="str">
        <f>VLOOKUP(A212,[1]Hoja3!$C$3:$D$14,2,FALSE)</f>
        <v>MAYO</v>
      </c>
      <c r="C212" s="108">
        <v>45440.349918981483</v>
      </c>
      <c r="D212" t="s">
        <v>386</v>
      </c>
      <c r="E212" s="108" t="s">
        <v>402</v>
      </c>
      <c r="F212" s="109" t="s">
        <v>445</v>
      </c>
      <c r="G212" s="110" t="str">
        <f t="shared" si="54"/>
        <v>MAYO</v>
      </c>
      <c r="H212" s="252">
        <v>0.01</v>
      </c>
      <c r="I212" s="102" t="str">
        <f t="shared" si="55"/>
        <v>MAYO</v>
      </c>
      <c r="J212">
        <f>+H212*0.16</f>
        <v>1.6000000000000001E-3</v>
      </c>
      <c r="K212" t="str">
        <f t="shared" si="58"/>
        <v>MAYO</v>
      </c>
      <c r="L212" s="111">
        <f t="shared" si="59"/>
        <v>0.01</v>
      </c>
      <c r="M212" s="112">
        <f t="shared" si="60"/>
        <v>0</v>
      </c>
      <c r="N212" s="112">
        <f t="shared" si="61"/>
        <v>1.1600000000000001E-2</v>
      </c>
      <c r="O212" t="s">
        <v>451</v>
      </c>
      <c r="P212">
        <v>0</v>
      </c>
      <c r="Q212" s="102">
        <f t="shared" si="63"/>
        <v>1.1600000000000001E-2</v>
      </c>
    </row>
    <row r="213" spans="1:18" x14ac:dyDescent="0.35">
      <c r="A213" s="106">
        <f t="shared" si="57"/>
        <v>5</v>
      </c>
      <c r="B213" s="107" t="str">
        <f>VLOOKUP(A213,[1]Hoja3!$C$3:$D$14,2,FALSE)</f>
        <v>MAYO</v>
      </c>
      <c r="C213" s="108">
        <v>45441.350046296298</v>
      </c>
      <c r="D213" t="s">
        <v>388</v>
      </c>
      <c r="E213" s="108" t="s">
        <v>404</v>
      </c>
      <c r="F213" s="109" t="s">
        <v>644</v>
      </c>
      <c r="G213" s="110" t="str">
        <f t="shared" si="54"/>
        <v>MAYO</v>
      </c>
      <c r="H213" s="252">
        <v>17748</v>
      </c>
      <c r="I213" s="102" t="str">
        <f t="shared" si="55"/>
        <v>MAYO</v>
      </c>
      <c r="J213">
        <v>0</v>
      </c>
      <c r="K213" t="str">
        <f t="shared" si="58"/>
        <v>MAYO</v>
      </c>
      <c r="L213" s="111">
        <f t="shared" si="59"/>
        <v>0</v>
      </c>
      <c r="M213" s="112">
        <f t="shared" si="60"/>
        <v>17748</v>
      </c>
      <c r="N213" s="112">
        <f t="shared" si="61"/>
        <v>17748</v>
      </c>
      <c r="O213" t="s">
        <v>451</v>
      </c>
      <c r="P213">
        <v>17748</v>
      </c>
      <c r="Q213" s="102">
        <f t="shared" si="63"/>
        <v>0</v>
      </c>
    </row>
    <row r="214" spans="1:18" x14ac:dyDescent="0.35">
      <c r="A214" s="106">
        <f t="shared" si="57"/>
        <v>5</v>
      </c>
      <c r="B214" s="107" t="str">
        <f>VLOOKUP(A214,[1]Hoja3!$C$3:$D$14,2,FALSE)</f>
        <v>MAYO</v>
      </c>
      <c r="C214" s="108">
        <v>45441.498344907406</v>
      </c>
      <c r="D214" t="s">
        <v>604</v>
      </c>
      <c r="E214" s="108" t="s">
        <v>600</v>
      </c>
      <c r="F214" s="109" t="s">
        <v>645</v>
      </c>
      <c r="G214" s="110" t="str">
        <f t="shared" ref="G214:G267" si="64">+B214</f>
        <v>MAYO</v>
      </c>
      <c r="H214" s="252">
        <v>766.38</v>
      </c>
      <c r="I214" s="102" t="str">
        <f t="shared" ref="I214:I267" si="65">+B214</f>
        <v>MAYO</v>
      </c>
      <c r="J214">
        <f t="shared" ref="J214" si="66">+H214*0.16</f>
        <v>122.6208</v>
      </c>
      <c r="K214" t="str">
        <f t="shared" si="58"/>
        <v>MAYO</v>
      </c>
      <c r="L214" s="111">
        <f t="shared" si="59"/>
        <v>766.38</v>
      </c>
      <c r="M214" s="112">
        <f t="shared" si="60"/>
        <v>0</v>
      </c>
      <c r="N214" s="112">
        <f t="shared" si="61"/>
        <v>889.00080000000003</v>
      </c>
      <c r="O214" t="s">
        <v>451</v>
      </c>
      <c r="P214">
        <v>888.99</v>
      </c>
      <c r="Q214" s="102">
        <f t="shared" si="63"/>
        <v>1.0800000000017462E-2</v>
      </c>
    </row>
    <row r="215" spans="1:18" x14ac:dyDescent="0.35">
      <c r="A215" s="106">
        <f t="shared" si="57"/>
        <v>5</v>
      </c>
      <c r="B215" s="107" t="str">
        <f>VLOOKUP(A215,[1]Hoja3!$C$3:$D$14,2,FALSE)</f>
        <v>MAYO</v>
      </c>
      <c r="C215" s="108">
        <v>45442.560868055552</v>
      </c>
      <c r="D215" t="s">
        <v>394</v>
      </c>
      <c r="E215" s="108" t="s">
        <v>410</v>
      </c>
      <c r="F215" s="109" t="s">
        <v>646</v>
      </c>
      <c r="G215" s="110" t="str">
        <f t="shared" si="64"/>
        <v>MAYO</v>
      </c>
      <c r="H215" s="252">
        <v>45486</v>
      </c>
      <c r="I215" s="102" t="str">
        <f t="shared" si="65"/>
        <v>MAYO</v>
      </c>
      <c r="J215"/>
      <c r="K215" t="str">
        <f t="shared" si="58"/>
        <v>MAYO</v>
      </c>
      <c r="L215" s="111">
        <f t="shared" si="59"/>
        <v>0</v>
      </c>
      <c r="M215" s="112">
        <f t="shared" si="60"/>
        <v>45486</v>
      </c>
      <c r="N215" s="112">
        <f t="shared" si="61"/>
        <v>45486</v>
      </c>
      <c r="O215" t="s">
        <v>451</v>
      </c>
      <c r="P215">
        <v>45486</v>
      </c>
      <c r="Q215" s="102">
        <f t="shared" si="63"/>
        <v>0</v>
      </c>
    </row>
    <row r="216" spans="1:18" x14ac:dyDescent="0.35">
      <c r="A216" s="106">
        <f t="shared" si="57"/>
        <v>5</v>
      </c>
      <c r="B216" s="107" t="str">
        <f>VLOOKUP(A216,[1]Hoja3!$C$3:$D$14,2,FALSE)</f>
        <v>MAYO</v>
      </c>
      <c r="C216" s="108">
        <v>45443.473321759258</v>
      </c>
      <c r="D216" t="s">
        <v>605</v>
      </c>
      <c r="E216" s="108" t="s">
        <v>601</v>
      </c>
      <c r="F216" s="109" t="s">
        <v>647</v>
      </c>
      <c r="G216" s="110" t="str">
        <f t="shared" si="64"/>
        <v>MAYO</v>
      </c>
      <c r="H216" s="252">
        <v>0.23</v>
      </c>
      <c r="I216" s="102" t="str">
        <f t="shared" si="65"/>
        <v>MAYO</v>
      </c>
      <c r="J216"/>
      <c r="K216" t="str">
        <f t="shared" si="58"/>
        <v>MAYO</v>
      </c>
      <c r="L216" s="111">
        <f t="shared" si="59"/>
        <v>0</v>
      </c>
      <c r="M216" s="112">
        <f t="shared" si="60"/>
        <v>0.23</v>
      </c>
      <c r="N216" s="112">
        <f t="shared" si="61"/>
        <v>0.23</v>
      </c>
      <c r="O216" t="s">
        <v>451</v>
      </c>
      <c r="P216">
        <v>0.27</v>
      </c>
      <c r="Q216" s="102">
        <f t="shared" si="63"/>
        <v>-4.0000000000000008E-2</v>
      </c>
    </row>
    <row r="217" spans="1:18" x14ac:dyDescent="0.35">
      <c r="A217" s="106">
        <f t="shared" si="57"/>
        <v>5</v>
      </c>
      <c r="B217" s="107" t="str">
        <f>VLOOKUP(A217,[1]Hoja3!$C$3:$D$14,2,FALSE)</f>
        <v>MAYO</v>
      </c>
      <c r="C217" s="108">
        <v>45443.692083333335</v>
      </c>
      <c r="D217" t="s">
        <v>606</v>
      </c>
      <c r="E217" s="108" t="s">
        <v>602</v>
      </c>
      <c r="F217" s="109" t="s">
        <v>648</v>
      </c>
      <c r="G217" s="110" t="str">
        <f t="shared" si="64"/>
        <v>MAYO</v>
      </c>
      <c r="H217" s="252">
        <v>11700</v>
      </c>
      <c r="I217" s="102" t="str">
        <f t="shared" si="65"/>
        <v>MAYO</v>
      </c>
      <c r="J217"/>
      <c r="K217" t="str">
        <f t="shared" si="58"/>
        <v>MAYO</v>
      </c>
      <c r="L217" s="111">
        <f t="shared" si="59"/>
        <v>0</v>
      </c>
      <c r="M217" s="112">
        <f t="shared" si="60"/>
        <v>11700</v>
      </c>
      <c r="N217" s="112">
        <f t="shared" si="61"/>
        <v>11700</v>
      </c>
      <c r="O217" t="s">
        <v>451</v>
      </c>
      <c r="P217">
        <v>11700</v>
      </c>
      <c r="Q217" s="102">
        <f t="shared" si="63"/>
        <v>0</v>
      </c>
    </row>
    <row r="218" spans="1:18" x14ac:dyDescent="0.35">
      <c r="A218" s="106">
        <f t="shared" si="57"/>
        <v>6</v>
      </c>
      <c r="B218" s="107" t="str">
        <f>VLOOKUP(A218,[1]Hoja3!$C$3:$D$14,2,FALSE)</f>
        <v>JUNIO</v>
      </c>
      <c r="C218" s="108">
        <v>45444.568912037037</v>
      </c>
      <c r="D218" s="108" t="s">
        <v>387</v>
      </c>
      <c r="E218" s="109" t="s">
        <v>403</v>
      </c>
      <c r="F218" s="109" t="s">
        <v>661</v>
      </c>
      <c r="G218" s="110" t="str">
        <f t="shared" si="64"/>
        <v>JUNIO</v>
      </c>
      <c r="H218" s="252">
        <v>7634.09</v>
      </c>
      <c r="I218" s="102" t="str">
        <f t="shared" si="65"/>
        <v>JUNIO</v>
      </c>
      <c r="J218">
        <v>11.72</v>
      </c>
      <c r="K218" t="str">
        <f t="shared" si="58"/>
        <v>JUNIO</v>
      </c>
      <c r="L218" s="111">
        <f t="shared" si="59"/>
        <v>73.25</v>
      </c>
      <c r="M218" s="112">
        <f t="shared" si="60"/>
        <v>7560.84</v>
      </c>
      <c r="N218" s="112">
        <f t="shared" si="61"/>
        <v>7645.81</v>
      </c>
      <c r="O218" t="s">
        <v>451</v>
      </c>
      <c r="P218">
        <v>7645.81</v>
      </c>
      <c r="Q218" s="102">
        <f t="shared" si="63"/>
        <v>0</v>
      </c>
      <c r="R218" s="102"/>
    </row>
    <row r="219" spans="1:18" x14ac:dyDescent="0.35">
      <c r="A219" s="106">
        <f t="shared" si="57"/>
        <v>6</v>
      </c>
      <c r="B219" s="107" t="str">
        <f>VLOOKUP(A219,[1]Hoja3!$C$3:$D$14,2,FALSE)</f>
        <v>JUNIO</v>
      </c>
      <c r="C219" s="108">
        <v>45444.779722222222</v>
      </c>
      <c r="D219" s="108" t="s">
        <v>382</v>
      </c>
      <c r="E219" s="109" t="s">
        <v>398</v>
      </c>
      <c r="F219" s="109" t="s">
        <v>414</v>
      </c>
      <c r="G219" s="110" t="str">
        <f t="shared" si="64"/>
        <v>JUNIO</v>
      </c>
      <c r="H219" s="252">
        <v>782.7</v>
      </c>
      <c r="I219" s="102" t="str">
        <f t="shared" si="65"/>
        <v>JUNIO</v>
      </c>
      <c r="J219">
        <v>125.23</v>
      </c>
      <c r="K219" t="str">
        <f t="shared" si="58"/>
        <v>JUNIO</v>
      </c>
      <c r="L219" s="111">
        <f t="shared" si="59"/>
        <v>782.6875</v>
      </c>
      <c r="M219" s="112">
        <f t="shared" si="60"/>
        <v>1.2500000000045475E-2</v>
      </c>
      <c r="N219" s="112">
        <f t="shared" si="61"/>
        <v>907.93000000000006</v>
      </c>
      <c r="O219" t="s">
        <v>451</v>
      </c>
      <c r="P219">
        <v>907.93</v>
      </c>
      <c r="Q219" s="102">
        <f t="shared" ref="Q219:Q226" si="67">+N219-P219</f>
        <v>0</v>
      </c>
      <c r="R219" s="102"/>
    </row>
    <row r="220" spans="1:18" x14ac:dyDescent="0.35">
      <c r="A220" s="106">
        <f t="shared" si="57"/>
        <v>6</v>
      </c>
      <c r="B220" s="107" t="str">
        <f>VLOOKUP(A220,[1]Hoja3!$C$3:$D$14,2,FALSE)</f>
        <v>JUNIO</v>
      </c>
      <c r="C220" s="108">
        <v>45445.697476851848</v>
      </c>
      <c r="D220" s="108" t="s">
        <v>655</v>
      </c>
      <c r="E220" s="109" t="s">
        <v>649</v>
      </c>
      <c r="F220" s="109" t="s">
        <v>662</v>
      </c>
      <c r="G220" s="110" t="str">
        <f t="shared" si="64"/>
        <v>JUNIO</v>
      </c>
      <c r="H220" s="252">
        <v>0.01</v>
      </c>
      <c r="I220" s="102" t="str">
        <f t="shared" si="65"/>
        <v>JUNIO</v>
      </c>
      <c r="J220"/>
      <c r="K220" t="str">
        <f t="shared" si="58"/>
        <v>JUNIO</v>
      </c>
      <c r="L220" s="111">
        <f t="shared" si="59"/>
        <v>0</v>
      </c>
      <c r="M220" s="112">
        <f t="shared" si="60"/>
        <v>0.01</v>
      </c>
      <c r="N220" s="112">
        <f t="shared" si="61"/>
        <v>0.01</v>
      </c>
      <c r="O220" t="s">
        <v>451</v>
      </c>
      <c r="P220">
        <v>0</v>
      </c>
      <c r="Q220" s="102">
        <f t="shared" si="67"/>
        <v>0.01</v>
      </c>
      <c r="R220" s="102"/>
    </row>
    <row r="221" spans="1:18" x14ac:dyDescent="0.35">
      <c r="A221" s="106">
        <f t="shared" si="57"/>
        <v>6</v>
      </c>
      <c r="B221" s="107" t="str">
        <f>VLOOKUP(A221,[1]Hoja3!$C$3:$D$14,2,FALSE)</f>
        <v>JUNIO</v>
      </c>
      <c r="C221" s="108">
        <v>45446.60738425926</v>
      </c>
      <c r="D221" s="108" t="s">
        <v>656</v>
      </c>
      <c r="E221" s="109" t="s">
        <v>650</v>
      </c>
      <c r="F221" s="109" t="s">
        <v>663</v>
      </c>
      <c r="G221" s="110" t="str">
        <f t="shared" si="64"/>
        <v>JUNIO</v>
      </c>
      <c r="H221" s="252">
        <v>8677.1</v>
      </c>
      <c r="I221" s="102" t="str">
        <f t="shared" si="65"/>
        <v>JUNIO</v>
      </c>
      <c r="J221"/>
      <c r="K221" t="str">
        <f t="shared" si="58"/>
        <v>JUNIO</v>
      </c>
      <c r="L221" s="111">
        <f t="shared" si="59"/>
        <v>0</v>
      </c>
      <c r="M221" s="112">
        <f t="shared" si="60"/>
        <v>8677.1</v>
      </c>
      <c r="N221" s="112">
        <f t="shared" si="61"/>
        <v>8677.1</v>
      </c>
      <c r="O221" t="s">
        <v>451</v>
      </c>
      <c r="P221">
        <v>8677.1</v>
      </c>
      <c r="Q221" s="102">
        <f t="shared" si="67"/>
        <v>0</v>
      </c>
      <c r="R221" s="102"/>
    </row>
    <row r="222" spans="1:18" x14ac:dyDescent="0.35">
      <c r="A222" s="106">
        <f t="shared" si="57"/>
        <v>6</v>
      </c>
      <c r="B222" s="107" t="str">
        <f>VLOOKUP(A222,[1]Hoja3!$C$3:$D$14,2,FALSE)</f>
        <v>JUNIO</v>
      </c>
      <c r="C222" s="108">
        <v>45447.433310185188</v>
      </c>
      <c r="D222" s="108" t="s">
        <v>393</v>
      </c>
      <c r="E222" s="109" t="s">
        <v>409</v>
      </c>
      <c r="F222" s="109" t="s">
        <v>664</v>
      </c>
      <c r="G222" s="110" t="str">
        <f t="shared" si="64"/>
        <v>JUNIO</v>
      </c>
      <c r="H222" s="252">
        <v>0</v>
      </c>
      <c r="I222" s="102" t="str">
        <f t="shared" si="65"/>
        <v>JUNIO</v>
      </c>
      <c r="J222"/>
      <c r="K222" t="str">
        <f t="shared" si="58"/>
        <v>JUNIO</v>
      </c>
      <c r="L222" s="111">
        <f t="shared" si="59"/>
        <v>0</v>
      </c>
      <c r="M222" s="112">
        <f t="shared" si="60"/>
        <v>0</v>
      </c>
      <c r="N222" s="112">
        <f t="shared" si="61"/>
        <v>0</v>
      </c>
      <c r="P222">
        <v>0</v>
      </c>
      <c r="Q222" s="102">
        <f t="shared" si="67"/>
        <v>0</v>
      </c>
      <c r="R222" s="102"/>
    </row>
    <row r="223" spans="1:18" x14ac:dyDescent="0.35">
      <c r="A223" s="106">
        <f t="shared" si="57"/>
        <v>6</v>
      </c>
      <c r="B223" s="107" t="str">
        <f>VLOOKUP(A223,[1]Hoja3!$C$3:$D$14,2,FALSE)</f>
        <v>JUNIO</v>
      </c>
      <c r="C223" s="108">
        <v>45447.511793981481</v>
      </c>
      <c r="D223" s="108" t="s">
        <v>392</v>
      </c>
      <c r="E223" s="109" t="s">
        <v>408</v>
      </c>
      <c r="F223" s="109" t="s">
        <v>665</v>
      </c>
      <c r="G223" s="110" t="str">
        <f t="shared" si="64"/>
        <v>JUNIO</v>
      </c>
      <c r="H223" s="252">
        <v>3730</v>
      </c>
      <c r="I223" s="102" t="str">
        <f t="shared" si="65"/>
        <v>JUNIO</v>
      </c>
      <c r="J223">
        <v>0</v>
      </c>
      <c r="K223" t="str">
        <f t="shared" si="58"/>
        <v>JUNIO</v>
      </c>
      <c r="L223" s="111">
        <f t="shared" si="59"/>
        <v>0</v>
      </c>
      <c r="M223" s="112">
        <f t="shared" si="60"/>
        <v>3730</v>
      </c>
      <c r="N223" s="112">
        <f t="shared" si="61"/>
        <v>3730</v>
      </c>
      <c r="O223" t="s">
        <v>451</v>
      </c>
      <c r="P223">
        <v>3730</v>
      </c>
      <c r="Q223" s="102">
        <f t="shared" si="67"/>
        <v>0</v>
      </c>
      <c r="R223" s="102"/>
    </row>
    <row r="224" spans="1:18" x14ac:dyDescent="0.35">
      <c r="A224" s="106">
        <f t="shared" si="57"/>
        <v>6</v>
      </c>
      <c r="B224" s="107" t="str">
        <f>VLOOKUP(A224,[1]Hoja3!$C$3:$D$14,2,FALSE)</f>
        <v>JUNIO</v>
      </c>
      <c r="C224" s="108">
        <v>45447.761643518519</v>
      </c>
      <c r="D224" s="108" t="s">
        <v>657</v>
      </c>
      <c r="E224" s="109" t="s">
        <v>651</v>
      </c>
      <c r="F224" s="109" t="s">
        <v>666</v>
      </c>
      <c r="G224" s="110" t="str">
        <f t="shared" si="64"/>
        <v>JUNIO</v>
      </c>
      <c r="H224" s="252">
        <v>1091.3900000000001</v>
      </c>
      <c r="I224" s="102" t="str">
        <f t="shared" si="65"/>
        <v>JUNIO</v>
      </c>
      <c r="J224">
        <v>174.61</v>
      </c>
      <c r="K224" t="str">
        <f t="shared" si="58"/>
        <v>JUNIO</v>
      </c>
      <c r="L224" s="111">
        <f t="shared" si="59"/>
        <v>1091.3125</v>
      </c>
      <c r="M224" s="112">
        <f t="shared" si="60"/>
        <v>7.7500000000100044E-2</v>
      </c>
      <c r="N224" s="112">
        <f t="shared" si="61"/>
        <v>1266</v>
      </c>
      <c r="O224" t="s">
        <v>451</v>
      </c>
      <c r="P224">
        <v>1266</v>
      </c>
      <c r="Q224" s="102">
        <f t="shared" si="67"/>
        <v>0</v>
      </c>
      <c r="R224" s="102"/>
    </row>
    <row r="225" spans="1:18" x14ac:dyDescent="0.35">
      <c r="A225" s="106">
        <f t="shared" ref="A225:A288" si="68">IF(C225&gt;0,MONTH(C225),0)</f>
        <v>6</v>
      </c>
      <c r="B225" s="107" t="str">
        <f>VLOOKUP(A225,[1]Hoja3!$C$3:$D$14,2,FALSE)</f>
        <v>JUNIO</v>
      </c>
      <c r="C225" s="108">
        <v>45449.291678240741</v>
      </c>
      <c r="D225" s="108" t="s">
        <v>395</v>
      </c>
      <c r="E225" s="109" t="s">
        <v>411</v>
      </c>
      <c r="F225" s="109" t="s">
        <v>667</v>
      </c>
      <c r="G225" s="110" t="str">
        <f t="shared" si="64"/>
        <v>JUNIO</v>
      </c>
      <c r="H225" s="252">
        <v>0.15</v>
      </c>
      <c r="I225" s="102" t="str">
        <f t="shared" si="65"/>
        <v>JUNIO</v>
      </c>
      <c r="J225"/>
      <c r="K225" t="str">
        <f t="shared" ref="K225:K288" si="69">+B225</f>
        <v>JUNIO</v>
      </c>
      <c r="L225" s="111">
        <f t="shared" ref="L225:L288" si="70">+J225/0.16</f>
        <v>0</v>
      </c>
      <c r="M225" s="112">
        <f t="shared" ref="M225:M288" si="71">+H225-L225</f>
        <v>0.15</v>
      </c>
      <c r="N225" s="112">
        <f t="shared" ref="N225:N288" si="72">+H225+J225</f>
        <v>0.15</v>
      </c>
      <c r="O225" t="s">
        <v>451</v>
      </c>
      <c r="P225">
        <v>0.18</v>
      </c>
      <c r="Q225" s="102">
        <f t="shared" si="67"/>
        <v>-0.03</v>
      </c>
      <c r="R225" s="102"/>
    </row>
    <row r="226" spans="1:18" x14ac:dyDescent="0.35">
      <c r="A226" s="106">
        <f t="shared" si="68"/>
        <v>6</v>
      </c>
      <c r="B226" s="107" t="str">
        <f>VLOOKUP(A226,[1]Hoja3!$C$3:$D$14,2,FALSE)</f>
        <v>JUNIO</v>
      </c>
      <c r="C226" s="108">
        <v>45449.593518518515</v>
      </c>
      <c r="D226" s="108" t="s">
        <v>389</v>
      </c>
      <c r="E226" s="109" t="s">
        <v>405</v>
      </c>
      <c r="F226" s="109" t="s">
        <v>668</v>
      </c>
      <c r="G226" s="110" t="str">
        <f t="shared" si="64"/>
        <v>JUNIO</v>
      </c>
      <c r="H226" s="252">
        <v>6000</v>
      </c>
      <c r="I226" s="102" t="str">
        <f t="shared" si="65"/>
        <v>JUNIO</v>
      </c>
      <c r="J226"/>
      <c r="K226" t="str">
        <f t="shared" si="69"/>
        <v>JUNIO</v>
      </c>
      <c r="L226" s="111">
        <f t="shared" si="70"/>
        <v>0</v>
      </c>
      <c r="M226" s="112">
        <f t="shared" si="71"/>
        <v>6000</v>
      </c>
      <c r="N226" s="112">
        <f t="shared" si="72"/>
        <v>6000</v>
      </c>
      <c r="O226" t="s">
        <v>451</v>
      </c>
      <c r="P226">
        <v>6000</v>
      </c>
      <c r="Q226" s="102">
        <f t="shared" si="67"/>
        <v>0</v>
      </c>
    </row>
    <row r="227" spans="1:18" x14ac:dyDescent="0.35">
      <c r="A227" s="106">
        <f t="shared" si="68"/>
        <v>6</v>
      </c>
      <c r="B227" s="107" t="str">
        <f>VLOOKUP(A227,[1]Hoja3!$C$3:$D$14,2,FALSE)</f>
        <v>JUNIO</v>
      </c>
      <c r="C227" s="108">
        <v>45449.699305555558</v>
      </c>
      <c r="D227" s="108" t="s">
        <v>393</v>
      </c>
      <c r="E227" s="109" t="s">
        <v>409</v>
      </c>
      <c r="F227" s="109" t="s">
        <v>669</v>
      </c>
      <c r="G227" s="110" t="str">
        <f t="shared" si="64"/>
        <v>JUNIO</v>
      </c>
      <c r="H227" s="252"/>
      <c r="I227" s="102" t="str">
        <f t="shared" si="65"/>
        <v>JUNIO</v>
      </c>
      <c r="J227"/>
      <c r="K227" t="str">
        <f t="shared" si="69"/>
        <v>JUNIO</v>
      </c>
      <c r="L227" s="111">
        <f t="shared" si="70"/>
        <v>0</v>
      </c>
      <c r="M227" s="112">
        <f t="shared" si="71"/>
        <v>0</v>
      </c>
      <c r="N227" s="112">
        <f t="shared" si="72"/>
        <v>0</v>
      </c>
      <c r="O227" t="s">
        <v>551</v>
      </c>
      <c r="P227">
        <v>687.99</v>
      </c>
      <c r="Q227" s="102"/>
      <c r="R227" s="102"/>
    </row>
    <row r="228" spans="1:18" x14ac:dyDescent="0.35">
      <c r="A228" s="106">
        <f t="shared" si="68"/>
        <v>6</v>
      </c>
      <c r="B228" s="107" t="str">
        <f>VLOOKUP(A228,[1]Hoja3!$C$3:$D$14,2,FALSE)</f>
        <v>JUNIO</v>
      </c>
      <c r="C228" s="108">
        <v>45450.504236111112</v>
      </c>
      <c r="D228" s="108" t="s">
        <v>385</v>
      </c>
      <c r="E228" s="109" t="s">
        <v>401</v>
      </c>
      <c r="F228" s="109" t="s">
        <v>670</v>
      </c>
      <c r="G228" s="110" t="str">
        <f t="shared" si="64"/>
        <v>JUNIO</v>
      </c>
      <c r="H228" s="252">
        <v>1026.2</v>
      </c>
      <c r="I228" s="102" t="str">
        <f t="shared" si="65"/>
        <v>JUNIO</v>
      </c>
      <c r="J228">
        <v>159.77000000000001</v>
      </c>
      <c r="K228" t="str">
        <f t="shared" si="69"/>
        <v>JUNIO</v>
      </c>
      <c r="L228" s="111">
        <f t="shared" si="70"/>
        <v>998.5625</v>
      </c>
      <c r="M228" s="112">
        <f t="shared" si="71"/>
        <v>27.637500000000045</v>
      </c>
      <c r="N228" s="112">
        <f t="shared" si="72"/>
        <v>1185.97</v>
      </c>
      <c r="O228" t="s">
        <v>451</v>
      </c>
      <c r="P228">
        <v>1185.97</v>
      </c>
      <c r="Q228" s="102">
        <f t="shared" ref="Q228:Q243" si="73">+N228-P228</f>
        <v>0</v>
      </c>
      <c r="R228" s="102"/>
    </row>
    <row r="229" spans="1:18" x14ac:dyDescent="0.35">
      <c r="A229" s="106">
        <f t="shared" si="68"/>
        <v>6</v>
      </c>
      <c r="B229" s="107" t="str">
        <f>VLOOKUP(A229,[1]Hoja3!$C$3:$D$14,2,FALSE)</f>
        <v>JUNIO</v>
      </c>
      <c r="C229" s="108">
        <v>45450.702326388891</v>
      </c>
      <c r="D229" s="108" t="s">
        <v>606</v>
      </c>
      <c r="E229" s="109" t="s">
        <v>602</v>
      </c>
      <c r="F229" s="109" t="s">
        <v>671</v>
      </c>
      <c r="G229" s="110" t="str">
        <f t="shared" si="64"/>
        <v>JUNIO</v>
      </c>
      <c r="H229" s="252">
        <v>27300</v>
      </c>
      <c r="I229" s="102" t="str">
        <f t="shared" si="65"/>
        <v>JUNIO</v>
      </c>
      <c r="J229"/>
      <c r="K229" t="str">
        <f t="shared" si="69"/>
        <v>JUNIO</v>
      </c>
      <c r="L229" s="111">
        <f t="shared" si="70"/>
        <v>0</v>
      </c>
      <c r="M229" s="112">
        <f t="shared" si="71"/>
        <v>27300</v>
      </c>
      <c r="N229" s="112">
        <f t="shared" si="72"/>
        <v>27300</v>
      </c>
      <c r="O229" t="s">
        <v>451</v>
      </c>
      <c r="P229">
        <v>27300</v>
      </c>
      <c r="Q229" s="102">
        <f t="shared" si="73"/>
        <v>0</v>
      </c>
      <c r="R229" s="102"/>
    </row>
    <row r="230" spans="1:18" x14ac:dyDescent="0.35">
      <c r="A230" s="106">
        <f t="shared" si="68"/>
        <v>6</v>
      </c>
      <c r="B230" s="107" t="str">
        <f>VLOOKUP(A230,[1]Hoja3!$C$3:$D$14,2,FALSE)</f>
        <v>JUNIO</v>
      </c>
      <c r="C230" s="108">
        <v>45451.394583333335</v>
      </c>
      <c r="D230" s="108" t="s">
        <v>386</v>
      </c>
      <c r="E230" s="109" t="s">
        <v>402</v>
      </c>
      <c r="F230" s="109" t="s">
        <v>418</v>
      </c>
      <c r="G230" s="110" t="str">
        <f t="shared" si="64"/>
        <v>JUNIO</v>
      </c>
      <c r="H230" s="252">
        <v>0.01</v>
      </c>
      <c r="I230" s="102" t="str">
        <f t="shared" si="65"/>
        <v>JUNIO</v>
      </c>
      <c r="J230"/>
      <c r="K230" t="str">
        <f t="shared" si="69"/>
        <v>JUNIO</v>
      </c>
      <c r="L230" s="111">
        <f t="shared" si="70"/>
        <v>0</v>
      </c>
      <c r="M230" s="112">
        <f t="shared" si="71"/>
        <v>0.01</v>
      </c>
      <c r="N230" s="112">
        <f t="shared" si="72"/>
        <v>0.01</v>
      </c>
      <c r="O230" t="s">
        <v>451</v>
      </c>
      <c r="P230">
        <v>0</v>
      </c>
      <c r="Q230" s="102">
        <f t="shared" si="73"/>
        <v>0.01</v>
      </c>
      <c r="R230" s="102"/>
    </row>
    <row r="231" spans="1:18" x14ac:dyDescent="0.35">
      <c r="A231" s="106">
        <f t="shared" si="68"/>
        <v>6</v>
      </c>
      <c r="B231" s="107" t="str">
        <f>VLOOKUP(A231,[1]Hoja3!$C$3:$D$14,2,FALSE)</f>
        <v>JUNIO</v>
      </c>
      <c r="C231" s="108">
        <v>45452.833344907405</v>
      </c>
      <c r="D231" s="108" t="s">
        <v>395</v>
      </c>
      <c r="E231" s="109" t="s">
        <v>411</v>
      </c>
      <c r="F231" s="109" t="s">
        <v>672</v>
      </c>
      <c r="G231" s="110" t="str">
        <f t="shared" si="64"/>
        <v>JUNIO</v>
      </c>
      <c r="H231" s="252">
        <v>0</v>
      </c>
      <c r="I231" s="102" t="str">
        <f t="shared" si="65"/>
        <v>JUNIO</v>
      </c>
      <c r="J231"/>
      <c r="K231" t="str">
        <f t="shared" si="69"/>
        <v>JUNIO</v>
      </c>
      <c r="L231" s="111">
        <f t="shared" si="70"/>
        <v>0</v>
      </c>
      <c r="M231" s="112">
        <f t="shared" si="71"/>
        <v>0</v>
      </c>
      <c r="N231" s="112">
        <f t="shared" si="72"/>
        <v>0</v>
      </c>
      <c r="P231">
        <v>0</v>
      </c>
      <c r="Q231" s="102">
        <f t="shared" si="73"/>
        <v>0</v>
      </c>
      <c r="R231" s="102"/>
    </row>
    <row r="232" spans="1:18" x14ac:dyDescent="0.35">
      <c r="A232" s="106">
        <f t="shared" si="68"/>
        <v>6</v>
      </c>
      <c r="B232" s="107" t="str">
        <f>VLOOKUP(A232,[1]Hoja3!$C$3:$D$14,2,FALSE)</f>
        <v>JUNIO</v>
      </c>
      <c r="C232" s="108">
        <v>45453.512372685182</v>
      </c>
      <c r="D232" s="108" t="s">
        <v>392</v>
      </c>
      <c r="E232" s="109" t="s">
        <v>408</v>
      </c>
      <c r="F232" s="109" t="s">
        <v>673</v>
      </c>
      <c r="G232" s="110" t="str">
        <f t="shared" si="64"/>
        <v>JUNIO</v>
      </c>
      <c r="H232" s="252">
        <v>1320</v>
      </c>
      <c r="I232" s="102" t="str">
        <f t="shared" si="65"/>
        <v>JUNIO</v>
      </c>
      <c r="J232">
        <v>0</v>
      </c>
      <c r="K232" t="str">
        <f t="shared" si="69"/>
        <v>JUNIO</v>
      </c>
      <c r="L232" s="111">
        <f t="shared" si="70"/>
        <v>0</v>
      </c>
      <c r="M232" s="112">
        <f t="shared" si="71"/>
        <v>1320</v>
      </c>
      <c r="N232" s="112">
        <f t="shared" si="72"/>
        <v>1320</v>
      </c>
      <c r="O232" t="s">
        <v>451</v>
      </c>
      <c r="P232">
        <v>1320</v>
      </c>
      <c r="Q232" s="102">
        <f t="shared" si="73"/>
        <v>0</v>
      </c>
      <c r="R232" s="102"/>
    </row>
    <row r="233" spans="1:18" x14ac:dyDescent="0.35">
      <c r="A233" s="106">
        <f t="shared" si="68"/>
        <v>6</v>
      </c>
      <c r="B233" s="107" t="str">
        <f>VLOOKUP(A233,[1]Hoja3!$C$3:$D$14,2,FALSE)</f>
        <v>JUNIO</v>
      </c>
      <c r="C233" s="108">
        <v>45454.441666666666</v>
      </c>
      <c r="D233" s="108" t="s">
        <v>394</v>
      </c>
      <c r="E233" s="109" t="s">
        <v>410</v>
      </c>
      <c r="F233" s="109" t="s">
        <v>674</v>
      </c>
      <c r="G233" s="110" t="str">
        <f t="shared" si="64"/>
        <v>JUNIO</v>
      </c>
      <c r="H233" s="252">
        <v>45000</v>
      </c>
      <c r="I233" s="102" t="str">
        <f t="shared" si="65"/>
        <v>JUNIO</v>
      </c>
      <c r="J233"/>
      <c r="K233" t="str">
        <f t="shared" si="69"/>
        <v>JUNIO</v>
      </c>
      <c r="L233" s="111">
        <f t="shared" si="70"/>
        <v>0</v>
      </c>
      <c r="M233" s="112">
        <f t="shared" si="71"/>
        <v>45000</v>
      </c>
      <c r="N233" s="112">
        <f t="shared" si="72"/>
        <v>45000</v>
      </c>
      <c r="O233" t="s">
        <v>451</v>
      </c>
      <c r="P233">
        <v>45000</v>
      </c>
      <c r="Q233" s="102">
        <f t="shared" si="73"/>
        <v>0</v>
      </c>
      <c r="R233" s="102"/>
    </row>
    <row r="234" spans="1:18" x14ac:dyDescent="0.35">
      <c r="A234" s="106">
        <f t="shared" si="68"/>
        <v>6</v>
      </c>
      <c r="B234" s="107" t="str">
        <f>VLOOKUP(A234,[1]Hoja3!$C$3:$D$14,2,FALSE)</f>
        <v>JUNIO</v>
      </c>
      <c r="C234" s="108">
        <v>45455.738287037035</v>
      </c>
      <c r="D234" s="108" t="s">
        <v>457</v>
      </c>
      <c r="E234" s="109" t="s">
        <v>460</v>
      </c>
      <c r="F234" s="109" t="s">
        <v>675</v>
      </c>
      <c r="G234" s="110" t="str">
        <f t="shared" si="64"/>
        <v>JUNIO</v>
      </c>
      <c r="H234" s="252">
        <v>2240</v>
      </c>
      <c r="I234" s="102" t="str">
        <f t="shared" si="65"/>
        <v>JUNIO</v>
      </c>
      <c r="J234"/>
      <c r="K234" t="str">
        <f t="shared" si="69"/>
        <v>JUNIO</v>
      </c>
      <c r="L234" s="111">
        <f t="shared" si="70"/>
        <v>0</v>
      </c>
      <c r="M234" s="112">
        <f t="shared" si="71"/>
        <v>2240</v>
      </c>
      <c r="N234" s="112">
        <f t="shared" si="72"/>
        <v>2240</v>
      </c>
      <c r="O234" t="s">
        <v>451</v>
      </c>
      <c r="P234">
        <v>2240</v>
      </c>
      <c r="Q234" s="102">
        <f t="shared" si="73"/>
        <v>0</v>
      </c>
      <c r="R234" s="102"/>
    </row>
    <row r="235" spans="1:18" x14ac:dyDescent="0.35">
      <c r="A235" s="106">
        <f t="shared" si="68"/>
        <v>6</v>
      </c>
      <c r="B235" s="107" t="str">
        <f>VLOOKUP(A235,[1]Hoja3!$C$3:$D$14,2,FALSE)</f>
        <v>JUNIO</v>
      </c>
      <c r="C235" s="108">
        <v>45455.745057870372</v>
      </c>
      <c r="D235" s="108" t="s">
        <v>388</v>
      </c>
      <c r="E235" s="109" t="s">
        <v>404</v>
      </c>
      <c r="F235" s="109" t="s">
        <v>676</v>
      </c>
      <c r="G235" s="110" t="str">
        <f t="shared" si="64"/>
        <v>JUNIO</v>
      </c>
      <c r="H235" s="252">
        <v>24974</v>
      </c>
      <c r="I235" s="102" t="str">
        <f t="shared" si="65"/>
        <v>JUNIO</v>
      </c>
      <c r="J235">
        <v>0</v>
      </c>
      <c r="K235" t="str">
        <f t="shared" si="69"/>
        <v>JUNIO</v>
      </c>
      <c r="L235" s="111">
        <f t="shared" si="70"/>
        <v>0</v>
      </c>
      <c r="M235" s="112">
        <f t="shared" si="71"/>
        <v>24974</v>
      </c>
      <c r="N235" s="112">
        <f t="shared" si="72"/>
        <v>24974</v>
      </c>
      <c r="O235" t="s">
        <v>451</v>
      </c>
      <c r="P235">
        <v>24974</v>
      </c>
      <c r="Q235" s="102">
        <f t="shared" si="73"/>
        <v>0</v>
      </c>
      <c r="R235" s="102"/>
    </row>
    <row r="236" spans="1:18" x14ac:dyDescent="0.35">
      <c r="A236" s="106">
        <f t="shared" si="68"/>
        <v>6</v>
      </c>
      <c r="B236" s="107" t="str">
        <f>VLOOKUP(A236,[1]Hoja3!$C$3:$D$14,2,FALSE)</f>
        <v>JUNIO</v>
      </c>
      <c r="C236" s="108">
        <v>45457.622731481482</v>
      </c>
      <c r="D236" s="108" t="s">
        <v>658</v>
      </c>
      <c r="E236" s="109" t="s">
        <v>652</v>
      </c>
      <c r="F236" s="109" t="s">
        <v>677</v>
      </c>
      <c r="G236" s="110" t="str">
        <f t="shared" si="64"/>
        <v>JUNIO</v>
      </c>
      <c r="H236" s="252">
        <v>646.54999999999995</v>
      </c>
      <c r="I236" s="102" t="str">
        <f t="shared" si="65"/>
        <v>JUNIO</v>
      </c>
      <c r="J236">
        <v>103.45</v>
      </c>
      <c r="K236" t="str">
        <f t="shared" si="69"/>
        <v>JUNIO</v>
      </c>
      <c r="L236" s="111">
        <f t="shared" si="70"/>
        <v>646.5625</v>
      </c>
      <c r="M236" s="112">
        <f t="shared" si="71"/>
        <v>-1.2500000000045475E-2</v>
      </c>
      <c r="N236" s="112">
        <f t="shared" si="72"/>
        <v>750</v>
      </c>
      <c r="O236" t="s">
        <v>451</v>
      </c>
      <c r="P236">
        <v>750</v>
      </c>
      <c r="Q236" s="102">
        <f t="shared" si="73"/>
        <v>0</v>
      </c>
      <c r="R236" s="102"/>
    </row>
    <row r="237" spans="1:18" x14ac:dyDescent="0.35">
      <c r="A237" s="106">
        <f t="shared" si="68"/>
        <v>6</v>
      </c>
      <c r="B237" s="107" t="str">
        <f>VLOOKUP(A237,[1]Hoja3!$C$3:$D$14,2,FALSE)</f>
        <v>JUNIO</v>
      </c>
      <c r="C237" s="108">
        <v>45459.430798611109</v>
      </c>
      <c r="D237" s="108" t="s">
        <v>393</v>
      </c>
      <c r="E237" s="109" t="s">
        <v>409</v>
      </c>
      <c r="F237" s="109" t="s">
        <v>678</v>
      </c>
      <c r="G237" s="110" t="str">
        <f t="shared" si="64"/>
        <v>JUNIO</v>
      </c>
      <c r="H237" s="252">
        <v>0</v>
      </c>
      <c r="I237" s="102" t="str">
        <f t="shared" si="65"/>
        <v>JUNIO</v>
      </c>
      <c r="J237"/>
      <c r="K237" t="str">
        <f t="shared" si="69"/>
        <v>JUNIO</v>
      </c>
      <c r="L237" s="111">
        <f t="shared" si="70"/>
        <v>0</v>
      </c>
      <c r="M237" s="112">
        <f t="shared" si="71"/>
        <v>0</v>
      </c>
      <c r="N237" s="112">
        <f t="shared" si="72"/>
        <v>0</v>
      </c>
      <c r="P237">
        <v>0</v>
      </c>
      <c r="Q237" s="102">
        <f t="shared" si="73"/>
        <v>0</v>
      </c>
      <c r="R237" s="102"/>
    </row>
    <row r="238" spans="1:18" x14ac:dyDescent="0.35">
      <c r="A238" s="106">
        <f t="shared" si="68"/>
        <v>6</v>
      </c>
      <c r="B238" s="107" t="str">
        <f>VLOOKUP(A238,[1]Hoja3!$C$3:$D$14,2,FALSE)</f>
        <v>JUNIO</v>
      </c>
      <c r="C238" s="108">
        <v>45459.436759259261</v>
      </c>
      <c r="D238" s="108" t="s">
        <v>387</v>
      </c>
      <c r="E238" s="109" t="s">
        <v>403</v>
      </c>
      <c r="F238" s="109" t="s">
        <v>679</v>
      </c>
      <c r="G238" s="110" t="str">
        <f t="shared" si="64"/>
        <v>JUNIO</v>
      </c>
      <c r="H238" s="252">
        <v>6968.76</v>
      </c>
      <c r="I238" s="102" t="str">
        <f t="shared" si="65"/>
        <v>JUNIO</v>
      </c>
      <c r="J238">
        <v>0</v>
      </c>
      <c r="K238" t="str">
        <f t="shared" si="69"/>
        <v>JUNIO</v>
      </c>
      <c r="L238" s="111">
        <f t="shared" si="70"/>
        <v>0</v>
      </c>
      <c r="M238" s="112">
        <f t="shared" si="71"/>
        <v>6968.76</v>
      </c>
      <c r="N238" s="112">
        <f t="shared" si="72"/>
        <v>6968.76</v>
      </c>
      <c r="O238" t="s">
        <v>451</v>
      </c>
      <c r="P238">
        <v>6968.76</v>
      </c>
      <c r="Q238" s="102">
        <f t="shared" si="73"/>
        <v>0</v>
      </c>
      <c r="R238" s="102"/>
    </row>
    <row r="239" spans="1:18" x14ac:dyDescent="0.35">
      <c r="A239" s="106">
        <f t="shared" si="68"/>
        <v>6</v>
      </c>
      <c r="B239" s="107" t="str">
        <f>VLOOKUP(A239,[1]Hoja3!$C$3:$D$14,2,FALSE)</f>
        <v>JUNIO</v>
      </c>
      <c r="C239" s="108">
        <v>45460.587754629632</v>
      </c>
      <c r="D239" s="108" t="s">
        <v>392</v>
      </c>
      <c r="E239" s="109" t="s">
        <v>408</v>
      </c>
      <c r="F239" s="109" t="s">
        <v>680</v>
      </c>
      <c r="G239" s="110" t="str">
        <f t="shared" si="64"/>
        <v>JUNIO</v>
      </c>
      <c r="H239" s="252">
        <v>2820</v>
      </c>
      <c r="I239" s="102" t="str">
        <f t="shared" si="65"/>
        <v>JUNIO</v>
      </c>
      <c r="J239">
        <v>0</v>
      </c>
      <c r="K239" t="str">
        <f t="shared" si="69"/>
        <v>JUNIO</v>
      </c>
      <c r="L239" s="111">
        <f t="shared" si="70"/>
        <v>0</v>
      </c>
      <c r="M239" s="112">
        <f t="shared" si="71"/>
        <v>2820</v>
      </c>
      <c r="N239" s="112">
        <f t="shared" si="72"/>
        <v>2820</v>
      </c>
      <c r="O239" t="s">
        <v>451</v>
      </c>
      <c r="P239">
        <v>2820</v>
      </c>
      <c r="Q239" s="102">
        <f t="shared" si="73"/>
        <v>0</v>
      </c>
      <c r="R239" s="102">
        <f t="shared" ref="R239:R263" si="74">+Q239-J239</f>
        <v>0</v>
      </c>
    </row>
    <row r="240" spans="1:18" x14ac:dyDescent="0.35">
      <c r="A240" s="106">
        <f t="shared" si="68"/>
        <v>6</v>
      </c>
      <c r="B240" s="107" t="str">
        <f>VLOOKUP(A240,[1]Hoja3!$C$3:$D$14,2,FALSE)</f>
        <v>JUNIO</v>
      </c>
      <c r="C240" s="108">
        <v>45461.419814814813</v>
      </c>
      <c r="D240" s="108" t="s">
        <v>604</v>
      </c>
      <c r="E240" s="109" t="s">
        <v>600</v>
      </c>
      <c r="F240" s="109" t="s">
        <v>681</v>
      </c>
      <c r="G240" s="110" t="str">
        <f t="shared" si="64"/>
        <v>JUNIO</v>
      </c>
      <c r="H240" s="252">
        <v>639.66</v>
      </c>
      <c r="I240" s="102" t="str">
        <f t="shared" si="65"/>
        <v>JUNIO</v>
      </c>
      <c r="J240">
        <v>102.34</v>
      </c>
      <c r="K240" t="str">
        <f t="shared" si="69"/>
        <v>JUNIO</v>
      </c>
      <c r="L240" s="111">
        <f t="shared" si="70"/>
        <v>639.625</v>
      </c>
      <c r="M240" s="112">
        <f t="shared" si="71"/>
        <v>3.4999999999968168E-2</v>
      </c>
      <c r="N240" s="112">
        <f t="shared" si="72"/>
        <v>742</v>
      </c>
      <c r="O240" t="s">
        <v>451</v>
      </c>
      <c r="P240">
        <v>742</v>
      </c>
      <c r="Q240" s="102">
        <f t="shared" si="73"/>
        <v>0</v>
      </c>
      <c r="R240" s="102">
        <f t="shared" si="74"/>
        <v>-102.34</v>
      </c>
    </row>
    <row r="241" spans="1:18" x14ac:dyDescent="0.35">
      <c r="A241" s="106">
        <f t="shared" si="68"/>
        <v>6</v>
      </c>
      <c r="B241" s="107" t="str">
        <f>VLOOKUP(A241,[1]Hoja3!$C$3:$D$14,2,FALSE)</f>
        <v>JUNIO</v>
      </c>
      <c r="C241" s="108">
        <v>45461.486747685187</v>
      </c>
      <c r="D241" s="108" t="s">
        <v>659</v>
      </c>
      <c r="E241" s="109" t="s">
        <v>653</v>
      </c>
      <c r="F241" s="109" t="s">
        <v>682</v>
      </c>
      <c r="G241" s="110" t="str">
        <f t="shared" si="64"/>
        <v>JUNIO</v>
      </c>
      <c r="H241" s="252">
        <v>2215.21</v>
      </c>
      <c r="I241" s="102" t="str">
        <f t="shared" si="65"/>
        <v>JUNIO</v>
      </c>
      <c r="J241"/>
      <c r="K241" t="str">
        <f t="shared" si="69"/>
        <v>JUNIO</v>
      </c>
      <c r="L241" s="111">
        <f t="shared" si="70"/>
        <v>0</v>
      </c>
      <c r="M241" s="112">
        <f t="shared" si="71"/>
        <v>2215.21</v>
      </c>
      <c r="N241" s="112">
        <f t="shared" si="72"/>
        <v>2215.21</v>
      </c>
      <c r="O241" t="s">
        <v>451</v>
      </c>
      <c r="P241">
        <v>2504.94</v>
      </c>
      <c r="Q241" s="102">
        <f t="shared" si="73"/>
        <v>-289.73</v>
      </c>
      <c r="R241" s="102">
        <f t="shared" si="74"/>
        <v>-289.73</v>
      </c>
    </row>
    <row r="242" spans="1:18" x14ac:dyDescent="0.35">
      <c r="A242" s="106">
        <f t="shared" si="68"/>
        <v>6</v>
      </c>
      <c r="B242" s="107" t="str">
        <f>VLOOKUP(A242,[1]Hoja3!$C$3:$D$14,2,FALSE)</f>
        <v>JUNIO</v>
      </c>
      <c r="C242" s="108">
        <v>45461.503854166665</v>
      </c>
      <c r="D242" s="108" t="s">
        <v>385</v>
      </c>
      <c r="E242" s="109" t="s">
        <v>401</v>
      </c>
      <c r="F242" s="109" t="s">
        <v>683</v>
      </c>
      <c r="G242" s="110" t="str">
        <f t="shared" si="64"/>
        <v>JUNIO</v>
      </c>
      <c r="H242" s="252">
        <v>980.55</v>
      </c>
      <c r="I242" s="102" t="str">
        <f t="shared" si="65"/>
        <v>JUNIO</v>
      </c>
      <c r="J242"/>
      <c r="K242" t="str">
        <f t="shared" si="69"/>
        <v>JUNIO</v>
      </c>
      <c r="L242" s="111">
        <f t="shared" si="70"/>
        <v>0</v>
      </c>
      <c r="M242" s="112">
        <f t="shared" si="71"/>
        <v>980.55</v>
      </c>
      <c r="N242" s="112">
        <f t="shared" si="72"/>
        <v>980.55</v>
      </c>
      <c r="O242" t="s">
        <v>451</v>
      </c>
      <c r="P242">
        <v>1133.2</v>
      </c>
      <c r="Q242" s="102">
        <f t="shared" si="73"/>
        <v>-152.65000000000009</v>
      </c>
      <c r="R242" s="102">
        <f t="shared" si="74"/>
        <v>-152.65000000000009</v>
      </c>
    </row>
    <row r="243" spans="1:18" x14ac:dyDescent="0.35">
      <c r="A243" s="106">
        <f t="shared" si="68"/>
        <v>6</v>
      </c>
      <c r="B243" s="107" t="str">
        <f>VLOOKUP(A243,[1]Hoja3!$C$3:$D$14,2,FALSE)</f>
        <v>JUNIO</v>
      </c>
      <c r="C243" s="108">
        <v>45461.533541666664</v>
      </c>
      <c r="D243" s="108" t="s">
        <v>390</v>
      </c>
      <c r="E243" s="109" t="s">
        <v>406</v>
      </c>
      <c r="F243" s="109" t="s">
        <v>684</v>
      </c>
      <c r="G243" s="110" t="str">
        <f t="shared" si="64"/>
        <v>JUNIO</v>
      </c>
      <c r="H243" s="252">
        <v>2327.61</v>
      </c>
      <c r="I243" s="102" t="str">
        <f t="shared" si="65"/>
        <v>JUNIO</v>
      </c>
      <c r="J243"/>
      <c r="K243" t="str">
        <f t="shared" si="69"/>
        <v>JUNIO</v>
      </c>
      <c r="L243" s="111">
        <f t="shared" si="70"/>
        <v>0</v>
      </c>
      <c r="M243" s="112">
        <f t="shared" si="71"/>
        <v>2327.61</v>
      </c>
      <c r="N243" s="112">
        <f t="shared" si="72"/>
        <v>2327.61</v>
      </c>
      <c r="O243" t="s">
        <v>451</v>
      </c>
      <c r="P243">
        <v>2700.03</v>
      </c>
      <c r="Q243" s="102">
        <f t="shared" si="73"/>
        <v>-372.42000000000007</v>
      </c>
      <c r="R243" s="102">
        <f t="shared" si="74"/>
        <v>-372.42000000000007</v>
      </c>
    </row>
    <row r="244" spans="1:18" x14ac:dyDescent="0.35">
      <c r="A244" s="106">
        <f t="shared" si="68"/>
        <v>6</v>
      </c>
      <c r="B244" s="107" t="str">
        <f>VLOOKUP(A244,[1]Hoja3!$C$3:$D$14,2,FALSE)</f>
        <v>JUNIO</v>
      </c>
      <c r="C244" s="108">
        <v>45462.622557870367</v>
      </c>
      <c r="D244" s="108" t="s">
        <v>603</v>
      </c>
      <c r="E244" s="109" t="s">
        <v>599</v>
      </c>
      <c r="F244" s="109" t="s">
        <v>685</v>
      </c>
      <c r="G244" s="110" t="str">
        <f t="shared" si="64"/>
        <v>JUNIO</v>
      </c>
      <c r="H244" s="252"/>
      <c r="I244" s="102" t="str">
        <f t="shared" si="65"/>
        <v>JUNIO</v>
      </c>
      <c r="J244"/>
      <c r="K244" t="str">
        <f t="shared" si="69"/>
        <v>JUNIO</v>
      </c>
      <c r="L244" s="111">
        <f t="shared" si="70"/>
        <v>0</v>
      </c>
      <c r="M244" s="112">
        <f t="shared" si="71"/>
        <v>0</v>
      </c>
      <c r="N244" s="112">
        <f t="shared" si="72"/>
        <v>0</v>
      </c>
      <c r="O244" t="s">
        <v>551</v>
      </c>
      <c r="P244">
        <v>23107.8</v>
      </c>
      <c r="Q244" s="102"/>
      <c r="R244" s="102">
        <f t="shared" si="74"/>
        <v>0</v>
      </c>
    </row>
    <row r="245" spans="1:18" x14ac:dyDescent="0.35">
      <c r="A245" s="106">
        <f t="shared" si="68"/>
        <v>6</v>
      </c>
      <c r="B245" s="107" t="str">
        <f>VLOOKUP(A245,[1]Hoja3!$C$3:$D$14,2,FALSE)</f>
        <v>JUNIO</v>
      </c>
      <c r="C245" s="108">
        <v>45463.637280092589</v>
      </c>
      <c r="D245" s="108" t="s">
        <v>660</v>
      </c>
      <c r="E245" s="109" t="s">
        <v>654</v>
      </c>
      <c r="F245" s="109" t="s">
        <v>686</v>
      </c>
      <c r="G245" s="110" t="str">
        <f t="shared" si="64"/>
        <v>JUNIO</v>
      </c>
      <c r="H245" s="252"/>
      <c r="I245" s="102" t="str">
        <f t="shared" si="65"/>
        <v>JUNIO</v>
      </c>
      <c r="J245"/>
      <c r="K245" t="str">
        <f t="shared" si="69"/>
        <v>JUNIO</v>
      </c>
      <c r="L245" s="111">
        <f t="shared" si="70"/>
        <v>0</v>
      </c>
      <c r="M245" s="112">
        <f t="shared" si="71"/>
        <v>0</v>
      </c>
      <c r="N245" s="112">
        <f t="shared" si="72"/>
        <v>0</v>
      </c>
      <c r="O245" t="s">
        <v>551</v>
      </c>
      <c r="P245">
        <v>1753.11</v>
      </c>
      <c r="Q245" s="102"/>
      <c r="R245" s="102">
        <f t="shared" si="74"/>
        <v>0</v>
      </c>
    </row>
    <row r="246" spans="1:18" x14ac:dyDescent="0.35">
      <c r="A246" s="106">
        <f t="shared" si="68"/>
        <v>6</v>
      </c>
      <c r="B246" s="107" t="str">
        <f>VLOOKUP(A246,[1]Hoja3!$C$3:$D$14,2,FALSE)</f>
        <v>JUNIO</v>
      </c>
      <c r="C246" s="108">
        <v>45463.63790509259</v>
      </c>
      <c r="D246" s="108" t="s">
        <v>660</v>
      </c>
      <c r="E246" s="109" t="s">
        <v>654</v>
      </c>
      <c r="F246" s="109" t="s">
        <v>687</v>
      </c>
      <c r="G246" s="110" t="str">
        <f t="shared" si="64"/>
        <v>JUNIO</v>
      </c>
      <c r="H246" s="252"/>
      <c r="I246" s="102" t="str">
        <f t="shared" si="65"/>
        <v>JUNIO</v>
      </c>
      <c r="J246"/>
      <c r="K246" t="str">
        <f t="shared" si="69"/>
        <v>JUNIO</v>
      </c>
      <c r="L246" s="111">
        <f t="shared" si="70"/>
        <v>0</v>
      </c>
      <c r="M246" s="112">
        <f t="shared" si="71"/>
        <v>0</v>
      </c>
      <c r="N246" s="112">
        <f t="shared" si="72"/>
        <v>0</v>
      </c>
      <c r="O246" t="s">
        <v>551</v>
      </c>
      <c r="P246">
        <v>1856</v>
      </c>
      <c r="Q246" s="102"/>
      <c r="R246" s="102">
        <f t="shared" si="74"/>
        <v>0</v>
      </c>
    </row>
    <row r="247" spans="1:18" x14ac:dyDescent="0.35">
      <c r="A247" s="106">
        <f t="shared" si="68"/>
        <v>6</v>
      </c>
      <c r="B247" s="107" t="str">
        <f>VLOOKUP(A247,[1]Hoja3!$C$3:$D$14,2,FALSE)</f>
        <v>JUNIO</v>
      </c>
      <c r="C247" s="108">
        <v>45464.351643518516</v>
      </c>
      <c r="D247" s="108" t="s">
        <v>603</v>
      </c>
      <c r="E247" s="109" t="s">
        <v>599</v>
      </c>
      <c r="F247" s="109" t="s">
        <v>688</v>
      </c>
      <c r="G247" s="110" t="str">
        <f t="shared" si="64"/>
        <v>JUNIO</v>
      </c>
      <c r="H247" s="252">
        <v>0</v>
      </c>
      <c r="I247" s="102" t="str">
        <f t="shared" si="65"/>
        <v>JUNIO</v>
      </c>
      <c r="J247"/>
      <c r="K247" t="str">
        <f t="shared" si="69"/>
        <v>JUNIO</v>
      </c>
      <c r="L247" s="111">
        <f t="shared" si="70"/>
        <v>0</v>
      </c>
      <c r="M247" s="112">
        <f t="shared" si="71"/>
        <v>0</v>
      </c>
      <c r="N247" s="112">
        <f t="shared" si="72"/>
        <v>0</v>
      </c>
      <c r="P247">
        <v>0</v>
      </c>
      <c r="Q247" s="102">
        <f>+N247-P247</f>
        <v>0</v>
      </c>
      <c r="R247" s="102">
        <f t="shared" si="74"/>
        <v>0</v>
      </c>
    </row>
    <row r="248" spans="1:18" x14ac:dyDescent="0.35">
      <c r="A248" s="106">
        <f t="shared" si="68"/>
        <v>6</v>
      </c>
      <c r="B248" s="107" t="str">
        <f>VLOOKUP(A248,[1]Hoja3!$C$3:$D$14,2,FALSE)</f>
        <v>JUNIO</v>
      </c>
      <c r="C248" s="108">
        <v>45464.352129629631</v>
      </c>
      <c r="D248" s="108" t="s">
        <v>603</v>
      </c>
      <c r="E248" s="109" t="s">
        <v>599</v>
      </c>
      <c r="F248" s="109" t="s">
        <v>689</v>
      </c>
      <c r="G248" s="110" t="str">
        <f t="shared" si="64"/>
        <v>JUNIO</v>
      </c>
      <c r="H248" s="252">
        <v>0</v>
      </c>
      <c r="I248" s="102" t="str">
        <f t="shared" si="65"/>
        <v>JUNIO</v>
      </c>
      <c r="J248"/>
      <c r="K248" t="str">
        <f t="shared" si="69"/>
        <v>JUNIO</v>
      </c>
      <c r="L248" s="111">
        <f t="shared" si="70"/>
        <v>0</v>
      </c>
      <c r="M248" s="112">
        <f t="shared" si="71"/>
        <v>0</v>
      </c>
      <c r="N248" s="112">
        <f t="shared" si="72"/>
        <v>0</v>
      </c>
      <c r="P248">
        <v>0</v>
      </c>
      <c r="Q248" s="102">
        <f>+N248-P248</f>
        <v>0</v>
      </c>
      <c r="R248" s="102">
        <f t="shared" si="74"/>
        <v>0</v>
      </c>
    </row>
    <row r="249" spans="1:18" x14ac:dyDescent="0.35">
      <c r="A249" s="106">
        <f t="shared" si="68"/>
        <v>6</v>
      </c>
      <c r="B249" s="107" t="str">
        <f>VLOOKUP(A249,[1]Hoja3!$C$3:$D$14,2,FALSE)</f>
        <v>JUNIO</v>
      </c>
      <c r="C249" s="108">
        <v>45465.345104166663</v>
      </c>
      <c r="D249" s="108" t="s">
        <v>387</v>
      </c>
      <c r="E249" s="109" t="s">
        <v>403</v>
      </c>
      <c r="F249" s="109" t="s">
        <v>690</v>
      </c>
      <c r="G249" s="110" t="str">
        <f t="shared" si="64"/>
        <v>JUNIO</v>
      </c>
      <c r="H249" s="252">
        <v>2534.23</v>
      </c>
      <c r="I249" s="102" t="str">
        <f t="shared" si="65"/>
        <v>JUNIO</v>
      </c>
      <c r="J249"/>
      <c r="K249" t="str">
        <f t="shared" si="69"/>
        <v>JUNIO</v>
      </c>
      <c r="L249" s="111">
        <f t="shared" si="70"/>
        <v>0</v>
      </c>
      <c r="M249" s="112">
        <f t="shared" si="71"/>
        <v>2534.23</v>
      </c>
      <c r="N249" s="112">
        <f t="shared" si="72"/>
        <v>2534.23</v>
      </c>
      <c r="O249" t="s">
        <v>451</v>
      </c>
      <c r="P249">
        <v>2534.23</v>
      </c>
      <c r="Q249" s="102">
        <f>+N249-P249</f>
        <v>0</v>
      </c>
      <c r="R249" s="102">
        <f t="shared" si="74"/>
        <v>0</v>
      </c>
    </row>
    <row r="250" spans="1:18" x14ac:dyDescent="0.35">
      <c r="A250" s="106">
        <f t="shared" si="68"/>
        <v>6</v>
      </c>
      <c r="B250" s="107" t="str">
        <f>VLOOKUP(A250,[1]Hoja3!$C$3:$D$14,2,FALSE)</f>
        <v>JUNIO</v>
      </c>
      <c r="C250" s="108">
        <v>45466.869502314818</v>
      </c>
      <c r="D250" s="108" t="s">
        <v>393</v>
      </c>
      <c r="E250" s="109" t="s">
        <v>409</v>
      </c>
      <c r="F250" s="109" t="s">
        <v>691</v>
      </c>
      <c r="G250" s="110" t="str">
        <f t="shared" si="64"/>
        <v>JUNIO</v>
      </c>
      <c r="H250" s="252"/>
      <c r="I250" s="102" t="str">
        <f t="shared" si="65"/>
        <v>JUNIO</v>
      </c>
      <c r="J250"/>
      <c r="K250" t="str">
        <f t="shared" si="69"/>
        <v>JUNIO</v>
      </c>
      <c r="L250" s="111">
        <f t="shared" si="70"/>
        <v>0</v>
      </c>
      <c r="M250" s="112">
        <f t="shared" si="71"/>
        <v>0</v>
      </c>
      <c r="N250" s="112">
        <f t="shared" si="72"/>
        <v>0</v>
      </c>
      <c r="O250" t="s">
        <v>551</v>
      </c>
      <c r="P250">
        <v>966.01</v>
      </c>
      <c r="Q250" s="102"/>
      <c r="R250" s="102">
        <f t="shared" si="74"/>
        <v>0</v>
      </c>
    </row>
    <row r="251" spans="1:18" x14ac:dyDescent="0.35">
      <c r="A251" s="106">
        <f t="shared" si="68"/>
        <v>6</v>
      </c>
      <c r="B251" s="107" t="str">
        <f>VLOOKUP(A251,[1]Hoja3!$C$3:$D$14,2,FALSE)</f>
        <v>JUNIO</v>
      </c>
      <c r="C251" s="108">
        <v>45466.975706018522</v>
      </c>
      <c r="D251" s="108" t="s">
        <v>385</v>
      </c>
      <c r="E251" s="109" t="s">
        <v>401</v>
      </c>
      <c r="F251" s="109" t="s">
        <v>692</v>
      </c>
      <c r="G251" s="110" t="str">
        <f t="shared" si="64"/>
        <v>JUNIO</v>
      </c>
      <c r="H251" s="252">
        <v>1172.06</v>
      </c>
      <c r="I251" s="102" t="str">
        <f t="shared" si="65"/>
        <v>JUNIO</v>
      </c>
      <c r="J251">
        <v>1140.56</v>
      </c>
      <c r="K251" t="str">
        <f t="shared" si="69"/>
        <v>JUNIO</v>
      </c>
      <c r="L251" s="111">
        <f t="shared" si="70"/>
        <v>7128.4999999999991</v>
      </c>
      <c r="M251" s="112">
        <f t="shared" si="71"/>
        <v>-5956.4399999999987</v>
      </c>
      <c r="N251" s="112">
        <f t="shared" si="72"/>
        <v>2312.62</v>
      </c>
      <c r="O251" t="s">
        <v>451</v>
      </c>
      <c r="P251">
        <v>1354.55</v>
      </c>
      <c r="Q251" s="102">
        <f t="shared" ref="Q251:Q256" si="75">+N251-P251</f>
        <v>958.06999999999994</v>
      </c>
      <c r="R251" s="102">
        <f t="shared" si="74"/>
        <v>-182.49</v>
      </c>
    </row>
    <row r="252" spans="1:18" x14ac:dyDescent="0.35">
      <c r="A252" s="106">
        <f t="shared" si="68"/>
        <v>6</v>
      </c>
      <c r="B252" s="107" t="str">
        <f>VLOOKUP(A252,[1]Hoja3!$C$3:$D$14,2,FALSE)</f>
        <v>JUNIO</v>
      </c>
      <c r="C252" s="108">
        <v>45467.446111111109</v>
      </c>
      <c r="D252" s="108" t="s">
        <v>392</v>
      </c>
      <c r="E252" s="109" t="s">
        <v>408</v>
      </c>
      <c r="F252" s="109" t="s">
        <v>693</v>
      </c>
      <c r="G252" s="110" t="str">
        <f t="shared" si="64"/>
        <v>JUNIO</v>
      </c>
      <c r="H252" s="252">
        <v>2820</v>
      </c>
      <c r="I252" s="102" t="str">
        <f t="shared" si="65"/>
        <v>JUNIO</v>
      </c>
      <c r="J252"/>
      <c r="K252" t="str">
        <f t="shared" si="69"/>
        <v>JUNIO</v>
      </c>
      <c r="L252" s="111">
        <f t="shared" si="70"/>
        <v>0</v>
      </c>
      <c r="M252" s="112">
        <f t="shared" si="71"/>
        <v>2820</v>
      </c>
      <c r="N252" s="112">
        <f t="shared" si="72"/>
        <v>2820</v>
      </c>
      <c r="O252" t="s">
        <v>451</v>
      </c>
      <c r="P252">
        <v>2820</v>
      </c>
      <c r="Q252" s="102">
        <f t="shared" si="75"/>
        <v>0</v>
      </c>
      <c r="R252" s="102">
        <f t="shared" si="74"/>
        <v>0</v>
      </c>
    </row>
    <row r="253" spans="1:18" x14ac:dyDescent="0.35">
      <c r="A253" s="106">
        <f t="shared" si="68"/>
        <v>6</v>
      </c>
      <c r="B253" s="107" t="str">
        <f>VLOOKUP(A253,[1]Hoja3!$C$3:$D$14,2,FALSE)</f>
        <v>JUNIO</v>
      </c>
      <c r="C253" s="108">
        <v>45467.577835648146</v>
      </c>
      <c r="D253" s="108" t="s">
        <v>656</v>
      </c>
      <c r="E253" s="109" t="s">
        <v>650</v>
      </c>
      <c r="F253" s="109" t="s">
        <v>694</v>
      </c>
      <c r="G253" s="110" t="str">
        <f t="shared" si="64"/>
        <v>JUNIO</v>
      </c>
      <c r="H253" s="252">
        <v>9263.6</v>
      </c>
      <c r="I253" s="102" t="str">
        <f t="shared" si="65"/>
        <v>JUNIO</v>
      </c>
      <c r="J253"/>
      <c r="K253" t="str">
        <f t="shared" si="69"/>
        <v>JUNIO</v>
      </c>
      <c r="L253" s="111">
        <f t="shared" si="70"/>
        <v>0</v>
      </c>
      <c r="M253" s="112">
        <f t="shared" si="71"/>
        <v>9263.6</v>
      </c>
      <c r="N253" s="112">
        <f t="shared" si="72"/>
        <v>9263.6</v>
      </c>
      <c r="O253" t="s">
        <v>451</v>
      </c>
      <c r="P253">
        <v>9263.6</v>
      </c>
      <c r="Q253" s="102">
        <f t="shared" si="75"/>
        <v>0</v>
      </c>
      <c r="R253" s="102">
        <f t="shared" si="74"/>
        <v>0</v>
      </c>
    </row>
    <row r="254" spans="1:18" x14ac:dyDescent="0.35">
      <c r="A254" s="106">
        <f t="shared" si="68"/>
        <v>6</v>
      </c>
      <c r="B254" s="107" t="str">
        <f>VLOOKUP(A254,[1]Hoja3!$C$3:$D$14,2,FALSE)</f>
        <v>JUNIO</v>
      </c>
      <c r="C254" s="108">
        <v>45468.446192129632</v>
      </c>
      <c r="D254" s="108" t="s">
        <v>394</v>
      </c>
      <c r="E254" s="109" t="s">
        <v>410</v>
      </c>
      <c r="F254" s="109" t="s">
        <v>695</v>
      </c>
      <c r="G254" s="110" t="str">
        <f t="shared" si="64"/>
        <v>JUNIO</v>
      </c>
      <c r="H254" s="252">
        <v>46200</v>
      </c>
      <c r="I254" s="102" t="str">
        <f t="shared" si="65"/>
        <v>JUNIO</v>
      </c>
      <c r="J254"/>
      <c r="K254" t="str">
        <f t="shared" si="69"/>
        <v>JUNIO</v>
      </c>
      <c r="L254" s="111">
        <f t="shared" si="70"/>
        <v>0</v>
      </c>
      <c r="M254" s="112">
        <f t="shared" si="71"/>
        <v>46200</v>
      </c>
      <c r="N254" s="112">
        <f t="shared" si="72"/>
        <v>46200</v>
      </c>
      <c r="O254" t="s">
        <v>451</v>
      </c>
      <c r="P254">
        <v>46200</v>
      </c>
      <c r="Q254" s="102">
        <f t="shared" si="75"/>
        <v>0</v>
      </c>
      <c r="R254" s="102">
        <f t="shared" si="74"/>
        <v>0</v>
      </c>
    </row>
    <row r="255" spans="1:18" x14ac:dyDescent="0.35">
      <c r="A255" s="106">
        <f t="shared" si="68"/>
        <v>6</v>
      </c>
      <c r="B255" s="107" t="str">
        <f>VLOOKUP(A255,[1]Hoja3!$C$3:$D$14,2,FALSE)</f>
        <v>JUNIO</v>
      </c>
      <c r="C255" s="108">
        <v>45468.472962962966</v>
      </c>
      <c r="D255" s="108" t="s">
        <v>387</v>
      </c>
      <c r="E255" s="109" t="s">
        <v>403</v>
      </c>
      <c r="F255" s="109" t="s">
        <v>696</v>
      </c>
      <c r="G255" s="110" t="str">
        <f t="shared" si="64"/>
        <v>JUNIO</v>
      </c>
      <c r="H255" s="252">
        <v>6113.68</v>
      </c>
      <c r="I255" s="102" t="str">
        <f t="shared" si="65"/>
        <v>JUNIO</v>
      </c>
      <c r="J255"/>
      <c r="K255" t="str">
        <f t="shared" si="69"/>
        <v>JUNIO</v>
      </c>
      <c r="L255" s="111">
        <f t="shared" si="70"/>
        <v>0</v>
      </c>
      <c r="M255" s="112">
        <f t="shared" si="71"/>
        <v>6113.68</v>
      </c>
      <c r="N255" s="112">
        <f t="shared" si="72"/>
        <v>6113.68</v>
      </c>
      <c r="O255" t="s">
        <v>451</v>
      </c>
      <c r="P255">
        <v>6113.68</v>
      </c>
      <c r="Q255" s="102">
        <f t="shared" si="75"/>
        <v>0</v>
      </c>
      <c r="R255" s="102">
        <f t="shared" si="74"/>
        <v>0</v>
      </c>
    </row>
    <row r="256" spans="1:18" x14ac:dyDescent="0.35">
      <c r="A256" s="106">
        <f t="shared" si="68"/>
        <v>6</v>
      </c>
      <c r="B256" s="107" t="str">
        <f>VLOOKUP(A256,[1]Hoja3!$C$3:$D$14,2,FALSE)</f>
        <v>JUNIO</v>
      </c>
      <c r="C256" s="108">
        <v>45470.363541666666</v>
      </c>
      <c r="D256" s="108" t="s">
        <v>388</v>
      </c>
      <c r="E256" s="109" t="s">
        <v>404</v>
      </c>
      <c r="F256" s="109" t="s">
        <v>697</v>
      </c>
      <c r="G256" s="110" t="str">
        <f t="shared" si="64"/>
        <v>JUNIO</v>
      </c>
      <c r="H256" s="252">
        <v>23650</v>
      </c>
      <c r="I256" s="102" t="str">
        <f t="shared" si="65"/>
        <v>JUNIO</v>
      </c>
      <c r="J256">
        <v>23650</v>
      </c>
      <c r="K256" t="str">
        <f t="shared" si="69"/>
        <v>JUNIO</v>
      </c>
      <c r="L256" s="111">
        <f t="shared" si="70"/>
        <v>147812.5</v>
      </c>
      <c r="M256" s="112">
        <f t="shared" si="71"/>
        <v>-124162.5</v>
      </c>
      <c r="N256" s="112">
        <f t="shared" si="72"/>
        <v>47300</v>
      </c>
      <c r="O256" t="s">
        <v>451</v>
      </c>
      <c r="P256">
        <v>23650</v>
      </c>
      <c r="Q256" s="102">
        <f t="shared" si="75"/>
        <v>23650</v>
      </c>
      <c r="R256" s="102">
        <f t="shared" si="74"/>
        <v>0</v>
      </c>
    </row>
    <row r="257" spans="1:18" x14ac:dyDescent="0.35">
      <c r="A257" s="106">
        <f t="shared" si="68"/>
        <v>6</v>
      </c>
      <c r="B257" s="107" t="str">
        <f>VLOOKUP(A257,[1]Hoja3!$C$3:$D$14,2,FALSE)</f>
        <v>JUNIO</v>
      </c>
      <c r="C257" s="108">
        <v>45471.291678240741</v>
      </c>
      <c r="D257" s="108" t="s">
        <v>395</v>
      </c>
      <c r="E257" s="109" t="s">
        <v>411</v>
      </c>
      <c r="F257" s="109" t="s">
        <v>698</v>
      </c>
      <c r="G257" s="110" t="str">
        <f t="shared" si="64"/>
        <v>JUNIO</v>
      </c>
      <c r="H257" s="252"/>
      <c r="I257" s="102" t="str">
        <f t="shared" si="65"/>
        <v>JUNIO</v>
      </c>
      <c r="J257"/>
      <c r="K257" t="str">
        <f t="shared" si="69"/>
        <v>JUNIO</v>
      </c>
      <c r="L257" s="111">
        <f t="shared" si="70"/>
        <v>0</v>
      </c>
      <c r="M257" s="112">
        <f t="shared" si="71"/>
        <v>0</v>
      </c>
      <c r="N257" s="112">
        <f t="shared" si="72"/>
        <v>0</v>
      </c>
      <c r="O257" t="s">
        <v>551</v>
      </c>
      <c r="P257">
        <v>1.06</v>
      </c>
      <c r="Q257" s="102"/>
      <c r="R257" s="102">
        <f t="shared" si="74"/>
        <v>0</v>
      </c>
    </row>
    <row r="258" spans="1:18" x14ac:dyDescent="0.35">
      <c r="A258" s="106">
        <f t="shared" si="68"/>
        <v>6</v>
      </c>
      <c r="B258" s="107" t="str">
        <f>VLOOKUP(A258,[1]Hoja3!$C$3:$D$14,2,FALSE)</f>
        <v>JUNIO</v>
      </c>
      <c r="C258" s="108">
        <v>45471.291678240741</v>
      </c>
      <c r="D258" s="108" t="s">
        <v>396</v>
      </c>
      <c r="E258" s="109" t="s">
        <v>412</v>
      </c>
      <c r="F258" s="109" t="s">
        <v>699</v>
      </c>
      <c r="G258" s="110" t="str">
        <f t="shared" si="64"/>
        <v>JUNIO</v>
      </c>
      <c r="H258" s="252"/>
      <c r="I258" s="102" t="str">
        <f t="shared" si="65"/>
        <v>JUNIO</v>
      </c>
      <c r="J258"/>
      <c r="K258" t="str">
        <f t="shared" si="69"/>
        <v>JUNIO</v>
      </c>
      <c r="L258" s="111">
        <f t="shared" si="70"/>
        <v>0</v>
      </c>
      <c r="M258" s="112">
        <f t="shared" si="71"/>
        <v>0</v>
      </c>
      <c r="N258" s="112">
        <f t="shared" si="72"/>
        <v>0</v>
      </c>
      <c r="O258" t="s">
        <v>551</v>
      </c>
      <c r="P258">
        <v>151.41</v>
      </c>
      <c r="Q258" s="102"/>
      <c r="R258" s="102">
        <f t="shared" si="74"/>
        <v>0</v>
      </c>
    </row>
    <row r="259" spans="1:18" x14ac:dyDescent="0.35">
      <c r="A259" s="106">
        <f t="shared" si="68"/>
        <v>6</v>
      </c>
      <c r="B259" s="107" t="str">
        <f>VLOOKUP(A259,[1]Hoja3!$C$3:$D$14,2,FALSE)</f>
        <v>JUNIO</v>
      </c>
      <c r="C259" s="108">
        <v>45471.291678240741</v>
      </c>
      <c r="D259" s="108" t="s">
        <v>395</v>
      </c>
      <c r="E259" s="109" t="s">
        <v>411</v>
      </c>
      <c r="F259" s="109" t="s">
        <v>700</v>
      </c>
      <c r="G259" s="110" t="str">
        <f t="shared" si="64"/>
        <v>JUNIO</v>
      </c>
      <c r="H259" s="252"/>
      <c r="I259" s="102" t="str">
        <f t="shared" si="65"/>
        <v>JUNIO</v>
      </c>
      <c r="J259"/>
      <c r="K259" t="str">
        <f t="shared" si="69"/>
        <v>JUNIO</v>
      </c>
      <c r="L259" s="111">
        <f t="shared" si="70"/>
        <v>0</v>
      </c>
      <c r="M259" s="112">
        <f t="shared" si="71"/>
        <v>0</v>
      </c>
      <c r="N259" s="112">
        <f t="shared" si="72"/>
        <v>0</v>
      </c>
      <c r="O259" t="s">
        <v>551</v>
      </c>
      <c r="P259">
        <v>396.49</v>
      </c>
      <c r="Q259" s="102"/>
      <c r="R259" s="102">
        <f t="shared" si="74"/>
        <v>0</v>
      </c>
    </row>
    <row r="260" spans="1:18" x14ac:dyDescent="0.35">
      <c r="A260" s="106">
        <f t="shared" si="68"/>
        <v>6</v>
      </c>
      <c r="B260" s="107" t="str">
        <f>VLOOKUP(A260,[1]Hoja3!$C$3:$D$14,2,FALSE)</f>
        <v>JUNIO</v>
      </c>
      <c r="C260" s="108">
        <v>45471.366909722223</v>
      </c>
      <c r="D260" s="108" t="s">
        <v>386</v>
      </c>
      <c r="E260" s="109" t="s">
        <v>402</v>
      </c>
      <c r="F260" s="109" t="s">
        <v>445</v>
      </c>
      <c r="G260" s="110" t="str">
        <f t="shared" si="64"/>
        <v>JUNIO</v>
      </c>
      <c r="H260" s="252">
        <v>0.01</v>
      </c>
      <c r="I260" s="102" t="str">
        <f t="shared" si="65"/>
        <v>JUNIO</v>
      </c>
      <c r="J260"/>
      <c r="K260" t="str">
        <f t="shared" si="69"/>
        <v>JUNIO</v>
      </c>
      <c r="L260" s="111">
        <f t="shared" si="70"/>
        <v>0</v>
      </c>
      <c r="M260" s="112">
        <f t="shared" si="71"/>
        <v>0.01</v>
      </c>
      <c r="N260" s="112">
        <f t="shared" si="72"/>
        <v>0.01</v>
      </c>
      <c r="O260" t="s">
        <v>451</v>
      </c>
      <c r="P260">
        <v>0</v>
      </c>
      <c r="Q260" s="102">
        <f>+N260-P260</f>
        <v>0.01</v>
      </c>
      <c r="R260" s="102">
        <f t="shared" si="74"/>
        <v>0.01</v>
      </c>
    </row>
    <row r="261" spans="1:18" x14ac:dyDescent="0.35">
      <c r="A261" s="106">
        <f t="shared" si="68"/>
        <v>6</v>
      </c>
      <c r="B261" s="107" t="str">
        <f>VLOOKUP(A261,[1]Hoja3!$C$3:$D$14,2,FALSE)</f>
        <v>JUNIO</v>
      </c>
      <c r="C261" s="108">
        <v>45472.958090277774</v>
      </c>
      <c r="D261" s="108" t="s">
        <v>385</v>
      </c>
      <c r="E261" s="109" t="s">
        <v>401</v>
      </c>
      <c r="F261" s="109" t="s">
        <v>701</v>
      </c>
      <c r="G261" s="110" t="str">
        <f t="shared" si="64"/>
        <v>JUNIO</v>
      </c>
      <c r="H261" s="252">
        <v>1157.53</v>
      </c>
      <c r="I261" s="102" t="str">
        <f t="shared" si="65"/>
        <v>JUNIO</v>
      </c>
      <c r="J261"/>
      <c r="K261" t="str">
        <f t="shared" si="69"/>
        <v>JUNIO</v>
      </c>
      <c r="L261" s="111">
        <f t="shared" si="70"/>
        <v>0</v>
      </c>
      <c r="M261" s="112">
        <f t="shared" si="71"/>
        <v>1157.53</v>
      </c>
      <c r="N261" s="112">
        <f t="shared" si="72"/>
        <v>1157.53</v>
      </c>
      <c r="O261" t="s">
        <v>451</v>
      </c>
      <c r="P261">
        <v>1337.78</v>
      </c>
      <c r="Q261" s="102">
        <f>+N261-P261</f>
        <v>-180.25</v>
      </c>
      <c r="R261" s="102">
        <f t="shared" si="74"/>
        <v>-180.25</v>
      </c>
    </row>
    <row r="262" spans="1:18" x14ac:dyDescent="0.35">
      <c r="A262" s="106">
        <f t="shared" si="68"/>
        <v>6</v>
      </c>
      <c r="B262" s="107" t="str">
        <f>VLOOKUP(A262,[1]Hoja3!$C$3:$D$14,2,FALSE)</f>
        <v>JUNIO</v>
      </c>
      <c r="C262" s="108">
        <v>45473.316388888888</v>
      </c>
      <c r="D262" s="108" t="s">
        <v>397</v>
      </c>
      <c r="E262" s="109" t="s">
        <v>413</v>
      </c>
      <c r="F262" s="109" t="s">
        <v>448</v>
      </c>
      <c r="G262" s="110" t="str">
        <f t="shared" si="64"/>
        <v>JUNIO</v>
      </c>
      <c r="H262" s="252">
        <v>2300</v>
      </c>
      <c r="I262" s="102" t="str">
        <f t="shared" si="65"/>
        <v>JUNIO</v>
      </c>
      <c r="J262"/>
      <c r="K262" t="str">
        <f t="shared" si="69"/>
        <v>JUNIO</v>
      </c>
      <c r="L262" s="111">
        <f t="shared" si="70"/>
        <v>0</v>
      </c>
      <c r="M262" s="112">
        <f t="shared" si="71"/>
        <v>2300</v>
      </c>
      <c r="N262" s="112">
        <f t="shared" si="72"/>
        <v>2300</v>
      </c>
      <c r="O262" t="s">
        <v>451</v>
      </c>
      <c r="P262">
        <v>2300</v>
      </c>
      <c r="Q262" s="102">
        <f>+N262-P262</f>
        <v>0</v>
      </c>
      <c r="R262" s="102">
        <f t="shared" si="74"/>
        <v>0</v>
      </c>
    </row>
    <row r="263" spans="1:18" x14ac:dyDescent="0.35">
      <c r="A263" s="106">
        <f t="shared" si="68"/>
        <v>6</v>
      </c>
      <c r="B263" s="107" t="str">
        <f>VLOOKUP(A263,[1]Hoja3!$C$3:$D$14,2,FALSE)</f>
        <v>JUNIO</v>
      </c>
      <c r="C263" s="108">
        <v>45473.638865740744</v>
      </c>
      <c r="D263" s="108" t="s">
        <v>655</v>
      </c>
      <c r="E263" s="109" t="s">
        <v>649</v>
      </c>
      <c r="F263" s="109" t="s">
        <v>662</v>
      </c>
      <c r="G263" s="110" t="str">
        <f t="shared" si="64"/>
        <v>JUNIO</v>
      </c>
      <c r="H263" s="252">
        <v>477.21</v>
      </c>
      <c r="I263" s="102" t="str">
        <f t="shared" si="65"/>
        <v>JUNIO</v>
      </c>
      <c r="J263"/>
      <c r="K263" t="str">
        <f t="shared" si="69"/>
        <v>JUNIO</v>
      </c>
      <c r="L263" s="111">
        <f t="shared" si="70"/>
        <v>0</v>
      </c>
      <c r="M263" s="112">
        <f t="shared" si="71"/>
        <v>477.21</v>
      </c>
      <c r="N263" s="112">
        <f t="shared" si="72"/>
        <v>477.21</v>
      </c>
      <c r="O263" t="s">
        <v>451</v>
      </c>
      <c r="P263">
        <v>553.55999999999995</v>
      </c>
      <c r="Q263" s="102">
        <f>+N263-P263</f>
        <v>-76.349999999999966</v>
      </c>
      <c r="R263" s="102">
        <f t="shared" si="74"/>
        <v>-76.349999999999966</v>
      </c>
    </row>
    <row r="264" spans="1:18" x14ac:dyDescent="0.35">
      <c r="A264" s="106">
        <f t="shared" si="68"/>
        <v>7</v>
      </c>
      <c r="B264" s="107" t="str">
        <f>VLOOKUP(A264,[1]Hoja3!$C$3:$D$14,2,FALSE)</f>
        <v>JULIO</v>
      </c>
      <c r="C264" s="108">
        <v>45474.679583333331</v>
      </c>
      <c r="D264" s="108" t="s">
        <v>392</v>
      </c>
      <c r="E264" s="109" t="s">
        <v>408</v>
      </c>
      <c r="F264" s="109" t="s">
        <v>705</v>
      </c>
      <c r="G264" s="110" t="str">
        <f t="shared" si="64"/>
        <v>JULIO</v>
      </c>
      <c r="H264" s="252">
        <v>3960</v>
      </c>
      <c r="I264" s="102" t="str">
        <f t="shared" si="65"/>
        <v>JULIO</v>
      </c>
      <c r="J264">
        <v>0</v>
      </c>
      <c r="K264" t="str">
        <f t="shared" si="69"/>
        <v>JULIO</v>
      </c>
      <c r="L264" s="111">
        <f t="shared" si="70"/>
        <v>0</v>
      </c>
      <c r="M264" s="112">
        <f t="shared" si="71"/>
        <v>3960</v>
      </c>
      <c r="N264" s="112">
        <f t="shared" si="72"/>
        <v>3960</v>
      </c>
      <c r="O264" t="s">
        <v>451</v>
      </c>
      <c r="P264">
        <v>3960</v>
      </c>
      <c r="Q264" s="102">
        <f t="shared" ref="Q264:Q305" si="76">+N264-P264</f>
        <v>0</v>
      </c>
      <c r="R264" s="102">
        <f t="shared" ref="R264:R305" si="77">+Q264-J264</f>
        <v>0</v>
      </c>
    </row>
    <row r="265" spans="1:18" x14ac:dyDescent="0.35">
      <c r="A265" s="106">
        <f t="shared" si="68"/>
        <v>7</v>
      </c>
      <c r="B265" s="107" t="str">
        <f>VLOOKUP(A265,[1]Hoja3!$C$3:$D$14,2,FALSE)</f>
        <v>JULIO</v>
      </c>
      <c r="C265" s="108">
        <v>45474.890243055554</v>
      </c>
      <c r="D265" s="108" t="s">
        <v>382</v>
      </c>
      <c r="E265" s="109" t="s">
        <v>398</v>
      </c>
      <c r="F265" s="109" t="s">
        <v>414</v>
      </c>
      <c r="G265" s="110" t="str">
        <f t="shared" si="64"/>
        <v>JULIO</v>
      </c>
      <c r="H265" s="252">
        <v>785.82</v>
      </c>
      <c r="I265" s="102" t="str">
        <f t="shared" si="65"/>
        <v>JULIO</v>
      </c>
      <c r="J265">
        <v>125.73</v>
      </c>
      <c r="K265" t="str">
        <f t="shared" si="69"/>
        <v>JULIO</v>
      </c>
      <c r="L265" s="111">
        <f t="shared" si="70"/>
        <v>785.8125</v>
      </c>
      <c r="M265" s="112">
        <f t="shared" si="71"/>
        <v>7.5000000000500222E-3</v>
      </c>
      <c r="N265" s="112">
        <f t="shared" si="72"/>
        <v>911.55000000000007</v>
      </c>
      <c r="O265" t="s">
        <v>451</v>
      </c>
      <c r="P265">
        <v>911.55</v>
      </c>
      <c r="Q265" s="102">
        <f t="shared" si="76"/>
        <v>0</v>
      </c>
      <c r="R265" s="102">
        <f t="shared" si="77"/>
        <v>-125.73</v>
      </c>
    </row>
    <row r="266" spans="1:18" x14ac:dyDescent="0.35">
      <c r="A266" s="106">
        <f t="shared" si="68"/>
        <v>7</v>
      </c>
      <c r="B266" s="107" t="str">
        <f>VLOOKUP(A266,[1]Hoja3!$C$3:$D$14,2,FALSE)</f>
        <v>JULIO</v>
      </c>
      <c r="C266" s="108">
        <v>45475.561886574076</v>
      </c>
      <c r="D266" s="108" t="s">
        <v>512</v>
      </c>
      <c r="E266" s="109" t="s">
        <v>514</v>
      </c>
      <c r="F266" s="109" t="s">
        <v>706</v>
      </c>
      <c r="G266" s="110" t="str">
        <f t="shared" si="64"/>
        <v>JULIO</v>
      </c>
      <c r="H266" s="252">
        <v>2550</v>
      </c>
      <c r="I266" s="102" t="str">
        <f t="shared" si="65"/>
        <v>JULIO</v>
      </c>
      <c r="J266">
        <v>0</v>
      </c>
      <c r="K266" t="str">
        <f t="shared" si="69"/>
        <v>JULIO</v>
      </c>
      <c r="L266" s="111">
        <f t="shared" si="70"/>
        <v>0</v>
      </c>
      <c r="M266" s="112">
        <f t="shared" si="71"/>
        <v>2550</v>
      </c>
      <c r="N266" s="112">
        <f t="shared" si="72"/>
        <v>2550</v>
      </c>
      <c r="O266" t="s">
        <v>451</v>
      </c>
      <c r="P266">
        <v>2550</v>
      </c>
      <c r="Q266" s="102">
        <f t="shared" si="76"/>
        <v>0</v>
      </c>
      <c r="R266" s="102">
        <f t="shared" si="77"/>
        <v>0</v>
      </c>
    </row>
    <row r="267" spans="1:18" x14ac:dyDescent="0.35">
      <c r="A267" s="106">
        <f t="shared" si="68"/>
        <v>7</v>
      </c>
      <c r="B267" s="107" t="str">
        <f>VLOOKUP(A267,[1]Hoja3!$C$3:$D$14,2,FALSE)</f>
        <v>JULIO</v>
      </c>
      <c r="C267" s="108">
        <v>45475.624444444446</v>
      </c>
      <c r="D267" s="108" t="s">
        <v>658</v>
      </c>
      <c r="E267" s="109" t="s">
        <v>652</v>
      </c>
      <c r="F267" s="109" t="s">
        <v>707</v>
      </c>
      <c r="G267" s="110" t="str">
        <f t="shared" si="64"/>
        <v>JULIO</v>
      </c>
      <c r="H267" s="252">
        <v>646.54999999999995</v>
      </c>
      <c r="I267" s="102" t="str">
        <f t="shared" si="65"/>
        <v>JULIO</v>
      </c>
      <c r="J267">
        <v>103.44799999999999</v>
      </c>
      <c r="K267" t="str">
        <f t="shared" si="69"/>
        <v>JULIO</v>
      </c>
      <c r="L267" s="111">
        <f t="shared" si="70"/>
        <v>646.54999999999995</v>
      </c>
      <c r="M267" s="112">
        <f t="shared" si="71"/>
        <v>0</v>
      </c>
      <c r="N267" s="112">
        <f t="shared" si="72"/>
        <v>749.99799999999993</v>
      </c>
      <c r="O267" t="s">
        <v>451</v>
      </c>
      <c r="P267">
        <v>750</v>
      </c>
      <c r="Q267" s="102">
        <f t="shared" si="76"/>
        <v>-2.0000000000663931E-3</v>
      </c>
      <c r="R267" s="102">
        <f t="shared" si="77"/>
        <v>-103.45000000000006</v>
      </c>
    </row>
    <row r="268" spans="1:18" x14ac:dyDescent="0.35">
      <c r="A268" s="106">
        <f t="shared" si="68"/>
        <v>7</v>
      </c>
      <c r="B268" s="107" t="str">
        <f>VLOOKUP(A268,[1]Hoja3!$C$3:$D$14,2,FALSE)</f>
        <v>JULIO</v>
      </c>
      <c r="C268" s="108">
        <v>45475.668495370373</v>
      </c>
      <c r="D268" s="108" t="s">
        <v>394</v>
      </c>
      <c r="E268" s="109" t="s">
        <v>410</v>
      </c>
      <c r="F268" s="109" t="s">
        <v>708</v>
      </c>
      <c r="G268" s="110" t="str">
        <f t="shared" ref="G268:G331" si="78">+B268</f>
        <v>JULIO</v>
      </c>
      <c r="H268" s="252">
        <v>28100</v>
      </c>
      <c r="I268" s="102" t="str">
        <f t="shared" ref="I268:I331" si="79">+B268</f>
        <v>JULIO</v>
      </c>
      <c r="J268">
        <v>0</v>
      </c>
      <c r="K268" t="str">
        <f t="shared" si="69"/>
        <v>JULIO</v>
      </c>
      <c r="L268" s="111">
        <f t="shared" si="70"/>
        <v>0</v>
      </c>
      <c r="M268" s="112">
        <f t="shared" si="71"/>
        <v>28100</v>
      </c>
      <c r="N268" s="112">
        <f t="shared" si="72"/>
        <v>28100</v>
      </c>
      <c r="O268" t="s">
        <v>451</v>
      </c>
      <c r="P268">
        <v>28100</v>
      </c>
      <c r="Q268" s="102">
        <f t="shared" si="76"/>
        <v>0</v>
      </c>
      <c r="R268" s="102">
        <f t="shared" si="77"/>
        <v>0</v>
      </c>
    </row>
    <row r="269" spans="1:18" x14ac:dyDescent="0.35">
      <c r="A269" s="106">
        <f t="shared" si="68"/>
        <v>7</v>
      </c>
      <c r="B269" s="107" t="str">
        <f>VLOOKUP(A269,[1]Hoja3!$C$3:$D$14,2,FALSE)</f>
        <v>JULIO</v>
      </c>
      <c r="C269" s="108">
        <v>45476.415856481479</v>
      </c>
      <c r="D269" s="108" t="s">
        <v>394</v>
      </c>
      <c r="E269" s="109" t="s">
        <v>410</v>
      </c>
      <c r="F269" s="109" t="s">
        <v>709</v>
      </c>
      <c r="G269" s="110" t="str">
        <f t="shared" si="78"/>
        <v>JULIO</v>
      </c>
      <c r="H269" s="252">
        <v>0</v>
      </c>
      <c r="I269" s="102" t="str">
        <f t="shared" si="79"/>
        <v>JULIO</v>
      </c>
      <c r="J269"/>
      <c r="K269" t="str">
        <f t="shared" si="69"/>
        <v>JULIO</v>
      </c>
      <c r="L269" s="111">
        <f t="shared" si="70"/>
        <v>0</v>
      </c>
      <c r="M269" s="112">
        <f t="shared" si="71"/>
        <v>0</v>
      </c>
      <c r="N269" s="112">
        <f t="shared" si="72"/>
        <v>0</v>
      </c>
      <c r="P269">
        <v>0</v>
      </c>
      <c r="Q269" s="102">
        <f t="shared" si="76"/>
        <v>0</v>
      </c>
      <c r="R269" s="102">
        <f t="shared" si="77"/>
        <v>0</v>
      </c>
    </row>
    <row r="270" spans="1:18" x14ac:dyDescent="0.35">
      <c r="A270" s="106">
        <f t="shared" si="68"/>
        <v>7</v>
      </c>
      <c r="B270" s="107" t="str">
        <f>VLOOKUP(A270,[1]Hoja3!$C$3:$D$14,2,FALSE)</f>
        <v>JULIO</v>
      </c>
      <c r="C270" s="108">
        <v>45478.505601851852</v>
      </c>
      <c r="D270" s="108" t="s">
        <v>659</v>
      </c>
      <c r="E270" s="109" t="s">
        <v>653</v>
      </c>
      <c r="F270" s="109" t="s">
        <v>710</v>
      </c>
      <c r="G270" s="110" t="str">
        <f t="shared" si="78"/>
        <v>JULIO</v>
      </c>
      <c r="H270" s="252">
        <v>1556.85</v>
      </c>
      <c r="I270" s="102" t="str">
        <f t="shared" si="79"/>
        <v>JULIO</v>
      </c>
      <c r="J270">
        <v>206.19</v>
      </c>
      <c r="K270" t="str">
        <f t="shared" si="69"/>
        <v>JULIO</v>
      </c>
      <c r="L270" s="111">
        <f t="shared" si="70"/>
        <v>1288.6875</v>
      </c>
      <c r="M270" s="112">
        <f t="shared" si="71"/>
        <v>268.16249999999991</v>
      </c>
      <c r="N270" s="112">
        <f t="shared" si="72"/>
        <v>1763.04</v>
      </c>
      <c r="O270" t="s">
        <v>451</v>
      </c>
      <c r="P270">
        <v>1763.04</v>
      </c>
      <c r="Q270" s="102">
        <f t="shared" si="76"/>
        <v>0</v>
      </c>
      <c r="R270" s="102">
        <f t="shared" si="77"/>
        <v>-206.19</v>
      </c>
    </row>
    <row r="271" spans="1:18" x14ac:dyDescent="0.35">
      <c r="A271" s="106">
        <f t="shared" si="68"/>
        <v>7</v>
      </c>
      <c r="B271" s="107" t="str">
        <f>VLOOKUP(A271,[1]Hoja3!$C$3:$D$14,2,FALSE)</f>
        <v>JULIO</v>
      </c>
      <c r="C271" s="108">
        <v>45478.756261574075</v>
      </c>
      <c r="D271" s="108" t="s">
        <v>657</v>
      </c>
      <c r="E271" s="109" t="s">
        <v>651</v>
      </c>
      <c r="F271" s="109" t="s">
        <v>711</v>
      </c>
      <c r="G271" s="110" t="str">
        <f t="shared" si="78"/>
        <v>JULIO</v>
      </c>
      <c r="H271" s="252">
        <v>1315.52</v>
      </c>
      <c r="I271" s="102" t="str">
        <f t="shared" si="79"/>
        <v>JULIO</v>
      </c>
      <c r="J271">
        <v>210.48</v>
      </c>
      <c r="K271" t="str">
        <f t="shared" si="69"/>
        <v>JULIO</v>
      </c>
      <c r="L271" s="111">
        <f t="shared" si="70"/>
        <v>1315.5</v>
      </c>
      <c r="M271" s="112">
        <f t="shared" si="71"/>
        <v>1.999999999998181E-2</v>
      </c>
      <c r="N271" s="112">
        <f t="shared" si="72"/>
        <v>1526</v>
      </c>
      <c r="O271" t="s">
        <v>451</v>
      </c>
      <c r="P271">
        <v>1526</v>
      </c>
      <c r="Q271" s="102">
        <f t="shared" si="76"/>
        <v>0</v>
      </c>
      <c r="R271" s="102">
        <f t="shared" si="77"/>
        <v>-210.48</v>
      </c>
    </row>
    <row r="272" spans="1:18" x14ac:dyDescent="0.35">
      <c r="A272" s="106">
        <f t="shared" si="68"/>
        <v>7</v>
      </c>
      <c r="B272" s="107" t="str">
        <f>VLOOKUP(A272,[1]Hoja3!$C$3:$D$14,2,FALSE)</f>
        <v>JULIO</v>
      </c>
      <c r="C272" s="108">
        <v>45479.717835648145</v>
      </c>
      <c r="D272" s="108" t="s">
        <v>393</v>
      </c>
      <c r="E272" s="109" t="s">
        <v>409</v>
      </c>
      <c r="F272" s="109" t="s">
        <v>712</v>
      </c>
      <c r="G272" s="110" t="str">
        <f t="shared" si="78"/>
        <v>JULIO</v>
      </c>
      <c r="H272" s="252">
        <v>669.96</v>
      </c>
      <c r="I272" s="102" t="str">
        <f t="shared" si="79"/>
        <v>JULIO</v>
      </c>
      <c r="J272">
        <v>107.19</v>
      </c>
      <c r="K272" t="str">
        <f t="shared" si="69"/>
        <v>JULIO</v>
      </c>
      <c r="L272" s="111">
        <f t="shared" si="70"/>
        <v>669.9375</v>
      </c>
      <c r="M272" s="112">
        <f t="shared" si="71"/>
        <v>2.250000000003638E-2</v>
      </c>
      <c r="N272" s="112">
        <f t="shared" si="72"/>
        <v>777.15000000000009</v>
      </c>
      <c r="O272" t="s">
        <v>551</v>
      </c>
      <c r="P272">
        <v>777.15</v>
      </c>
      <c r="Q272" s="102">
        <f t="shared" si="76"/>
        <v>0</v>
      </c>
      <c r="R272" s="102">
        <f t="shared" si="77"/>
        <v>-107.19</v>
      </c>
    </row>
    <row r="273" spans="1:18" x14ac:dyDescent="0.35">
      <c r="A273" s="106">
        <f t="shared" si="68"/>
        <v>7</v>
      </c>
      <c r="B273" s="107" t="str">
        <f>VLOOKUP(A273,[1]Hoja3!$C$3:$D$14,2,FALSE)</f>
        <v>JULIO</v>
      </c>
      <c r="C273" s="108">
        <v>45481.394814814812</v>
      </c>
      <c r="D273" s="108" t="s">
        <v>386</v>
      </c>
      <c r="E273" s="109" t="s">
        <v>402</v>
      </c>
      <c r="F273" s="109" t="s">
        <v>418</v>
      </c>
      <c r="G273" s="110" t="str">
        <f t="shared" si="78"/>
        <v>JULIO</v>
      </c>
      <c r="H273" s="252">
        <v>0.01</v>
      </c>
      <c r="I273" s="102" t="str">
        <f t="shared" si="79"/>
        <v>JULIO</v>
      </c>
      <c r="J273"/>
      <c r="K273" t="str">
        <f t="shared" si="69"/>
        <v>JULIO</v>
      </c>
      <c r="L273" s="111">
        <f t="shared" si="70"/>
        <v>0</v>
      </c>
      <c r="M273" s="112">
        <f t="shared" si="71"/>
        <v>0.01</v>
      </c>
      <c r="N273" s="112">
        <f t="shared" si="72"/>
        <v>0.01</v>
      </c>
      <c r="O273" t="s">
        <v>451</v>
      </c>
      <c r="P273">
        <v>0</v>
      </c>
      <c r="Q273" s="102">
        <f t="shared" si="76"/>
        <v>0.01</v>
      </c>
      <c r="R273" s="102">
        <f t="shared" si="77"/>
        <v>0.01</v>
      </c>
    </row>
    <row r="274" spans="1:18" x14ac:dyDescent="0.35">
      <c r="A274" s="106">
        <f t="shared" si="68"/>
        <v>7</v>
      </c>
      <c r="B274" s="107" t="str">
        <f>VLOOKUP(A274,[1]Hoja3!$C$3:$D$14,2,FALSE)</f>
        <v>JULIO</v>
      </c>
      <c r="C274" s="108">
        <v>45482.519918981481</v>
      </c>
      <c r="D274" s="108" t="s">
        <v>388</v>
      </c>
      <c r="E274" s="109" t="s">
        <v>404</v>
      </c>
      <c r="F274" s="109" t="s">
        <v>713</v>
      </c>
      <c r="G274" s="110" t="str">
        <f t="shared" si="78"/>
        <v>JULIO</v>
      </c>
      <c r="H274" s="252">
        <v>19978</v>
      </c>
      <c r="I274" s="102" t="str">
        <f t="shared" si="79"/>
        <v>JULIO</v>
      </c>
      <c r="J274">
        <v>0</v>
      </c>
      <c r="K274" t="str">
        <f t="shared" si="69"/>
        <v>JULIO</v>
      </c>
      <c r="L274" s="111">
        <f t="shared" si="70"/>
        <v>0</v>
      </c>
      <c r="M274" s="112">
        <f t="shared" si="71"/>
        <v>19978</v>
      </c>
      <c r="N274" s="112">
        <f t="shared" si="72"/>
        <v>19978</v>
      </c>
      <c r="O274" t="s">
        <v>451</v>
      </c>
      <c r="P274">
        <v>19978</v>
      </c>
      <c r="Q274" s="102">
        <f t="shared" si="76"/>
        <v>0</v>
      </c>
      <c r="R274" s="102">
        <f t="shared" si="77"/>
        <v>0</v>
      </c>
    </row>
    <row r="275" spans="1:18" x14ac:dyDescent="0.35">
      <c r="A275" s="106">
        <f t="shared" si="68"/>
        <v>7</v>
      </c>
      <c r="B275" s="107" t="str">
        <f>VLOOKUP(A275,[1]Hoja3!$C$3:$D$14,2,FALSE)</f>
        <v>JULIO</v>
      </c>
      <c r="C275" s="108">
        <v>45482.672627314816</v>
      </c>
      <c r="D275" s="108" t="s">
        <v>387</v>
      </c>
      <c r="E275" s="109" t="s">
        <v>403</v>
      </c>
      <c r="F275" s="109" t="s">
        <v>714</v>
      </c>
      <c r="G275" s="110" t="str">
        <f t="shared" si="78"/>
        <v>JULIO</v>
      </c>
      <c r="H275" s="252">
        <v>2832.24</v>
      </c>
      <c r="I275" s="102" t="str">
        <f t="shared" si="79"/>
        <v>JULIO</v>
      </c>
      <c r="J275">
        <v>0</v>
      </c>
      <c r="K275" t="str">
        <f t="shared" si="69"/>
        <v>JULIO</v>
      </c>
      <c r="L275" s="111">
        <f t="shared" si="70"/>
        <v>0</v>
      </c>
      <c r="M275" s="112">
        <f t="shared" si="71"/>
        <v>2832.24</v>
      </c>
      <c r="N275" s="112">
        <f t="shared" si="72"/>
        <v>2832.24</v>
      </c>
      <c r="O275" t="s">
        <v>451</v>
      </c>
      <c r="P275">
        <v>2832.24</v>
      </c>
      <c r="Q275" s="102">
        <f t="shared" si="76"/>
        <v>0</v>
      </c>
      <c r="R275" s="102">
        <f t="shared" si="77"/>
        <v>0</v>
      </c>
    </row>
    <row r="276" spans="1:18" x14ac:dyDescent="0.35">
      <c r="A276" s="106">
        <f t="shared" si="68"/>
        <v>7</v>
      </c>
      <c r="B276" s="107" t="str">
        <f>VLOOKUP(A276,[1]Hoja3!$C$3:$D$14,2,FALSE)</f>
        <v>JULIO</v>
      </c>
      <c r="C276" s="108">
        <v>45483.518807870372</v>
      </c>
      <c r="D276" s="108" t="s">
        <v>385</v>
      </c>
      <c r="E276" s="109" t="s">
        <v>401</v>
      </c>
      <c r="F276" s="109" t="s">
        <v>715</v>
      </c>
      <c r="G276" s="110" t="str">
        <f t="shared" si="78"/>
        <v>JULIO</v>
      </c>
      <c r="H276" s="252">
        <v>1168.45</v>
      </c>
      <c r="I276" s="102" t="str">
        <f t="shared" si="79"/>
        <v>JULIO</v>
      </c>
      <c r="J276">
        <v>182.06</v>
      </c>
      <c r="K276" t="str">
        <f t="shared" si="69"/>
        <v>JULIO</v>
      </c>
      <c r="L276" s="111">
        <f t="shared" si="70"/>
        <v>1137.875</v>
      </c>
      <c r="M276" s="112">
        <f t="shared" si="71"/>
        <v>30.575000000000045</v>
      </c>
      <c r="N276" s="112">
        <f t="shared" si="72"/>
        <v>1350.51</v>
      </c>
      <c r="O276" t="s">
        <v>451</v>
      </c>
      <c r="P276">
        <v>1350.51</v>
      </c>
      <c r="Q276" s="102">
        <f t="shared" si="76"/>
        <v>0</v>
      </c>
      <c r="R276" s="102">
        <f t="shared" si="77"/>
        <v>-182.06</v>
      </c>
    </row>
    <row r="277" spans="1:18" x14ac:dyDescent="0.35">
      <c r="A277" s="106">
        <f t="shared" si="68"/>
        <v>7</v>
      </c>
      <c r="B277" s="107" t="str">
        <f>VLOOKUP(A277,[1]Hoja3!$C$3:$D$14,2,FALSE)</f>
        <v>JULIO</v>
      </c>
      <c r="C277" s="108">
        <v>45483.600011574075</v>
      </c>
      <c r="D277" s="108" t="s">
        <v>354</v>
      </c>
      <c r="E277" s="109" t="s">
        <v>353</v>
      </c>
      <c r="F277" s="109" t="s">
        <v>448</v>
      </c>
      <c r="G277" s="110" t="str">
        <f t="shared" si="78"/>
        <v>JULIO</v>
      </c>
      <c r="H277" s="252">
        <v>3653.04</v>
      </c>
      <c r="I277" s="102" t="str">
        <f t="shared" si="79"/>
        <v>JULIO</v>
      </c>
      <c r="J277">
        <v>534.19000000000005</v>
      </c>
      <c r="K277" t="str">
        <f t="shared" si="69"/>
        <v>JULIO</v>
      </c>
      <c r="L277" s="111">
        <f t="shared" si="70"/>
        <v>3338.6875000000005</v>
      </c>
      <c r="M277" s="112">
        <f t="shared" si="71"/>
        <v>314.35249999999951</v>
      </c>
      <c r="N277" s="112">
        <f t="shared" si="72"/>
        <v>4187.2299999999996</v>
      </c>
      <c r="O277" t="s">
        <v>451</v>
      </c>
      <c r="P277">
        <v>4187.2299999999996</v>
      </c>
      <c r="Q277" s="102">
        <f t="shared" si="76"/>
        <v>0</v>
      </c>
      <c r="R277" s="102">
        <f t="shared" si="77"/>
        <v>-534.19000000000005</v>
      </c>
    </row>
    <row r="278" spans="1:18" x14ac:dyDescent="0.35">
      <c r="A278" s="106">
        <f t="shared" si="68"/>
        <v>7</v>
      </c>
      <c r="B278" s="107" t="str">
        <f>VLOOKUP(A278,[1]Hoja3!$C$3:$D$14,2,FALSE)</f>
        <v>JULIO</v>
      </c>
      <c r="C278" s="108">
        <v>45483.613587962966</v>
      </c>
      <c r="D278" s="108" t="s">
        <v>392</v>
      </c>
      <c r="E278" s="109" t="s">
        <v>408</v>
      </c>
      <c r="F278" s="109" t="s">
        <v>716</v>
      </c>
      <c r="G278" s="110" t="str">
        <f t="shared" si="78"/>
        <v>JULIO</v>
      </c>
      <c r="H278" s="252">
        <v>3640</v>
      </c>
      <c r="I278" s="102" t="str">
        <f t="shared" si="79"/>
        <v>JULIO</v>
      </c>
      <c r="J278">
        <v>0</v>
      </c>
      <c r="K278" t="str">
        <f t="shared" si="69"/>
        <v>JULIO</v>
      </c>
      <c r="L278" s="111">
        <f t="shared" si="70"/>
        <v>0</v>
      </c>
      <c r="M278" s="112">
        <f t="shared" si="71"/>
        <v>3640</v>
      </c>
      <c r="N278" s="112">
        <f t="shared" si="72"/>
        <v>3640</v>
      </c>
      <c r="O278" t="s">
        <v>451</v>
      </c>
      <c r="P278">
        <v>3640</v>
      </c>
      <c r="Q278" s="102">
        <f t="shared" si="76"/>
        <v>0</v>
      </c>
      <c r="R278" s="102">
        <f t="shared" si="77"/>
        <v>0</v>
      </c>
    </row>
    <row r="279" spans="1:18" x14ac:dyDescent="0.35">
      <c r="A279" s="106">
        <f t="shared" si="68"/>
        <v>7</v>
      </c>
      <c r="B279" s="107" t="str">
        <f>VLOOKUP(A279,[1]Hoja3!$C$3:$D$14,2,FALSE)</f>
        <v>JULIO</v>
      </c>
      <c r="C279" s="108">
        <v>45485.487222222226</v>
      </c>
      <c r="D279" s="108" t="s">
        <v>388</v>
      </c>
      <c r="E279" s="109" t="s">
        <v>404</v>
      </c>
      <c r="F279" s="109" t="s">
        <v>717</v>
      </c>
      <c r="G279" s="110" t="str">
        <f t="shared" si="78"/>
        <v>JULIO</v>
      </c>
      <c r="H279" s="252">
        <v>20516</v>
      </c>
      <c r="I279" s="102" t="str">
        <f t="shared" si="79"/>
        <v>JULIO</v>
      </c>
      <c r="J279">
        <v>0</v>
      </c>
      <c r="K279" t="str">
        <f t="shared" si="69"/>
        <v>JULIO</v>
      </c>
      <c r="L279" s="111">
        <f t="shared" si="70"/>
        <v>0</v>
      </c>
      <c r="M279" s="112">
        <f t="shared" si="71"/>
        <v>20516</v>
      </c>
      <c r="N279" s="112">
        <f t="shared" si="72"/>
        <v>20516</v>
      </c>
      <c r="O279" t="s">
        <v>451</v>
      </c>
      <c r="P279">
        <v>20516</v>
      </c>
      <c r="Q279" s="102">
        <f t="shared" si="76"/>
        <v>0</v>
      </c>
      <c r="R279" s="102">
        <f t="shared" si="77"/>
        <v>0</v>
      </c>
    </row>
    <row r="280" spans="1:18" x14ac:dyDescent="0.35">
      <c r="A280" s="106">
        <f t="shared" si="68"/>
        <v>7</v>
      </c>
      <c r="B280" s="107" t="str">
        <f>VLOOKUP(A280,[1]Hoja3!$C$3:$D$14,2,FALSE)</f>
        <v>JULIO</v>
      </c>
      <c r="C280" s="108">
        <v>45487.326493055552</v>
      </c>
      <c r="D280" s="108" t="s">
        <v>455</v>
      </c>
      <c r="E280" s="109" t="s">
        <v>458</v>
      </c>
      <c r="F280" s="109" t="s">
        <v>718</v>
      </c>
      <c r="G280" s="110" t="str">
        <f t="shared" si="78"/>
        <v>JULIO</v>
      </c>
      <c r="H280" s="252">
        <v>2784</v>
      </c>
      <c r="I280" s="102" t="str">
        <f t="shared" si="79"/>
        <v>JULIO</v>
      </c>
      <c r="J280">
        <v>0</v>
      </c>
      <c r="K280" t="str">
        <f t="shared" si="69"/>
        <v>JULIO</v>
      </c>
      <c r="L280" s="111">
        <f t="shared" si="70"/>
        <v>0</v>
      </c>
      <c r="M280" s="112">
        <f t="shared" si="71"/>
        <v>2784</v>
      </c>
      <c r="N280" s="112">
        <f t="shared" si="72"/>
        <v>2784</v>
      </c>
      <c r="O280" t="s">
        <v>451</v>
      </c>
      <c r="P280">
        <v>2784</v>
      </c>
      <c r="Q280" s="102">
        <f t="shared" si="76"/>
        <v>0</v>
      </c>
      <c r="R280" s="102">
        <f t="shared" si="77"/>
        <v>0</v>
      </c>
    </row>
    <row r="281" spans="1:18" x14ac:dyDescent="0.35">
      <c r="A281" s="106">
        <f t="shared" si="68"/>
        <v>7</v>
      </c>
      <c r="B281" s="107" t="str">
        <f>VLOOKUP(A281,[1]Hoja3!$C$3:$D$14,2,FALSE)</f>
        <v>JULIO</v>
      </c>
      <c r="C281" s="108">
        <v>45488.618888888886</v>
      </c>
      <c r="D281" s="108" t="s">
        <v>385</v>
      </c>
      <c r="E281" s="109" t="s">
        <v>401</v>
      </c>
      <c r="F281" s="109" t="s">
        <v>719</v>
      </c>
      <c r="G281" s="110" t="str">
        <f t="shared" si="78"/>
        <v>JULIO</v>
      </c>
      <c r="H281" s="252">
        <v>1091.22</v>
      </c>
      <c r="I281" s="102" t="str">
        <f t="shared" si="79"/>
        <v>JULIO</v>
      </c>
      <c r="J281">
        <v>170.14</v>
      </c>
      <c r="K281" t="str">
        <f t="shared" si="69"/>
        <v>JULIO</v>
      </c>
      <c r="L281" s="111">
        <f t="shared" si="70"/>
        <v>1063.375</v>
      </c>
      <c r="M281" s="112">
        <f t="shared" si="71"/>
        <v>27.845000000000027</v>
      </c>
      <c r="N281" s="112">
        <f t="shared" si="72"/>
        <v>1261.3600000000001</v>
      </c>
      <c r="O281" t="s">
        <v>451</v>
      </c>
      <c r="P281">
        <v>1261.3599999999999</v>
      </c>
      <c r="Q281" s="102">
        <f t="shared" si="76"/>
        <v>0</v>
      </c>
      <c r="R281" s="102">
        <f t="shared" si="77"/>
        <v>-170.14</v>
      </c>
    </row>
    <row r="282" spans="1:18" x14ac:dyDescent="0.35">
      <c r="A282" s="106">
        <f t="shared" si="68"/>
        <v>7</v>
      </c>
      <c r="B282" s="107" t="str">
        <f>VLOOKUP(A282,[1]Hoja3!$C$3:$D$14,2,FALSE)</f>
        <v>JULIO</v>
      </c>
      <c r="C282" s="108">
        <v>45489.567141203705</v>
      </c>
      <c r="D282" s="108" t="s">
        <v>394</v>
      </c>
      <c r="E282" s="109" t="s">
        <v>410</v>
      </c>
      <c r="F282" s="109" t="s">
        <v>720</v>
      </c>
      <c r="G282" s="110" t="str">
        <f t="shared" si="78"/>
        <v>JULIO</v>
      </c>
      <c r="H282" s="252">
        <v>17000</v>
      </c>
      <c r="I282" s="102" t="str">
        <f t="shared" si="79"/>
        <v>JULIO</v>
      </c>
      <c r="J282">
        <v>0</v>
      </c>
      <c r="K282" t="str">
        <f t="shared" si="69"/>
        <v>JULIO</v>
      </c>
      <c r="L282" s="111">
        <f t="shared" si="70"/>
        <v>0</v>
      </c>
      <c r="M282" s="112">
        <f t="shared" si="71"/>
        <v>17000</v>
      </c>
      <c r="N282" s="112">
        <f t="shared" si="72"/>
        <v>17000</v>
      </c>
      <c r="O282" t="s">
        <v>451</v>
      </c>
      <c r="P282">
        <v>17000</v>
      </c>
      <c r="Q282" s="102">
        <f t="shared" si="76"/>
        <v>0</v>
      </c>
      <c r="R282" s="102">
        <f t="shared" si="77"/>
        <v>0</v>
      </c>
    </row>
    <row r="283" spans="1:18" x14ac:dyDescent="0.35">
      <c r="A283" s="106">
        <f t="shared" si="68"/>
        <v>7</v>
      </c>
      <c r="B283" s="107" t="str">
        <f>VLOOKUP(A283,[1]Hoja3!$C$3:$D$14,2,FALSE)</f>
        <v>JULIO</v>
      </c>
      <c r="C283" s="108">
        <v>45491.532905092594</v>
      </c>
      <c r="D283" s="108" t="s">
        <v>394</v>
      </c>
      <c r="E283" s="109" t="s">
        <v>410</v>
      </c>
      <c r="F283" s="109" t="s">
        <v>721</v>
      </c>
      <c r="G283" s="110" t="str">
        <f t="shared" si="78"/>
        <v>JULIO</v>
      </c>
      <c r="H283" s="252">
        <v>29200</v>
      </c>
      <c r="I283" s="102" t="str">
        <f t="shared" si="79"/>
        <v>JULIO</v>
      </c>
      <c r="J283">
        <v>0</v>
      </c>
      <c r="K283" t="str">
        <f t="shared" si="69"/>
        <v>JULIO</v>
      </c>
      <c r="L283" s="111">
        <f t="shared" si="70"/>
        <v>0</v>
      </c>
      <c r="M283" s="112">
        <f t="shared" si="71"/>
        <v>29200</v>
      </c>
      <c r="N283" s="112">
        <f t="shared" si="72"/>
        <v>29200</v>
      </c>
      <c r="O283" t="s">
        <v>451</v>
      </c>
      <c r="P283">
        <v>29200</v>
      </c>
      <c r="Q283" s="102">
        <f t="shared" si="76"/>
        <v>0</v>
      </c>
      <c r="R283" s="102">
        <f t="shared" si="77"/>
        <v>0</v>
      </c>
    </row>
    <row r="284" spans="1:18" x14ac:dyDescent="0.35">
      <c r="A284" s="106">
        <f t="shared" si="68"/>
        <v>7</v>
      </c>
      <c r="B284" s="107" t="str">
        <f>VLOOKUP(A284,[1]Hoja3!$C$3:$D$14,2,FALSE)</f>
        <v>JULIO</v>
      </c>
      <c r="C284" s="108">
        <v>45492.425949074073</v>
      </c>
      <c r="D284" s="108" t="s">
        <v>393</v>
      </c>
      <c r="E284" s="109" t="s">
        <v>409</v>
      </c>
      <c r="F284" s="109" t="s">
        <v>722</v>
      </c>
      <c r="G284" s="110" t="str">
        <f t="shared" si="78"/>
        <v>JULIO</v>
      </c>
      <c r="H284" s="252">
        <v>0</v>
      </c>
      <c r="I284" s="102" t="str">
        <f t="shared" si="79"/>
        <v>JULIO</v>
      </c>
      <c r="J284"/>
      <c r="K284" t="str">
        <f t="shared" si="69"/>
        <v>JULIO</v>
      </c>
      <c r="L284" s="111">
        <f t="shared" si="70"/>
        <v>0</v>
      </c>
      <c r="M284" s="112">
        <f t="shared" si="71"/>
        <v>0</v>
      </c>
      <c r="N284" s="112">
        <f t="shared" si="72"/>
        <v>0</v>
      </c>
      <c r="P284">
        <v>0</v>
      </c>
      <c r="Q284" s="102">
        <f t="shared" si="76"/>
        <v>0</v>
      </c>
      <c r="R284" s="102">
        <f t="shared" si="77"/>
        <v>0</v>
      </c>
    </row>
    <row r="285" spans="1:18" x14ac:dyDescent="0.35">
      <c r="A285" s="106">
        <f t="shared" si="68"/>
        <v>7</v>
      </c>
      <c r="B285" s="107" t="str">
        <f>VLOOKUP(A285,[1]Hoja3!$C$3:$D$14,2,FALSE)</f>
        <v>JULIO</v>
      </c>
      <c r="C285" s="108">
        <v>45495.427488425928</v>
      </c>
      <c r="D285" s="108" t="s">
        <v>385</v>
      </c>
      <c r="E285" s="109" t="s">
        <v>401</v>
      </c>
      <c r="F285" s="109" t="s">
        <v>723</v>
      </c>
      <c r="G285" s="110" t="str">
        <f t="shared" si="78"/>
        <v>JULIO</v>
      </c>
      <c r="H285" s="252">
        <v>1243.18</v>
      </c>
      <c r="I285" s="102" t="str">
        <f t="shared" si="79"/>
        <v>JULIO</v>
      </c>
      <c r="J285">
        <v>193.85</v>
      </c>
      <c r="K285" t="str">
        <f t="shared" si="69"/>
        <v>JULIO</v>
      </c>
      <c r="L285" s="111">
        <f t="shared" si="70"/>
        <v>1211.5625</v>
      </c>
      <c r="M285" s="112">
        <f t="shared" si="71"/>
        <v>31.617500000000064</v>
      </c>
      <c r="N285" s="112">
        <f t="shared" si="72"/>
        <v>1437.03</v>
      </c>
      <c r="O285" t="s">
        <v>451</v>
      </c>
      <c r="P285">
        <v>1437.03</v>
      </c>
      <c r="Q285" s="102">
        <f t="shared" si="76"/>
        <v>0</v>
      </c>
      <c r="R285" s="102">
        <f t="shared" si="77"/>
        <v>-193.85</v>
      </c>
    </row>
    <row r="286" spans="1:18" x14ac:dyDescent="0.35">
      <c r="A286" s="106">
        <f t="shared" si="68"/>
        <v>7</v>
      </c>
      <c r="B286" s="107" t="str">
        <f>VLOOKUP(A286,[1]Hoja3!$C$3:$D$14,2,FALSE)</f>
        <v>JULIO</v>
      </c>
      <c r="C286" s="108">
        <v>45495.841458333336</v>
      </c>
      <c r="D286" s="108" t="s">
        <v>395</v>
      </c>
      <c r="E286" s="109" t="s">
        <v>411</v>
      </c>
      <c r="F286" s="109" t="s">
        <v>724</v>
      </c>
      <c r="G286" s="110" t="str">
        <f t="shared" si="78"/>
        <v>JULIO</v>
      </c>
      <c r="H286" s="252">
        <v>0</v>
      </c>
      <c r="I286" s="102" t="str">
        <f t="shared" si="79"/>
        <v>JULIO</v>
      </c>
      <c r="J286"/>
      <c r="K286" t="str">
        <f t="shared" si="69"/>
        <v>JULIO</v>
      </c>
      <c r="L286" s="111">
        <f t="shared" si="70"/>
        <v>0</v>
      </c>
      <c r="M286" s="112">
        <f t="shared" si="71"/>
        <v>0</v>
      </c>
      <c r="N286" s="112">
        <f t="shared" si="72"/>
        <v>0</v>
      </c>
      <c r="P286">
        <v>0</v>
      </c>
      <c r="Q286" s="102">
        <f t="shared" si="76"/>
        <v>0</v>
      </c>
      <c r="R286" s="102">
        <f t="shared" si="77"/>
        <v>0</v>
      </c>
    </row>
    <row r="287" spans="1:18" x14ac:dyDescent="0.35">
      <c r="A287" s="106">
        <f t="shared" si="68"/>
        <v>7</v>
      </c>
      <c r="B287" s="107" t="str">
        <f>VLOOKUP(A287,[1]Hoja3!$C$3:$D$14,2,FALSE)</f>
        <v>JULIO</v>
      </c>
      <c r="C287" s="108">
        <v>45495.841458333336</v>
      </c>
      <c r="D287" s="108" t="s">
        <v>396</v>
      </c>
      <c r="E287" s="109" t="s">
        <v>412</v>
      </c>
      <c r="F287" s="109" t="s">
        <v>725</v>
      </c>
      <c r="G287" s="110" t="str">
        <f t="shared" si="78"/>
        <v>JULIO</v>
      </c>
      <c r="H287" s="252">
        <v>0</v>
      </c>
      <c r="I287" s="102" t="str">
        <f t="shared" si="79"/>
        <v>JULIO</v>
      </c>
      <c r="J287"/>
      <c r="K287" t="str">
        <f t="shared" si="69"/>
        <v>JULIO</v>
      </c>
      <c r="L287" s="111">
        <f t="shared" si="70"/>
        <v>0</v>
      </c>
      <c r="M287" s="112">
        <f t="shared" si="71"/>
        <v>0</v>
      </c>
      <c r="N287" s="112">
        <f t="shared" si="72"/>
        <v>0</v>
      </c>
      <c r="P287">
        <v>0</v>
      </c>
      <c r="Q287" s="102">
        <f t="shared" si="76"/>
        <v>0</v>
      </c>
      <c r="R287" s="102">
        <f t="shared" si="77"/>
        <v>0</v>
      </c>
    </row>
    <row r="288" spans="1:18" x14ac:dyDescent="0.35">
      <c r="A288" s="106">
        <f t="shared" si="68"/>
        <v>7</v>
      </c>
      <c r="B288" s="107" t="str">
        <f>VLOOKUP(A288,[1]Hoja3!$C$3:$D$14,2,FALSE)</f>
        <v>JULIO</v>
      </c>
      <c r="C288" s="108">
        <v>45496.676712962966</v>
      </c>
      <c r="D288" s="108" t="s">
        <v>457</v>
      </c>
      <c r="E288" s="109" t="s">
        <v>460</v>
      </c>
      <c r="F288" s="109" t="s">
        <v>726</v>
      </c>
      <c r="G288" s="110" t="str">
        <f t="shared" si="78"/>
        <v>JULIO</v>
      </c>
      <c r="H288" s="252">
        <v>3690</v>
      </c>
      <c r="I288" s="102" t="str">
        <f t="shared" si="79"/>
        <v>JULIO</v>
      </c>
      <c r="J288">
        <v>0</v>
      </c>
      <c r="K288" t="str">
        <f t="shared" si="69"/>
        <v>JULIO</v>
      </c>
      <c r="L288" s="111">
        <f t="shared" si="70"/>
        <v>0</v>
      </c>
      <c r="M288" s="112">
        <f t="shared" si="71"/>
        <v>3690</v>
      </c>
      <c r="N288" s="112">
        <f t="shared" si="72"/>
        <v>3690</v>
      </c>
      <c r="O288" t="s">
        <v>451</v>
      </c>
      <c r="P288">
        <v>3690</v>
      </c>
      <c r="Q288" s="102">
        <f t="shared" si="76"/>
        <v>0</v>
      </c>
      <c r="R288" s="102">
        <f t="shared" si="77"/>
        <v>0</v>
      </c>
    </row>
    <row r="289" spans="1:18" x14ac:dyDescent="0.35">
      <c r="A289" s="106">
        <f t="shared" ref="A289:A352" si="80">IF(C289&gt;0,MONTH(C289),0)</f>
        <v>7</v>
      </c>
      <c r="B289" s="107" t="str">
        <f>VLOOKUP(A289,[1]Hoja3!$C$3:$D$14,2,FALSE)</f>
        <v>JULIO</v>
      </c>
      <c r="C289" s="108">
        <v>45496.797048611108</v>
      </c>
      <c r="D289" s="108" t="s">
        <v>393</v>
      </c>
      <c r="E289" s="109" t="s">
        <v>409</v>
      </c>
      <c r="F289" s="109" t="s">
        <v>727</v>
      </c>
      <c r="G289" s="110" t="str">
        <f t="shared" si="78"/>
        <v>JULIO</v>
      </c>
      <c r="H289" s="252">
        <v>754.02</v>
      </c>
      <c r="I289" s="102" t="str">
        <f t="shared" si="79"/>
        <v>JULIO</v>
      </c>
      <c r="J289">
        <v>13.98</v>
      </c>
      <c r="K289" t="str">
        <f t="shared" ref="K289:K352" si="81">+B289</f>
        <v>JULIO</v>
      </c>
      <c r="L289" s="111">
        <f t="shared" ref="L289:L352" si="82">+J289/0.16</f>
        <v>87.375</v>
      </c>
      <c r="M289" s="112">
        <f t="shared" ref="M289:M352" si="83">+H289-L289</f>
        <v>666.64499999999998</v>
      </c>
      <c r="N289" s="112">
        <f t="shared" ref="N289:N352" si="84">+H289+J289</f>
        <v>768</v>
      </c>
      <c r="O289" t="s">
        <v>551</v>
      </c>
      <c r="P289">
        <v>768</v>
      </c>
      <c r="Q289" s="102">
        <f t="shared" si="76"/>
        <v>0</v>
      </c>
      <c r="R289" s="102">
        <f t="shared" si="77"/>
        <v>-13.98</v>
      </c>
    </row>
    <row r="290" spans="1:18" x14ac:dyDescent="0.35">
      <c r="A290" s="106">
        <f t="shared" si="80"/>
        <v>7</v>
      </c>
      <c r="B290" s="107" t="str">
        <f>VLOOKUP(A290,[1]Hoja3!$C$3:$D$14,2,FALSE)</f>
        <v>JULIO</v>
      </c>
      <c r="C290" s="108">
        <v>45496.942164351851</v>
      </c>
      <c r="D290" s="108" t="s">
        <v>388</v>
      </c>
      <c r="E290" s="109" t="s">
        <v>404</v>
      </c>
      <c r="F290" s="109" t="s">
        <v>728</v>
      </c>
      <c r="G290" s="110" t="str">
        <f t="shared" si="78"/>
        <v>JULIO</v>
      </c>
      <c r="H290" s="252">
        <v>23320</v>
      </c>
      <c r="I290" s="102" t="str">
        <f t="shared" si="79"/>
        <v>JULIO</v>
      </c>
      <c r="J290">
        <v>0</v>
      </c>
      <c r="K290" t="str">
        <f t="shared" si="81"/>
        <v>JULIO</v>
      </c>
      <c r="L290" s="111">
        <f t="shared" si="82"/>
        <v>0</v>
      </c>
      <c r="M290" s="112">
        <f t="shared" si="83"/>
        <v>23320</v>
      </c>
      <c r="N290" s="112">
        <f t="shared" si="84"/>
        <v>23320</v>
      </c>
      <c r="O290" t="s">
        <v>451</v>
      </c>
      <c r="P290">
        <v>23320</v>
      </c>
      <c r="Q290" s="102">
        <f t="shared" si="76"/>
        <v>0</v>
      </c>
      <c r="R290" s="102">
        <f t="shared" si="77"/>
        <v>0</v>
      </c>
    </row>
    <row r="291" spans="1:18" x14ac:dyDescent="0.35">
      <c r="A291" s="106">
        <f t="shared" si="80"/>
        <v>7</v>
      </c>
      <c r="B291" s="107" t="str">
        <f>VLOOKUP(A291,[1]Hoja3!$C$3:$D$14,2,FALSE)</f>
        <v>JULIO</v>
      </c>
      <c r="C291" s="108">
        <v>45497.476111111115</v>
      </c>
      <c r="D291" s="108" t="s">
        <v>387</v>
      </c>
      <c r="E291" s="109" t="s">
        <v>403</v>
      </c>
      <c r="F291" s="109" t="s">
        <v>729</v>
      </c>
      <c r="G291" s="110" t="str">
        <f t="shared" si="78"/>
        <v>JULIO</v>
      </c>
      <c r="H291" s="252">
        <v>7082.31</v>
      </c>
      <c r="I291" s="102" t="str">
        <f t="shared" si="79"/>
        <v>JULIO</v>
      </c>
      <c r="J291">
        <v>47.09</v>
      </c>
      <c r="K291" t="str">
        <f t="shared" si="81"/>
        <v>JULIO</v>
      </c>
      <c r="L291" s="111">
        <f t="shared" si="82"/>
        <v>294.3125</v>
      </c>
      <c r="M291" s="112">
        <f t="shared" si="83"/>
        <v>6787.9975000000004</v>
      </c>
      <c r="N291" s="112">
        <f t="shared" si="84"/>
        <v>7129.4000000000005</v>
      </c>
      <c r="O291" t="s">
        <v>451</v>
      </c>
      <c r="P291">
        <v>7129.4</v>
      </c>
      <c r="Q291" s="102">
        <f t="shared" si="76"/>
        <v>0</v>
      </c>
      <c r="R291" s="102">
        <f t="shared" si="77"/>
        <v>-47.09</v>
      </c>
    </row>
    <row r="292" spans="1:18" x14ac:dyDescent="0.35">
      <c r="A292" s="106">
        <f t="shared" si="80"/>
        <v>7</v>
      </c>
      <c r="B292" s="107" t="str">
        <f>VLOOKUP(A292,[1]Hoja3!$C$3:$D$14,2,FALSE)</f>
        <v>JULIO</v>
      </c>
      <c r="C292" s="108">
        <v>45499.555856481478</v>
      </c>
      <c r="D292" s="108" t="s">
        <v>390</v>
      </c>
      <c r="E292" s="109" t="s">
        <v>406</v>
      </c>
      <c r="F292" s="109" t="s">
        <v>730</v>
      </c>
      <c r="G292" s="110" t="str">
        <f t="shared" si="78"/>
        <v>JULIO</v>
      </c>
      <c r="H292" s="252">
        <v>2327.59</v>
      </c>
      <c r="I292" s="102" t="str">
        <f t="shared" si="79"/>
        <v>JULIO</v>
      </c>
      <c r="J292">
        <v>372.4144</v>
      </c>
      <c r="K292" t="str">
        <f t="shared" si="81"/>
        <v>JULIO</v>
      </c>
      <c r="L292" s="111">
        <f t="shared" si="82"/>
        <v>2327.59</v>
      </c>
      <c r="M292" s="112">
        <f t="shared" si="83"/>
        <v>0</v>
      </c>
      <c r="N292" s="112">
        <f t="shared" si="84"/>
        <v>2700.0044000000003</v>
      </c>
      <c r="O292" t="s">
        <v>451</v>
      </c>
      <c r="P292">
        <v>2700</v>
      </c>
      <c r="Q292" s="102">
        <f t="shared" si="76"/>
        <v>4.4000000002597517E-3</v>
      </c>
      <c r="R292" s="102">
        <f t="shared" si="77"/>
        <v>-372.40999999999974</v>
      </c>
    </row>
    <row r="293" spans="1:18" x14ac:dyDescent="0.35">
      <c r="A293" s="106">
        <f t="shared" si="80"/>
        <v>7</v>
      </c>
      <c r="B293" s="107" t="str">
        <f>VLOOKUP(A293,[1]Hoja3!$C$3:$D$14,2,FALSE)</f>
        <v>JULIO</v>
      </c>
      <c r="C293" s="108">
        <v>45501.35738425926</v>
      </c>
      <c r="D293" s="108" t="s">
        <v>386</v>
      </c>
      <c r="E293" s="109" t="s">
        <v>402</v>
      </c>
      <c r="F293" s="109" t="s">
        <v>445</v>
      </c>
      <c r="G293" s="110" t="str">
        <f t="shared" si="78"/>
        <v>JULIO</v>
      </c>
      <c r="H293" s="252">
        <v>0.01</v>
      </c>
      <c r="I293" s="102" t="str">
        <f t="shared" si="79"/>
        <v>JULIO</v>
      </c>
      <c r="J293"/>
      <c r="K293" t="str">
        <f t="shared" si="81"/>
        <v>JULIO</v>
      </c>
      <c r="L293" s="111">
        <f t="shared" si="82"/>
        <v>0</v>
      </c>
      <c r="M293" s="112">
        <f t="shared" si="83"/>
        <v>0.01</v>
      </c>
      <c r="N293" s="112">
        <f t="shared" si="84"/>
        <v>0.01</v>
      </c>
      <c r="O293" t="s">
        <v>451</v>
      </c>
      <c r="P293">
        <v>0</v>
      </c>
      <c r="Q293" s="102">
        <f t="shared" si="76"/>
        <v>0.01</v>
      </c>
      <c r="R293" s="102">
        <f t="shared" si="77"/>
        <v>0.01</v>
      </c>
    </row>
    <row r="294" spans="1:18" x14ac:dyDescent="0.35">
      <c r="A294" s="106">
        <f t="shared" si="80"/>
        <v>7</v>
      </c>
      <c r="B294" s="107" t="str">
        <f>VLOOKUP(A294,[1]Hoja3!$C$3:$D$14,2,FALSE)</f>
        <v>JULIO</v>
      </c>
      <c r="C294" s="108">
        <v>45501.382465277777</v>
      </c>
      <c r="D294" s="108" t="s">
        <v>396</v>
      </c>
      <c r="E294" s="109" t="s">
        <v>412</v>
      </c>
      <c r="F294" s="109" t="s">
        <v>731</v>
      </c>
      <c r="G294" s="110" t="str">
        <f t="shared" si="78"/>
        <v>JULIO</v>
      </c>
      <c r="H294" s="252">
        <v>130.53</v>
      </c>
      <c r="I294" s="102" t="str">
        <f t="shared" si="79"/>
        <v>JULIO</v>
      </c>
      <c r="J294">
        <v>20.88</v>
      </c>
      <c r="K294" t="str">
        <f t="shared" si="81"/>
        <v>JULIO</v>
      </c>
      <c r="L294" s="111">
        <f t="shared" si="82"/>
        <v>130.5</v>
      </c>
      <c r="M294" s="112">
        <f t="shared" si="83"/>
        <v>3.0000000000001137E-2</v>
      </c>
      <c r="N294" s="112">
        <f t="shared" si="84"/>
        <v>151.41</v>
      </c>
      <c r="O294" t="s">
        <v>551</v>
      </c>
      <c r="P294">
        <v>151.41</v>
      </c>
      <c r="Q294" s="102">
        <f t="shared" si="76"/>
        <v>0</v>
      </c>
      <c r="R294" s="102">
        <f t="shared" si="77"/>
        <v>-20.88</v>
      </c>
    </row>
    <row r="295" spans="1:18" x14ac:dyDescent="0.35">
      <c r="A295" s="106">
        <f t="shared" si="80"/>
        <v>7</v>
      </c>
      <c r="B295" s="107" t="str">
        <f>VLOOKUP(A295,[1]Hoja3!$C$3:$D$14,2,FALSE)</f>
        <v>JULIO</v>
      </c>
      <c r="C295" s="108">
        <v>45501.382465277777</v>
      </c>
      <c r="D295" s="108" t="s">
        <v>395</v>
      </c>
      <c r="E295" s="109" t="s">
        <v>411</v>
      </c>
      <c r="F295" s="109" t="s">
        <v>732</v>
      </c>
      <c r="G295" s="110" t="str">
        <f t="shared" si="78"/>
        <v>JULIO</v>
      </c>
      <c r="H295" s="252">
        <v>341.81</v>
      </c>
      <c r="I295" s="102" t="str">
        <f t="shared" si="79"/>
        <v>JULIO</v>
      </c>
      <c r="J295">
        <v>54.68</v>
      </c>
      <c r="K295" t="str">
        <f t="shared" si="81"/>
        <v>JULIO</v>
      </c>
      <c r="L295" s="111">
        <f t="shared" si="82"/>
        <v>341.75</v>
      </c>
      <c r="M295" s="112">
        <f t="shared" si="83"/>
        <v>6.0000000000002274E-2</v>
      </c>
      <c r="N295" s="112">
        <f t="shared" si="84"/>
        <v>396.49</v>
      </c>
      <c r="O295" t="s">
        <v>551</v>
      </c>
      <c r="P295">
        <v>396.49</v>
      </c>
      <c r="Q295" s="102">
        <f t="shared" si="76"/>
        <v>0</v>
      </c>
      <c r="R295" s="102">
        <f t="shared" si="77"/>
        <v>-54.68</v>
      </c>
    </row>
    <row r="296" spans="1:18" x14ac:dyDescent="0.35">
      <c r="A296" s="106">
        <f t="shared" si="80"/>
        <v>7</v>
      </c>
      <c r="B296" s="107" t="str">
        <f>VLOOKUP(A296,[1]Hoja3!$C$3:$D$14,2,FALSE)</f>
        <v>JULIO</v>
      </c>
      <c r="C296" s="108">
        <v>45501.382465277777</v>
      </c>
      <c r="D296" s="108" t="s">
        <v>395</v>
      </c>
      <c r="E296" s="109" t="s">
        <v>411</v>
      </c>
      <c r="F296" s="109" t="s">
        <v>733</v>
      </c>
      <c r="G296" s="110" t="str">
        <f t="shared" si="78"/>
        <v>JULIO</v>
      </c>
      <c r="H296" s="252">
        <v>0.92</v>
      </c>
      <c r="I296" s="102" t="str">
        <f t="shared" si="79"/>
        <v>JULIO</v>
      </c>
      <c r="J296">
        <v>0.14000000000000001</v>
      </c>
      <c r="K296" t="str">
        <f t="shared" si="81"/>
        <v>JULIO</v>
      </c>
      <c r="L296" s="111">
        <f t="shared" si="82"/>
        <v>0.87500000000000011</v>
      </c>
      <c r="M296" s="112">
        <f t="shared" si="83"/>
        <v>4.4999999999999929E-2</v>
      </c>
      <c r="N296" s="112">
        <f t="shared" si="84"/>
        <v>1.06</v>
      </c>
      <c r="O296" t="s">
        <v>551</v>
      </c>
      <c r="P296">
        <v>1.06</v>
      </c>
      <c r="Q296" s="102">
        <f t="shared" si="76"/>
        <v>0</v>
      </c>
      <c r="R296" s="102">
        <f t="shared" si="77"/>
        <v>-0.14000000000000001</v>
      </c>
    </row>
    <row r="297" spans="1:18" x14ac:dyDescent="0.35">
      <c r="A297" s="106">
        <f t="shared" si="80"/>
        <v>7</v>
      </c>
      <c r="B297" s="107" t="str">
        <f>VLOOKUP(A297,[1]Hoja3!$C$3:$D$14,2,FALSE)</f>
        <v>JULIO</v>
      </c>
      <c r="C297" s="108">
        <v>45503.398668981485</v>
      </c>
      <c r="D297" s="108" t="s">
        <v>394</v>
      </c>
      <c r="E297" s="109" t="s">
        <v>410</v>
      </c>
      <c r="F297" s="109" t="s">
        <v>734</v>
      </c>
      <c r="G297" s="110" t="str">
        <f t="shared" si="78"/>
        <v>JULIO</v>
      </c>
      <c r="H297" s="252">
        <v>26300</v>
      </c>
      <c r="I297" s="102" t="str">
        <f t="shared" si="79"/>
        <v>JULIO</v>
      </c>
      <c r="J297">
        <v>0</v>
      </c>
      <c r="K297" t="str">
        <f t="shared" si="81"/>
        <v>JULIO</v>
      </c>
      <c r="L297" s="111">
        <f t="shared" si="82"/>
        <v>0</v>
      </c>
      <c r="M297" s="112">
        <f t="shared" si="83"/>
        <v>26300</v>
      </c>
      <c r="N297" s="112">
        <f t="shared" si="84"/>
        <v>26300</v>
      </c>
      <c r="O297" t="s">
        <v>451</v>
      </c>
      <c r="P297">
        <v>26300</v>
      </c>
      <c r="Q297" s="102">
        <f t="shared" si="76"/>
        <v>0</v>
      </c>
      <c r="R297" s="102">
        <f t="shared" si="77"/>
        <v>0</v>
      </c>
    </row>
    <row r="298" spans="1:18" x14ac:dyDescent="0.35">
      <c r="A298" s="106">
        <f t="shared" si="80"/>
        <v>7</v>
      </c>
      <c r="B298" s="107" t="str">
        <f>VLOOKUP(A298,[1]Hoja3!$C$3:$D$14,2,FALSE)</f>
        <v>JULIO</v>
      </c>
      <c r="C298" s="108">
        <v>45504.435949074075</v>
      </c>
      <c r="D298" s="108" t="s">
        <v>393</v>
      </c>
      <c r="E298" s="109" t="s">
        <v>409</v>
      </c>
      <c r="F298" s="109" t="s">
        <v>735</v>
      </c>
      <c r="G298" s="110" t="str">
        <f t="shared" si="78"/>
        <v>JULIO</v>
      </c>
      <c r="H298" s="252">
        <v>0</v>
      </c>
      <c r="I298" s="102" t="str">
        <f t="shared" si="79"/>
        <v>JULIO</v>
      </c>
      <c r="J298"/>
      <c r="K298" t="str">
        <f t="shared" si="81"/>
        <v>JULIO</v>
      </c>
      <c r="L298" s="111">
        <f t="shared" si="82"/>
        <v>0</v>
      </c>
      <c r="M298" s="112">
        <f t="shared" si="83"/>
        <v>0</v>
      </c>
      <c r="N298" s="112">
        <f t="shared" si="84"/>
        <v>0</v>
      </c>
      <c r="P298">
        <v>0</v>
      </c>
      <c r="Q298" s="102">
        <f t="shared" si="76"/>
        <v>0</v>
      </c>
      <c r="R298" s="102">
        <f t="shared" si="77"/>
        <v>0</v>
      </c>
    </row>
    <row r="299" spans="1:18" x14ac:dyDescent="0.35">
      <c r="A299" s="106">
        <f t="shared" si="80"/>
        <v>7</v>
      </c>
      <c r="B299" s="107" t="str">
        <f>VLOOKUP(A299,[1]Hoja3!$C$3:$D$14,2,FALSE)</f>
        <v>JULIO</v>
      </c>
      <c r="C299" s="108">
        <v>45504.739050925928</v>
      </c>
      <c r="D299" s="108" t="s">
        <v>388</v>
      </c>
      <c r="E299" s="109" t="s">
        <v>404</v>
      </c>
      <c r="F299" s="109" t="s">
        <v>736</v>
      </c>
      <c r="G299" s="110" t="str">
        <f t="shared" si="78"/>
        <v>JULIO</v>
      </c>
      <c r="H299" s="252">
        <v>12108</v>
      </c>
      <c r="I299" s="102" t="str">
        <f t="shared" si="79"/>
        <v>JULIO</v>
      </c>
      <c r="J299">
        <v>0</v>
      </c>
      <c r="K299" t="str">
        <f t="shared" si="81"/>
        <v>JULIO</v>
      </c>
      <c r="L299" s="111">
        <f t="shared" si="82"/>
        <v>0</v>
      </c>
      <c r="M299" s="112">
        <f t="shared" si="83"/>
        <v>12108</v>
      </c>
      <c r="N299" s="112">
        <f t="shared" si="84"/>
        <v>12108</v>
      </c>
      <c r="O299" t="s">
        <v>451</v>
      </c>
      <c r="P299">
        <v>12108</v>
      </c>
      <c r="Q299" s="102">
        <f t="shared" si="76"/>
        <v>0</v>
      </c>
      <c r="R299" s="102">
        <f t="shared" si="77"/>
        <v>0</v>
      </c>
    </row>
    <row r="300" spans="1:18" x14ac:dyDescent="0.35">
      <c r="A300" s="106">
        <f t="shared" si="80"/>
        <v>7</v>
      </c>
      <c r="B300" s="107" t="str">
        <f>VLOOKUP(A300,[1]Hoja3!$C$3:$D$14,2,FALSE)</f>
        <v>JULIO</v>
      </c>
      <c r="C300" s="108">
        <v>45504.750497685185</v>
      </c>
      <c r="D300" s="108" t="s">
        <v>385</v>
      </c>
      <c r="E300" s="109" t="s">
        <v>401</v>
      </c>
      <c r="F300" s="109" t="s">
        <v>737</v>
      </c>
      <c r="G300" s="110" t="str">
        <f t="shared" si="78"/>
        <v>JULIO</v>
      </c>
      <c r="H300" s="252">
        <v>1180.3399999999999</v>
      </c>
      <c r="I300" s="102" t="str">
        <f t="shared" si="79"/>
        <v>JULIO</v>
      </c>
      <c r="J300">
        <v>184.03</v>
      </c>
      <c r="K300" t="str">
        <f t="shared" si="81"/>
        <v>JULIO</v>
      </c>
      <c r="L300" s="111">
        <f t="shared" si="82"/>
        <v>1150.1875</v>
      </c>
      <c r="M300" s="112">
        <f t="shared" si="83"/>
        <v>30.152499999999918</v>
      </c>
      <c r="N300" s="112">
        <f t="shared" si="84"/>
        <v>1364.37</v>
      </c>
      <c r="O300" t="s">
        <v>451</v>
      </c>
      <c r="P300">
        <v>1364.37</v>
      </c>
      <c r="Q300" s="102">
        <f t="shared" si="76"/>
        <v>0</v>
      </c>
      <c r="R300" s="102">
        <f t="shared" si="77"/>
        <v>-184.03</v>
      </c>
    </row>
    <row r="301" spans="1:18" x14ac:dyDescent="0.35">
      <c r="A301" s="106">
        <f t="shared" si="80"/>
        <v>7</v>
      </c>
      <c r="B301" s="107" t="str">
        <f>VLOOKUP(A301,[1]Hoja3!$C$3:$D$14,2,FALSE)</f>
        <v>JULIO</v>
      </c>
      <c r="C301" s="108">
        <v>45504.86273148148</v>
      </c>
      <c r="D301" s="108" t="s">
        <v>397</v>
      </c>
      <c r="E301" s="109" t="s">
        <v>413</v>
      </c>
      <c r="F301" s="109" t="s">
        <v>448</v>
      </c>
      <c r="G301" s="110" t="str">
        <f t="shared" si="78"/>
        <v>JULIO</v>
      </c>
      <c r="H301" s="252">
        <v>1840</v>
      </c>
      <c r="I301" s="102" t="str">
        <f t="shared" si="79"/>
        <v>JULIO</v>
      </c>
      <c r="J301">
        <v>0</v>
      </c>
      <c r="K301" t="str">
        <f t="shared" si="81"/>
        <v>JULIO</v>
      </c>
      <c r="L301" s="111">
        <f t="shared" si="82"/>
        <v>0</v>
      </c>
      <c r="M301" s="112">
        <f t="shared" si="83"/>
        <v>1840</v>
      </c>
      <c r="N301" s="112">
        <f t="shared" si="84"/>
        <v>1840</v>
      </c>
      <c r="O301" t="s">
        <v>451</v>
      </c>
      <c r="P301">
        <v>1840</v>
      </c>
      <c r="Q301" s="102">
        <f t="shared" si="76"/>
        <v>0</v>
      </c>
      <c r="R301" s="102">
        <f t="shared" si="77"/>
        <v>0</v>
      </c>
    </row>
    <row r="302" spans="1:18" x14ac:dyDescent="0.35">
      <c r="A302" s="106">
        <f t="shared" si="80"/>
        <v>7</v>
      </c>
      <c r="B302" s="107" t="str">
        <f>VLOOKUP(A302,[1]Hoja3!$C$3:$D$14,2,FALSE)</f>
        <v>JULIO</v>
      </c>
      <c r="C302" s="108">
        <v>45504.865891203706</v>
      </c>
      <c r="D302" s="108" t="s">
        <v>397</v>
      </c>
      <c r="E302" s="109" t="s">
        <v>413</v>
      </c>
      <c r="F302" s="109" t="s">
        <v>448</v>
      </c>
      <c r="G302" s="110" t="str">
        <f t="shared" si="78"/>
        <v>JULIO</v>
      </c>
      <c r="H302" s="252">
        <v>1840</v>
      </c>
      <c r="I302" s="102" t="str">
        <f t="shared" si="79"/>
        <v>JULIO</v>
      </c>
      <c r="J302">
        <v>0</v>
      </c>
      <c r="K302" t="str">
        <f t="shared" si="81"/>
        <v>JULIO</v>
      </c>
      <c r="L302" s="111">
        <f t="shared" si="82"/>
        <v>0</v>
      </c>
      <c r="M302" s="112">
        <f t="shared" si="83"/>
        <v>1840</v>
      </c>
      <c r="N302" s="112">
        <f t="shared" si="84"/>
        <v>1840</v>
      </c>
      <c r="O302" t="s">
        <v>451</v>
      </c>
      <c r="P302">
        <v>1840</v>
      </c>
      <c r="Q302" s="102">
        <f t="shared" si="76"/>
        <v>0</v>
      </c>
      <c r="R302" s="102">
        <f t="shared" si="77"/>
        <v>0</v>
      </c>
    </row>
    <row r="303" spans="1:18" x14ac:dyDescent="0.35">
      <c r="A303" s="106">
        <f t="shared" si="80"/>
        <v>7</v>
      </c>
      <c r="B303" s="107" t="str">
        <f>VLOOKUP(A303,[1]Hoja3!$C$3:$D$14,2,FALSE)</f>
        <v>JULIO</v>
      </c>
      <c r="C303" s="108">
        <v>45504.867638888885</v>
      </c>
      <c r="D303" s="108" t="s">
        <v>703</v>
      </c>
      <c r="E303" s="109" t="s">
        <v>704</v>
      </c>
      <c r="F303" s="109" t="s">
        <v>448</v>
      </c>
      <c r="G303" s="110" t="str">
        <f t="shared" si="78"/>
        <v>JULIO</v>
      </c>
      <c r="H303" s="252">
        <v>14400</v>
      </c>
      <c r="I303" s="102" t="str">
        <f t="shared" si="79"/>
        <v>JULIO</v>
      </c>
      <c r="J303">
        <v>0</v>
      </c>
      <c r="K303" t="str">
        <f t="shared" si="81"/>
        <v>JULIO</v>
      </c>
      <c r="L303" s="111">
        <f t="shared" si="82"/>
        <v>0</v>
      </c>
      <c r="M303" s="112">
        <f t="shared" si="83"/>
        <v>14400</v>
      </c>
      <c r="N303" s="112">
        <f t="shared" si="84"/>
        <v>14400</v>
      </c>
      <c r="O303" t="s">
        <v>451</v>
      </c>
      <c r="P303">
        <v>14400</v>
      </c>
      <c r="Q303" s="102">
        <f t="shared" si="76"/>
        <v>0</v>
      </c>
      <c r="R303" s="102">
        <f t="shared" si="77"/>
        <v>0</v>
      </c>
    </row>
    <row r="304" spans="1:18" x14ac:dyDescent="0.35">
      <c r="A304" s="106">
        <f t="shared" si="80"/>
        <v>7</v>
      </c>
      <c r="B304" s="107" t="str">
        <f>VLOOKUP(A304,[1]Hoja3!$C$3:$D$14,2,FALSE)</f>
        <v>JULIO</v>
      </c>
      <c r="C304" s="108">
        <v>45504.868692129632</v>
      </c>
      <c r="D304" s="108" t="s">
        <v>397</v>
      </c>
      <c r="E304" s="109" t="s">
        <v>413</v>
      </c>
      <c r="F304" s="109" t="s">
        <v>448</v>
      </c>
      <c r="G304" s="110" t="str">
        <f t="shared" si="78"/>
        <v>JULIO</v>
      </c>
      <c r="H304" s="252">
        <v>1840</v>
      </c>
      <c r="I304" s="102" t="str">
        <f t="shared" si="79"/>
        <v>JULIO</v>
      </c>
      <c r="J304">
        <v>0</v>
      </c>
      <c r="K304" t="str">
        <f t="shared" si="81"/>
        <v>JULIO</v>
      </c>
      <c r="L304" s="111">
        <f t="shared" si="82"/>
        <v>0</v>
      </c>
      <c r="M304" s="112">
        <f t="shared" si="83"/>
        <v>1840</v>
      </c>
      <c r="N304" s="112">
        <f t="shared" si="84"/>
        <v>1840</v>
      </c>
      <c r="O304" t="s">
        <v>451</v>
      </c>
      <c r="P304">
        <v>1840</v>
      </c>
      <c r="Q304" s="102">
        <f t="shared" si="76"/>
        <v>0</v>
      </c>
      <c r="R304" s="102">
        <f t="shared" si="77"/>
        <v>0</v>
      </c>
    </row>
    <row r="305" spans="1:18" x14ac:dyDescent="0.35">
      <c r="A305" s="106">
        <f t="shared" si="80"/>
        <v>7</v>
      </c>
      <c r="B305" s="107" t="str">
        <f>VLOOKUP(A305,[1]Hoja3!$C$3:$D$14,2,FALSE)</f>
        <v>JULIO</v>
      </c>
      <c r="C305" s="108">
        <v>45504.871620370373</v>
      </c>
      <c r="D305" s="108" t="s">
        <v>397</v>
      </c>
      <c r="E305" s="109" t="s">
        <v>413</v>
      </c>
      <c r="F305" s="109" t="s">
        <v>448</v>
      </c>
      <c r="G305" s="110" t="str">
        <f t="shared" si="78"/>
        <v>JULIO</v>
      </c>
      <c r="H305" s="252">
        <v>1840</v>
      </c>
      <c r="I305" s="102" t="str">
        <f t="shared" si="79"/>
        <v>JULIO</v>
      </c>
      <c r="J305">
        <v>0</v>
      </c>
      <c r="K305" t="str">
        <f t="shared" si="81"/>
        <v>JULIO</v>
      </c>
      <c r="L305" s="111">
        <f t="shared" si="82"/>
        <v>0</v>
      </c>
      <c r="M305" s="112">
        <f t="shared" si="83"/>
        <v>1840</v>
      </c>
      <c r="N305" s="112">
        <f t="shared" si="84"/>
        <v>1840</v>
      </c>
      <c r="O305" t="s">
        <v>451</v>
      </c>
      <c r="P305">
        <v>1840</v>
      </c>
      <c r="Q305" s="102">
        <f t="shared" si="76"/>
        <v>0</v>
      </c>
      <c r="R305" s="102">
        <f t="shared" si="77"/>
        <v>0</v>
      </c>
    </row>
    <row r="306" spans="1:18" x14ac:dyDescent="0.35">
      <c r="A306" s="106">
        <f t="shared" si="80"/>
        <v>8</v>
      </c>
      <c r="B306" s="107" t="str">
        <f>VLOOKUP(A306,[1]Hoja3!$C$3:$D$14,2,FALSE)</f>
        <v>AGOSTO</v>
      </c>
      <c r="C306" s="108">
        <v>45505.57236111111</v>
      </c>
      <c r="D306" s="108" t="s">
        <v>656</v>
      </c>
      <c r="E306" s="109" t="s">
        <v>650</v>
      </c>
      <c r="F306" s="109"/>
      <c r="G306" s="110" t="str">
        <f t="shared" si="78"/>
        <v>AGOSTO</v>
      </c>
      <c r="H306" s="252">
        <v>8754</v>
      </c>
      <c r="I306" s="102" t="str">
        <f t="shared" si="79"/>
        <v>AGOSTO</v>
      </c>
      <c r="J306">
        <f t="shared" ref="J306:J327" si="85">+H306*0.16</f>
        <v>1400.64</v>
      </c>
      <c r="K306" t="str">
        <f t="shared" si="81"/>
        <v>AGOSTO</v>
      </c>
      <c r="L306" s="111">
        <f t="shared" si="82"/>
        <v>8754</v>
      </c>
      <c r="M306" s="112">
        <f t="shared" si="83"/>
        <v>0</v>
      </c>
      <c r="N306" s="112">
        <f t="shared" si="84"/>
        <v>10154.64</v>
      </c>
      <c r="O306" t="s">
        <v>451</v>
      </c>
      <c r="P306">
        <v>8754</v>
      </c>
      <c r="Q306" s="102">
        <f t="shared" ref="Q306" si="86">+N306-P306</f>
        <v>1400.6399999999994</v>
      </c>
      <c r="R306" s="102">
        <f t="shared" ref="R306" si="87">+Q306-J306</f>
        <v>0</v>
      </c>
    </row>
    <row r="307" spans="1:18" x14ac:dyDescent="0.35">
      <c r="A307" s="106">
        <f t="shared" si="80"/>
        <v>8</v>
      </c>
      <c r="B307" s="107" t="str">
        <f>VLOOKUP(A307,[1]Hoja3!$C$3:$D$14,2,FALSE)</f>
        <v>AGOSTO</v>
      </c>
      <c r="C307" s="108">
        <v>45505.866828703707</v>
      </c>
      <c r="D307" s="108" t="s">
        <v>382</v>
      </c>
      <c r="E307" s="109" t="s">
        <v>398</v>
      </c>
      <c r="F307" s="109"/>
      <c r="G307" s="110" t="str">
        <f t="shared" si="78"/>
        <v>AGOSTO</v>
      </c>
      <c r="H307" s="252">
        <v>785.06</v>
      </c>
      <c r="I307" s="102" t="str">
        <f t="shared" si="79"/>
        <v>AGOSTO</v>
      </c>
      <c r="J307">
        <f t="shared" si="85"/>
        <v>125.6096</v>
      </c>
      <c r="K307" t="str">
        <f t="shared" si="81"/>
        <v>AGOSTO</v>
      </c>
      <c r="L307" s="111">
        <f t="shared" si="82"/>
        <v>785.06</v>
      </c>
      <c r="M307" s="112">
        <f t="shared" si="83"/>
        <v>0</v>
      </c>
      <c r="N307" s="112">
        <f t="shared" si="84"/>
        <v>910.66959999999995</v>
      </c>
      <c r="O307" t="s">
        <v>451</v>
      </c>
      <c r="P307">
        <v>910.67</v>
      </c>
      <c r="Q307" s="102">
        <f t="shared" ref="Q307:Q370" si="88">+N307-P307</f>
        <v>-4.0000000001327862E-4</v>
      </c>
      <c r="R307" s="102">
        <f t="shared" ref="R307:R370" si="89">+Q307-J307</f>
        <v>-125.61000000000001</v>
      </c>
    </row>
    <row r="308" spans="1:18" x14ac:dyDescent="0.35">
      <c r="A308" s="106">
        <f t="shared" si="80"/>
        <v>8</v>
      </c>
      <c r="B308" s="107" t="str">
        <f>VLOOKUP(A308,[1]Hoja3!$C$3:$D$14,2,FALSE)</f>
        <v>AGOSTO</v>
      </c>
      <c r="C308" s="108">
        <v>45505.893310185187</v>
      </c>
      <c r="D308" s="108" t="s">
        <v>655</v>
      </c>
      <c r="E308" s="109" t="s">
        <v>649</v>
      </c>
      <c r="F308" s="109"/>
      <c r="G308" s="110" t="str">
        <f t="shared" si="78"/>
        <v>AGOSTO</v>
      </c>
      <c r="H308" s="252">
        <v>643.89</v>
      </c>
      <c r="I308" s="102" t="str">
        <f t="shared" si="79"/>
        <v>AGOSTO</v>
      </c>
      <c r="J308">
        <f t="shared" si="85"/>
        <v>103.0224</v>
      </c>
      <c r="K308" t="str">
        <f t="shared" si="81"/>
        <v>AGOSTO</v>
      </c>
      <c r="L308" s="111">
        <f t="shared" si="82"/>
        <v>643.89</v>
      </c>
      <c r="M308" s="112">
        <f t="shared" si="83"/>
        <v>0</v>
      </c>
      <c r="N308" s="112">
        <f t="shared" si="84"/>
        <v>746.91239999999993</v>
      </c>
      <c r="O308" t="s">
        <v>451</v>
      </c>
      <c r="P308">
        <v>746.91</v>
      </c>
      <c r="Q308" s="102">
        <f t="shared" si="88"/>
        <v>2.3999999999659849E-3</v>
      </c>
      <c r="R308" s="102">
        <f t="shared" si="89"/>
        <v>-103.02000000000004</v>
      </c>
    </row>
    <row r="309" spans="1:18" x14ac:dyDescent="0.35">
      <c r="A309" s="106">
        <f t="shared" si="80"/>
        <v>8</v>
      </c>
      <c r="B309" s="107" t="str">
        <f>VLOOKUP(A309,[1]Hoja3!$C$3:$D$14,2,FALSE)</f>
        <v>AGOSTO</v>
      </c>
      <c r="C309" s="108">
        <v>45510.600231481483</v>
      </c>
      <c r="D309" s="108" t="s">
        <v>393</v>
      </c>
      <c r="E309" s="109" t="s">
        <v>409</v>
      </c>
      <c r="F309" s="109"/>
      <c r="G309" s="110" t="str">
        <f t="shared" si="78"/>
        <v>AGOSTO</v>
      </c>
      <c r="H309" s="252"/>
      <c r="I309" s="102" t="str">
        <f t="shared" si="79"/>
        <v>AGOSTO</v>
      </c>
      <c r="J309">
        <f t="shared" si="85"/>
        <v>0</v>
      </c>
      <c r="K309" t="str">
        <f t="shared" si="81"/>
        <v>AGOSTO</v>
      </c>
      <c r="L309" s="111">
        <f t="shared" si="82"/>
        <v>0</v>
      </c>
      <c r="M309" s="112">
        <f t="shared" si="83"/>
        <v>0</v>
      </c>
      <c r="N309" s="112">
        <f t="shared" si="84"/>
        <v>0</v>
      </c>
      <c r="O309" t="s">
        <v>551</v>
      </c>
      <c r="P309">
        <v>687.99</v>
      </c>
      <c r="Q309" s="102">
        <f t="shared" si="88"/>
        <v>-687.99</v>
      </c>
      <c r="R309" s="102">
        <f t="shared" si="89"/>
        <v>-687.99</v>
      </c>
    </row>
    <row r="310" spans="1:18" x14ac:dyDescent="0.35">
      <c r="A310" s="106">
        <f t="shared" si="80"/>
        <v>8</v>
      </c>
      <c r="B310" s="107" t="str">
        <f>VLOOKUP(A310,[1]Hoja3!$C$3:$D$14,2,FALSE)</f>
        <v>AGOSTO</v>
      </c>
      <c r="C310" s="108">
        <v>45511.482152777775</v>
      </c>
      <c r="D310" s="108" t="s">
        <v>385</v>
      </c>
      <c r="E310" s="109" t="s">
        <v>401</v>
      </c>
      <c r="F310" s="109"/>
      <c r="G310" s="110" t="str">
        <f t="shared" si="78"/>
        <v>AGOSTO</v>
      </c>
      <c r="H310" s="252">
        <v>1211.77</v>
      </c>
      <c r="I310" s="102" t="str">
        <f t="shared" si="79"/>
        <v>AGOSTO</v>
      </c>
      <c r="J310">
        <v>188.99</v>
      </c>
      <c r="K310" t="str">
        <f t="shared" si="81"/>
        <v>AGOSTO</v>
      </c>
      <c r="L310" s="111">
        <f t="shared" si="82"/>
        <v>1181.1875</v>
      </c>
      <c r="M310" s="112">
        <f t="shared" si="83"/>
        <v>30.582499999999982</v>
      </c>
      <c r="N310" s="112">
        <f t="shared" si="84"/>
        <v>1400.76</v>
      </c>
      <c r="O310" t="s">
        <v>451</v>
      </c>
      <c r="P310">
        <v>1400.76</v>
      </c>
      <c r="Q310" s="102">
        <f t="shared" si="88"/>
        <v>0</v>
      </c>
      <c r="R310" s="102">
        <f t="shared" si="89"/>
        <v>-188.99</v>
      </c>
    </row>
    <row r="311" spans="1:18" x14ac:dyDescent="0.35">
      <c r="A311" s="106">
        <f t="shared" si="80"/>
        <v>8</v>
      </c>
      <c r="B311" s="107" t="str">
        <f>VLOOKUP(A311,[1]Hoja3!$C$3:$D$14,2,FALSE)</f>
        <v>AGOSTO</v>
      </c>
      <c r="C311" s="108">
        <v>45511.78806712963</v>
      </c>
      <c r="D311" s="108" t="s">
        <v>387</v>
      </c>
      <c r="E311" s="109" t="s">
        <v>403</v>
      </c>
      <c r="F311" s="109"/>
      <c r="G311" s="110" t="str">
        <f t="shared" si="78"/>
        <v>AGOSTO</v>
      </c>
      <c r="H311" s="252">
        <v>4996.51</v>
      </c>
      <c r="I311" s="102" t="str">
        <f t="shared" si="79"/>
        <v>AGOSTO</v>
      </c>
      <c r="J311">
        <v>45.63</v>
      </c>
      <c r="K311" t="str">
        <f t="shared" si="81"/>
        <v>AGOSTO</v>
      </c>
      <c r="L311" s="111">
        <f t="shared" si="82"/>
        <v>285.1875</v>
      </c>
      <c r="M311" s="112">
        <f t="shared" si="83"/>
        <v>4711.3225000000002</v>
      </c>
      <c r="N311" s="112">
        <f t="shared" si="84"/>
        <v>5042.1400000000003</v>
      </c>
      <c r="O311" t="s">
        <v>451</v>
      </c>
      <c r="P311">
        <v>5042.1400000000003</v>
      </c>
      <c r="Q311" s="102">
        <f t="shared" si="88"/>
        <v>0</v>
      </c>
      <c r="R311" s="102">
        <f t="shared" si="89"/>
        <v>-45.63</v>
      </c>
    </row>
    <row r="312" spans="1:18" x14ac:dyDescent="0.35">
      <c r="A312" s="106">
        <f t="shared" si="80"/>
        <v>8</v>
      </c>
      <c r="B312" s="107" t="str">
        <f>VLOOKUP(A312,[1]Hoja3!$C$3:$D$14,2,FALSE)</f>
        <v>AGOSTO</v>
      </c>
      <c r="C312" s="108">
        <v>45512.373298611114</v>
      </c>
      <c r="D312" s="108" t="s">
        <v>386</v>
      </c>
      <c r="E312" s="109" t="s">
        <v>402</v>
      </c>
      <c r="F312" s="109"/>
      <c r="G312" s="110" t="str">
        <f t="shared" si="78"/>
        <v>AGOSTO</v>
      </c>
      <c r="H312" s="252">
        <v>0.01</v>
      </c>
      <c r="I312" s="102" t="str">
        <f t="shared" si="79"/>
        <v>AGOSTO</v>
      </c>
      <c r="J312">
        <f t="shared" si="85"/>
        <v>1.6000000000000001E-3</v>
      </c>
      <c r="K312" t="str">
        <f t="shared" si="81"/>
        <v>AGOSTO</v>
      </c>
      <c r="L312" s="111">
        <f t="shared" si="82"/>
        <v>0.01</v>
      </c>
      <c r="M312" s="112">
        <f t="shared" si="83"/>
        <v>0</v>
      </c>
      <c r="N312" s="112">
        <f t="shared" si="84"/>
        <v>1.1600000000000001E-2</v>
      </c>
      <c r="O312" t="s">
        <v>451</v>
      </c>
      <c r="P312">
        <v>0</v>
      </c>
      <c r="Q312" s="102">
        <f t="shared" si="88"/>
        <v>1.1600000000000001E-2</v>
      </c>
      <c r="R312" s="102">
        <f t="shared" si="89"/>
        <v>0.01</v>
      </c>
    </row>
    <row r="313" spans="1:18" x14ac:dyDescent="0.35">
      <c r="A313" s="106">
        <f t="shared" si="80"/>
        <v>8</v>
      </c>
      <c r="B313" s="107" t="str">
        <f>VLOOKUP(A313,[1]Hoja3!$C$3:$D$14,2,FALSE)</f>
        <v>AGOSTO</v>
      </c>
      <c r="C313" s="108">
        <v>45516.841354166667</v>
      </c>
      <c r="D313" s="108" t="s">
        <v>385</v>
      </c>
      <c r="E313" s="109" t="s">
        <v>401</v>
      </c>
      <c r="F313" s="109"/>
      <c r="G313" s="110" t="str">
        <f t="shared" si="78"/>
        <v>AGOSTO</v>
      </c>
      <c r="H313" s="252">
        <v>1005.68</v>
      </c>
      <c r="I313" s="102" t="str">
        <f t="shared" si="79"/>
        <v>AGOSTO</v>
      </c>
      <c r="J313">
        <v>156.83000000000001</v>
      </c>
      <c r="K313" t="str">
        <f t="shared" si="81"/>
        <v>AGOSTO</v>
      </c>
      <c r="L313" s="111">
        <f t="shared" si="82"/>
        <v>980.18750000000011</v>
      </c>
      <c r="M313" s="112">
        <f t="shared" si="83"/>
        <v>25.492499999999836</v>
      </c>
      <c r="N313" s="112">
        <f t="shared" si="84"/>
        <v>1162.51</v>
      </c>
      <c r="O313" t="s">
        <v>451</v>
      </c>
      <c r="P313">
        <v>1162.51</v>
      </c>
      <c r="Q313" s="102">
        <f t="shared" si="88"/>
        <v>0</v>
      </c>
      <c r="R313" s="102">
        <f t="shared" si="89"/>
        <v>-156.83000000000001</v>
      </c>
    </row>
    <row r="314" spans="1:18" x14ac:dyDescent="0.35">
      <c r="A314" s="106">
        <f t="shared" si="80"/>
        <v>8</v>
      </c>
      <c r="B314" s="107" t="str">
        <f>VLOOKUP(A314,[1]Hoja3!$C$3:$D$14,2,FALSE)</f>
        <v>AGOSTO</v>
      </c>
      <c r="C314" s="108">
        <v>45517.64947916667</v>
      </c>
      <c r="D314" s="108" t="s">
        <v>390</v>
      </c>
      <c r="E314" s="109" t="s">
        <v>406</v>
      </c>
      <c r="F314" s="109"/>
      <c r="G314" s="110" t="str">
        <f t="shared" si="78"/>
        <v>AGOSTO</v>
      </c>
      <c r="H314" s="252">
        <v>2327.59</v>
      </c>
      <c r="I314" s="102" t="str">
        <f t="shared" si="79"/>
        <v>AGOSTO</v>
      </c>
      <c r="J314">
        <f t="shared" si="85"/>
        <v>372.41440000000006</v>
      </c>
      <c r="K314" t="str">
        <f t="shared" si="81"/>
        <v>AGOSTO</v>
      </c>
      <c r="L314" s="111">
        <f t="shared" si="82"/>
        <v>2327.59</v>
      </c>
      <c r="M314" s="112">
        <f t="shared" si="83"/>
        <v>0</v>
      </c>
      <c r="N314" s="112">
        <f t="shared" si="84"/>
        <v>2700.0044000000003</v>
      </c>
      <c r="O314" t="s">
        <v>451</v>
      </c>
      <c r="P314">
        <v>2700</v>
      </c>
      <c r="Q314" s="102">
        <f t="shared" si="88"/>
        <v>4.4000000002597517E-3</v>
      </c>
      <c r="R314" s="102">
        <f t="shared" si="89"/>
        <v>-372.4099999999998</v>
      </c>
    </row>
    <row r="315" spans="1:18" x14ac:dyDescent="0.35">
      <c r="A315" s="106">
        <f t="shared" si="80"/>
        <v>8</v>
      </c>
      <c r="B315" s="107" t="str">
        <f>VLOOKUP(A315,[1]Hoja3!$C$3:$D$14,2,FALSE)</f>
        <v>AGOSTO</v>
      </c>
      <c r="C315" s="108">
        <v>45518.574583333335</v>
      </c>
      <c r="D315" s="108" t="s">
        <v>388</v>
      </c>
      <c r="E315" s="109" t="s">
        <v>404</v>
      </c>
      <c r="F315" s="109"/>
      <c r="G315" s="110" t="str">
        <f t="shared" si="78"/>
        <v>AGOSTO</v>
      </c>
      <c r="H315" s="252">
        <v>21862</v>
      </c>
      <c r="I315" s="102" t="str">
        <f t="shared" si="79"/>
        <v>AGOSTO</v>
      </c>
      <c r="J315">
        <v>0</v>
      </c>
      <c r="K315" t="str">
        <f t="shared" si="81"/>
        <v>AGOSTO</v>
      </c>
      <c r="L315" s="111">
        <f t="shared" si="82"/>
        <v>0</v>
      </c>
      <c r="M315" s="112">
        <f t="shared" si="83"/>
        <v>21862</v>
      </c>
      <c r="N315" s="112">
        <f t="shared" si="84"/>
        <v>21862</v>
      </c>
      <c r="O315" t="s">
        <v>451</v>
      </c>
      <c r="P315">
        <v>21862</v>
      </c>
      <c r="Q315" s="102">
        <f t="shared" si="88"/>
        <v>0</v>
      </c>
      <c r="R315" s="102">
        <f t="shared" si="89"/>
        <v>0</v>
      </c>
    </row>
    <row r="316" spans="1:18" x14ac:dyDescent="0.35">
      <c r="A316" s="106">
        <f t="shared" si="80"/>
        <v>8</v>
      </c>
      <c r="B316" s="107" t="str">
        <f>VLOOKUP(A316,[1]Hoja3!$C$3:$D$14,2,FALSE)</f>
        <v>AGOSTO</v>
      </c>
      <c r="C316" s="108">
        <v>45519.484178240738</v>
      </c>
      <c r="D316" s="108" t="s">
        <v>455</v>
      </c>
      <c r="E316" s="109" t="s">
        <v>458</v>
      </c>
      <c r="F316" s="109"/>
      <c r="G316" s="110" t="str">
        <f t="shared" si="78"/>
        <v>AGOSTO</v>
      </c>
      <c r="H316" s="252">
        <v>4640</v>
      </c>
      <c r="I316" s="102" t="str">
        <f t="shared" si="79"/>
        <v>AGOSTO</v>
      </c>
      <c r="J316">
        <v>0</v>
      </c>
      <c r="K316" t="str">
        <f t="shared" si="81"/>
        <v>AGOSTO</v>
      </c>
      <c r="L316" s="111">
        <f t="shared" si="82"/>
        <v>0</v>
      </c>
      <c r="M316" s="112">
        <f t="shared" si="83"/>
        <v>4640</v>
      </c>
      <c r="N316" s="112">
        <f t="shared" si="84"/>
        <v>4640</v>
      </c>
      <c r="O316" t="s">
        <v>451</v>
      </c>
      <c r="P316">
        <v>4640</v>
      </c>
      <c r="Q316" s="102">
        <f t="shared" si="88"/>
        <v>0</v>
      </c>
      <c r="R316" s="102">
        <f t="shared" si="89"/>
        <v>0</v>
      </c>
    </row>
    <row r="317" spans="1:18" x14ac:dyDescent="0.35">
      <c r="A317" s="106">
        <f t="shared" si="80"/>
        <v>8</v>
      </c>
      <c r="B317" s="107" t="str">
        <f>VLOOKUP(A317,[1]Hoja3!$C$3:$D$14,2,FALSE)</f>
        <v>AGOSTO</v>
      </c>
      <c r="C317" s="108">
        <v>45520.454108796293</v>
      </c>
      <c r="D317" s="108" t="s">
        <v>658</v>
      </c>
      <c r="E317" s="109" t="s">
        <v>652</v>
      </c>
      <c r="F317" s="109"/>
      <c r="G317" s="110" t="str">
        <f t="shared" si="78"/>
        <v>AGOSTO</v>
      </c>
      <c r="H317" s="252">
        <v>646.54999999999995</v>
      </c>
      <c r="I317" s="102" t="str">
        <f t="shared" si="79"/>
        <v>AGOSTO</v>
      </c>
      <c r="J317">
        <f t="shared" si="85"/>
        <v>103.44799999999999</v>
      </c>
      <c r="K317" t="str">
        <f t="shared" si="81"/>
        <v>AGOSTO</v>
      </c>
      <c r="L317" s="111">
        <f t="shared" si="82"/>
        <v>646.54999999999995</v>
      </c>
      <c r="M317" s="112">
        <f t="shared" si="83"/>
        <v>0</v>
      </c>
      <c r="N317" s="112">
        <f t="shared" si="84"/>
        <v>749.99799999999993</v>
      </c>
      <c r="O317" t="s">
        <v>451</v>
      </c>
      <c r="P317">
        <v>750</v>
      </c>
      <c r="Q317" s="102">
        <f t="shared" si="88"/>
        <v>-2.0000000000663931E-3</v>
      </c>
      <c r="R317" s="102">
        <f t="shared" si="89"/>
        <v>-103.45000000000006</v>
      </c>
    </row>
    <row r="318" spans="1:18" x14ac:dyDescent="0.35">
      <c r="A318" s="106">
        <f t="shared" si="80"/>
        <v>8</v>
      </c>
      <c r="B318" s="107" t="str">
        <f>VLOOKUP(A318,[1]Hoja3!$C$3:$D$14,2,FALSE)</f>
        <v>AGOSTO</v>
      </c>
      <c r="C318" s="108">
        <v>45521.531863425924</v>
      </c>
      <c r="D318" s="108" t="s">
        <v>385</v>
      </c>
      <c r="E318" s="109" t="s">
        <v>401</v>
      </c>
      <c r="F318" s="109"/>
      <c r="G318" s="110" t="str">
        <f t="shared" si="78"/>
        <v>AGOSTO</v>
      </c>
      <c r="H318" s="252">
        <v>519.04999999999995</v>
      </c>
      <c r="I318" s="102" t="str">
        <f t="shared" si="79"/>
        <v>AGOSTO</v>
      </c>
      <c r="J318">
        <v>80.95</v>
      </c>
      <c r="K318" t="str">
        <f t="shared" si="81"/>
        <v>AGOSTO</v>
      </c>
      <c r="L318" s="111">
        <f t="shared" si="82"/>
        <v>505.9375</v>
      </c>
      <c r="M318" s="112">
        <f t="shared" si="83"/>
        <v>13.112499999999955</v>
      </c>
      <c r="N318" s="112">
        <f t="shared" si="84"/>
        <v>600</v>
      </c>
      <c r="O318" t="s">
        <v>451</v>
      </c>
      <c r="P318">
        <v>600</v>
      </c>
      <c r="Q318" s="102">
        <f t="shared" si="88"/>
        <v>0</v>
      </c>
      <c r="R318" s="102">
        <f t="shared" si="89"/>
        <v>-80.95</v>
      </c>
    </row>
    <row r="319" spans="1:18" x14ac:dyDescent="0.35">
      <c r="A319" s="106">
        <f t="shared" si="80"/>
        <v>8</v>
      </c>
      <c r="B319" s="107" t="str">
        <f>VLOOKUP(A319,[1]Hoja3!$C$3:$D$14,2,FALSE)</f>
        <v>AGOSTO</v>
      </c>
      <c r="C319" s="108">
        <v>45524.841203703705</v>
      </c>
      <c r="D319" s="108" t="s">
        <v>396</v>
      </c>
      <c r="E319" s="109" t="s">
        <v>412</v>
      </c>
      <c r="F319" s="109"/>
      <c r="G319" s="110" t="str">
        <f t="shared" si="78"/>
        <v>AGOSTO</v>
      </c>
      <c r="H319" s="252">
        <v>0</v>
      </c>
      <c r="I319" s="102" t="str">
        <f t="shared" si="79"/>
        <v>AGOSTO</v>
      </c>
      <c r="J319">
        <f t="shared" si="85"/>
        <v>0</v>
      </c>
      <c r="K319" t="str">
        <f t="shared" si="81"/>
        <v>AGOSTO</v>
      </c>
      <c r="L319" s="111">
        <f t="shared" si="82"/>
        <v>0</v>
      </c>
      <c r="M319" s="112">
        <f t="shared" si="83"/>
        <v>0</v>
      </c>
      <c r="N319" s="112">
        <f t="shared" si="84"/>
        <v>0</v>
      </c>
      <c r="P319">
        <v>0</v>
      </c>
      <c r="Q319" s="102">
        <f t="shared" si="88"/>
        <v>0</v>
      </c>
      <c r="R319" s="102">
        <f t="shared" si="89"/>
        <v>0</v>
      </c>
    </row>
    <row r="320" spans="1:18" x14ac:dyDescent="0.35">
      <c r="A320" s="106">
        <f t="shared" si="80"/>
        <v>8</v>
      </c>
      <c r="B320" s="107" t="str">
        <f>VLOOKUP(A320,[1]Hoja3!$C$3:$D$14,2,FALSE)</f>
        <v>AGOSTO</v>
      </c>
      <c r="C320" s="108">
        <v>45524.841203703705</v>
      </c>
      <c r="D320" s="108" t="s">
        <v>395</v>
      </c>
      <c r="E320" s="109" t="s">
        <v>411</v>
      </c>
      <c r="F320" s="109"/>
      <c r="G320" s="110" t="str">
        <f t="shared" si="78"/>
        <v>AGOSTO</v>
      </c>
      <c r="H320" s="252">
        <v>0</v>
      </c>
      <c r="I320" s="102" t="str">
        <f t="shared" si="79"/>
        <v>AGOSTO</v>
      </c>
      <c r="J320">
        <f t="shared" si="85"/>
        <v>0</v>
      </c>
      <c r="K320" t="str">
        <f t="shared" si="81"/>
        <v>AGOSTO</v>
      </c>
      <c r="L320" s="111">
        <f t="shared" si="82"/>
        <v>0</v>
      </c>
      <c r="M320" s="112">
        <f t="shared" si="83"/>
        <v>0</v>
      </c>
      <c r="N320" s="112">
        <f t="shared" si="84"/>
        <v>0</v>
      </c>
      <c r="P320">
        <v>0</v>
      </c>
      <c r="Q320" s="102">
        <f t="shared" si="88"/>
        <v>0</v>
      </c>
      <c r="R320" s="102">
        <f t="shared" si="89"/>
        <v>0</v>
      </c>
    </row>
    <row r="321" spans="1:18" x14ac:dyDescent="0.35">
      <c r="A321" s="106">
        <f t="shared" si="80"/>
        <v>8</v>
      </c>
      <c r="B321" s="107" t="str">
        <f>VLOOKUP(A321,[1]Hoja3!$C$3:$D$14,2,FALSE)</f>
        <v>AGOSTO</v>
      </c>
      <c r="C321" s="108">
        <v>45525.101701388892</v>
      </c>
      <c r="D321" s="108" t="s">
        <v>393</v>
      </c>
      <c r="E321" s="109" t="s">
        <v>409</v>
      </c>
      <c r="F321" s="109"/>
      <c r="G321" s="110" t="str">
        <f t="shared" si="78"/>
        <v>AGOSTO</v>
      </c>
      <c r="H321" s="252">
        <v>0</v>
      </c>
      <c r="I321" s="102" t="str">
        <f t="shared" si="79"/>
        <v>AGOSTO</v>
      </c>
      <c r="J321">
        <f t="shared" si="85"/>
        <v>0</v>
      </c>
      <c r="K321" t="str">
        <f t="shared" si="81"/>
        <v>AGOSTO</v>
      </c>
      <c r="L321" s="111">
        <f t="shared" si="82"/>
        <v>0</v>
      </c>
      <c r="M321" s="112">
        <f t="shared" si="83"/>
        <v>0</v>
      </c>
      <c r="N321" s="112">
        <f t="shared" si="84"/>
        <v>0</v>
      </c>
      <c r="P321">
        <v>0</v>
      </c>
      <c r="Q321" s="102">
        <f t="shared" si="88"/>
        <v>0</v>
      </c>
      <c r="R321" s="102">
        <f t="shared" si="89"/>
        <v>0</v>
      </c>
    </row>
    <row r="322" spans="1:18" x14ac:dyDescent="0.35">
      <c r="A322" s="106">
        <f t="shared" si="80"/>
        <v>8</v>
      </c>
      <c r="B322" s="107" t="str">
        <f>VLOOKUP(A322,[1]Hoja3!$C$3:$D$14,2,FALSE)</f>
        <v>AGOSTO</v>
      </c>
      <c r="C322" s="108">
        <v>45525.497511574074</v>
      </c>
      <c r="D322" s="108" t="s">
        <v>388</v>
      </c>
      <c r="E322" s="109" t="s">
        <v>404</v>
      </c>
      <c r="F322" s="109"/>
      <c r="G322" s="110" t="str">
        <f t="shared" si="78"/>
        <v>AGOSTO</v>
      </c>
      <c r="H322" s="252">
        <v>44000</v>
      </c>
      <c r="I322" s="102" t="str">
        <f t="shared" si="79"/>
        <v>AGOSTO</v>
      </c>
      <c r="J322">
        <v>0</v>
      </c>
      <c r="K322" t="str">
        <f t="shared" si="81"/>
        <v>AGOSTO</v>
      </c>
      <c r="L322" s="111">
        <f t="shared" si="82"/>
        <v>0</v>
      </c>
      <c r="M322" s="112">
        <f t="shared" si="83"/>
        <v>44000</v>
      </c>
      <c r="N322" s="112">
        <f t="shared" si="84"/>
        <v>44000</v>
      </c>
      <c r="O322" t="s">
        <v>451</v>
      </c>
      <c r="P322">
        <v>44000</v>
      </c>
      <c r="Q322" s="102">
        <f t="shared" si="88"/>
        <v>0</v>
      </c>
      <c r="R322" s="102">
        <f t="shared" si="89"/>
        <v>0</v>
      </c>
    </row>
    <row r="323" spans="1:18" x14ac:dyDescent="0.35">
      <c r="A323" s="106">
        <f t="shared" si="80"/>
        <v>8</v>
      </c>
      <c r="B323" s="107" t="str">
        <f>VLOOKUP(A323,[1]Hoja3!$C$3:$D$14,2,FALSE)</f>
        <v>AGOSTO</v>
      </c>
      <c r="C323" s="108">
        <v>45525.550983796296</v>
      </c>
      <c r="D323" s="108" t="s">
        <v>388</v>
      </c>
      <c r="E323" s="109" t="s">
        <v>404</v>
      </c>
      <c r="F323" s="109"/>
      <c r="G323" s="110" t="str">
        <f t="shared" si="78"/>
        <v>AGOSTO</v>
      </c>
      <c r="H323" s="252">
        <v>14487</v>
      </c>
      <c r="I323" s="102" t="str">
        <f t="shared" si="79"/>
        <v>AGOSTO</v>
      </c>
      <c r="J323">
        <v>0</v>
      </c>
      <c r="K323" t="str">
        <f t="shared" si="81"/>
        <v>AGOSTO</v>
      </c>
      <c r="L323" s="111">
        <f t="shared" si="82"/>
        <v>0</v>
      </c>
      <c r="M323" s="112">
        <f t="shared" si="83"/>
        <v>14487</v>
      </c>
      <c r="N323" s="112">
        <f t="shared" si="84"/>
        <v>14487</v>
      </c>
      <c r="O323" t="s">
        <v>451</v>
      </c>
      <c r="P323">
        <v>14487</v>
      </c>
      <c r="Q323" s="102">
        <f t="shared" si="88"/>
        <v>0</v>
      </c>
      <c r="R323" s="102">
        <f t="shared" si="89"/>
        <v>0</v>
      </c>
    </row>
    <row r="324" spans="1:18" x14ac:dyDescent="0.35">
      <c r="A324" s="106">
        <f t="shared" si="80"/>
        <v>8</v>
      </c>
      <c r="B324" s="107" t="str">
        <f>VLOOKUP(A324,[1]Hoja3!$C$3:$D$14,2,FALSE)</f>
        <v>AGOSTO</v>
      </c>
      <c r="C324" s="108">
        <v>45526.68891203704</v>
      </c>
      <c r="D324" s="108" t="s">
        <v>385</v>
      </c>
      <c r="E324" s="109" t="s">
        <v>401</v>
      </c>
      <c r="F324" s="109"/>
      <c r="G324" s="110" t="str">
        <f t="shared" si="78"/>
        <v>AGOSTO</v>
      </c>
      <c r="H324" s="252">
        <v>432.54</v>
      </c>
      <c r="I324" s="102" t="str">
        <f t="shared" si="79"/>
        <v>AGOSTO</v>
      </c>
      <c r="J324">
        <v>67.459999999999994</v>
      </c>
      <c r="K324" t="str">
        <f t="shared" si="81"/>
        <v>AGOSTO</v>
      </c>
      <c r="L324" s="111">
        <f t="shared" si="82"/>
        <v>421.62499999999994</v>
      </c>
      <c r="M324" s="112">
        <f t="shared" si="83"/>
        <v>10.915000000000077</v>
      </c>
      <c r="N324" s="112">
        <f t="shared" si="84"/>
        <v>500</v>
      </c>
      <c r="O324" t="s">
        <v>451</v>
      </c>
      <c r="P324">
        <v>500</v>
      </c>
      <c r="Q324" s="102">
        <f t="shared" si="88"/>
        <v>0</v>
      </c>
      <c r="R324" s="102">
        <f t="shared" si="89"/>
        <v>-67.459999999999994</v>
      </c>
    </row>
    <row r="325" spans="1:18" x14ac:dyDescent="0.35">
      <c r="A325" s="106">
        <f t="shared" si="80"/>
        <v>8</v>
      </c>
      <c r="B325" s="107" t="str">
        <f>VLOOKUP(A325,[1]Hoja3!$C$3:$D$14,2,FALSE)</f>
        <v>AGOSTO</v>
      </c>
      <c r="C325" s="108">
        <v>45528.414976851855</v>
      </c>
      <c r="D325" s="108" t="s">
        <v>659</v>
      </c>
      <c r="E325" s="109" t="s">
        <v>653</v>
      </c>
      <c r="F325" s="109"/>
      <c r="G325" s="110" t="str">
        <f t="shared" si="78"/>
        <v>AGOSTO</v>
      </c>
      <c r="H325" s="252">
        <v>1998.75</v>
      </c>
      <c r="I325" s="102" t="str">
        <f t="shared" si="79"/>
        <v>AGOSTO</v>
      </c>
      <c r="J325">
        <v>319.8</v>
      </c>
      <c r="K325" t="str">
        <f t="shared" si="81"/>
        <v>AGOSTO</v>
      </c>
      <c r="L325" s="111">
        <f t="shared" si="82"/>
        <v>1998.75</v>
      </c>
      <c r="M325" s="112">
        <f t="shared" si="83"/>
        <v>0</v>
      </c>
      <c r="N325" s="112">
        <f t="shared" si="84"/>
        <v>2318.5500000000002</v>
      </c>
      <c r="O325" t="s">
        <v>451</v>
      </c>
      <c r="P325">
        <v>2318.5500000000002</v>
      </c>
      <c r="Q325" s="102">
        <f t="shared" si="88"/>
        <v>0</v>
      </c>
      <c r="R325" s="102">
        <f t="shared" si="89"/>
        <v>-319.8</v>
      </c>
    </row>
    <row r="326" spans="1:18" x14ac:dyDescent="0.35">
      <c r="A326" s="106">
        <f t="shared" si="80"/>
        <v>8</v>
      </c>
      <c r="B326" s="107" t="str">
        <f>VLOOKUP(A326,[1]Hoja3!$C$3:$D$14,2,FALSE)</f>
        <v>AGOSTO</v>
      </c>
      <c r="C326" s="108">
        <v>45528.486631944441</v>
      </c>
      <c r="D326" s="108" t="s">
        <v>457</v>
      </c>
      <c r="E326" s="109" t="s">
        <v>460</v>
      </c>
      <c r="F326" s="109"/>
      <c r="G326" s="110" t="str">
        <f t="shared" si="78"/>
        <v>AGOSTO</v>
      </c>
      <c r="H326" s="252"/>
      <c r="I326" s="102" t="str">
        <f t="shared" si="79"/>
        <v>AGOSTO</v>
      </c>
      <c r="J326">
        <f t="shared" si="85"/>
        <v>0</v>
      </c>
      <c r="K326" t="str">
        <f t="shared" si="81"/>
        <v>AGOSTO</v>
      </c>
      <c r="L326" s="111">
        <f t="shared" si="82"/>
        <v>0</v>
      </c>
      <c r="M326" s="112">
        <f t="shared" si="83"/>
        <v>0</v>
      </c>
      <c r="N326" s="112">
        <f t="shared" si="84"/>
        <v>0</v>
      </c>
      <c r="O326" t="s">
        <v>551</v>
      </c>
      <c r="P326">
        <v>2240</v>
      </c>
      <c r="Q326" s="102">
        <f t="shared" si="88"/>
        <v>-2240</v>
      </c>
      <c r="R326" s="102">
        <f t="shared" si="89"/>
        <v>-2240</v>
      </c>
    </row>
    <row r="327" spans="1:18" x14ac:dyDescent="0.35">
      <c r="A327" s="106">
        <f t="shared" si="80"/>
        <v>8</v>
      </c>
      <c r="B327" s="107" t="str">
        <f>VLOOKUP(A327,[1]Hoja3!$C$3:$D$14,2,FALSE)</f>
        <v>AGOSTO</v>
      </c>
      <c r="C327" s="108">
        <v>45528.692395833335</v>
      </c>
      <c r="D327" s="108" t="s">
        <v>393</v>
      </c>
      <c r="E327" s="109" t="s">
        <v>409</v>
      </c>
      <c r="F327" s="109"/>
      <c r="G327" s="110" t="str">
        <f t="shared" si="78"/>
        <v>AGOSTO</v>
      </c>
      <c r="H327" s="252"/>
      <c r="I327" s="102" t="str">
        <f t="shared" si="79"/>
        <v>AGOSTO</v>
      </c>
      <c r="J327">
        <f t="shared" si="85"/>
        <v>0</v>
      </c>
      <c r="K327" t="str">
        <f t="shared" si="81"/>
        <v>AGOSTO</v>
      </c>
      <c r="L327" s="111">
        <f t="shared" si="82"/>
        <v>0</v>
      </c>
      <c r="M327" s="112">
        <f t="shared" si="83"/>
        <v>0</v>
      </c>
      <c r="N327" s="112">
        <f t="shared" si="84"/>
        <v>0</v>
      </c>
      <c r="O327" t="s">
        <v>551</v>
      </c>
      <c r="P327">
        <v>768</v>
      </c>
      <c r="Q327" s="102">
        <f t="shared" si="88"/>
        <v>-768</v>
      </c>
      <c r="R327" s="102">
        <f t="shared" si="89"/>
        <v>-768</v>
      </c>
    </row>
    <row r="328" spans="1:18" x14ac:dyDescent="0.35">
      <c r="A328" s="106">
        <f t="shared" si="80"/>
        <v>8</v>
      </c>
      <c r="B328" s="107" t="str">
        <f>VLOOKUP(A328,[1]Hoja3!$C$3:$D$14,2,FALSE)</f>
        <v>AGOSTO</v>
      </c>
      <c r="C328" s="108">
        <v>45531.741493055553</v>
      </c>
      <c r="D328" s="108" t="s">
        <v>385</v>
      </c>
      <c r="E328" s="109" t="s">
        <v>401</v>
      </c>
      <c r="F328" s="109"/>
      <c r="G328" s="110" t="str">
        <f t="shared" si="78"/>
        <v>AGOSTO</v>
      </c>
      <c r="H328" s="252">
        <v>907.69</v>
      </c>
      <c r="I328" s="102" t="str">
        <f t="shared" si="79"/>
        <v>AGOSTO</v>
      </c>
      <c r="J328">
        <v>141.57</v>
      </c>
      <c r="K328" t="str">
        <f t="shared" si="81"/>
        <v>AGOSTO</v>
      </c>
      <c r="L328" s="111">
        <f t="shared" si="82"/>
        <v>884.81249999999989</v>
      </c>
      <c r="M328" s="112">
        <f t="shared" si="83"/>
        <v>22.877500000000168</v>
      </c>
      <c r="N328" s="112">
        <f t="shared" si="84"/>
        <v>1049.26</v>
      </c>
      <c r="O328" t="s">
        <v>451</v>
      </c>
      <c r="P328">
        <v>1049.26</v>
      </c>
      <c r="Q328" s="102">
        <f t="shared" si="88"/>
        <v>0</v>
      </c>
      <c r="R328" s="102">
        <f t="shared" si="89"/>
        <v>-141.57</v>
      </c>
    </row>
    <row r="329" spans="1:18" x14ac:dyDescent="0.35">
      <c r="A329" s="106">
        <f t="shared" si="80"/>
        <v>8</v>
      </c>
      <c r="B329" s="107" t="str">
        <f>VLOOKUP(A329,[1]Hoja3!$C$3:$D$14,2,FALSE)</f>
        <v>AGOSTO</v>
      </c>
      <c r="C329" s="108">
        <v>45531.996145833335</v>
      </c>
      <c r="D329" s="108" t="s">
        <v>383</v>
      </c>
      <c r="E329" s="109" t="s">
        <v>399</v>
      </c>
      <c r="F329" s="109"/>
      <c r="G329" s="110" t="str">
        <f t="shared" si="78"/>
        <v>AGOSTO</v>
      </c>
      <c r="H329" s="252">
        <v>25775</v>
      </c>
      <c r="I329" s="102" t="str">
        <f t="shared" si="79"/>
        <v>AGOSTO</v>
      </c>
      <c r="J329">
        <v>0</v>
      </c>
      <c r="K329" t="str">
        <f t="shared" si="81"/>
        <v>AGOSTO</v>
      </c>
      <c r="L329" s="111">
        <f t="shared" si="82"/>
        <v>0</v>
      </c>
      <c r="M329" s="112">
        <f t="shared" si="83"/>
        <v>25775</v>
      </c>
      <c r="N329" s="112">
        <f t="shared" si="84"/>
        <v>25775</v>
      </c>
      <c r="O329" t="s">
        <v>451</v>
      </c>
      <c r="P329">
        <v>25775</v>
      </c>
      <c r="Q329" s="102">
        <f t="shared" si="88"/>
        <v>0</v>
      </c>
      <c r="R329" s="102">
        <f t="shared" si="89"/>
        <v>0</v>
      </c>
    </row>
    <row r="330" spans="1:18" x14ac:dyDescent="0.35">
      <c r="A330" s="106">
        <f t="shared" si="80"/>
        <v>8</v>
      </c>
      <c r="B330" s="107" t="str">
        <f>VLOOKUP(A330,[1]Hoja3!$C$3:$D$14,2,FALSE)</f>
        <v>AGOSTO</v>
      </c>
      <c r="C330" s="108">
        <v>45532.283796296295</v>
      </c>
      <c r="D330" s="108" t="s">
        <v>386</v>
      </c>
      <c r="E330" s="109" t="s">
        <v>402</v>
      </c>
      <c r="F330" s="109"/>
      <c r="G330" s="110" t="str">
        <f t="shared" si="78"/>
        <v>AGOSTO</v>
      </c>
      <c r="H330" s="252">
        <v>0.01</v>
      </c>
      <c r="I330" s="102" t="str">
        <f t="shared" si="79"/>
        <v>AGOSTO</v>
      </c>
      <c r="J330">
        <v>0</v>
      </c>
      <c r="K330" t="str">
        <f t="shared" si="81"/>
        <v>AGOSTO</v>
      </c>
      <c r="L330" s="111">
        <f t="shared" si="82"/>
        <v>0</v>
      </c>
      <c r="M330" s="112">
        <f t="shared" si="83"/>
        <v>0.01</v>
      </c>
      <c r="N330" s="112">
        <f t="shared" si="84"/>
        <v>0.01</v>
      </c>
      <c r="O330" t="s">
        <v>451</v>
      </c>
      <c r="P330">
        <v>0</v>
      </c>
      <c r="Q330" s="102">
        <f t="shared" si="88"/>
        <v>0.01</v>
      </c>
      <c r="R330" s="102">
        <f t="shared" si="89"/>
        <v>0.01</v>
      </c>
    </row>
    <row r="331" spans="1:18" x14ac:dyDescent="0.35">
      <c r="A331" s="106">
        <f t="shared" si="80"/>
        <v>8</v>
      </c>
      <c r="B331" s="107" t="str">
        <f>VLOOKUP(A331,[1]Hoja3!$C$3:$D$14,2,FALSE)</f>
        <v>AGOSTO</v>
      </c>
      <c r="C331" s="108">
        <v>45532.385717592595</v>
      </c>
      <c r="D331" s="108" t="s">
        <v>395</v>
      </c>
      <c r="E331" s="109" t="s">
        <v>411</v>
      </c>
      <c r="F331" s="109"/>
      <c r="G331" s="110" t="str">
        <f t="shared" si="78"/>
        <v>AGOSTO</v>
      </c>
      <c r="H331" s="252"/>
      <c r="I331" s="102" t="str">
        <f t="shared" si="79"/>
        <v>AGOSTO</v>
      </c>
      <c r="J331">
        <f t="shared" ref="J331:J391" si="90">+H331*0.16</f>
        <v>0</v>
      </c>
      <c r="K331" t="str">
        <f t="shared" si="81"/>
        <v>AGOSTO</v>
      </c>
      <c r="L331" s="111">
        <f t="shared" si="82"/>
        <v>0</v>
      </c>
      <c r="M331" s="112">
        <f t="shared" si="83"/>
        <v>0</v>
      </c>
      <c r="N331" s="112">
        <f t="shared" si="84"/>
        <v>0</v>
      </c>
      <c r="O331" t="s">
        <v>551</v>
      </c>
      <c r="P331">
        <v>1.06</v>
      </c>
      <c r="Q331" s="102">
        <f t="shared" si="88"/>
        <v>-1.06</v>
      </c>
      <c r="R331" s="102">
        <f t="shared" si="89"/>
        <v>-1.06</v>
      </c>
    </row>
    <row r="332" spans="1:18" x14ac:dyDescent="0.35">
      <c r="A332" s="106">
        <f t="shared" si="80"/>
        <v>8</v>
      </c>
      <c r="B332" s="107" t="str">
        <f>VLOOKUP(A332,[1]Hoja3!$C$3:$D$14,2,FALSE)</f>
        <v>AGOSTO</v>
      </c>
      <c r="C332" s="108">
        <v>45532.385717592595</v>
      </c>
      <c r="D332" s="108" t="s">
        <v>395</v>
      </c>
      <c r="E332" s="109" t="s">
        <v>411</v>
      </c>
      <c r="F332" s="109"/>
      <c r="G332" s="110" t="str">
        <f t="shared" ref="G332:G395" si="91">+B332</f>
        <v>AGOSTO</v>
      </c>
      <c r="H332" s="252"/>
      <c r="I332" s="102" t="str">
        <f t="shared" ref="I332:I395" si="92">+B332</f>
        <v>AGOSTO</v>
      </c>
      <c r="J332">
        <f t="shared" si="90"/>
        <v>0</v>
      </c>
      <c r="K332" t="str">
        <f t="shared" si="81"/>
        <v>AGOSTO</v>
      </c>
      <c r="L332" s="111">
        <f t="shared" si="82"/>
        <v>0</v>
      </c>
      <c r="M332" s="112">
        <f t="shared" si="83"/>
        <v>0</v>
      </c>
      <c r="N332" s="112">
        <f t="shared" si="84"/>
        <v>0</v>
      </c>
      <c r="O332" t="s">
        <v>551</v>
      </c>
      <c r="P332">
        <v>396.49</v>
      </c>
      <c r="Q332" s="102">
        <f t="shared" si="88"/>
        <v>-396.49</v>
      </c>
      <c r="R332" s="102">
        <f t="shared" si="89"/>
        <v>-396.49</v>
      </c>
    </row>
    <row r="333" spans="1:18" x14ac:dyDescent="0.35">
      <c r="A333" s="106">
        <f t="shared" si="80"/>
        <v>8</v>
      </c>
      <c r="B333" s="107" t="str">
        <f>VLOOKUP(A333,[1]Hoja3!$C$3:$D$14,2,FALSE)</f>
        <v>AGOSTO</v>
      </c>
      <c r="C333" s="108">
        <v>45532.385717592595</v>
      </c>
      <c r="D333" s="108" t="s">
        <v>396</v>
      </c>
      <c r="E333" s="109" t="s">
        <v>412</v>
      </c>
      <c r="F333" s="109"/>
      <c r="G333" s="110" t="str">
        <f t="shared" si="91"/>
        <v>AGOSTO</v>
      </c>
      <c r="H333" s="252"/>
      <c r="I333" s="102" t="str">
        <f t="shared" si="92"/>
        <v>AGOSTO</v>
      </c>
      <c r="J333">
        <f t="shared" si="90"/>
        <v>0</v>
      </c>
      <c r="K333" t="str">
        <f t="shared" si="81"/>
        <v>AGOSTO</v>
      </c>
      <c r="L333" s="111">
        <f t="shared" si="82"/>
        <v>0</v>
      </c>
      <c r="M333" s="112">
        <f t="shared" si="83"/>
        <v>0</v>
      </c>
      <c r="N333" s="112">
        <f t="shared" si="84"/>
        <v>0</v>
      </c>
      <c r="O333" t="s">
        <v>551</v>
      </c>
      <c r="P333">
        <v>151.41</v>
      </c>
      <c r="Q333" s="102">
        <f t="shared" si="88"/>
        <v>-151.41</v>
      </c>
      <c r="R333" s="102">
        <f t="shared" si="89"/>
        <v>-151.41</v>
      </c>
    </row>
    <row r="334" spans="1:18" x14ac:dyDescent="0.35">
      <c r="A334" s="106">
        <f t="shared" si="80"/>
        <v>8</v>
      </c>
      <c r="B334" s="107" t="str">
        <f>VLOOKUP(A334,[1]Hoja3!$C$3:$D$14,2,FALSE)</f>
        <v>AGOSTO</v>
      </c>
      <c r="C334" s="108">
        <v>45533.455405092594</v>
      </c>
      <c r="D334" s="108" t="s">
        <v>387</v>
      </c>
      <c r="E334" s="109" t="s">
        <v>403</v>
      </c>
      <c r="F334" s="109"/>
      <c r="G334" s="110" t="str">
        <f t="shared" si="91"/>
        <v>AGOSTO</v>
      </c>
      <c r="H334" s="252">
        <v>5735.26</v>
      </c>
      <c r="I334" s="102" t="str">
        <f t="shared" si="92"/>
        <v>AGOSTO</v>
      </c>
      <c r="J334">
        <v>0</v>
      </c>
      <c r="K334" t="str">
        <f t="shared" si="81"/>
        <v>AGOSTO</v>
      </c>
      <c r="L334" s="111">
        <f t="shared" si="82"/>
        <v>0</v>
      </c>
      <c r="M334" s="112">
        <f t="shared" si="83"/>
        <v>5735.26</v>
      </c>
      <c r="N334" s="112">
        <f t="shared" si="84"/>
        <v>5735.26</v>
      </c>
      <c r="O334" t="s">
        <v>451</v>
      </c>
      <c r="P334">
        <v>5735.26</v>
      </c>
      <c r="Q334" s="102">
        <f t="shared" si="88"/>
        <v>0</v>
      </c>
      <c r="R334" s="102">
        <f t="shared" si="89"/>
        <v>0</v>
      </c>
    </row>
    <row r="335" spans="1:18" x14ac:dyDescent="0.35">
      <c r="A335" s="106">
        <f t="shared" si="80"/>
        <v>8</v>
      </c>
      <c r="B335" s="107" t="str">
        <f>VLOOKUP(A335,[1]Hoja3!$C$3:$D$14,2,FALSE)</f>
        <v>AGOSTO</v>
      </c>
      <c r="C335" s="108">
        <v>45533.579143518517</v>
      </c>
      <c r="D335" s="108" t="s">
        <v>656</v>
      </c>
      <c r="E335" s="109" t="s">
        <v>650</v>
      </c>
      <c r="F335" s="109"/>
      <c r="G335" s="110" t="str">
        <f t="shared" si="91"/>
        <v>AGOSTO</v>
      </c>
      <c r="H335" s="252">
        <v>6260</v>
      </c>
      <c r="I335" s="102" t="str">
        <f t="shared" si="92"/>
        <v>AGOSTO</v>
      </c>
      <c r="J335">
        <v>0</v>
      </c>
      <c r="K335" t="str">
        <f t="shared" si="81"/>
        <v>AGOSTO</v>
      </c>
      <c r="L335" s="111">
        <f t="shared" si="82"/>
        <v>0</v>
      </c>
      <c r="M335" s="112">
        <f t="shared" si="83"/>
        <v>6260</v>
      </c>
      <c r="N335" s="112">
        <f t="shared" si="84"/>
        <v>6260</v>
      </c>
      <c r="O335" t="s">
        <v>451</v>
      </c>
      <c r="P335">
        <v>6260</v>
      </c>
      <c r="Q335" s="102">
        <f t="shared" si="88"/>
        <v>0</v>
      </c>
      <c r="R335" s="102">
        <f t="shared" si="89"/>
        <v>0</v>
      </c>
    </row>
    <row r="336" spans="1:18" x14ac:dyDescent="0.35">
      <c r="A336" s="106">
        <f t="shared" si="80"/>
        <v>8</v>
      </c>
      <c r="B336" s="107" t="str">
        <f>VLOOKUP(A336,[1]Hoja3!$C$3:$D$14,2,FALSE)</f>
        <v>AGOSTO</v>
      </c>
      <c r="C336" s="108">
        <v>45534.003136574072</v>
      </c>
      <c r="D336" s="108" t="s">
        <v>397</v>
      </c>
      <c r="E336" s="109" t="s">
        <v>413</v>
      </c>
      <c r="F336" s="109"/>
      <c r="G336" s="110" t="str">
        <f t="shared" si="91"/>
        <v>AGOSTO</v>
      </c>
      <c r="H336" s="252">
        <v>1840</v>
      </c>
      <c r="I336" s="102" t="str">
        <f t="shared" si="92"/>
        <v>AGOSTO</v>
      </c>
      <c r="J336">
        <v>0</v>
      </c>
      <c r="K336" t="str">
        <f t="shared" si="81"/>
        <v>AGOSTO</v>
      </c>
      <c r="L336" s="111">
        <f t="shared" si="82"/>
        <v>0</v>
      </c>
      <c r="M336" s="112">
        <f t="shared" si="83"/>
        <v>1840</v>
      </c>
      <c r="N336" s="112">
        <f t="shared" si="84"/>
        <v>1840</v>
      </c>
      <c r="O336" t="s">
        <v>451</v>
      </c>
      <c r="P336">
        <v>1840</v>
      </c>
      <c r="Q336" s="102">
        <f t="shared" si="88"/>
        <v>0</v>
      </c>
      <c r="R336" s="102">
        <f t="shared" si="89"/>
        <v>0</v>
      </c>
    </row>
    <row r="337" spans="1:18" x14ac:dyDescent="0.35">
      <c r="A337" s="106">
        <f t="shared" si="80"/>
        <v>8</v>
      </c>
      <c r="B337" s="107" t="str">
        <f>VLOOKUP(A337,[1]Hoja3!$C$3:$D$14,2,FALSE)</f>
        <v>AGOSTO</v>
      </c>
      <c r="C337" s="108">
        <v>45534.899594907409</v>
      </c>
      <c r="D337" s="108" t="s">
        <v>397</v>
      </c>
      <c r="E337" s="109" t="s">
        <v>413</v>
      </c>
      <c r="F337" s="109"/>
      <c r="G337" s="110" t="str">
        <f t="shared" si="91"/>
        <v>AGOSTO</v>
      </c>
      <c r="H337" s="252">
        <v>1840</v>
      </c>
      <c r="I337" s="102" t="str">
        <f t="shared" si="92"/>
        <v>AGOSTO</v>
      </c>
      <c r="J337">
        <v>0</v>
      </c>
      <c r="K337" t="str">
        <f t="shared" si="81"/>
        <v>AGOSTO</v>
      </c>
      <c r="L337" s="111">
        <f t="shared" si="82"/>
        <v>0</v>
      </c>
      <c r="M337" s="112">
        <f t="shared" si="83"/>
        <v>1840</v>
      </c>
      <c r="N337" s="112">
        <f t="shared" si="84"/>
        <v>1840</v>
      </c>
      <c r="O337" t="s">
        <v>451</v>
      </c>
      <c r="P337">
        <v>1840</v>
      </c>
      <c r="Q337" s="102">
        <f t="shared" si="88"/>
        <v>0</v>
      </c>
      <c r="R337" s="102">
        <f t="shared" si="89"/>
        <v>0</v>
      </c>
    </row>
    <row r="338" spans="1:18" x14ac:dyDescent="0.35">
      <c r="A338" s="106">
        <f t="shared" si="80"/>
        <v>8</v>
      </c>
      <c r="B338" s="107" t="str">
        <f>VLOOKUP(A338,[1]Hoja3!$C$3:$D$14,2,FALSE)</f>
        <v>AGOSTO</v>
      </c>
      <c r="C338" s="108">
        <v>45534.903344907405</v>
      </c>
      <c r="D338" s="108" t="s">
        <v>397</v>
      </c>
      <c r="E338" s="109" t="s">
        <v>413</v>
      </c>
      <c r="F338" s="109"/>
      <c r="G338" s="110" t="str">
        <f t="shared" si="91"/>
        <v>AGOSTO</v>
      </c>
      <c r="H338" s="252">
        <v>1840</v>
      </c>
      <c r="I338" s="102" t="str">
        <f t="shared" si="92"/>
        <v>AGOSTO</v>
      </c>
      <c r="J338">
        <v>0</v>
      </c>
      <c r="K338" t="str">
        <f t="shared" si="81"/>
        <v>AGOSTO</v>
      </c>
      <c r="L338" s="111">
        <f t="shared" si="82"/>
        <v>0</v>
      </c>
      <c r="M338" s="112">
        <f t="shared" si="83"/>
        <v>1840</v>
      </c>
      <c r="N338" s="112">
        <f t="shared" si="84"/>
        <v>1840</v>
      </c>
      <c r="O338" t="s">
        <v>451</v>
      </c>
      <c r="P338">
        <v>1840</v>
      </c>
      <c r="Q338" s="102">
        <f t="shared" si="88"/>
        <v>0</v>
      </c>
      <c r="R338" s="102">
        <f t="shared" si="89"/>
        <v>0</v>
      </c>
    </row>
    <row r="339" spans="1:18" x14ac:dyDescent="0.35">
      <c r="A339" s="106">
        <f t="shared" si="80"/>
        <v>8</v>
      </c>
      <c r="B339" s="107" t="str">
        <f>VLOOKUP(A339,[1]Hoja3!$C$3:$D$14,2,FALSE)</f>
        <v>AGOSTO</v>
      </c>
      <c r="C339" s="108">
        <v>45534.981122685182</v>
      </c>
      <c r="D339" s="108" t="s">
        <v>397</v>
      </c>
      <c r="E339" s="109" t="s">
        <v>413</v>
      </c>
      <c r="F339" s="109"/>
      <c r="G339" s="110" t="str">
        <f t="shared" si="91"/>
        <v>AGOSTO</v>
      </c>
      <c r="H339" s="252">
        <v>1840</v>
      </c>
      <c r="I339" s="102" t="str">
        <f t="shared" si="92"/>
        <v>AGOSTO</v>
      </c>
      <c r="J339">
        <v>0</v>
      </c>
      <c r="K339" t="str">
        <f t="shared" si="81"/>
        <v>AGOSTO</v>
      </c>
      <c r="L339" s="111">
        <f t="shared" si="82"/>
        <v>0</v>
      </c>
      <c r="M339" s="112">
        <f t="shared" si="83"/>
        <v>1840</v>
      </c>
      <c r="N339" s="112">
        <f t="shared" si="84"/>
        <v>1840</v>
      </c>
      <c r="O339" t="s">
        <v>451</v>
      </c>
      <c r="P339">
        <v>1840</v>
      </c>
      <c r="Q339" s="102">
        <f t="shared" si="88"/>
        <v>0</v>
      </c>
      <c r="R339" s="102">
        <f t="shared" si="89"/>
        <v>0</v>
      </c>
    </row>
    <row r="340" spans="1:18" x14ac:dyDescent="0.35">
      <c r="A340" s="106">
        <f t="shared" si="80"/>
        <v>8</v>
      </c>
      <c r="B340" s="107" t="str">
        <f>VLOOKUP(A340,[1]Hoja3!$C$3:$D$14,2,FALSE)</f>
        <v>AGOSTO</v>
      </c>
      <c r="C340" s="108">
        <v>45534.994247685187</v>
      </c>
      <c r="D340" s="108" t="s">
        <v>397</v>
      </c>
      <c r="E340" s="109" t="s">
        <v>413</v>
      </c>
      <c r="F340" s="109"/>
      <c r="G340" s="110" t="str">
        <f t="shared" si="91"/>
        <v>AGOSTO</v>
      </c>
      <c r="H340" s="252">
        <v>1840</v>
      </c>
      <c r="I340" s="102" t="str">
        <f t="shared" si="92"/>
        <v>AGOSTO</v>
      </c>
      <c r="J340">
        <v>0</v>
      </c>
      <c r="K340" t="str">
        <f t="shared" si="81"/>
        <v>AGOSTO</v>
      </c>
      <c r="L340" s="111">
        <f t="shared" si="82"/>
        <v>0</v>
      </c>
      <c r="M340" s="112">
        <f t="shared" si="83"/>
        <v>1840</v>
      </c>
      <c r="N340" s="112">
        <f t="shared" si="84"/>
        <v>1840</v>
      </c>
      <c r="O340" t="s">
        <v>451</v>
      </c>
      <c r="P340">
        <v>1840</v>
      </c>
      <c r="Q340" s="102">
        <f t="shared" si="88"/>
        <v>0</v>
      </c>
      <c r="R340" s="102">
        <f t="shared" si="89"/>
        <v>0</v>
      </c>
    </row>
    <row r="341" spans="1:18" x14ac:dyDescent="0.35">
      <c r="A341" s="106">
        <f t="shared" si="80"/>
        <v>8</v>
      </c>
      <c r="B341" s="107" t="str">
        <f>VLOOKUP(A341,[1]Hoja3!$C$3:$D$14,2,FALSE)</f>
        <v>AGOSTO</v>
      </c>
      <c r="C341" s="108">
        <v>45535.007754629631</v>
      </c>
      <c r="D341" s="108" t="s">
        <v>397</v>
      </c>
      <c r="E341" s="109" t="s">
        <v>413</v>
      </c>
      <c r="F341" s="109"/>
      <c r="G341" s="110" t="str">
        <f t="shared" si="91"/>
        <v>AGOSTO</v>
      </c>
      <c r="H341" s="252">
        <v>230</v>
      </c>
      <c r="I341" s="102" t="str">
        <f t="shared" si="92"/>
        <v>AGOSTO</v>
      </c>
      <c r="J341">
        <v>0</v>
      </c>
      <c r="K341" t="str">
        <f t="shared" si="81"/>
        <v>AGOSTO</v>
      </c>
      <c r="L341" s="111">
        <f t="shared" si="82"/>
        <v>0</v>
      </c>
      <c r="M341" s="112">
        <f t="shared" si="83"/>
        <v>230</v>
      </c>
      <c r="N341" s="112">
        <f t="shared" si="84"/>
        <v>230</v>
      </c>
      <c r="O341" t="s">
        <v>451</v>
      </c>
      <c r="P341">
        <v>230</v>
      </c>
      <c r="Q341" s="102">
        <f t="shared" si="88"/>
        <v>0</v>
      </c>
      <c r="R341" s="102">
        <f t="shared" si="89"/>
        <v>0</v>
      </c>
    </row>
    <row r="342" spans="1:18" x14ac:dyDescent="0.35">
      <c r="A342" s="106">
        <f t="shared" si="80"/>
        <v>8</v>
      </c>
      <c r="B342" s="107" t="str">
        <f>VLOOKUP(A342,[1]Hoja3!$C$3:$D$14,2,FALSE)</f>
        <v>AGOSTO</v>
      </c>
      <c r="C342" s="108">
        <v>45535.476064814815</v>
      </c>
      <c r="D342" s="108" t="s">
        <v>388</v>
      </c>
      <c r="E342" s="109" t="s">
        <v>404</v>
      </c>
      <c r="F342" s="109"/>
      <c r="G342" s="110" t="str">
        <f t="shared" si="91"/>
        <v>AGOSTO</v>
      </c>
      <c r="H342" s="252">
        <v>9600</v>
      </c>
      <c r="I342" s="102" t="str">
        <f t="shared" si="92"/>
        <v>AGOSTO</v>
      </c>
      <c r="J342">
        <v>0</v>
      </c>
      <c r="K342" t="str">
        <f t="shared" si="81"/>
        <v>AGOSTO</v>
      </c>
      <c r="L342" s="111">
        <f t="shared" si="82"/>
        <v>0</v>
      </c>
      <c r="M342" s="112">
        <f t="shared" si="83"/>
        <v>9600</v>
      </c>
      <c r="N342" s="112">
        <f t="shared" si="84"/>
        <v>9600</v>
      </c>
      <c r="O342" t="s">
        <v>451</v>
      </c>
      <c r="P342">
        <v>9600</v>
      </c>
      <c r="Q342" s="102">
        <f t="shared" si="88"/>
        <v>0</v>
      </c>
      <c r="R342" s="102">
        <f t="shared" si="89"/>
        <v>0</v>
      </c>
    </row>
    <row r="343" spans="1:18" x14ac:dyDescent="0.35">
      <c r="A343" s="106">
        <f t="shared" si="80"/>
        <v>8</v>
      </c>
      <c r="B343" s="107" t="str">
        <f>VLOOKUP(A343,[1]Hoja3!$C$3:$D$14,2,FALSE)</f>
        <v>AGOSTO</v>
      </c>
      <c r="C343" s="108">
        <v>45535.476956018516</v>
      </c>
      <c r="D343" s="108" t="s">
        <v>388</v>
      </c>
      <c r="E343" s="109" t="s">
        <v>404</v>
      </c>
      <c r="F343" s="109"/>
      <c r="G343" s="110" t="str">
        <f t="shared" si="91"/>
        <v>AGOSTO</v>
      </c>
      <c r="H343" s="252">
        <v>8360</v>
      </c>
      <c r="I343" s="102" t="str">
        <f t="shared" si="92"/>
        <v>AGOSTO</v>
      </c>
      <c r="J343">
        <v>0</v>
      </c>
      <c r="K343" t="str">
        <f t="shared" si="81"/>
        <v>AGOSTO</v>
      </c>
      <c r="L343" s="111">
        <f t="shared" si="82"/>
        <v>0</v>
      </c>
      <c r="M343" s="112">
        <f t="shared" si="83"/>
        <v>8360</v>
      </c>
      <c r="N343" s="112">
        <f t="shared" si="84"/>
        <v>8360</v>
      </c>
      <c r="O343" t="s">
        <v>451</v>
      </c>
      <c r="P343">
        <v>8360</v>
      </c>
      <c r="Q343" s="102">
        <f t="shared" si="88"/>
        <v>0</v>
      </c>
      <c r="R343" s="102">
        <f t="shared" si="89"/>
        <v>0</v>
      </c>
    </row>
    <row r="344" spans="1:18" x14ac:dyDescent="0.35">
      <c r="A344" s="106">
        <f t="shared" si="80"/>
        <v>8</v>
      </c>
      <c r="B344" s="107" t="str">
        <f>VLOOKUP(A344,[1]Hoja3!$C$3:$D$14,2,FALSE)</f>
        <v>AGOSTO</v>
      </c>
      <c r="C344" s="108">
        <v>45535.539918981478</v>
      </c>
      <c r="D344" s="108" t="s">
        <v>388</v>
      </c>
      <c r="E344" s="109" t="s">
        <v>404</v>
      </c>
      <c r="F344" s="109"/>
      <c r="G344" s="110" t="str">
        <f t="shared" si="91"/>
        <v>AGOSTO</v>
      </c>
      <c r="H344" s="252">
        <v>35146</v>
      </c>
      <c r="I344" s="102" t="str">
        <f t="shared" si="92"/>
        <v>AGOSTO</v>
      </c>
      <c r="J344">
        <v>0</v>
      </c>
      <c r="K344" t="str">
        <f t="shared" si="81"/>
        <v>AGOSTO</v>
      </c>
      <c r="L344" s="111">
        <f t="shared" si="82"/>
        <v>0</v>
      </c>
      <c r="M344" s="112">
        <f t="shared" si="83"/>
        <v>35146</v>
      </c>
      <c r="N344" s="112">
        <f t="shared" si="84"/>
        <v>35146</v>
      </c>
      <c r="O344" t="s">
        <v>451</v>
      </c>
      <c r="P344">
        <v>35146</v>
      </c>
      <c r="Q344" s="102">
        <f t="shared" si="88"/>
        <v>0</v>
      </c>
      <c r="R344" s="102">
        <f t="shared" si="89"/>
        <v>0</v>
      </c>
    </row>
    <row r="345" spans="1:18" x14ac:dyDescent="0.35">
      <c r="A345" s="106">
        <f t="shared" si="80"/>
        <v>8</v>
      </c>
      <c r="B345" s="107" t="str">
        <f>VLOOKUP(A345,[1]Hoja3!$C$3:$D$14,2,FALSE)</f>
        <v>AGOSTO</v>
      </c>
      <c r="C345" s="108">
        <v>45535.597696759258</v>
      </c>
      <c r="D345" s="108" t="s">
        <v>655</v>
      </c>
      <c r="E345" s="109" t="s">
        <v>649</v>
      </c>
      <c r="F345" s="109"/>
      <c r="G345" s="110" t="str">
        <f t="shared" si="91"/>
        <v>AGOSTO</v>
      </c>
      <c r="H345" s="252">
        <v>690.82</v>
      </c>
      <c r="I345" s="102" t="str">
        <f t="shared" si="92"/>
        <v>AGOSTO</v>
      </c>
      <c r="J345">
        <v>110.53</v>
      </c>
      <c r="K345" t="str">
        <f t="shared" si="81"/>
        <v>AGOSTO</v>
      </c>
      <c r="L345" s="111">
        <f t="shared" si="82"/>
        <v>690.8125</v>
      </c>
      <c r="M345" s="112">
        <f t="shared" si="83"/>
        <v>7.5000000000500222E-3</v>
      </c>
      <c r="N345" s="112">
        <f t="shared" si="84"/>
        <v>801.35</v>
      </c>
      <c r="O345" t="s">
        <v>451</v>
      </c>
      <c r="P345">
        <v>801.35</v>
      </c>
      <c r="Q345" s="102">
        <f t="shared" si="88"/>
        <v>0</v>
      </c>
      <c r="R345" s="102">
        <f t="shared" si="89"/>
        <v>-110.53</v>
      </c>
    </row>
    <row r="346" spans="1:18" x14ac:dyDescent="0.35">
      <c r="A346" s="106">
        <f t="shared" si="80"/>
        <v>8</v>
      </c>
      <c r="B346" s="107" t="str">
        <f>VLOOKUP(A346,[1]Hoja3!$C$3:$D$14,2,FALSE)</f>
        <v>AGOSTO</v>
      </c>
      <c r="C346" s="108">
        <v>45535.999988425923</v>
      </c>
      <c r="D346" s="108" t="s">
        <v>354</v>
      </c>
      <c r="E346" s="109" t="s">
        <v>353</v>
      </c>
      <c r="F346" s="109"/>
      <c r="G346" s="110" t="str">
        <f t="shared" si="91"/>
        <v>AGOSTO</v>
      </c>
      <c r="H346" s="252">
        <v>1631.77</v>
      </c>
      <c r="I346" s="102" t="str">
        <f t="shared" si="92"/>
        <v>AGOSTO</v>
      </c>
      <c r="J346">
        <v>140.4</v>
      </c>
      <c r="K346" t="str">
        <f t="shared" si="81"/>
        <v>AGOSTO</v>
      </c>
      <c r="L346" s="111">
        <f t="shared" si="82"/>
        <v>877.5</v>
      </c>
      <c r="M346" s="112">
        <f t="shared" si="83"/>
        <v>754.27</v>
      </c>
      <c r="N346" s="112">
        <f t="shared" si="84"/>
        <v>1772.17</v>
      </c>
      <c r="O346" t="s">
        <v>451</v>
      </c>
      <c r="P346">
        <v>1772.17</v>
      </c>
      <c r="Q346" s="102">
        <f t="shared" si="88"/>
        <v>0</v>
      </c>
      <c r="R346" s="102">
        <f t="shared" si="89"/>
        <v>-140.4</v>
      </c>
    </row>
    <row r="347" spans="1:18" x14ac:dyDescent="0.35">
      <c r="A347" s="106">
        <f t="shared" si="80"/>
        <v>8</v>
      </c>
      <c r="B347" s="107" t="str">
        <f>VLOOKUP(A347,[1]Hoja3!$C$3:$D$14,2,FALSE)</f>
        <v>AGOSTO</v>
      </c>
      <c r="C347" s="108">
        <v>45535.999988425923</v>
      </c>
      <c r="D347" s="108" t="s">
        <v>392</v>
      </c>
      <c r="E347" s="109" t="s">
        <v>408</v>
      </c>
      <c r="F347" s="109"/>
      <c r="G347" s="110" t="str">
        <f t="shared" si="91"/>
        <v>AGOSTO</v>
      </c>
      <c r="H347" s="252">
        <v>3980</v>
      </c>
      <c r="I347" s="102" t="str">
        <f t="shared" si="92"/>
        <v>AGOSTO</v>
      </c>
      <c r="J347">
        <v>0</v>
      </c>
      <c r="K347" t="str">
        <f t="shared" si="81"/>
        <v>AGOSTO</v>
      </c>
      <c r="L347" s="111">
        <f t="shared" si="82"/>
        <v>0</v>
      </c>
      <c r="M347" s="112">
        <f t="shared" si="83"/>
        <v>3980</v>
      </c>
      <c r="N347" s="112">
        <f t="shared" si="84"/>
        <v>3980</v>
      </c>
      <c r="O347" t="s">
        <v>451</v>
      </c>
      <c r="P347">
        <v>3980</v>
      </c>
      <c r="Q347" s="102">
        <f t="shared" si="88"/>
        <v>0</v>
      </c>
      <c r="R347" s="102">
        <f t="shared" si="89"/>
        <v>0</v>
      </c>
    </row>
    <row r="348" spans="1:18" x14ac:dyDescent="0.35">
      <c r="A348" s="106">
        <f t="shared" si="80"/>
        <v>9</v>
      </c>
      <c r="B348" s="107" t="str">
        <f>VLOOKUP(A348,[1]Hoja3!$C$3:$D$14,2,FALSE)</f>
        <v>SEPTIEMBRE</v>
      </c>
      <c r="C348" s="108">
        <v>45536.337685185186</v>
      </c>
      <c r="D348" s="108" t="s">
        <v>395</v>
      </c>
      <c r="E348" s="109" t="s">
        <v>411</v>
      </c>
      <c r="F348" s="109" t="s">
        <v>759</v>
      </c>
      <c r="G348" s="110" t="str">
        <f t="shared" si="91"/>
        <v>SEPTIEMBRE</v>
      </c>
      <c r="H348" s="252">
        <v>0.14000000000000001</v>
      </c>
      <c r="I348" s="102" t="str">
        <f t="shared" si="92"/>
        <v>SEPTIEMBRE</v>
      </c>
      <c r="J348">
        <f t="shared" si="90"/>
        <v>2.2400000000000003E-2</v>
      </c>
      <c r="K348" t="str">
        <f t="shared" si="81"/>
        <v>SEPTIEMBRE</v>
      </c>
      <c r="L348" s="111">
        <f t="shared" si="82"/>
        <v>0.14000000000000001</v>
      </c>
      <c r="M348" s="112">
        <f t="shared" si="83"/>
        <v>0</v>
      </c>
      <c r="N348" s="112">
        <f t="shared" si="84"/>
        <v>0.16240000000000002</v>
      </c>
      <c r="O348" t="s">
        <v>451</v>
      </c>
      <c r="P348">
        <v>0.17</v>
      </c>
      <c r="Q348" s="102">
        <f t="shared" si="88"/>
        <v>-7.5999999999999956E-3</v>
      </c>
      <c r="R348" s="102">
        <f t="shared" si="89"/>
        <v>-0.03</v>
      </c>
    </row>
    <row r="349" spans="1:18" x14ac:dyDescent="0.35">
      <c r="A349" s="106">
        <f t="shared" si="80"/>
        <v>9</v>
      </c>
      <c r="B349" s="107" t="str">
        <f>VLOOKUP(A349,[1]Hoja3!$C$3:$D$14,2,FALSE)</f>
        <v>SEPTIEMBRE</v>
      </c>
      <c r="C349" s="108">
        <v>45536.337685185186</v>
      </c>
      <c r="D349" s="108" t="s">
        <v>395</v>
      </c>
      <c r="E349" s="109" t="s">
        <v>411</v>
      </c>
      <c r="F349" s="109" t="s">
        <v>760</v>
      </c>
      <c r="G349" s="110" t="str">
        <f t="shared" si="91"/>
        <v>SEPTIEMBRE</v>
      </c>
      <c r="H349" s="252">
        <v>42.96</v>
      </c>
      <c r="I349" s="102" t="str">
        <f t="shared" si="92"/>
        <v>SEPTIEMBRE</v>
      </c>
      <c r="J349">
        <f t="shared" si="90"/>
        <v>6.8736000000000006</v>
      </c>
      <c r="K349" t="str">
        <f t="shared" si="81"/>
        <v>SEPTIEMBRE</v>
      </c>
      <c r="L349" s="111">
        <f t="shared" si="82"/>
        <v>42.96</v>
      </c>
      <c r="M349" s="112">
        <f t="shared" si="83"/>
        <v>0</v>
      </c>
      <c r="N349" s="112">
        <f t="shared" si="84"/>
        <v>49.833600000000004</v>
      </c>
      <c r="O349" t="s">
        <v>451</v>
      </c>
      <c r="P349">
        <v>49.83</v>
      </c>
      <c r="Q349" s="102">
        <f t="shared" si="88"/>
        <v>3.6000000000058208E-3</v>
      </c>
      <c r="R349" s="102">
        <f t="shared" si="89"/>
        <v>-6.8699999999999948</v>
      </c>
    </row>
    <row r="350" spans="1:18" x14ac:dyDescent="0.35">
      <c r="A350" s="106">
        <f t="shared" si="80"/>
        <v>9</v>
      </c>
      <c r="B350" s="107" t="str">
        <f>VLOOKUP(A350,[1]Hoja3!$C$3:$D$14,2,FALSE)</f>
        <v>SEPTIEMBRE</v>
      </c>
      <c r="C350" s="108">
        <v>45537.811006944445</v>
      </c>
      <c r="D350" s="108" t="s">
        <v>382</v>
      </c>
      <c r="E350" s="109" t="s">
        <v>398</v>
      </c>
      <c r="F350" s="109" t="s">
        <v>414</v>
      </c>
      <c r="G350" s="110" t="str">
        <f t="shared" si="91"/>
        <v>SEPTIEMBRE</v>
      </c>
      <c r="H350" s="252">
        <v>961.4</v>
      </c>
      <c r="I350" s="102" t="str">
        <f t="shared" si="92"/>
        <v>SEPTIEMBRE</v>
      </c>
      <c r="J350">
        <f t="shared" si="90"/>
        <v>153.82400000000001</v>
      </c>
      <c r="K350" t="str">
        <f t="shared" si="81"/>
        <v>SEPTIEMBRE</v>
      </c>
      <c r="L350" s="111">
        <f t="shared" si="82"/>
        <v>961.40000000000009</v>
      </c>
      <c r="M350" s="112">
        <f t="shared" si="83"/>
        <v>0</v>
      </c>
      <c r="N350" s="112">
        <f t="shared" si="84"/>
        <v>1115.2239999999999</v>
      </c>
      <c r="O350" t="s">
        <v>451</v>
      </c>
      <c r="P350">
        <v>1115.22</v>
      </c>
      <c r="Q350" s="102">
        <f t="shared" si="88"/>
        <v>3.9999999999054126E-3</v>
      </c>
      <c r="R350" s="102">
        <f t="shared" si="89"/>
        <v>-153.82000000000011</v>
      </c>
    </row>
    <row r="351" spans="1:18" x14ac:dyDescent="0.35">
      <c r="A351" s="106">
        <f t="shared" si="80"/>
        <v>9</v>
      </c>
      <c r="B351" s="107" t="str">
        <f>VLOOKUP(A351,[1]Hoja3!$C$3:$D$14,2,FALSE)</f>
        <v>SEPTIEMBRE</v>
      </c>
      <c r="C351" s="108">
        <v>45537.860914351855</v>
      </c>
      <c r="D351" s="108" t="s">
        <v>385</v>
      </c>
      <c r="E351" s="109" t="s">
        <v>401</v>
      </c>
      <c r="F351" s="109" t="s">
        <v>761</v>
      </c>
      <c r="G351" s="110" t="str">
        <f t="shared" si="91"/>
        <v>SEPTIEMBRE</v>
      </c>
      <c r="H351" s="252">
        <v>1252.73</v>
      </c>
      <c r="I351" s="102" t="str">
        <f t="shared" si="92"/>
        <v>SEPTIEMBRE</v>
      </c>
      <c r="J351">
        <v>195.42</v>
      </c>
      <c r="K351" t="str">
        <f t="shared" si="81"/>
        <v>SEPTIEMBRE</v>
      </c>
      <c r="L351" s="111">
        <f t="shared" si="82"/>
        <v>1221.375</v>
      </c>
      <c r="M351" s="112">
        <f t="shared" si="83"/>
        <v>31.355000000000018</v>
      </c>
      <c r="N351" s="112">
        <f t="shared" si="84"/>
        <v>1448.15</v>
      </c>
      <c r="O351" t="s">
        <v>451</v>
      </c>
      <c r="P351">
        <v>1448.15</v>
      </c>
      <c r="Q351" s="102">
        <f t="shared" si="88"/>
        <v>0</v>
      </c>
      <c r="R351" s="102">
        <f t="shared" si="89"/>
        <v>-195.42</v>
      </c>
    </row>
    <row r="352" spans="1:18" x14ac:dyDescent="0.35">
      <c r="A352" s="106">
        <f t="shared" si="80"/>
        <v>9</v>
      </c>
      <c r="B352" s="107" t="str">
        <f>VLOOKUP(A352,[1]Hoja3!$C$3:$D$14,2,FALSE)</f>
        <v>SEPTIEMBRE</v>
      </c>
      <c r="C352" s="108">
        <v>45539.840127314812</v>
      </c>
      <c r="D352" s="108" t="s">
        <v>396</v>
      </c>
      <c r="E352" s="109" t="s">
        <v>412</v>
      </c>
      <c r="F352" s="109" t="s">
        <v>762</v>
      </c>
      <c r="G352" s="110" t="str">
        <f t="shared" si="91"/>
        <v>SEPTIEMBRE</v>
      </c>
      <c r="H352" s="252">
        <v>0</v>
      </c>
      <c r="I352" s="102" t="str">
        <f t="shared" si="92"/>
        <v>SEPTIEMBRE</v>
      </c>
      <c r="J352">
        <f t="shared" si="90"/>
        <v>0</v>
      </c>
      <c r="K352" t="str">
        <f t="shared" si="81"/>
        <v>SEPTIEMBRE</v>
      </c>
      <c r="L352" s="111">
        <f t="shared" si="82"/>
        <v>0</v>
      </c>
      <c r="M352" s="112">
        <f t="shared" si="83"/>
        <v>0</v>
      </c>
      <c r="N352" s="112">
        <f t="shared" si="84"/>
        <v>0</v>
      </c>
      <c r="P352">
        <v>0</v>
      </c>
      <c r="Q352" s="102">
        <f t="shared" si="88"/>
        <v>0</v>
      </c>
      <c r="R352" s="102">
        <f t="shared" si="89"/>
        <v>0</v>
      </c>
    </row>
    <row r="353" spans="1:18" x14ac:dyDescent="0.35">
      <c r="A353" s="106">
        <f t="shared" ref="A353:A416" si="93">IF(C353&gt;0,MONTH(C353),0)</f>
        <v>9</v>
      </c>
      <c r="B353" s="107" t="str">
        <f>VLOOKUP(A353,[1]Hoja3!$C$3:$D$14,2,FALSE)</f>
        <v>SEPTIEMBRE</v>
      </c>
      <c r="C353" s="108">
        <v>45539.840127314812</v>
      </c>
      <c r="D353" s="108" t="s">
        <v>395</v>
      </c>
      <c r="E353" s="109" t="s">
        <v>411</v>
      </c>
      <c r="F353" s="109" t="s">
        <v>763</v>
      </c>
      <c r="G353" s="110" t="str">
        <f t="shared" si="91"/>
        <v>SEPTIEMBRE</v>
      </c>
      <c r="H353" s="252">
        <v>0</v>
      </c>
      <c r="I353" s="102" t="str">
        <f t="shared" si="92"/>
        <v>SEPTIEMBRE</v>
      </c>
      <c r="J353">
        <f t="shared" si="90"/>
        <v>0</v>
      </c>
      <c r="K353" t="str">
        <f t="shared" ref="K353:K416" si="94">+B353</f>
        <v>SEPTIEMBRE</v>
      </c>
      <c r="L353" s="111">
        <f t="shared" ref="L353:L416" si="95">+J353/0.16</f>
        <v>0</v>
      </c>
      <c r="M353" s="112">
        <f t="shared" ref="M353:M416" si="96">+H353-L353</f>
        <v>0</v>
      </c>
      <c r="N353" s="112">
        <f t="shared" ref="N353:N416" si="97">+H353+J353</f>
        <v>0</v>
      </c>
      <c r="P353">
        <v>0</v>
      </c>
      <c r="Q353" s="102">
        <f t="shared" si="88"/>
        <v>0</v>
      </c>
      <c r="R353" s="102">
        <f t="shared" si="89"/>
        <v>0</v>
      </c>
    </row>
    <row r="354" spans="1:18" x14ac:dyDescent="0.35">
      <c r="A354" s="106">
        <f t="shared" si="93"/>
        <v>9</v>
      </c>
      <c r="B354" s="107" t="str">
        <f>VLOOKUP(A354,[1]Hoja3!$C$3:$D$14,2,FALSE)</f>
        <v>SEPTIEMBRE</v>
      </c>
      <c r="C354" s="108">
        <v>45540.481678240743</v>
      </c>
      <c r="D354" s="108" t="s">
        <v>751</v>
      </c>
      <c r="E354" s="109" t="s">
        <v>755</v>
      </c>
      <c r="F354" s="109" t="s">
        <v>448</v>
      </c>
      <c r="G354" s="110" t="str">
        <f t="shared" si="91"/>
        <v>SEPTIEMBRE</v>
      </c>
      <c r="H354" s="252">
        <v>58695</v>
      </c>
      <c r="I354" s="102" t="str">
        <f t="shared" si="92"/>
        <v>SEPTIEMBRE</v>
      </c>
      <c r="J354">
        <v>0</v>
      </c>
      <c r="K354" t="str">
        <f t="shared" si="94"/>
        <v>SEPTIEMBRE</v>
      </c>
      <c r="L354" s="111">
        <f t="shared" si="95"/>
        <v>0</v>
      </c>
      <c r="M354" s="112">
        <f t="shared" si="96"/>
        <v>58695</v>
      </c>
      <c r="N354" s="112">
        <f t="shared" si="97"/>
        <v>58695</v>
      </c>
      <c r="O354" t="s">
        <v>451</v>
      </c>
      <c r="P354">
        <v>58695</v>
      </c>
      <c r="Q354" s="102">
        <f t="shared" si="88"/>
        <v>0</v>
      </c>
      <c r="R354" s="102">
        <f t="shared" si="89"/>
        <v>0</v>
      </c>
    </row>
    <row r="355" spans="1:18" x14ac:dyDescent="0.35">
      <c r="A355" s="106">
        <f t="shared" si="93"/>
        <v>9</v>
      </c>
      <c r="B355" s="107" t="str">
        <f>VLOOKUP(A355,[1]Hoja3!$C$3:$D$14,2,FALSE)</f>
        <v>SEPTIEMBRE</v>
      </c>
      <c r="C355" s="108">
        <v>45541.449803240743</v>
      </c>
      <c r="D355" s="108" t="s">
        <v>390</v>
      </c>
      <c r="E355" s="109" t="s">
        <v>406</v>
      </c>
      <c r="F355" s="109" t="s">
        <v>764</v>
      </c>
      <c r="G355" s="110" t="str">
        <f t="shared" si="91"/>
        <v>SEPTIEMBRE</v>
      </c>
      <c r="H355" s="252">
        <v>2327.59</v>
      </c>
      <c r="I355" s="102" t="str">
        <f t="shared" si="92"/>
        <v>SEPTIEMBRE</v>
      </c>
      <c r="J355">
        <v>372.41</v>
      </c>
      <c r="K355" t="str">
        <f t="shared" si="94"/>
        <v>SEPTIEMBRE</v>
      </c>
      <c r="L355" s="111">
        <f t="shared" si="95"/>
        <v>2327.5625</v>
      </c>
      <c r="M355" s="112">
        <f t="shared" si="96"/>
        <v>2.7500000000145519E-2</v>
      </c>
      <c r="N355" s="112">
        <f t="shared" si="97"/>
        <v>2700</v>
      </c>
      <c r="O355" t="s">
        <v>451</v>
      </c>
      <c r="P355">
        <v>2700</v>
      </c>
      <c r="Q355" s="102">
        <f t="shared" si="88"/>
        <v>0</v>
      </c>
      <c r="R355" s="102">
        <f t="shared" si="89"/>
        <v>-372.41</v>
      </c>
    </row>
    <row r="356" spans="1:18" x14ac:dyDescent="0.35">
      <c r="A356" s="106">
        <f t="shared" si="93"/>
        <v>9</v>
      </c>
      <c r="B356" s="107" t="str">
        <f>VLOOKUP(A356,[1]Hoja3!$C$3:$D$14,2,FALSE)</f>
        <v>SEPTIEMBRE</v>
      </c>
      <c r="C356" s="108">
        <v>45541.543993055559</v>
      </c>
      <c r="D356" s="108" t="s">
        <v>387</v>
      </c>
      <c r="E356" s="109" t="s">
        <v>403</v>
      </c>
      <c r="F356" s="109" t="s">
        <v>765</v>
      </c>
      <c r="G356" s="110" t="str">
        <f t="shared" si="91"/>
        <v>SEPTIEMBRE</v>
      </c>
      <c r="H356" s="252">
        <v>1799.52</v>
      </c>
      <c r="I356" s="102" t="str">
        <f t="shared" si="92"/>
        <v>SEPTIEMBRE</v>
      </c>
      <c r="J356">
        <v>19.559999999999999</v>
      </c>
      <c r="K356" t="str">
        <f t="shared" si="94"/>
        <v>SEPTIEMBRE</v>
      </c>
      <c r="L356" s="111">
        <f t="shared" si="95"/>
        <v>122.24999999999999</v>
      </c>
      <c r="M356" s="112">
        <f t="shared" si="96"/>
        <v>1677.27</v>
      </c>
      <c r="N356" s="112">
        <f t="shared" si="97"/>
        <v>1819.08</v>
      </c>
      <c r="O356" t="s">
        <v>451</v>
      </c>
      <c r="P356">
        <v>1819.08</v>
      </c>
      <c r="Q356" s="102">
        <f t="shared" si="88"/>
        <v>0</v>
      </c>
      <c r="R356" s="102">
        <f t="shared" si="89"/>
        <v>-19.559999999999999</v>
      </c>
    </row>
    <row r="357" spans="1:18" x14ac:dyDescent="0.35">
      <c r="A357" s="106">
        <f t="shared" si="93"/>
        <v>9</v>
      </c>
      <c r="B357" s="107" t="str">
        <f>VLOOKUP(A357,[1]Hoja3!$C$3:$D$14,2,FALSE)</f>
        <v>SEPTIEMBRE</v>
      </c>
      <c r="C357" s="108">
        <v>45541.655046296299</v>
      </c>
      <c r="D357" s="108" t="s">
        <v>393</v>
      </c>
      <c r="E357" s="109" t="s">
        <v>409</v>
      </c>
      <c r="F357" s="109" t="s">
        <v>766</v>
      </c>
      <c r="G357" s="110" t="str">
        <f t="shared" si="91"/>
        <v>SEPTIEMBRE</v>
      </c>
      <c r="H357" s="252">
        <v>0</v>
      </c>
      <c r="I357" s="102" t="str">
        <f t="shared" si="92"/>
        <v>SEPTIEMBRE</v>
      </c>
      <c r="J357">
        <f t="shared" si="90"/>
        <v>0</v>
      </c>
      <c r="K357" t="str">
        <f t="shared" si="94"/>
        <v>SEPTIEMBRE</v>
      </c>
      <c r="L357" s="111">
        <f t="shared" si="95"/>
        <v>0</v>
      </c>
      <c r="M357" s="112">
        <f t="shared" si="96"/>
        <v>0</v>
      </c>
      <c r="N357" s="112">
        <f t="shared" si="97"/>
        <v>0</v>
      </c>
      <c r="O357" t="s">
        <v>551</v>
      </c>
      <c r="P357">
        <v>777.15</v>
      </c>
      <c r="Q357" s="102"/>
      <c r="R357" s="102"/>
    </row>
    <row r="358" spans="1:18" x14ac:dyDescent="0.35">
      <c r="A358" s="106">
        <f t="shared" si="93"/>
        <v>9</v>
      </c>
      <c r="B358" s="107" t="str">
        <f>VLOOKUP(A358,[1]Hoja3!$C$3:$D$14,2,FALSE)</f>
        <v>SEPTIEMBRE</v>
      </c>
      <c r="C358" s="108">
        <v>45543.358831018515</v>
      </c>
      <c r="D358" s="108" t="s">
        <v>386</v>
      </c>
      <c r="E358" s="109" t="s">
        <v>402</v>
      </c>
      <c r="F358" s="109" t="s">
        <v>418</v>
      </c>
      <c r="G358" s="110" t="str">
        <f t="shared" si="91"/>
        <v>SEPTIEMBRE</v>
      </c>
      <c r="H358" s="252">
        <v>0.01</v>
      </c>
      <c r="I358" s="102" t="str">
        <f t="shared" si="92"/>
        <v>SEPTIEMBRE</v>
      </c>
      <c r="J358">
        <f t="shared" si="90"/>
        <v>1.6000000000000001E-3</v>
      </c>
      <c r="K358" t="str">
        <f t="shared" si="94"/>
        <v>SEPTIEMBRE</v>
      </c>
      <c r="L358" s="111">
        <f t="shared" si="95"/>
        <v>0.01</v>
      </c>
      <c r="M358" s="112">
        <f t="shared" si="96"/>
        <v>0</v>
      </c>
      <c r="N358" s="112">
        <f t="shared" si="97"/>
        <v>1.1600000000000001E-2</v>
      </c>
      <c r="O358" t="s">
        <v>451</v>
      </c>
      <c r="P358">
        <v>0</v>
      </c>
      <c r="Q358" s="102">
        <f t="shared" si="88"/>
        <v>1.1600000000000001E-2</v>
      </c>
      <c r="R358" s="102">
        <f t="shared" si="89"/>
        <v>0.01</v>
      </c>
    </row>
    <row r="359" spans="1:18" x14ac:dyDescent="0.35">
      <c r="A359" s="106">
        <f t="shared" si="93"/>
        <v>9</v>
      </c>
      <c r="B359" s="107" t="str">
        <f>VLOOKUP(A359,[1]Hoja3!$C$3:$D$14,2,FALSE)</f>
        <v>SEPTIEMBRE</v>
      </c>
      <c r="C359" s="108">
        <v>45543.535891203705</v>
      </c>
      <c r="D359" s="108" t="s">
        <v>385</v>
      </c>
      <c r="E359" s="109" t="s">
        <v>401</v>
      </c>
      <c r="F359" s="109" t="s">
        <v>767</v>
      </c>
      <c r="G359" s="110" t="str">
        <f t="shared" si="91"/>
        <v>SEPTIEMBRE</v>
      </c>
      <c r="H359" s="252">
        <v>1220.1099999999999</v>
      </c>
      <c r="I359" s="102" t="str">
        <f t="shared" si="92"/>
        <v>SEPTIEMBRE</v>
      </c>
      <c r="J359">
        <v>190.3</v>
      </c>
      <c r="K359" t="str">
        <f t="shared" si="94"/>
        <v>SEPTIEMBRE</v>
      </c>
      <c r="L359" s="111">
        <f t="shared" si="95"/>
        <v>1189.375</v>
      </c>
      <c r="M359" s="112">
        <f t="shared" si="96"/>
        <v>30.7349999999999</v>
      </c>
      <c r="N359" s="112">
        <f t="shared" si="97"/>
        <v>1410.4099999999999</v>
      </c>
      <c r="O359" t="s">
        <v>451</v>
      </c>
      <c r="P359">
        <v>1410.41</v>
      </c>
      <c r="Q359" s="102">
        <f t="shared" si="88"/>
        <v>0</v>
      </c>
      <c r="R359" s="102">
        <f t="shared" si="89"/>
        <v>-190.3</v>
      </c>
    </row>
    <row r="360" spans="1:18" x14ac:dyDescent="0.35">
      <c r="A360" s="106">
        <f t="shared" si="93"/>
        <v>9</v>
      </c>
      <c r="B360" s="107" t="str">
        <f>VLOOKUP(A360,[1]Hoja3!$C$3:$D$14,2,FALSE)</f>
        <v>SEPTIEMBRE</v>
      </c>
      <c r="C360" s="108">
        <v>45544.987083333333</v>
      </c>
      <c r="D360" s="108" t="s">
        <v>383</v>
      </c>
      <c r="E360" s="109" t="s">
        <v>399</v>
      </c>
      <c r="F360" s="109" t="s">
        <v>768</v>
      </c>
      <c r="G360" s="110" t="str">
        <f t="shared" si="91"/>
        <v>SEPTIEMBRE</v>
      </c>
      <c r="H360" s="252">
        <v>23180</v>
      </c>
      <c r="I360" s="102" t="str">
        <f t="shared" si="92"/>
        <v>SEPTIEMBRE</v>
      </c>
      <c r="J360">
        <v>0</v>
      </c>
      <c r="K360" t="str">
        <f t="shared" si="94"/>
        <v>SEPTIEMBRE</v>
      </c>
      <c r="L360" s="111">
        <f t="shared" si="95"/>
        <v>0</v>
      </c>
      <c r="M360" s="112">
        <f t="shared" si="96"/>
        <v>23180</v>
      </c>
      <c r="N360" s="112">
        <f t="shared" si="97"/>
        <v>23180</v>
      </c>
      <c r="O360" t="s">
        <v>451</v>
      </c>
      <c r="P360">
        <v>23180</v>
      </c>
      <c r="Q360" s="102">
        <f t="shared" si="88"/>
        <v>0</v>
      </c>
      <c r="R360" s="102">
        <f t="shared" si="89"/>
        <v>0</v>
      </c>
    </row>
    <row r="361" spans="1:18" x14ac:dyDescent="0.35">
      <c r="A361" s="106">
        <f t="shared" si="93"/>
        <v>9</v>
      </c>
      <c r="B361" s="107" t="str">
        <f>VLOOKUP(A361,[1]Hoja3!$C$3:$D$14,2,FALSE)</f>
        <v>SEPTIEMBRE</v>
      </c>
      <c r="C361" s="108">
        <v>45545.33390046296</v>
      </c>
      <c r="D361" s="108" t="s">
        <v>752</v>
      </c>
      <c r="E361" s="109" t="s">
        <v>756</v>
      </c>
      <c r="F361" s="109" t="s">
        <v>769</v>
      </c>
      <c r="G361" s="110" t="str">
        <f t="shared" si="91"/>
        <v>SEPTIEMBRE</v>
      </c>
      <c r="H361" s="252">
        <v>1500</v>
      </c>
      <c r="I361" s="102" t="str">
        <f t="shared" si="92"/>
        <v>SEPTIEMBRE</v>
      </c>
      <c r="J361">
        <v>0</v>
      </c>
      <c r="K361" t="str">
        <f t="shared" si="94"/>
        <v>SEPTIEMBRE</v>
      </c>
      <c r="L361" s="111">
        <f t="shared" si="95"/>
        <v>0</v>
      </c>
      <c r="M361" s="112">
        <f t="shared" si="96"/>
        <v>1500</v>
      </c>
      <c r="N361" s="112">
        <f t="shared" si="97"/>
        <v>1500</v>
      </c>
      <c r="O361" t="s">
        <v>451</v>
      </c>
      <c r="P361">
        <v>1500</v>
      </c>
      <c r="Q361" s="102">
        <f t="shared" si="88"/>
        <v>0</v>
      </c>
      <c r="R361" s="102">
        <f t="shared" si="89"/>
        <v>0</v>
      </c>
    </row>
    <row r="362" spans="1:18" x14ac:dyDescent="0.35">
      <c r="A362" s="106">
        <f t="shared" si="93"/>
        <v>9</v>
      </c>
      <c r="B362" s="107" t="str">
        <f>VLOOKUP(A362,[1]Hoja3!$C$3:$D$14,2,FALSE)</f>
        <v>SEPTIEMBRE</v>
      </c>
      <c r="C362" s="108">
        <v>45545.334432870368</v>
      </c>
      <c r="D362" s="108" t="s">
        <v>752</v>
      </c>
      <c r="E362" s="109" t="s">
        <v>756</v>
      </c>
      <c r="F362" s="109" t="s">
        <v>770</v>
      </c>
      <c r="G362" s="110" t="str">
        <f t="shared" si="91"/>
        <v>SEPTIEMBRE</v>
      </c>
      <c r="H362" s="252">
        <v>1500</v>
      </c>
      <c r="I362" s="102" t="str">
        <f t="shared" si="92"/>
        <v>SEPTIEMBRE</v>
      </c>
      <c r="J362">
        <v>0</v>
      </c>
      <c r="K362" t="str">
        <f t="shared" si="94"/>
        <v>SEPTIEMBRE</v>
      </c>
      <c r="L362" s="111">
        <f t="shared" si="95"/>
        <v>0</v>
      </c>
      <c r="M362" s="112">
        <f t="shared" si="96"/>
        <v>1500</v>
      </c>
      <c r="N362" s="112">
        <f t="shared" si="97"/>
        <v>1500</v>
      </c>
      <c r="O362" t="s">
        <v>451</v>
      </c>
      <c r="P362">
        <v>1500</v>
      </c>
      <c r="Q362" s="102">
        <f t="shared" si="88"/>
        <v>0</v>
      </c>
      <c r="R362" s="102">
        <f t="shared" si="89"/>
        <v>0</v>
      </c>
    </row>
    <row r="363" spans="1:18" x14ac:dyDescent="0.35">
      <c r="A363" s="106">
        <f t="shared" si="93"/>
        <v>9</v>
      </c>
      <c r="B363" s="107" t="str">
        <f>VLOOKUP(A363,[1]Hoja3!$C$3:$D$14,2,FALSE)</f>
        <v>SEPTIEMBRE</v>
      </c>
      <c r="C363" s="108">
        <v>45545.486030092594</v>
      </c>
      <c r="D363" s="108" t="s">
        <v>387</v>
      </c>
      <c r="E363" s="109" t="s">
        <v>403</v>
      </c>
      <c r="F363" s="109" t="s">
        <v>771</v>
      </c>
      <c r="G363" s="110" t="str">
        <f t="shared" si="91"/>
        <v>SEPTIEMBRE</v>
      </c>
      <c r="H363" s="252">
        <v>7887.57</v>
      </c>
      <c r="I363" s="102" t="str">
        <f t="shared" si="92"/>
        <v>SEPTIEMBRE</v>
      </c>
      <c r="J363">
        <v>0</v>
      </c>
      <c r="K363" t="str">
        <f t="shared" si="94"/>
        <v>SEPTIEMBRE</v>
      </c>
      <c r="L363" s="111">
        <f t="shared" si="95"/>
        <v>0</v>
      </c>
      <c r="M363" s="112">
        <f t="shared" si="96"/>
        <v>7887.57</v>
      </c>
      <c r="N363" s="112">
        <f t="shared" si="97"/>
        <v>7887.57</v>
      </c>
      <c r="O363" t="s">
        <v>451</v>
      </c>
      <c r="P363">
        <v>7887.57</v>
      </c>
      <c r="Q363" s="102">
        <f t="shared" si="88"/>
        <v>0</v>
      </c>
      <c r="R363" s="102">
        <f t="shared" si="89"/>
        <v>0</v>
      </c>
    </row>
    <row r="364" spans="1:18" x14ac:dyDescent="0.35">
      <c r="A364" s="106">
        <f t="shared" si="93"/>
        <v>9</v>
      </c>
      <c r="B364" s="107" t="str">
        <f>VLOOKUP(A364,[1]Hoja3!$C$3:$D$14,2,FALSE)</f>
        <v>SEPTIEMBRE</v>
      </c>
      <c r="C364" s="108">
        <v>45546.56759259259</v>
      </c>
      <c r="D364" s="108" t="s">
        <v>658</v>
      </c>
      <c r="E364" s="109" t="s">
        <v>652</v>
      </c>
      <c r="F364" s="109" t="s">
        <v>772</v>
      </c>
      <c r="G364" s="110" t="str">
        <f t="shared" si="91"/>
        <v>SEPTIEMBRE</v>
      </c>
      <c r="H364" s="252">
        <v>646.54999999999995</v>
      </c>
      <c r="I364" s="102" t="str">
        <f t="shared" si="92"/>
        <v>SEPTIEMBRE</v>
      </c>
      <c r="J364">
        <v>103.45</v>
      </c>
      <c r="K364" t="str">
        <f t="shared" si="94"/>
        <v>SEPTIEMBRE</v>
      </c>
      <c r="L364" s="111">
        <f t="shared" si="95"/>
        <v>646.5625</v>
      </c>
      <c r="M364" s="112">
        <f t="shared" si="96"/>
        <v>-1.2500000000045475E-2</v>
      </c>
      <c r="N364" s="112">
        <f t="shared" si="97"/>
        <v>750</v>
      </c>
      <c r="O364" t="s">
        <v>451</v>
      </c>
      <c r="P364">
        <v>750</v>
      </c>
      <c r="Q364" s="102">
        <f t="shared" si="88"/>
        <v>0</v>
      </c>
      <c r="R364" s="102">
        <f t="shared" si="89"/>
        <v>-103.45</v>
      </c>
    </row>
    <row r="365" spans="1:18" x14ac:dyDescent="0.35">
      <c r="A365" s="106">
        <f t="shared" si="93"/>
        <v>9</v>
      </c>
      <c r="B365" s="107" t="str">
        <f>VLOOKUP(A365,[1]Hoja3!$C$3:$D$14,2,FALSE)</f>
        <v>SEPTIEMBRE</v>
      </c>
      <c r="C365" s="108">
        <v>45549.443437499998</v>
      </c>
      <c r="D365" s="108" t="s">
        <v>659</v>
      </c>
      <c r="E365" s="109" t="s">
        <v>653</v>
      </c>
      <c r="F365" s="109" t="s">
        <v>773</v>
      </c>
      <c r="G365" s="110" t="str">
        <f t="shared" si="91"/>
        <v>SEPTIEMBRE</v>
      </c>
      <c r="H365" s="252">
        <v>1716.62</v>
      </c>
      <c r="I365" s="102" t="str">
        <f t="shared" si="92"/>
        <v>SEPTIEMBRE</v>
      </c>
      <c r="J365">
        <v>197.36</v>
      </c>
      <c r="K365" t="str">
        <f t="shared" si="94"/>
        <v>SEPTIEMBRE</v>
      </c>
      <c r="L365" s="111">
        <f t="shared" si="95"/>
        <v>1233.5</v>
      </c>
      <c r="M365" s="112">
        <f t="shared" si="96"/>
        <v>483.11999999999989</v>
      </c>
      <c r="N365" s="112">
        <f t="shared" si="97"/>
        <v>1913.98</v>
      </c>
      <c r="O365" t="s">
        <v>451</v>
      </c>
      <c r="P365">
        <v>1913.98</v>
      </c>
      <c r="Q365" s="102">
        <f t="shared" si="88"/>
        <v>0</v>
      </c>
      <c r="R365" s="102">
        <f t="shared" si="89"/>
        <v>-197.36</v>
      </c>
    </row>
    <row r="366" spans="1:18" x14ac:dyDescent="0.35">
      <c r="A366" s="106">
        <f t="shared" si="93"/>
        <v>9</v>
      </c>
      <c r="B366" s="107" t="str">
        <f>VLOOKUP(A366,[1]Hoja3!$C$3:$D$14,2,FALSE)</f>
        <v>SEPTIEMBRE</v>
      </c>
      <c r="C366" s="108">
        <v>45549.523009259261</v>
      </c>
      <c r="D366" s="108" t="s">
        <v>753</v>
      </c>
      <c r="E366" s="109" t="s">
        <v>757</v>
      </c>
      <c r="F366" s="109" t="s">
        <v>774</v>
      </c>
      <c r="G366" s="110" t="str">
        <f t="shared" si="91"/>
        <v>SEPTIEMBRE</v>
      </c>
      <c r="H366" s="252">
        <v>324.02999999999997</v>
      </c>
      <c r="I366" s="102" t="str">
        <f t="shared" si="92"/>
        <v>SEPTIEMBRE</v>
      </c>
      <c r="J366">
        <v>130.97</v>
      </c>
      <c r="K366" t="str">
        <f t="shared" si="94"/>
        <v>SEPTIEMBRE</v>
      </c>
      <c r="L366" s="111">
        <f t="shared" si="95"/>
        <v>818.5625</v>
      </c>
      <c r="M366" s="112">
        <f t="shared" si="96"/>
        <v>-494.53250000000003</v>
      </c>
      <c r="N366" s="112">
        <f t="shared" si="97"/>
        <v>455</v>
      </c>
      <c r="O366" t="s">
        <v>451</v>
      </c>
      <c r="P366">
        <v>455</v>
      </c>
      <c r="Q366" s="102">
        <f t="shared" si="88"/>
        <v>0</v>
      </c>
      <c r="R366" s="102">
        <f t="shared" si="89"/>
        <v>-130.97</v>
      </c>
    </row>
    <row r="367" spans="1:18" x14ac:dyDescent="0.35">
      <c r="A367" s="106">
        <f t="shared" si="93"/>
        <v>9</v>
      </c>
      <c r="B367" s="107" t="str">
        <f>VLOOKUP(A367,[1]Hoja3!$C$3:$D$14,2,FALSE)</f>
        <v>SEPTIEMBRE</v>
      </c>
      <c r="C367" s="108">
        <v>45549.554050925923</v>
      </c>
      <c r="D367" s="108" t="s">
        <v>385</v>
      </c>
      <c r="E367" s="109" t="s">
        <v>401</v>
      </c>
      <c r="F367" s="109" t="s">
        <v>775</v>
      </c>
      <c r="G367" s="110" t="str">
        <f t="shared" si="91"/>
        <v>SEPTIEMBRE</v>
      </c>
      <c r="H367" s="252">
        <v>1252.46</v>
      </c>
      <c r="I367" s="102" t="str">
        <f t="shared" si="92"/>
        <v>SEPTIEMBRE</v>
      </c>
      <c r="J367">
        <v>195.34</v>
      </c>
      <c r="K367" t="str">
        <f t="shared" si="94"/>
        <v>SEPTIEMBRE</v>
      </c>
      <c r="L367" s="111">
        <f t="shared" si="95"/>
        <v>1220.875</v>
      </c>
      <c r="M367" s="112">
        <f t="shared" si="96"/>
        <v>31.585000000000036</v>
      </c>
      <c r="N367" s="112">
        <f t="shared" si="97"/>
        <v>1447.8</v>
      </c>
      <c r="O367" t="s">
        <v>451</v>
      </c>
      <c r="P367">
        <v>1447.8</v>
      </c>
      <c r="Q367" s="102">
        <f t="shared" si="88"/>
        <v>0</v>
      </c>
      <c r="R367" s="102">
        <f t="shared" si="89"/>
        <v>-195.34</v>
      </c>
    </row>
    <row r="368" spans="1:18" x14ac:dyDescent="0.35">
      <c r="A368" s="106">
        <f t="shared" si="93"/>
        <v>9</v>
      </c>
      <c r="B368" s="107" t="str">
        <f>VLOOKUP(A368,[1]Hoja3!$C$3:$D$14,2,FALSE)</f>
        <v>SEPTIEMBRE</v>
      </c>
      <c r="C368" s="108">
        <v>45552.560381944444</v>
      </c>
      <c r="D368" s="108" t="s">
        <v>392</v>
      </c>
      <c r="E368" s="109" t="s">
        <v>408</v>
      </c>
      <c r="F368" s="109" t="s">
        <v>776</v>
      </c>
      <c r="G368" s="110" t="str">
        <f t="shared" si="91"/>
        <v>SEPTIEMBRE</v>
      </c>
      <c r="H368" s="252">
        <v>5960</v>
      </c>
      <c r="I368" s="102" t="str">
        <f t="shared" si="92"/>
        <v>SEPTIEMBRE</v>
      </c>
      <c r="J368">
        <v>0</v>
      </c>
      <c r="K368" t="str">
        <f t="shared" si="94"/>
        <v>SEPTIEMBRE</v>
      </c>
      <c r="L368" s="111">
        <f t="shared" si="95"/>
        <v>0</v>
      </c>
      <c r="M368" s="112">
        <f t="shared" si="96"/>
        <v>5960</v>
      </c>
      <c r="N368" s="112">
        <f t="shared" si="97"/>
        <v>5960</v>
      </c>
      <c r="O368" t="s">
        <v>451</v>
      </c>
      <c r="P368">
        <v>5960</v>
      </c>
      <c r="Q368" s="102">
        <f t="shared" si="88"/>
        <v>0</v>
      </c>
      <c r="R368" s="102">
        <f t="shared" si="89"/>
        <v>0</v>
      </c>
    </row>
    <row r="369" spans="1:18" x14ac:dyDescent="0.35">
      <c r="A369" s="106">
        <f t="shared" si="93"/>
        <v>9</v>
      </c>
      <c r="B369" s="107" t="str">
        <f>VLOOKUP(A369,[1]Hoja3!$C$3:$D$14,2,FALSE)</f>
        <v>SEPTIEMBRE</v>
      </c>
      <c r="C369" s="108">
        <v>45552.791967592595</v>
      </c>
      <c r="D369" s="108" t="s">
        <v>754</v>
      </c>
      <c r="E369" s="109" t="s">
        <v>758</v>
      </c>
      <c r="F369" s="109" t="s">
        <v>777</v>
      </c>
      <c r="G369" s="110" t="str">
        <f t="shared" si="91"/>
        <v>SEPTIEMBRE</v>
      </c>
      <c r="H369" s="252">
        <v>4732.75</v>
      </c>
      <c r="I369" s="102" t="str">
        <f t="shared" si="92"/>
        <v>SEPTIEMBRE</v>
      </c>
      <c r="J369">
        <f t="shared" si="90"/>
        <v>757.24</v>
      </c>
      <c r="K369" t="str">
        <f t="shared" si="94"/>
        <v>SEPTIEMBRE</v>
      </c>
      <c r="L369" s="111">
        <f t="shared" si="95"/>
        <v>4732.75</v>
      </c>
      <c r="M369" s="112">
        <f t="shared" si="96"/>
        <v>0</v>
      </c>
      <c r="N369" s="112">
        <f t="shared" si="97"/>
        <v>5489.99</v>
      </c>
      <c r="O369" t="s">
        <v>451</v>
      </c>
      <c r="P369">
        <v>5489.99</v>
      </c>
      <c r="Q369" s="102">
        <f t="shared" si="88"/>
        <v>0</v>
      </c>
      <c r="R369" s="102">
        <f t="shared" si="89"/>
        <v>-757.24</v>
      </c>
    </row>
    <row r="370" spans="1:18" x14ac:dyDescent="0.35">
      <c r="A370" s="106">
        <f t="shared" si="93"/>
        <v>9</v>
      </c>
      <c r="B370" s="107" t="str">
        <f>VLOOKUP(A370,[1]Hoja3!$C$3:$D$14,2,FALSE)</f>
        <v>SEPTIEMBRE</v>
      </c>
      <c r="C370" s="108">
        <v>45552.823414351849</v>
      </c>
      <c r="D370" s="108" t="s">
        <v>388</v>
      </c>
      <c r="E370" s="109" t="s">
        <v>404</v>
      </c>
      <c r="F370" s="109" t="s">
        <v>778</v>
      </c>
      <c r="G370" s="110" t="str">
        <f t="shared" si="91"/>
        <v>SEPTIEMBRE</v>
      </c>
      <c r="H370" s="252">
        <v>6112</v>
      </c>
      <c r="I370" s="102" t="str">
        <f t="shared" si="92"/>
        <v>SEPTIEMBRE</v>
      </c>
      <c r="J370">
        <v>0</v>
      </c>
      <c r="K370" t="str">
        <f t="shared" si="94"/>
        <v>SEPTIEMBRE</v>
      </c>
      <c r="L370" s="111">
        <f t="shared" si="95"/>
        <v>0</v>
      </c>
      <c r="M370" s="112">
        <f t="shared" si="96"/>
        <v>6112</v>
      </c>
      <c r="N370" s="112">
        <f t="shared" si="97"/>
        <v>6112</v>
      </c>
      <c r="O370" t="s">
        <v>451</v>
      </c>
      <c r="P370">
        <v>6112</v>
      </c>
      <c r="Q370" s="102">
        <f t="shared" si="88"/>
        <v>0</v>
      </c>
      <c r="R370" s="102">
        <f t="shared" si="89"/>
        <v>0</v>
      </c>
    </row>
    <row r="371" spans="1:18" x14ac:dyDescent="0.35">
      <c r="A371" s="106">
        <f t="shared" si="93"/>
        <v>9</v>
      </c>
      <c r="B371" s="107" t="str">
        <f>VLOOKUP(A371,[1]Hoja3!$C$3:$D$14,2,FALSE)</f>
        <v>SEPTIEMBRE</v>
      </c>
      <c r="C371" s="108">
        <v>45552.824652777781</v>
      </c>
      <c r="D371" s="108" t="s">
        <v>388</v>
      </c>
      <c r="E371" s="109" t="s">
        <v>404</v>
      </c>
      <c r="F371" s="109" t="s">
        <v>779</v>
      </c>
      <c r="G371" s="110" t="str">
        <f t="shared" si="91"/>
        <v>SEPTIEMBRE</v>
      </c>
      <c r="H371" s="252">
        <v>8375</v>
      </c>
      <c r="I371" s="102" t="str">
        <f t="shared" si="92"/>
        <v>SEPTIEMBRE</v>
      </c>
      <c r="J371">
        <v>0</v>
      </c>
      <c r="K371" t="str">
        <f t="shared" si="94"/>
        <v>SEPTIEMBRE</v>
      </c>
      <c r="L371" s="111">
        <f t="shared" si="95"/>
        <v>0</v>
      </c>
      <c r="M371" s="112">
        <f t="shared" si="96"/>
        <v>8375</v>
      </c>
      <c r="N371" s="112">
        <f t="shared" si="97"/>
        <v>8375</v>
      </c>
      <c r="O371" t="s">
        <v>451</v>
      </c>
      <c r="P371">
        <v>8375</v>
      </c>
      <c r="Q371" s="102">
        <f t="shared" ref="Q371:Q392" si="98">+N371-P371</f>
        <v>0</v>
      </c>
      <c r="R371" s="102">
        <f t="shared" ref="R371:R392" si="99">+Q371-J371</f>
        <v>0</v>
      </c>
    </row>
    <row r="372" spans="1:18" x14ac:dyDescent="0.35">
      <c r="A372" s="106">
        <f t="shared" si="93"/>
        <v>9</v>
      </c>
      <c r="B372" s="107" t="str">
        <f>VLOOKUP(A372,[1]Hoja3!$C$3:$D$14,2,FALSE)</f>
        <v>SEPTIEMBRE</v>
      </c>
      <c r="C372" s="108">
        <v>45552.825925925928</v>
      </c>
      <c r="D372" s="108" t="s">
        <v>388</v>
      </c>
      <c r="E372" s="109" t="s">
        <v>404</v>
      </c>
      <c r="F372" s="109" t="s">
        <v>780</v>
      </c>
      <c r="G372" s="110" t="str">
        <f t="shared" si="91"/>
        <v>SEPTIEMBRE</v>
      </c>
      <c r="H372" s="252">
        <v>10650</v>
      </c>
      <c r="I372" s="102" t="str">
        <f t="shared" si="92"/>
        <v>SEPTIEMBRE</v>
      </c>
      <c r="J372">
        <v>0</v>
      </c>
      <c r="K372" t="str">
        <f t="shared" si="94"/>
        <v>SEPTIEMBRE</v>
      </c>
      <c r="L372" s="111">
        <f t="shared" si="95"/>
        <v>0</v>
      </c>
      <c r="M372" s="112">
        <f t="shared" si="96"/>
        <v>10650</v>
      </c>
      <c r="N372" s="112">
        <f t="shared" si="97"/>
        <v>10650</v>
      </c>
      <c r="O372" t="s">
        <v>451</v>
      </c>
      <c r="P372">
        <v>10650</v>
      </c>
      <c r="Q372" s="102">
        <f t="shared" si="98"/>
        <v>0</v>
      </c>
      <c r="R372" s="102">
        <f t="shared" si="99"/>
        <v>0</v>
      </c>
    </row>
    <row r="373" spans="1:18" x14ac:dyDescent="0.35">
      <c r="A373" s="106">
        <f t="shared" si="93"/>
        <v>9</v>
      </c>
      <c r="B373" s="107" t="str">
        <f>VLOOKUP(A373,[1]Hoja3!$C$3:$D$14,2,FALSE)</f>
        <v>SEPTIEMBRE</v>
      </c>
      <c r="C373" s="108">
        <v>45553.812627314815</v>
      </c>
      <c r="D373" s="108" t="s">
        <v>385</v>
      </c>
      <c r="E373" s="109" t="s">
        <v>401</v>
      </c>
      <c r="F373" s="109" t="s">
        <v>781</v>
      </c>
      <c r="G373" s="110" t="str">
        <f t="shared" si="91"/>
        <v>SEPTIEMBRE</v>
      </c>
      <c r="H373" s="252">
        <v>1284.23</v>
      </c>
      <c r="I373" s="102" t="str">
        <f t="shared" si="92"/>
        <v>SEPTIEMBRE</v>
      </c>
      <c r="J373">
        <v>200.34</v>
      </c>
      <c r="K373" t="str">
        <f t="shared" si="94"/>
        <v>SEPTIEMBRE</v>
      </c>
      <c r="L373" s="111">
        <f t="shared" si="95"/>
        <v>1252.125</v>
      </c>
      <c r="M373" s="112">
        <f t="shared" si="96"/>
        <v>32.105000000000018</v>
      </c>
      <c r="N373" s="112">
        <f t="shared" si="97"/>
        <v>1484.57</v>
      </c>
      <c r="O373" t="s">
        <v>451</v>
      </c>
      <c r="P373">
        <v>1484.57</v>
      </c>
      <c r="Q373" s="102">
        <f t="shared" si="98"/>
        <v>0</v>
      </c>
      <c r="R373" s="102">
        <f t="shared" si="99"/>
        <v>-200.34</v>
      </c>
    </row>
    <row r="374" spans="1:18" x14ac:dyDescent="0.35">
      <c r="A374" s="106">
        <f t="shared" si="93"/>
        <v>9</v>
      </c>
      <c r="B374" s="107" t="str">
        <f>VLOOKUP(A374,[1]Hoja3!$C$3:$D$14,2,FALSE)</f>
        <v>SEPTIEMBRE</v>
      </c>
      <c r="C374" s="108">
        <v>45554.732199074075</v>
      </c>
      <c r="D374" s="108" t="s">
        <v>393</v>
      </c>
      <c r="E374" s="109" t="s">
        <v>409</v>
      </c>
      <c r="F374" s="109" t="s">
        <v>782</v>
      </c>
      <c r="G374" s="110" t="str">
        <f t="shared" si="91"/>
        <v>SEPTIEMBRE</v>
      </c>
      <c r="H374" s="252">
        <v>0</v>
      </c>
      <c r="I374" s="102" t="str">
        <f t="shared" si="92"/>
        <v>SEPTIEMBRE</v>
      </c>
      <c r="J374">
        <f t="shared" si="90"/>
        <v>0</v>
      </c>
      <c r="K374" t="str">
        <f t="shared" si="94"/>
        <v>SEPTIEMBRE</v>
      </c>
      <c r="L374" s="111">
        <f t="shared" si="95"/>
        <v>0</v>
      </c>
      <c r="M374" s="112">
        <f t="shared" si="96"/>
        <v>0</v>
      </c>
      <c r="N374" s="112">
        <f t="shared" si="97"/>
        <v>0</v>
      </c>
      <c r="P374">
        <v>0</v>
      </c>
      <c r="Q374" s="102">
        <f t="shared" si="98"/>
        <v>0</v>
      </c>
      <c r="R374" s="102">
        <f t="shared" si="99"/>
        <v>0</v>
      </c>
    </row>
    <row r="375" spans="1:18" x14ac:dyDescent="0.35">
      <c r="A375" s="106">
        <f t="shared" si="93"/>
        <v>9</v>
      </c>
      <c r="B375" s="107" t="str">
        <f>VLOOKUP(A375,[1]Hoja3!$C$3:$D$14,2,FALSE)</f>
        <v>SEPTIEMBRE</v>
      </c>
      <c r="C375" s="108">
        <v>45557.967465277776</v>
      </c>
      <c r="D375" s="108" t="s">
        <v>385</v>
      </c>
      <c r="E375" s="109" t="s">
        <v>401</v>
      </c>
      <c r="F375" s="109" t="s">
        <v>783</v>
      </c>
      <c r="G375" s="110" t="str">
        <f t="shared" si="91"/>
        <v>SEPTIEMBRE</v>
      </c>
      <c r="H375" s="252">
        <v>1221.97</v>
      </c>
      <c r="I375" s="102" t="str">
        <f t="shared" si="92"/>
        <v>SEPTIEMBRE</v>
      </c>
      <c r="J375">
        <v>190.58</v>
      </c>
      <c r="K375" t="str">
        <f t="shared" si="94"/>
        <v>SEPTIEMBRE</v>
      </c>
      <c r="L375" s="111">
        <f t="shared" si="95"/>
        <v>1191.125</v>
      </c>
      <c r="M375" s="112">
        <f t="shared" si="96"/>
        <v>30.845000000000027</v>
      </c>
      <c r="N375" s="112">
        <f t="shared" si="97"/>
        <v>1412.55</v>
      </c>
      <c r="O375" t="s">
        <v>451</v>
      </c>
      <c r="P375">
        <v>1412.55</v>
      </c>
      <c r="Q375" s="102">
        <f t="shared" si="98"/>
        <v>0</v>
      </c>
      <c r="R375" s="102">
        <f t="shared" si="99"/>
        <v>-190.58</v>
      </c>
    </row>
    <row r="376" spans="1:18" x14ac:dyDescent="0.35">
      <c r="A376" s="106">
        <f t="shared" si="93"/>
        <v>9</v>
      </c>
      <c r="B376" s="107" t="str">
        <f>VLOOKUP(A376,[1]Hoja3!$C$3:$D$14,2,FALSE)</f>
        <v>SEPTIEMBRE</v>
      </c>
      <c r="C376" s="108">
        <v>45559.657453703701</v>
      </c>
      <c r="D376" s="108" t="s">
        <v>393</v>
      </c>
      <c r="E376" s="109" t="s">
        <v>409</v>
      </c>
      <c r="F376" s="109" t="s">
        <v>784</v>
      </c>
      <c r="G376" s="110" t="str">
        <f t="shared" si="91"/>
        <v>SEPTIEMBRE</v>
      </c>
      <c r="H376" s="252">
        <v>0</v>
      </c>
      <c r="I376" s="102" t="str">
        <f t="shared" si="92"/>
        <v>SEPTIEMBRE</v>
      </c>
      <c r="J376">
        <v>13.98</v>
      </c>
      <c r="K376" t="str">
        <f t="shared" si="94"/>
        <v>SEPTIEMBRE</v>
      </c>
      <c r="L376" s="111">
        <f t="shared" si="95"/>
        <v>87.375</v>
      </c>
      <c r="M376" s="112">
        <f t="shared" si="96"/>
        <v>-87.375</v>
      </c>
      <c r="N376" s="112">
        <f t="shared" si="97"/>
        <v>13.98</v>
      </c>
      <c r="O376" t="s">
        <v>551</v>
      </c>
      <c r="P376">
        <v>768</v>
      </c>
      <c r="Q376" s="102"/>
      <c r="R376" s="102"/>
    </row>
    <row r="377" spans="1:18" x14ac:dyDescent="0.35">
      <c r="A377" s="106">
        <f t="shared" si="93"/>
        <v>9</v>
      </c>
      <c r="B377" s="107" t="str">
        <f>VLOOKUP(A377,[1]Hoja3!$C$3:$D$14,2,FALSE)</f>
        <v>SEPTIEMBRE</v>
      </c>
      <c r="C377" s="108">
        <v>45559.697488425925</v>
      </c>
      <c r="D377" s="108" t="s">
        <v>387</v>
      </c>
      <c r="E377" s="109" t="s">
        <v>403</v>
      </c>
      <c r="F377" s="109" t="s">
        <v>785</v>
      </c>
      <c r="G377" s="110" t="str">
        <f t="shared" si="91"/>
        <v>SEPTIEMBRE</v>
      </c>
      <c r="H377" s="252">
        <v>344.4</v>
      </c>
      <c r="I377" s="102" t="str">
        <f t="shared" si="92"/>
        <v>SEPTIEMBRE</v>
      </c>
      <c r="J377">
        <v>0</v>
      </c>
      <c r="K377" t="str">
        <f t="shared" si="94"/>
        <v>SEPTIEMBRE</v>
      </c>
      <c r="L377" s="111">
        <f t="shared" si="95"/>
        <v>0</v>
      </c>
      <c r="M377" s="112">
        <f t="shared" si="96"/>
        <v>344.4</v>
      </c>
      <c r="N377" s="112">
        <f t="shared" si="97"/>
        <v>344.4</v>
      </c>
      <c r="O377" t="s">
        <v>451</v>
      </c>
      <c r="P377">
        <v>344.4</v>
      </c>
      <c r="Q377" s="102">
        <f t="shared" si="98"/>
        <v>0</v>
      </c>
      <c r="R377" s="102">
        <f t="shared" si="99"/>
        <v>0</v>
      </c>
    </row>
    <row r="378" spans="1:18" x14ac:dyDescent="0.35">
      <c r="A378" s="106">
        <f t="shared" si="93"/>
        <v>9</v>
      </c>
      <c r="B378" s="107" t="str">
        <f>VLOOKUP(A378,[1]Hoja3!$C$3:$D$14,2,FALSE)</f>
        <v>SEPTIEMBRE</v>
      </c>
      <c r="C378" s="108">
        <v>45559.697754629633</v>
      </c>
      <c r="D378" s="108" t="s">
        <v>387</v>
      </c>
      <c r="E378" s="109" t="s">
        <v>403</v>
      </c>
      <c r="F378" s="109" t="s">
        <v>786</v>
      </c>
      <c r="G378" s="110" t="str">
        <f t="shared" si="91"/>
        <v>SEPTIEMBRE</v>
      </c>
      <c r="H378" s="252">
        <v>1255.6400000000001</v>
      </c>
      <c r="I378" s="102" t="str">
        <f t="shared" si="92"/>
        <v>SEPTIEMBRE</v>
      </c>
      <c r="J378">
        <v>0</v>
      </c>
      <c r="K378" t="str">
        <f t="shared" si="94"/>
        <v>SEPTIEMBRE</v>
      </c>
      <c r="L378" s="111">
        <f t="shared" si="95"/>
        <v>0</v>
      </c>
      <c r="M378" s="112">
        <f t="shared" si="96"/>
        <v>1255.6400000000001</v>
      </c>
      <c r="N378" s="112">
        <f t="shared" si="97"/>
        <v>1255.6400000000001</v>
      </c>
      <c r="O378" t="s">
        <v>451</v>
      </c>
      <c r="P378">
        <v>1255.6400000000001</v>
      </c>
      <c r="Q378" s="102">
        <f t="shared" si="98"/>
        <v>0</v>
      </c>
      <c r="R378" s="102">
        <f t="shared" si="99"/>
        <v>0</v>
      </c>
    </row>
    <row r="379" spans="1:18" x14ac:dyDescent="0.35">
      <c r="A379" s="106">
        <f t="shared" si="93"/>
        <v>9</v>
      </c>
      <c r="B379" s="107" t="str">
        <f>VLOOKUP(A379,[1]Hoja3!$C$3:$D$14,2,FALSE)</f>
        <v>SEPTIEMBRE</v>
      </c>
      <c r="C379" s="108">
        <v>45559.697928240741</v>
      </c>
      <c r="D379" s="108" t="s">
        <v>387</v>
      </c>
      <c r="E379" s="109" t="s">
        <v>403</v>
      </c>
      <c r="F379" s="109" t="s">
        <v>787</v>
      </c>
      <c r="G379" s="110" t="str">
        <f t="shared" si="91"/>
        <v>SEPTIEMBRE</v>
      </c>
      <c r="H379" s="252">
        <v>1974.4</v>
      </c>
      <c r="I379" s="102" t="str">
        <f t="shared" si="92"/>
        <v>SEPTIEMBRE</v>
      </c>
      <c r="J379">
        <v>0</v>
      </c>
      <c r="K379" t="str">
        <f t="shared" si="94"/>
        <v>SEPTIEMBRE</v>
      </c>
      <c r="L379" s="111">
        <f t="shared" si="95"/>
        <v>0</v>
      </c>
      <c r="M379" s="112">
        <f t="shared" si="96"/>
        <v>1974.4</v>
      </c>
      <c r="N379" s="112">
        <f t="shared" si="97"/>
        <v>1974.4</v>
      </c>
      <c r="O379" t="s">
        <v>451</v>
      </c>
      <c r="P379">
        <v>1974.4</v>
      </c>
      <c r="Q379" s="102">
        <f t="shared" si="98"/>
        <v>0</v>
      </c>
      <c r="R379" s="102">
        <f t="shared" si="99"/>
        <v>0</v>
      </c>
    </row>
    <row r="380" spans="1:18" x14ac:dyDescent="0.35">
      <c r="A380" s="106">
        <f t="shared" si="93"/>
        <v>9</v>
      </c>
      <c r="B380" s="107" t="str">
        <f>VLOOKUP(A380,[1]Hoja3!$C$3:$D$14,2,FALSE)</f>
        <v>SEPTIEMBRE</v>
      </c>
      <c r="C380" s="108">
        <v>45559.698113425926</v>
      </c>
      <c r="D380" s="108" t="s">
        <v>387</v>
      </c>
      <c r="E380" s="109" t="s">
        <v>403</v>
      </c>
      <c r="F380" s="109" t="s">
        <v>788</v>
      </c>
      <c r="G380" s="110" t="str">
        <f t="shared" si="91"/>
        <v>SEPTIEMBRE</v>
      </c>
      <c r="H380" s="252">
        <v>1893.68</v>
      </c>
      <c r="I380" s="102" t="str">
        <f t="shared" si="92"/>
        <v>SEPTIEMBRE</v>
      </c>
      <c r="J380">
        <v>0</v>
      </c>
      <c r="K380" t="str">
        <f t="shared" si="94"/>
        <v>SEPTIEMBRE</v>
      </c>
      <c r="L380" s="111">
        <f t="shared" si="95"/>
        <v>0</v>
      </c>
      <c r="M380" s="112">
        <f t="shared" si="96"/>
        <v>1893.68</v>
      </c>
      <c r="N380" s="112">
        <f t="shared" si="97"/>
        <v>1893.68</v>
      </c>
      <c r="O380" t="s">
        <v>451</v>
      </c>
      <c r="P380">
        <v>1893.68</v>
      </c>
      <c r="Q380" s="102">
        <f t="shared" si="98"/>
        <v>0</v>
      </c>
      <c r="R380" s="102">
        <f t="shared" si="99"/>
        <v>0</v>
      </c>
    </row>
    <row r="381" spans="1:18" x14ac:dyDescent="0.35">
      <c r="A381" s="106">
        <f t="shared" si="93"/>
        <v>9</v>
      </c>
      <c r="B381" s="107" t="str">
        <f>VLOOKUP(A381,[1]Hoja3!$C$3:$D$14,2,FALSE)</f>
        <v>SEPTIEMBRE</v>
      </c>
      <c r="C381" s="108">
        <v>45559.75105324074</v>
      </c>
      <c r="D381" s="108" t="s">
        <v>657</v>
      </c>
      <c r="E381" s="109" t="s">
        <v>651</v>
      </c>
      <c r="F381" s="109" t="s">
        <v>789</v>
      </c>
      <c r="G381" s="110" t="str">
        <f t="shared" si="91"/>
        <v>SEPTIEMBRE</v>
      </c>
      <c r="H381" s="252">
        <v>2468.9699999999998</v>
      </c>
      <c r="I381" s="102" t="str">
        <f t="shared" si="92"/>
        <v>SEPTIEMBRE</v>
      </c>
      <c r="J381">
        <f t="shared" si="90"/>
        <v>395.03519999999997</v>
      </c>
      <c r="K381" t="str">
        <f t="shared" si="94"/>
        <v>SEPTIEMBRE</v>
      </c>
      <c r="L381" s="111">
        <f t="shared" si="95"/>
        <v>2468.9699999999998</v>
      </c>
      <c r="M381" s="112">
        <f t="shared" si="96"/>
        <v>0</v>
      </c>
      <c r="N381" s="112">
        <f t="shared" si="97"/>
        <v>2864.0051999999996</v>
      </c>
      <c r="O381" t="s">
        <v>451</v>
      </c>
      <c r="P381">
        <v>2864</v>
      </c>
      <c r="Q381" s="102">
        <f t="shared" si="98"/>
        <v>5.1999999996041879E-3</v>
      </c>
      <c r="R381" s="102">
        <f t="shared" si="99"/>
        <v>-395.03000000000037</v>
      </c>
    </row>
    <row r="382" spans="1:18" x14ac:dyDescent="0.35">
      <c r="A382" s="106">
        <f t="shared" si="93"/>
        <v>9</v>
      </c>
      <c r="B382" s="107" t="str">
        <f>VLOOKUP(A382,[1]Hoja3!$C$3:$D$14,2,FALSE)</f>
        <v>SEPTIEMBRE</v>
      </c>
      <c r="C382" s="108">
        <v>45561.045717592591</v>
      </c>
      <c r="D382" s="108" t="s">
        <v>383</v>
      </c>
      <c r="E382" s="109" t="s">
        <v>399</v>
      </c>
      <c r="F382" s="109" t="s">
        <v>790</v>
      </c>
      <c r="G382" s="110" t="str">
        <f t="shared" si="91"/>
        <v>SEPTIEMBRE</v>
      </c>
      <c r="H382" s="252">
        <v>27497</v>
      </c>
      <c r="I382" s="102" t="str">
        <f t="shared" si="92"/>
        <v>SEPTIEMBRE</v>
      </c>
      <c r="J382">
        <v>0</v>
      </c>
      <c r="K382" t="str">
        <f t="shared" si="94"/>
        <v>SEPTIEMBRE</v>
      </c>
      <c r="L382" s="111">
        <f t="shared" si="95"/>
        <v>0</v>
      </c>
      <c r="M382" s="112">
        <f t="shared" si="96"/>
        <v>27497</v>
      </c>
      <c r="N382" s="112">
        <f t="shared" si="97"/>
        <v>27497</v>
      </c>
      <c r="O382" t="s">
        <v>451</v>
      </c>
      <c r="P382">
        <v>27497</v>
      </c>
      <c r="Q382" s="102">
        <f t="shared" si="98"/>
        <v>0</v>
      </c>
      <c r="R382" s="102">
        <f t="shared" si="99"/>
        <v>0</v>
      </c>
    </row>
    <row r="383" spans="1:18" x14ac:dyDescent="0.35">
      <c r="A383" s="106">
        <f t="shared" si="93"/>
        <v>9</v>
      </c>
      <c r="B383" s="107" t="str">
        <f>VLOOKUP(A383,[1]Hoja3!$C$3:$D$14,2,FALSE)</f>
        <v>SEPTIEMBRE</v>
      </c>
      <c r="C383" s="108">
        <v>45561.484097222223</v>
      </c>
      <c r="D383" s="108" t="s">
        <v>388</v>
      </c>
      <c r="E383" s="109" t="s">
        <v>404</v>
      </c>
      <c r="F383" s="109" t="s">
        <v>791</v>
      </c>
      <c r="G383" s="110" t="str">
        <f t="shared" si="91"/>
        <v>SEPTIEMBRE</v>
      </c>
      <c r="H383" s="252">
        <v>4900</v>
      </c>
      <c r="I383" s="102" t="str">
        <f t="shared" si="92"/>
        <v>SEPTIEMBRE</v>
      </c>
      <c r="J383">
        <v>0</v>
      </c>
      <c r="K383" t="str">
        <f t="shared" si="94"/>
        <v>SEPTIEMBRE</v>
      </c>
      <c r="L383" s="111">
        <f t="shared" si="95"/>
        <v>0</v>
      </c>
      <c r="M383" s="112">
        <f t="shared" si="96"/>
        <v>4900</v>
      </c>
      <c r="N383" s="112">
        <f t="shared" si="97"/>
        <v>4900</v>
      </c>
      <c r="O383" t="s">
        <v>451</v>
      </c>
      <c r="P383">
        <v>4900</v>
      </c>
      <c r="Q383" s="102">
        <f t="shared" si="98"/>
        <v>0</v>
      </c>
      <c r="R383" s="102">
        <f t="shared" si="99"/>
        <v>0</v>
      </c>
    </row>
    <row r="384" spans="1:18" x14ac:dyDescent="0.35">
      <c r="A384" s="106">
        <f t="shared" si="93"/>
        <v>9</v>
      </c>
      <c r="B384" s="107" t="str">
        <f>VLOOKUP(A384,[1]Hoja3!$C$3:$D$14,2,FALSE)</f>
        <v>SEPTIEMBRE</v>
      </c>
      <c r="C384" s="108">
        <v>45561.485162037039</v>
      </c>
      <c r="D384" s="108" t="s">
        <v>388</v>
      </c>
      <c r="E384" s="109" t="s">
        <v>404</v>
      </c>
      <c r="F384" s="109" t="s">
        <v>792</v>
      </c>
      <c r="G384" s="110" t="str">
        <f t="shared" si="91"/>
        <v>SEPTIEMBRE</v>
      </c>
      <c r="H384" s="252">
        <v>55913</v>
      </c>
      <c r="I384" s="102" t="str">
        <f t="shared" si="92"/>
        <v>SEPTIEMBRE</v>
      </c>
      <c r="J384">
        <v>0</v>
      </c>
      <c r="K384" t="str">
        <f t="shared" si="94"/>
        <v>SEPTIEMBRE</v>
      </c>
      <c r="L384" s="111">
        <f t="shared" si="95"/>
        <v>0</v>
      </c>
      <c r="M384" s="112">
        <f t="shared" si="96"/>
        <v>55913</v>
      </c>
      <c r="N384" s="112">
        <f t="shared" si="97"/>
        <v>55913</v>
      </c>
      <c r="O384" t="s">
        <v>451</v>
      </c>
      <c r="P384">
        <v>55913</v>
      </c>
      <c r="Q384" s="102">
        <f t="shared" si="98"/>
        <v>0</v>
      </c>
      <c r="R384" s="102">
        <f t="shared" si="99"/>
        <v>0</v>
      </c>
    </row>
    <row r="385" spans="1:18" x14ac:dyDescent="0.35">
      <c r="A385" s="106">
        <f t="shared" si="93"/>
        <v>9</v>
      </c>
      <c r="B385" s="107" t="str">
        <f>VLOOKUP(A385,[1]Hoja3!$C$3:$D$14,2,FALSE)</f>
        <v>SEPTIEMBRE</v>
      </c>
      <c r="C385" s="108">
        <v>45561.543449074074</v>
      </c>
      <c r="D385" s="108" t="s">
        <v>603</v>
      </c>
      <c r="E385" s="109" t="s">
        <v>599</v>
      </c>
      <c r="F385" s="109" t="s">
        <v>793</v>
      </c>
      <c r="G385" s="110" t="str">
        <f t="shared" si="91"/>
        <v>SEPTIEMBRE</v>
      </c>
      <c r="H385" s="252">
        <v>57607.94</v>
      </c>
      <c r="I385" s="102" t="str">
        <f t="shared" si="92"/>
        <v>SEPTIEMBRE</v>
      </c>
      <c r="J385">
        <v>0</v>
      </c>
      <c r="K385" t="str">
        <f t="shared" si="94"/>
        <v>SEPTIEMBRE</v>
      </c>
      <c r="L385" s="111">
        <f t="shared" si="95"/>
        <v>0</v>
      </c>
      <c r="M385" s="112">
        <f t="shared" si="96"/>
        <v>57607.94</v>
      </c>
      <c r="N385" s="112">
        <f t="shared" si="97"/>
        <v>57607.94</v>
      </c>
      <c r="O385" t="s">
        <v>451</v>
      </c>
      <c r="P385">
        <v>57607.94</v>
      </c>
      <c r="Q385" s="102">
        <f t="shared" si="98"/>
        <v>0</v>
      </c>
      <c r="R385" s="102">
        <f t="shared" si="99"/>
        <v>0</v>
      </c>
    </row>
    <row r="386" spans="1:18" x14ac:dyDescent="0.35">
      <c r="A386" s="106">
        <f t="shared" si="93"/>
        <v>9</v>
      </c>
      <c r="B386" s="107" t="str">
        <f>VLOOKUP(A386,[1]Hoja3!$C$3:$D$14,2,FALSE)</f>
        <v>SEPTIEMBRE</v>
      </c>
      <c r="C386" s="108">
        <v>45563.3356712963</v>
      </c>
      <c r="D386" s="108" t="s">
        <v>395</v>
      </c>
      <c r="E386" s="109" t="s">
        <v>411</v>
      </c>
      <c r="F386" s="109" t="s">
        <v>794</v>
      </c>
      <c r="G386" s="110" t="str">
        <f t="shared" si="91"/>
        <v>SEPTIEMBRE</v>
      </c>
      <c r="H386" s="252">
        <v>0</v>
      </c>
      <c r="I386" s="102" t="str">
        <f t="shared" si="92"/>
        <v>SEPTIEMBRE</v>
      </c>
      <c r="J386">
        <f t="shared" si="90"/>
        <v>0</v>
      </c>
      <c r="K386" t="str">
        <f t="shared" si="94"/>
        <v>SEPTIEMBRE</v>
      </c>
      <c r="L386" s="111">
        <f t="shared" si="95"/>
        <v>0</v>
      </c>
      <c r="M386" s="112">
        <f t="shared" si="96"/>
        <v>0</v>
      </c>
      <c r="N386" s="112">
        <f t="shared" si="97"/>
        <v>0</v>
      </c>
      <c r="O386" t="s">
        <v>551</v>
      </c>
      <c r="P386">
        <v>396.49</v>
      </c>
      <c r="Q386" s="102"/>
      <c r="R386" s="102"/>
    </row>
    <row r="387" spans="1:18" x14ac:dyDescent="0.35">
      <c r="A387" s="106">
        <f t="shared" si="93"/>
        <v>9</v>
      </c>
      <c r="B387" s="107" t="str">
        <f>VLOOKUP(A387,[1]Hoja3!$C$3:$D$14,2,FALSE)</f>
        <v>SEPTIEMBRE</v>
      </c>
      <c r="C387" s="108">
        <v>45563.3356712963</v>
      </c>
      <c r="D387" s="108" t="s">
        <v>395</v>
      </c>
      <c r="E387" s="109" t="s">
        <v>411</v>
      </c>
      <c r="F387" s="109" t="s">
        <v>795</v>
      </c>
      <c r="G387" s="110" t="str">
        <f t="shared" si="91"/>
        <v>SEPTIEMBRE</v>
      </c>
      <c r="H387" s="252">
        <v>0</v>
      </c>
      <c r="I387" s="102" t="str">
        <f t="shared" si="92"/>
        <v>SEPTIEMBRE</v>
      </c>
      <c r="J387">
        <f t="shared" si="90"/>
        <v>0</v>
      </c>
      <c r="K387" t="str">
        <f t="shared" si="94"/>
        <v>SEPTIEMBRE</v>
      </c>
      <c r="L387" s="111">
        <f t="shared" si="95"/>
        <v>0</v>
      </c>
      <c r="M387" s="112">
        <f t="shared" si="96"/>
        <v>0</v>
      </c>
      <c r="N387" s="112">
        <f t="shared" si="97"/>
        <v>0</v>
      </c>
      <c r="O387" t="s">
        <v>551</v>
      </c>
      <c r="P387">
        <v>1.06</v>
      </c>
      <c r="Q387" s="102"/>
      <c r="R387" s="102"/>
    </row>
    <row r="388" spans="1:18" x14ac:dyDescent="0.35">
      <c r="A388" s="106">
        <f t="shared" si="93"/>
        <v>9</v>
      </c>
      <c r="B388" s="107" t="str">
        <f>VLOOKUP(A388,[1]Hoja3!$C$3:$D$14,2,FALSE)</f>
        <v>SEPTIEMBRE</v>
      </c>
      <c r="C388" s="108">
        <v>45563.3356712963</v>
      </c>
      <c r="D388" s="108" t="s">
        <v>396</v>
      </c>
      <c r="E388" s="109" t="s">
        <v>412</v>
      </c>
      <c r="F388" s="109" t="s">
        <v>796</v>
      </c>
      <c r="G388" s="110" t="str">
        <f t="shared" si="91"/>
        <v>SEPTIEMBRE</v>
      </c>
      <c r="H388" s="252">
        <v>0</v>
      </c>
      <c r="I388" s="102" t="str">
        <f t="shared" si="92"/>
        <v>SEPTIEMBRE</v>
      </c>
      <c r="J388">
        <f t="shared" si="90"/>
        <v>0</v>
      </c>
      <c r="K388" t="str">
        <f t="shared" si="94"/>
        <v>SEPTIEMBRE</v>
      </c>
      <c r="L388" s="111">
        <f t="shared" si="95"/>
        <v>0</v>
      </c>
      <c r="M388" s="112">
        <f t="shared" si="96"/>
        <v>0</v>
      </c>
      <c r="N388" s="112">
        <f t="shared" si="97"/>
        <v>0</v>
      </c>
      <c r="O388" t="s">
        <v>551</v>
      </c>
      <c r="P388">
        <v>151.41</v>
      </c>
      <c r="Q388" s="102"/>
      <c r="R388" s="102"/>
    </row>
    <row r="389" spans="1:18" x14ac:dyDescent="0.35">
      <c r="A389" s="106">
        <f t="shared" si="93"/>
        <v>9</v>
      </c>
      <c r="B389" s="107" t="str">
        <f>VLOOKUP(A389,[1]Hoja3!$C$3:$D$14,2,FALSE)</f>
        <v>SEPTIEMBRE</v>
      </c>
      <c r="C389" s="108">
        <v>45563.340462962966</v>
      </c>
      <c r="D389" s="108" t="s">
        <v>386</v>
      </c>
      <c r="E389" s="109" t="s">
        <v>402</v>
      </c>
      <c r="F389" s="109" t="s">
        <v>445</v>
      </c>
      <c r="G389" s="110" t="str">
        <f t="shared" si="91"/>
        <v>SEPTIEMBRE</v>
      </c>
      <c r="H389" s="252">
        <v>0.01</v>
      </c>
      <c r="I389" s="102" t="str">
        <f t="shared" si="92"/>
        <v>SEPTIEMBRE</v>
      </c>
      <c r="J389">
        <f t="shared" si="90"/>
        <v>1.6000000000000001E-3</v>
      </c>
      <c r="K389" t="str">
        <f t="shared" si="94"/>
        <v>SEPTIEMBRE</v>
      </c>
      <c r="L389" s="111">
        <f t="shared" si="95"/>
        <v>0.01</v>
      </c>
      <c r="M389" s="112">
        <f t="shared" si="96"/>
        <v>0</v>
      </c>
      <c r="N389" s="112">
        <f t="shared" si="97"/>
        <v>1.1600000000000001E-2</v>
      </c>
      <c r="O389" t="s">
        <v>451</v>
      </c>
      <c r="P389">
        <v>0</v>
      </c>
      <c r="Q389" s="102">
        <f t="shared" si="98"/>
        <v>1.1600000000000001E-2</v>
      </c>
      <c r="R389" s="102">
        <f t="shared" si="99"/>
        <v>0.01</v>
      </c>
    </row>
    <row r="390" spans="1:18" x14ac:dyDescent="0.35">
      <c r="A390" s="106">
        <f t="shared" si="93"/>
        <v>9</v>
      </c>
      <c r="B390" s="107" t="str">
        <f>VLOOKUP(A390,[1]Hoja3!$C$3:$D$14,2,FALSE)</f>
        <v>SEPTIEMBRE</v>
      </c>
      <c r="C390" s="108">
        <v>45564.548587962963</v>
      </c>
      <c r="D390" s="108" t="s">
        <v>387</v>
      </c>
      <c r="E390" s="109" t="s">
        <v>403</v>
      </c>
      <c r="F390" s="109" t="s">
        <v>797</v>
      </c>
      <c r="G390" s="110" t="str">
        <f t="shared" si="91"/>
        <v>SEPTIEMBRE</v>
      </c>
      <c r="H390" s="252">
        <v>1961.77</v>
      </c>
      <c r="I390" s="102" t="str">
        <f t="shared" si="92"/>
        <v>SEPTIEMBRE</v>
      </c>
      <c r="J390">
        <v>6.66</v>
      </c>
      <c r="K390" t="str">
        <f t="shared" si="94"/>
        <v>SEPTIEMBRE</v>
      </c>
      <c r="L390" s="111">
        <f t="shared" si="95"/>
        <v>41.625</v>
      </c>
      <c r="M390" s="112">
        <f t="shared" si="96"/>
        <v>1920.145</v>
      </c>
      <c r="N390" s="112">
        <f t="shared" si="97"/>
        <v>1968.43</v>
      </c>
      <c r="O390" t="s">
        <v>451</v>
      </c>
      <c r="P390">
        <v>1968.43</v>
      </c>
      <c r="Q390" s="102">
        <f t="shared" si="98"/>
        <v>0</v>
      </c>
      <c r="R390" s="102">
        <f t="shared" si="99"/>
        <v>-6.66</v>
      </c>
    </row>
    <row r="391" spans="1:18" x14ac:dyDescent="0.35">
      <c r="A391" s="106">
        <f t="shared" si="93"/>
        <v>9</v>
      </c>
      <c r="B391" s="107" t="str">
        <f>VLOOKUP(A391,[1]Hoja3!$C$3:$D$14,2,FALSE)</f>
        <v>SEPTIEMBRE</v>
      </c>
      <c r="C391" s="108">
        <v>45565.535960648151</v>
      </c>
      <c r="D391" s="108" t="s">
        <v>603</v>
      </c>
      <c r="E391" s="109" t="s">
        <v>599</v>
      </c>
      <c r="F391" s="109" t="s">
        <v>798</v>
      </c>
      <c r="G391" s="110" t="str">
        <f t="shared" si="91"/>
        <v>SEPTIEMBRE</v>
      </c>
      <c r="H391" s="252">
        <v>0</v>
      </c>
      <c r="I391" s="102" t="str">
        <f t="shared" si="92"/>
        <v>SEPTIEMBRE</v>
      </c>
      <c r="J391">
        <f t="shared" si="90"/>
        <v>0</v>
      </c>
      <c r="K391" t="str">
        <f t="shared" si="94"/>
        <v>SEPTIEMBRE</v>
      </c>
      <c r="L391" s="111">
        <f t="shared" si="95"/>
        <v>0</v>
      </c>
      <c r="M391" s="112">
        <f t="shared" si="96"/>
        <v>0</v>
      </c>
      <c r="N391" s="112">
        <f t="shared" si="97"/>
        <v>0</v>
      </c>
      <c r="P391">
        <v>0</v>
      </c>
      <c r="Q391" s="102">
        <f t="shared" si="98"/>
        <v>0</v>
      </c>
      <c r="R391" s="102">
        <f t="shared" si="99"/>
        <v>0</v>
      </c>
    </row>
    <row r="392" spans="1:18" x14ac:dyDescent="0.35">
      <c r="A392" s="106">
        <f t="shared" si="93"/>
        <v>9</v>
      </c>
      <c r="B392" s="107" t="str">
        <f>VLOOKUP(A392,[1]Hoja3!$C$3:$D$14,2,FALSE)</f>
        <v>SEPTIEMBRE</v>
      </c>
      <c r="C392" s="108">
        <v>45565.623495370368</v>
      </c>
      <c r="D392" s="108" t="s">
        <v>270</v>
      </c>
      <c r="E392" s="109" t="s">
        <v>271</v>
      </c>
      <c r="F392" s="109" t="s">
        <v>799</v>
      </c>
      <c r="G392" s="110" t="str">
        <f t="shared" si="91"/>
        <v>SEPTIEMBRE</v>
      </c>
      <c r="H392" s="252">
        <v>8300</v>
      </c>
      <c r="I392" s="102" t="str">
        <f t="shared" si="92"/>
        <v>SEPTIEMBRE</v>
      </c>
      <c r="J392">
        <v>0</v>
      </c>
      <c r="K392" t="str">
        <f t="shared" si="94"/>
        <v>SEPTIEMBRE</v>
      </c>
      <c r="L392" s="111">
        <f t="shared" si="95"/>
        <v>0</v>
      </c>
      <c r="M392" s="112">
        <f t="shared" si="96"/>
        <v>8300</v>
      </c>
      <c r="N392" s="112">
        <f t="shared" si="97"/>
        <v>8300</v>
      </c>
      <c r="O392" t="s">
        <v>451</v>
      </c>
      <c r="P392">
        <v>8300</v>
      </c>
      <c r="Q392" s="102">
        <f t="shared" si="98"/>
        <v>0</v>
      </c>
      <c r="R392" s="102">
        <f t="shared" si="99"/>
        <v>0</v>
      </c>
    </row>
    <row r="393" spans="1:18" x14ac:dyDescent="0.35">
      <c r="A393" s="106">
        <f t="shared" si="93"/>
        <v>10</v>
      </c>
      <c r="B393" s="107" t="str">
        <f>VLOOKUP(A393,[1]Hoja3!$C$3:$D$14,2,FALSE)</f>
        <v>OCTUBRE</v>
      </c>
      <c r="C393" s="108">
        <v>45566.732210648152</v>
      </c>
      <c r="D393" s="108" t="s">
        <v>382</v>
      </c>
      <c r="E393" s="109" t="s">
        <v>398</v>
      </c>
      <c r="F393" s="109" t="s">
        <v>414</v>
      </c>
      <c r="G393" s="110" t="str">
        <f t="shared" si="91"/>
        <v>OCTUBRE</v>
      </c>
      <c r="H393" s="252">
        <v>1214.47</v>
      </c>
      <c r="I393" s="102" t="str">
        <f t="shared" si="92"/>
        <v>OCTUBRE</v>
      </c>
      <c r="J393">
        <v>194.32</v>
      </c>
      <c r="K393" t="str">
        <f t="shared" si="94"/>
        <v>OCTUBRE</v>
      </c>
      <c r="L393" s="111">
        <f t="shared" si="95"/>
        <v>1214.5</v>
      </c>
      <c r="M393" s="112">
        <f t="shared" si="96"/>
        <v>-2.9999999999972715E-2</v>
      </c>
      <c r="N393" s="112">
        <f t="shared" si="97"/>
        <v>1408.79</v>
      </c>
      <c r="O393" t="s">
        <v>451</v>
      </c>
      <c r="P393">
        <v>1408.79</v>
      </c>
      <c r="Q393" s="102">
        <f t="shared" ref="Q393" si="100">+N393-P393</f>
        <v>0</v>
      </c>
      <c r="R393" s="102">
        <f t="shared" ref="R393" si="101">+Q393-J393</f>
        <v>-194.32</v>
      </c>
    </row>
    <row r="394" spans="1:18" x14ac:dyDescent="0.35">
      <c r="A394" s="106">
        <f t="shared" si="93"/>
        <v>10</v>
      </c>
      <c r="B394" s="107" t="str">
        <f>VLOOKUP(A394,[1]Hoja3!$C$3:$D$14,2,FALSE)</f>
        <v>OCTUBRE</v>
      </c>
      <c r="C394" s="108">
        <v>45566.999988425923</v>
      </c>
      <c r="D394" s="108" t="s">
        <v>354</v>
      </c>
      <c r="E394" s="109" t="s">
        <v>353</v>
      </c>
      <c r="F394" s="109" t="s">
        <v>448</v>
      </c>
      <c r="G394" s="110" t="str">
        <f t="shared" si="91"/>
        <v>OCTUBRE</v>
      </c>
      <c r="H394" s="252">
        <v>7397</v>
      </c>
      <c r="I394" s="102" t="str">
        <f t="shared" si="92"/>
        <v>OCTUBRE</v>
      </c>
      <c r="J394">
        <v>863.6</v>
      </c>
      <c r="K394" t="str">
        <f t="shared" si="94"/>
        <v>OCTUBRE</v>
      </c>
      <c r="L394" s="111">
        <f t="shared" si="95"/>
        <v>5397.5</v>
      </c>
      <c r="M394" s="112">
        <f t="shared" si="96"/>
        <v>1999.5</v>
      </c>
      <c r="N394" s="112">
        <f t="shared" si="97"/>
        <v>8260.6</v>
      </c>
      <c r="O394" t="s">
        <v>451</v>
      </c>
      <c r="P394">
        <v>8260.6</v>
      </c>
      <c r="Q394" s="102">
        <f t="shared" ref="Q394:Q457" si="102">+N394-P394</f>
        <v>0</v>
      </c>
      <c r="R394" s="102">
        <f t="shared" ref="R394:R457" si="103">+Q394-J394</f>
        <v>-863.6</v>
      </c>
    </row>
    <row r="395" spans="1:18" x14ac:dyDescent="0.35">
      <c r="A395" s="106">
        <f t="shared" si="93"/>
        <v>10</v>
      </c>
      <c r="B395" s="107" t="str">
        <f>VLOOKUP(A395,[1]Hoja3!$C$3:$D$14,2,FALSE)</f>
        <v>OCTUBRE</v>
      </c>
      <c r="C395" s="108">
        <v>45567.05097222222</v>
      </c>
      <c r="D395" s="108" t="s">
        <v>655</v>
      </c>
      <c r="E395" s="109" t="s">
        <v>649</v>
      </c>
      <c r="F395" s="109" t="s">
        <v>662</v>
      </c>
      <c r="G395" s="110" t="str">
        <f t="shared" si="91"/>
        <v>OCTUBRE</v>
      </c>
      <c r="H395" s="252">
        <v>997.1</v>
      </c>
      <c r="I395" s="102" t="str">
        <f t="shared" si="92"/>
        <v>OCTUBRE</v>
      </c>
      <c r="J395">
        <v>159.53</v>
      </c>
      <c r="K395" t="str">
        <f t="shared" si="94"/>
        <v>OCTUBRE</v>
      </c>
      <c r="L395" s="111">
        <f t="shared" si="95"/>
        <v>997.0625</v>
      </c>
      <c r="M395" s="112">
        <f t="shared" si="96"/>
        <v>3.7500000000022737E-2</v>
      </c>
      <c r="N395" s="112">
        <f t="shared" si="97"/>
        <v>1156.6300000000001</v>
      </c>
      <c r="O395" t="s">
        <v>451</v>
      </c>
      <c r="P395">
        <v>1156.6300000000001</v>
      </c>
      <c r="Q395" s="102">
        <f t="shared" si="102"/>
        <v>0</v>
      </c>
      <c r="R395" s="102">
        <f t="shared" si="103"/>
        <v>-159.53</v>
      </c>
    </row>
    <row r="396" spans="1:18" x14ac:dyDescent="0.35">
      <c r="A396" s="106">
        <f t="shared" si="93"/>
        <v>10</v>
      </c>
      <c r="B396" s="107" t="str">
        <f>VLOOKUP(A396,[1]Hoja3!$C$3:$D$14,2,FALSE)</f>
        <v>OCTUBRE</v>
      </c>
      <c r="C396" s="108">
        <v>45567.810810185183</v>
      </c>
      <c r="D396" s="108" t="s">
        <v>385</v>
      </c>
      <c r="E396" s="109" t="s">
        <v>401</v>
      </c>
      <c r="F396" s="109" t="s">
        <v>848</v>
      </c>
      <c r="G396" s="110" t="str">
        <f t="shared" ref="G396:G459" si="104">+B396</f>
        <v>OCTUBRE</v>
      </c>
      <c r="H396" s="252">
        <v>1275.6199999999999</v>
      </c>
      <c r="I396" s="102" t="str">
        <f t="shared" ref="I396:I459" si="105">+B396</f>
        <v>OCTUBRE</v>
      </c>
      <c r="J396">
        <v>198.91</v>
      </c>
      <c r="K396" t="str">
        <f t="shared" si="94"/>
        <v>OCTUBRE</v>
      </c>
      <c r="L396" s="111">
        <f t="shared" si="95"/>
        <v>1243.1875</v>
      </c>
      <c r="M396" s="112">
        <f t="shared" si="96"/>
        <v>32.432499999999891</v>
      </c>
      <c r="N396" s="112">
        <f t="shared" si="97"/>
        <v>1474.53</v>
      </c>
      <c r="O396" t="s">
        <v>451</v>
      </c>
      <c r="P396">
        <v>1474.53</v>
      </c>
      <c r="Q396" s="102">
        <f t="shared" si="102"/>
        <v>0</v>
      </c>
      <c r="R396" s="102">
        <f t="shared" si="103"/>
        <v>-198.91</v>
      </c>
    </row>
    <row r="397" spans="1:18" x14ac:dyDescent="0.35">
      <c r="A397" s="106">
        <f t="shared" si="93"/>
        <v>10</v>
      </c>
      <c r="B397" s="107" t="str">
        <f>VLOOKUP(A397,[1]Hoja3!$C$3:$D$14,2,FALSE)</f>
        <v>OCTUBRE</v>
      </c>
      <c r="C397" s="108">
        <v>45567.981458333335</v>
      </c>
      <c r="D397" s="108" t="s">
        <v>383</v>
      </c>
      <c r="E397" s="109" t="s">
        <v>399</v>
      </c>
      <c r="F397" s="109" t="s">
        <v>849</v>
      </c>
      <c r="G397" s="110" t="str">
        <f t="shared" si="104"/>
        <v>OCTUBRE</v>
      </c>
      <c r="H397" s="252">
        <v>13580</v>
      </c>
      <c r="I397" s="102" t="str">
        <f t="shared" si="105"/>
        <v>OCTUBRE</v>
      </c>
      <c r="J397">
        <v>0</v>
      </c>
      <c r="K397" t="str">
        <f t="shared" si="94"/>
        <v>OCTUBRE</v>
      </c>
      <c r="L397" s="111">
        <f t="shared" si="95"/>
        <v>0</v>
      </c>
      <c r="M397" s="112">
        <f t="shared" si="96"/>
        <v>13580</v>
      </c>
      <c r="N397" s="112">
        <f t="shared" si="97"/>
        <v>13580</v>
      </c>
      <c r="O397" t="s">
        <v>451</v>
      </c>
      <c r="P397">
        <v>13580</v>
      </c>
      <c r="Q397" s="102">
        <f t="shared" si="102"/>
        <v>0</v>
      </c>
      <c r="R397" s="102">
        <f t="shared" si="103"/>
        <v>0</v>
      </c>
    </row>
    <row r="398" spans="1:18" x14ac:dyDescent="0.35">
      <c r="A398" s="106">
        <f t="shared" si="93"/>
        <v>10</v>
      </c>
      <c r="B398" s="107" t="str">
        <f>VLOOKUP(A398,[1]Hoja3!$C$3:$D$14,2,FALSE)</f>
        <v>OCTUBRE</v>
      </c>
      <c r="C398" s="108">
        <v>45567.984664351854</v>
      </c>
      <c r="D398" s="108" t="s">
        <v>383</v>
      </c>
      <c r="E398" s="109" t="s">
        <v>399</v>
      </c>
      <c r="F398" s="109" t="s">
        <v>850</v>
      </c>
      <c r="G398" s="110" t="str">
        <f t="shared" si="104"/>
        <v>OCTUBRE</v>
      </c>
      <c r="H398" s="252">
        <v>17065</v>
      </c>
      <c r="I398" s="102" t="str">
        <f t="shared" si="105"/>
        <v>OCTUBRE</v>
      </c>
      <c r="J398">
        <v>0</v>
      </c>
      <c r="K398" t="str">
        <f t="shared" si="94"/>
        <v>OCTUBRE</v>
      </c>
      <c r="L398" s="111">
        <f t="shared" si="95"/>
        <v>0</v>
      </c>
      <c r="M398" s="112">
        <f t="shared" si="96"/>
        <v>17065</v>
      </c>
      <c r="N398" s="112">
        <f t="shared" si="97"/>
        <v>17065</v>
      </c>
      <c r="O398" t="s">
        <v>451</v>
      </c>
      <c r="P398">
        <v>17065</v>
      </c>
      <c r="Q398" s="102">
        <f t="shared" si="102"/>
        <v>0</v>
      </c>
      <c r="R398" s="102">
        <f t="shared" si="103"/>
        <v>0</v>
      </c>
    </row>
    <row r="399" spans="1:18" x14ac:dyDescent="0.35">
      <c r="A399" s="106">
        <f t="shared" si="93"/>
        <v>10</v>
      </c>
      <c r="B399" s="107" t="str">
        <f>VLOOKUP(A399,[1]Hoja3!$C$3:$D$14,2,FALSE)</f>
        <v>OCTUBRE</v>
      </c>
      <c r="C399" s="108">
        <v>45569.588495370372</v>
      </c>
      <c r="D399" s="108" t="s">
        <v>389</v>
      </c>
      <c r="E399" s="109" t="s">
        <v>405</v>
      </c>
      <c r="F399" s="109" t="s">
        <v>851</v>
      </c>
      <c r="G399" s="110" t="str">
        <f t="shared" si="104"/>
        <v>OCTUBRE</v>
      </c>
      <c r="H399" s="252">
        <v>6000</v>
      </c>
      <c r="I399" s="102" t="str">
        <f t="shared" si="105"/>
        <v>OCTUBRE</v>
      </c>
      <c r="J399">
        <v>0</v>
      </c>
      <c r="K399" t="str">
        <f t="shared" si="94"/>
        <v>OCTUBRE</v>
      </c>
      <c r="L399" s="111">
        <f t="shared" si="95"/>
        <v>0</v>
      </c>
      <c r="M399" s="112">
        <f t="shared" si="96"/>
        <v>6000</v>
      </c>
      <c r="N399" s="112">
        <f t="shared" si="97"/>
        <v>6000</v>
      </c>
      <c r="O399" t="s">
        <v>451</v>
      </c>
      <c r="P399">
        <v>6000</v>
      </c>
      <c r="Q399" s="102">
        <f t="shared" si="102"/>
        <v>0</v>
      </c>
      <c r="R399" s="102">
        <f t="shared" si="103"/>
        <v>0</v>
      </c>
    </row>
    <row r="400" spans="1:18" x14ac:dyDescent="0.35">
      <c r="A400" s="106">
        <f t="shared" si="93"/>
        <v>10</v>
      </c>
      <c r="B400" s="107" t="str">
        <f>VLOOKUP(A400,[1]Hoja3!$C$3:$D$14,2,FALSE)</f>
        <v>OCTUBRE</v>
      </c>
      <c r="C400" s="108">
        <v>45569.589456018519</v>
      </c>
      <c r="D400" s="108" t="s">
        <v>389</v>
      </c>
      <c r="E400" s="109" t="s">
        <v>405</v>
      </c>
      <c r="F400" s="109" t="s">
        <v>852</v>
      </c>
      <c r="G400" s="110" t="str">
        <f t="shared" si="104"/>
        <v>OCTUBRE</v>
      </c>
      <c r="H400" s="252">
        <v>12000</v>
      </c>
      <c r="I400" s="102" t="str">
        <f t="shared" si="105"/>
        <v>OCTUBRE</v>
      </c>
      <c r="J400">
        <v>0</v>
      </c>
      <c r="K400" t="str">
        <f t="shared" si="94"/>
        <v>OCTUBRE</v>
      </c>
      <c r="L400" s="111">
        <f t="shared" si="95"/>
        <v>0</v>
      </c>
      <c r="M400" s="112">
        <f t="shared" si="96"/>
        <v>12000</v>
      </c>
      <c r="N400" s="112">
        <f t="shared" si="97"/>
        <v>12000</v>
      </c>
      <c r="O400" t="s">
        <v>451</v>
      </c>
      <c r="P400">
        <v>12000</v>
      </c>
      <c r="Q400" s="102">
        <f t="shared" si="102"/>
        <v>0</v>
      </c>
      <c r="R400" s="102">
        <f t="shared" si="103"/>
        <v>0</v>
      </c>
    </row>
    <row r="401" spans="1:18" x14ac:dyDescent="0.35">
      <c r="A401" s="106">
        <f t="shared" si="93"/>
        <v>10</v>
      </c>
      <c r="B401" s="107" t="str">
        <f>VLOOKUP(A401,[1]Hoja3!$C$3:$D$14,2,FALSE)</f>
        <v>OCTUBRE</v>
      </c>
      <c r="C401" s="108">
        <v>45570.475856481484</v>
      </c>
      <c r="D401" s="108" t="s">
        <v>390</v>
      </c>
      <c r="E401" s="109" t="s">
        <v>406</v>
      </c>
      <c r="F401" s="109" t="s">
        <v>853</v>
      </c>
      <c r="G401" s="110" t="str">
        <f t="shared" si="104"/>
        <v>OCTUBRE</v>
      </c>
      <c r="H401" s="252">
        <v>2327.59</v>
      </c>
      <c r="I401" s="102" t="str">
        <f t="shared" si="105"/>
        <v>OCTUBRE</v>
      </c>
      <c r="J401">
        <v>372.4144</v>
      </c>
      <c r="K401" t="str">
        <f t="shared" si="94"/>
        <v>OCTUBRE</v>
      </c>
      <c r="L401" s="111">
        <f t="shared" si="95"/>
        <v>2327.59</v>
      </c>
      <c r="M401" s="112">
        <f t="shared" si="96"/>
        <v>0</v>
      </c>
      <c r="N401" s="112">
        <f t="shared" si="97"/>
        <v>2700.0044000000003</v>
      </c>
      <c r="O401" t="s">
        <v>451</v>
      </c>
      <c r="P401">
        <v>2700</v>
      </c>
      <c r="Q401" s="102">
        <f t="shared" si="102"/>
        <v>4.4000000002597517E-3</v>
      </c>
      <c r="R401" s="102">
        <f t="shared" si="103"/>
        <v>-372.40999999999974</v>
      </c>
    </row>
    <row r="402" spans="1:18" x14ac:dyDescent="0.35">
      <c r="A402" s="106">
        <f t="shared" si="93"/>
        <v>10</v>
      </c>
      <c r="B402" s="107" t="str">
        <f>VLOOKUP(A402,[1]Hoja3!$C$3:$D$14,2,FALSE)</f>
        <v>OCTUBRE</v>
      </c>
      <c r="C402" s="108">
        <v>45572.607569444444</v>
      </c>
      <c r="D402" s="108" t="s">
        <v>393</v>
      </c>
      <c r="E402" s="109" t="s">
        <v>409</v>
      </c>
      <c r="F402" s="109" t="s">
        <v>854</v>
      </c>
      <c r="G402" s="110" t="str">
        <f t="shared" si="104"/>
        <v>OCTUBRE</v>
      </c>
      <c r="H402" s="252"/>
      <c r="I402" s="102" t="str">
        <f t="shared" si="105"/>
        <v>OCTUBRE</v>
      </c>
      <c r="J402"/>
      <c r="K402" t="str">
        <f t="shared" si="94"/>
        <v>OCTUBRE</v>
      </c>
      <c r="L402" s="111">
        <f t="shared" si="95"/>
        <v>0</v>
      </c>
      <c r="M402" s="112">
        <f t="shared" si="96"/>
        <v>0</v>
      </c>
      <c r="N402" s="112">
        <f t="shared" si="97"/>
        <v>0</v>
      </c>
      <c r="O402" t="s">
        <v>551</v>
      </c>
      <c r="Q402" s="102"/>
      <c r="R402" s="102"/>
    </row>
    <row r="403" spans="1:18" x14ac:dyDescent="0.35">
      <c r="A403" s="106">
        <f t="shared" si="93"/>
        <v>10</v>
      </c>
      <c r="B403" s="107" t="str">
        <f>VLOOKUP(A403,[1]Hoja3!$C$3:$D$14,2,FALSE)</f>
        <v>OCTUBRE</v>
      </c>
      <c r="C403" s="108">
        <v>45573.302164351851</v>
      </c>
      <c r="D403" s="108" t="s">
        <v>386</v>
      </c>
      <c r="E403" s="109" t="s">
        <v>402</v>
      </c>
      <c r="F403" s="109" t="s">
        <v>418</v>
      </c>
      <c r="G403" s="110" t="str">
        <f t="shared" si="104"/>
        <v>OCTUBRE</v>
      </c>
      <c r="H403" s="252">
        <v>0.01</v>
      </c>
      <c r="I403" s="102" t="str">
        <f t="shared" si="105"/>
        <v>OCTUBRE</v>
      </c>
      <c r="J403"/>
      <c r="K403" t="str">
        <f t="shared" si="94"/>
        <v>OCTUBRE</v>
      </c>
      <c r="L403" s="111">
        <f t="shared" si="95"/>
        <v>0</v>
      </c>
      <c r="M403" s="112">
        <f t="shared" si="96"/>
        <v>0.01</v>
      </c>
      <c r="N403" s="112">
        <f t="shared" si="97"/>
        <v>0.01</v>
      </c>
      <c r="O403" t="s">
        <v>451</v>
      </c>
      <c r="P403">
        <v>0</v>
      </c>
      <c r="Q403" s="102">
        <f t="shared" si="102"/>
        <v>0.01</v>
      </c>
      <c r="R403" s="102">
        <f t="shared" si="103"/>
        <v>0.01</v>
      </c>
    </row>
    <row r="404" spans="1:18" x14ac:dyDescent="0.35">
      <c r="A404" s="106">
        <f t="shared" si="93"/>
        <v>10</v>
      </c>
      <c r="B404" s="107" t="str">
        <f>VLOOKUP(A404,[1]Hoja3!$C$3:$D$14,2,FALSE)</f>
        <v>OCTUBRE</v>
      </c>
      <c r="C404" s="108">
        <v>45573.435740740744</v>
      </c>
      <c r="D404" s="108" t="s">
        <v>834</v>
      </c>
      <c r="E404" s="109" t="s">
        <v>841</v>
      </c>
      <c r="F404" s="109" t="s">
        <v>855</v>
      </c>
      <c r="G404" s="110" t="str">
        <f t="shared" si="104"/>
        <v>OCTUBRE</v>
      </c>
      <c r="H404" s="252">
        <v>1879.31</v>
      </c>
      <c r="I404" s="102" t="str">
        <f t="shared" si="105"/>
        <v>OCTUBRE</v>
      </c>
      <c r="J404">
        <v>300.69</v>
      </c>
      <c r="K404" t="str">
        <f t="shared" si="94"/>
        <v>OCTUBRE</v>
      </c>
      <c r="L404" s="111">
        <f t="shared" si="95"/>
        <v>1879.3125</v>
      </c>
      <c r="M404" s="112">
        <f t="shared" si="96"/>
        <v>-2.5000000000545697E-3</v>
      </c>
      <c r="N404" s="112">
        <f t="shared" si="97"/>
        <v>2180</v>
      </c>
      <c r="O404" t="s">
        <v>451</v>
      </c>
      <c r="P404">
        <v>2180</v>
      </c>
      <c r="Q404" s="102">
        <f t="shared" si="102"/>
        <v>0</v>
      </c>
      <c r="R404" s="102">
        <f t="shared" si="103"/>
        <v>-300.69</v>
      </c>
    </row>
    <row r="405" spans="1:18" x14ac:dyDescent="0.35">
      <c r="A405" s="106">
        <f t="shared" si="93"/>
        <v>10</v>
      </c>
      <c r="B405" s="107" t="str">
        <f>VLOOKUP(A405,[1]Hoja3!$C$3:$D$14,2,FALSE)</f>
        <v>OCTUBRE</v>
      </c>
      <c r="C405" s="108">
        <v>45573.628541666665</v>
      </c>
      <c r="D405" s="108" t="s">
        <v>387</v>
      </c>
      <c r="E405" s="109" t="s">
        <v>403</v>
      </c>
      <c r="F405" s="109" t="s">
        <v>856</v>
      </c>
      <c r="G405" s="110" t="str">
        <f t="shared" si="104"/>
        <v>OCTUBRE</v>
      </c>
      <c r="H405" s="252">
        <v>8051.3</v>
      </c>
      <c r="I405" s="102" t="str">
        <f t="shared" si="105"/>
        <v>OCTUBRE</v>
      </c>
      <c r="J405">
        <v>0</v>
      </c>
      <c r="K405" t="str">
        <f t="shared" si="94"/>
        <v>OCTUBRE</v>
      </c>
      <c r="L405" s="111">
        <f t="shared" si="95"/>
        <v>0</v>
      </c>
      <c r="M405" s="112">
        <f t="shared" si="96"/>
        <v>8051.3</v>
      </c>
      <c r="N405" s="112">
        <f t="shared" si="97"/>
        <v>8051.3</v>
      </c>
      <c r="O405" t="s">
        <v>451</v>
      </c>
      <c r="P405">
        <v>8051.3</v>
      </c>
      <c r="Q405" s="102">
        <f t="shared" si="102"/>
        <v>0</v>
      </c>
      <c r="R405" s="102">
        <f t="shared" si="103"/>
        <v>0</v>
      </c>
    </row>
    <row r="406" spans="1:18" x14ac:dyDescent="0.35">
      <c r="A406" s="106">
        <f t="shared" si="93"/>
        <v>10</v>
      </c>
      <c r="B406" s="107" t="str">
        <f>VLOOKUP(A406,[1]Hoja3!$C$3:$D$14,2,FALSE)</f>
        <v>OCTUBRE</v>
      </c>
      <c r="C406" s="108">
        <v>45576.704131944447</v>
      </c>
      <c r="D406" s="108" t="s">
        <v>455</v>
      </c>
      <c r="E406" s="109" t="s">
        <v>458</v>
      </c>
      <c r="F406" s="109" t="s">
        <v>857</v>
      </c>
      <c r="G406" s="110" t="str">
        <f t="shared" si="104"/>
        <v>OCTUBRE</v>
      </c>
      <c r="H406" s="252">
        <v>4160</v>
      </c>
      <c r="I406" s="102" t="str">
        <f t="shared" si="105"/>
        <v>OCTUBRE</v>
      </c>
      <c r="J406">
        <v>0</v>
      </c>
      <c r="K406" t="str">
        <f t="shared" si="94"/>
        <v>OCTUBRE</v>
      </c>
      <c r="L406" s="111">
        <f t="shared" si="95"/>
        <v>0</v>
      </c>
      <c r="M406" s="112">
        <f t="shared" si="96"/>
        <v>4160</v>
      </c>
      <c r="N406" s="112">
        <f t="shared" si="97"/>
        <v>4160</v>
      </c>
      <c r="O406" t="s">
        <v>451</v>
      </c>
      <c r="P406">
        <v>4160</v>
      </c>
      <c r="Q406" s="102">
        <f t="shared" si="102"/>
        <v>0</v>
      </c>
      <c r="R406" s="102">
        <f t="shared" si="103"/>
        <v>0</v>
      </c>
    </row>
    <row r="407" spans="1:18" x14ac:dyDescent="0.35">
      <c r="A407" s="106">
        <f t="shared" si="93"/>
        <v>10</v>
      </c>
      <c r="B407" s="107" t="str">
        <f>VLOOKUP(A407,[1]Hoja3!$C$3:$D$14,2,FALSE)</f>
        <v>OCTUBRE</v>
      </c>
      <c r="C407" s="108">
        <v>45576.706354166665</v>
      </c>
      <c r="D407" s="108" t="s">
        <v>387</v>
      </c>
      <c r="E407" s="109" t="s">
        <v>403</v>
      </c>
      <c r="F407" s="109" t="s">
        <v>858</v>
      </c>
      <c r="G407" s="110" t="str">
        <f t="shared" si="104"/>
        <v>OCTUBRE</v>
      </c>
      <c r="H407" s="252">
        <v>3473.22</v>
      </c>
      <c r="I407" s="102" t="str">
        <f t="shared" si="105"/>
        <v>OCTUBRE</v>
      </c>
      <c r="J407">
        <v>32.08</v>
      </c>
      <c r="K407" t="str">
        <f t="shared" si="94"/>
        <v>OCTUBRE</v>
      </c>
      <c r="L407" s="111">
        <f t="shared" si="95"/>
        <v>200.49999999999997</v>
      </c>
      <c r="M407" s="112">
        <f t="shared" si="96"/>
        <v>3272.72</v>
      </c>
      <c r="N407" s="112">
        <f t="shared" si="97"/>
        <v>3505.2999999999997</v>
      </c>
      <c r="O407" t="s">
        <v>451</v>
      </c>
      <c r="P407">
        <v>3505.3</v>
      </c>
      <c r="Q407" s="102">
        <f t="shared" si="102"/>
        <v>0</v>
      </c>
      <c r="R407" s="102">
        <f t="shared" si="103"/>
        <v>-32.08</v>
      </c>
    </row>
    <row r="408" spans="1:18" x14ac:dyDescent="0.35">
      <c r="A408" s="106">
        <f t="shared" si="93"/>
        <v>10</v>
      </c>
      <c r="B408" s="107" t="str">
        <f>VLOOKUP(A408,[1]Hoja3!$C$3:$D$14,2,FALSE)</f>
        <v>OCTUBRE</v>
      </c>
      <c r="C408" s="108">
        <v>45579.579456018517</v>
      </c>
      <c r="D408" s="108" t="s">
        <v>656</v>
      </c>
      <c r="E408" s="109" t="s">
        <v>650</v>
      </c>
      <c r="F408" s="109" t="s">
        <v>859</v>
      </c>
      <c r="G408" s="110" t="str">
        <f t="shared" si="104"/>
        <v>OCTUBRE</v>
      </c>
      <c r="H408" s="252">
        <v>6260</v>
      </c>
      <c r="I408" s="102" t="str">
        <f t="shared" si="105"/>
        <v>OCTUBRE</v>
      </c>
      <c r="J408">
        <v>0</v>
      </c>
      <c r="K408" t="str">
        <f t="shared" si="94"/>
        <v>OCTUBRE</v>
      </c>
      <c r="L408" s="111">
        <f t="shared" si="95"/>
        <v>0</v>
      </c>
      <c r="M408" s="112">
        <f t="shared" si="96"/>
        <v>6260</v>
      </c>
      <c r="N408" s="112">
        <f t="shared" si="97"/>
        <v>6260</v>
      </c>
      <c r="O408" t="s">
        <v>451</v>
      </c>
      <c r="P408">
        <v>6260</v>
      </c>
      <c r="Q408" s="102">
        <f t="shared" si="102"/>
        <v>0</v>
      </c>
      <c r="R408" s="102">
        <f t="shared" si="103"/>
        <v>0</v>
      </c>
    </row>
    <row r="409" spans="1:18" x14ac:dyDescent="0.35">
      <c r="A409" s="106">
        <f t="shared" si="93"/>
        <v>10</v>
      </c>
      <c r="B409" s="107" t="str">
        <f>VLOOKUP(A409,[1]Hoja3!$C$3:$D$14,2,FALSE)</f>
        <v>OCTUBRE</v>
      </c>
      <c r="C409" s="108">
        <v>45579.627129629633</v>
      </c>
      <c r="D409" s="108" t="s">
        <v>603</v>
      </c>
      <c r="E409" s="109" t="s">
        <v>599</v>
      </c>
      <c r="F409" s="109" t="s">
        <v>860</v>
      </c>
      <c r="G409" s="110" t="str">
        <f t="shared" si="104"/>
        <v>OCTUBRE</v>
      </c>
      <c r="H409" s="252">
        <v>12800</v>
      </c>
      <c r="I409" s="102" t="str">
        <f t="shared" si="105"/>
        <v>OCTUBRE</v>
      </c>
      <c r="J409">
        <v>0</v>
      </c>
      <c r="K409" t="str">
        <f t="shared" si="94"/>
        <v>OCTUBRE</v>
      </c>
      <c r="L409" s="111">
        <f t="shared" si="95"/>
        <v>0</v>
      </c>
      <c r="M409" s="112">
        <f t="shared" si="96"/>
        <v>12800</v>
      </c>
      <c r="N409" s="112">
        <f t="shared" si="97"/>
        <v>12800</v>
      </c>
      <c r="O409" t="s">
        <v>551</v>
      </c>
      <c r="P409">
        <v>12800</v>
      </c>
      <c r="Q409" s="102">
        <f t="shared" si="102"/>
        <v>0</v>
      </c>
      <c r="R409" s="102">
        <f t="shared" si="103"/>
        <v>0</v>
      </c>
    </row>
    <row r="410" spans="1:18" x14ac:dyDescent="0.35">
      <c r="A410" s="106">
        <f t="shared" si="93"/>
        <v>10</v>
      </c>
      <c r="B410" s="107" t="str">
        <f>VLOOKUP(A410,[1]Hoja3!$C$3:$D$14,2,FALSE)</f>
        <v>OCTUBRE</v>
      </c>
      <c r="C410" s="108">
        <v>45581.499513888892</v>
      </c>
      <c r="D410" s="108" t="s">
        <v>603</v>
      </c>
      <c r="E410" s="109" t="s">
        <v>599</v>
      </c>
      <c r="F410" s="109" t="s">
        <v>861</v>
      </c>
      <c r="G410" s="110" t="str">
        <f t="shared" si="104"/>
        <v>OCTUBRE</v>
      </c>
      <c r="H410" s="252">
        <v>0</v>
      </c>
      <c r="I410" s="102" t="str">
        <f t="shared" si="105"/>
        <v>OCTUBRE</v>
      </c>
      <c r="J410"/>
      <c r="K410" t="str">
        <f t="shared" si="94"/>
        <v>OCTUBRE</v>
      </c>
      <c r="L410" s="111">
        <f t="shared" si="95"/>
        <v>0</v>
      </c>
      <c r="M410" s="112">
        <f t="shared" si="96"/>
        <v>0</v>
      </c>
      <c r="N410" s="112">
        <f t="shared" si="97"/>
        <v>0</v>
      </c>
      <c r="P410">
        <v>0</v>
      </c>
      <c r="Q410" s="102">
        <f t="shared" si="102"/>
        <v>0</v>
      </c>
      <c r="R410" s="102">
        <f t="shared" si="103"/>
        <v>0</v>
      </c>
    </row>
    <row r="411" spans="1:18" x14ac:dyDescent="0.35">
      <c r="A411" s="106">
        <f t="shared" si="93"/>
        <v>10</v>
      </c>
      <c r="B411" s="107" t="str">
        <f>VLOOKUP(A411,[1]Hoja3!$C$3:$D$14,2,FALSE)</f>
        <v>OCTUBRE</v>
      </c>
      <c r="C411" s="108">
        <v>45581.55091435185</v>
      </c>
      <c r="D411" s="108" t="s">
        <v>385</v>
      </c>
      <c r="E411" s="109" t="s">
        <v>401</v>
      </c>
      <c r="F411" s="109" t="s">
        <v>862</v>
      </c>
      <c r="G411" s="110" t="str">
        <f t="shared" si="104"/>
        <v>OCTUBRE</v>
      </c>
      <c r="H411" s="252">
        <v>1093.26</v>
      </c>
      <c r="I411" s="102" t="str">
        <f t="shared" si="105"/>
        <v>OCTUBRE</v>
      </c>
      <c r="J411">
        <v>170.48</v>
      </c>
      <c r="K411" t="str">
        <f t="shared" si="94"/>
        <v>OCTUBRE</v>
      </c>
      <c r="L411" s="111">
        <f t="shared" si="95"/>
        <v>1065.5</v>
      </c>
      <c r="M411" s="112">
        <f t="shared" si="96"/>
        <v>27.759999999999991</v>
      </c>
      <c r="N411" s="112">
        <f t="shared" si="97"/>
        <v>1263.74</v>
      </c>
      <c r="O411" t="s">
        <v>451</v>
      </c>
      <c r="P411">
        <v>1263.74</v>
      </c>
      <c r="Q411" s="102">
        <f t="shared" si="102"/>
        <v>0</v>
      </c>
      <c r="R411" s="102">
        <f t="shared" si="103"/>
        <v>-170.48</v>
      </c>
    </row>
    <row r="412" spans="1:18" x14ac:dyDescent="0.35">
      <c r="A412" s="106">
        <f t="shared" si="93"/>
        <v>10</v>
      </c>
      <c r="B412" s="107" t="str">
        <f>VLOOKUP(A412,[1]Hoja3!$C$3:$D$14,2,FALSE)</f>
        <v>OCTUBRE</v>
      </c>
      <c r="C412" s="108">
        <v>45581.587685185186</v>
      </c>
      <c r="D412" s="108" t="s">
        <v>658</v>
      </c>
      <c r="E412" s="109" t="s">
        <v>652</v>
      </c>
      <c r="F412" s="109" t="s">
        <v>863</v>
      </c>
      <c r="G412" s="110" t="str">
        <f t="shared" si="104"/>
        <v>OCTUBRE</v>
      </c>
      <c r="H412" s="252">
        <v>646.54999999999995</v>
      </c>
      <c r="I412" s="102" t="str">
        <f t="shared" si="105"/>
        <v>OCTUBRE</v>
      </c>
      <c r="J412">
        <v>103.44799999999999</v>
      </c>
      <c r="K412" t="str">
        <f t="shared" si="94"/>
        <v>OCTUBRE</v>
      </c>
      <c r="L412" s="111">
        <f t="shared" si="95"/>
        <v>646.54999999999995</v>
      </c>
      <c r="M412" s="112">
        <f t="shared" si="96"/>
        <v>0</v>
      </c>
      <c r="N412" s="112">
        <f t="shared" si="97"/>
        <v>749.99799999999993</v>
      </c>
      <c r="O412" t="s">
        <v>451</v>
      </c>
      <c r="P412">
        <v>750</v>
      </c>
      <c r="Q412" s="102">
        <f t="shared" si="102"/>
        <v>-2.0000000000663931E-3</v>
      </c>
      <c r="R412" s="102">
        <f t="shared" si="103"/>
        <v>-103.45000000000006</v>
      </c>
    </row>
    <row r="413" spans="1:18" x14ac:dyDescent="0.35">
      <c r="A413" s="106">
        <f t="shared" si="93"/>
        <v>10</v>
      </c>
      <c r="B413" s="107" t="str">
        <f>VLOOKUP(A413,[1]Hoja3!$C$3:$D$14,2,FALSE)</f>
        <v>OCTUBRE</v>
      </c>
      <c r="C413" s="108">
        <v>45582.485497685186</v>
      </c>
      <c r="D413" s="108" t="s">
        <v>388</v>
      </c>
      <c r="E413" s="109" t="s">
        <v>404</v>
      </c>
      <c r="F413" s="109" t="s">
        <v>864</v>
      </c>
      <c r="G413" s="110" t="str">
        <f t="shared" si="104"/>
        <v>OCTUBRE</v>
      </c>
      <c r="H413" s="252">
        <v>32595</v>
      </c>
      <c r="I413" s="102" t="str">
        <f t="shared" si="105"/>
        <v>OCTUBRE</v>
      </c>
      <c r="J413">
        <v>0</v>
      </c>
      <c r="K413" t="str">
        <f t="shared" si="94"/>
        <v>OCTUBRE</v>
      </c>
      <c r="L413" s="111">
        <f t="shared" si="95"/>
        <v>0</v>
      </c>
      <c r="M413" s="112">
        <f t="shared" si="96"/>
        <v>32595</v>
      </c>
      <c r="N413" s="112">
        <f t="shared" si="97"/>
        <v>32595</v>
      </c>
      <c r="O413" t="s">
        <v>451</v>
      </c>
      <c r="P413">
        <v>32595</v>
      </c>
      <c r="Q413" s="102">
        <f t="shared" si="102"/>
        <v>0</v>
      </c>
      <c r="R413" s="102">
        <f t="shared" si="103"/>
        <v>0</v>
      </c>
    </row>
    <row r="414" spans="1:18" x14ac:dyDescent="0.35">
      <c r="A414" s="106">
        <f t="shared" si="93"/>
        <v>10</v>
      </c>
      <c r="B414" s="107" t="str">
        <f>VLOOKUP(A414,[1]Hoja3!$C$3:$D$14,2,FALSE)</f>
        <v>OCTUBRE</v>
      </c>
      <c r="C414" s="108">
        <v>45582.490914351853</v>
      </c>
      <c r="D414" s="108" t="s">
        <v>388</v>
      </c>
      <c r="E414" s="109" t="s">
        <v>404</v>
      </c>
      <c r="F414" s="109" t="s">
        <v>865</v>
      </c>
      <c r="G414" s="110" t="str">
        <f t="shared" si="104"/>
        <v>OCTUBRE</v>
      </c>
      <c r="H414" s="252">
        <v>43462</v>
      </c>
      <c r="I414" s="102" t="str">
        <f t="shared" si="105"/>
        <v>OCTUBRE</v>
      </c>
      <c r="J414">
        <v>0</v>
      </c>
      <c r="K414" t="str">
        <f t="shared" si="94"/>
        <v>OCTUBRE</v>
      </c>
      <c r="L414" s="111">
        <f t="shared" si="95"/>
        <v>0</v>
      </c>
      <c r="M414" s="112">
        <f t="shared" si="96"/>
        <v>43462</v>
      </c>
      <c r="N414" s="112">
        <f t="shared" si="97"/>
        <v>43462</v>
      </c>
      <c r="O414" t="s">
        <v>451</v>
      </c>
      <c r="P414">
        <v>43462</v>
      </c>
      <c r="Q414" s="102">
        <f t="shared" si="102"/>
        <v>0</v>
      </c>
      <c r="R414" s="102">
        <f t="shared" si="103"/>
        <v>0</v>
      </c>
    </row>
    <row r="415" spans="1:18" x14ac:dyDescent="0.35">
      <c r="A415" s="106">
        <f t="shared" si="93"/>
        <v>10</v>
      </c>
      <c r="B415" s="107" t="str">
        <f>VLOOKUP(A415,[1]Hoja3!$C$3:$D$14,2,FALSE)</f>
        <v>OCTUBRE</v>
      </c>
      <c r="C415" s="108">
        <v>45583.512499999997</v>
      </c>
      <c r="D415" s="108" t="s">
        <v>387</v>
      </c>
      <c r="E415" s="109" t="s">
        <v>403</v>
      </c>
      <c r="F415" s="109" t="s">
        <v>866</v>
      </c>
      <c r="G415" s="110" t="str">
        <f t="shared" si="104"/>
        <v>OCTUBRE</v>
      </c>
      <c r="H415" s="252">
        <v>2514.9</v>
      </c>
      <c r="I415" s="102" t="str">
        <f t="shared" si="105"/>
        <v>OCTUBRE</v>
      </c>
      <c r="J415">
        <v>22.03</v>
      </c>
      <c r="K415" t="str">
        <f t="shared" si="94"/>
        <v>OCTUBRE</v>
      </c>
      <c r="L415" s="111">
        <f t="shared" si="95"/>
        <v>137.6875</v>
      </c>
      <c r="M415" s="112">
        <f t="shared" si="96"/>
        <v>2377.2125000000001</v>
      </c>
      <c r="N415" s="112">
        <f t="shared" si="97"/>
        <v>2536.9300000000003</v>
      </c>
      <c r="O415" t="s">
        <v>451</v>
      </c>
      <c r="P415">
        <v>2536.9299999999998</v>
      </c>
      <c r="Q415" s="102">
        <f t="shared" si="102"/>
        <v>0</v>
      </c>
      <c r="R415" s="102">
        <f t="shared" si="103"/>
        <v>-22.03</v>
      </c>
    </row>
    <row r="416" spans="1:18" x14ac:dyDescent="0.35">
      <c r="A416" s="106">
        <f t="shared" si="93"/>
        <v>10</v>
      </c>
      <c r="B416" s="107" t="str">
        <f>VLOOKUP(A416,[1]Hoja3!$C$3:$D$14,2,FALSE)</f>
        <v>OCTUBRE</v>
      </c>
      <c r="C416" s="108">
        <v>45583.535057870373</v>
      </c>
      <c r="D416" s="108" t="s">
        <v>392</v>
      </c>
      <c r="E416" s="109" t="s">
        <v>408</v>
      </c>
      <c r="F416" s="109" t="s">
        <v>867</v>
      </c>
      <c r="G416" s="110" t="str">
        <f t="shared" si="104"/>
        <v>OCTUBRE</v>
      </c>
      <c r="H416" s="252">
        <v>2730</v>
      </c>
      <c r="I416" s="102" t="str">
        <f t="shared" si="105"/>
        <v>OCTUBRE</v>
      </c>
      <c r="J416">
        <v>0</v>
      </c>
      <c r="K416" t="str">
        <f t="shared" si="94"/>
        <v>OCTUBRE</v>
      </c>
      <c r="L416" s="111">
        <f t="shared" si="95"/>
        <v>0</v>
      </c>
      <c r="M416" s="112">
        <f t="shared" si="96"/>
        <v>2730</v>
      </c>
      <c r="N416" s="112">
        <f t="shared" si="97"/>
        <v>2730</v>
      </c>
      <c r="O416" t="s">
        <v>451</v>
      </c>
      <c r="P416">
        <v>2730</v>
      </c>
      <c r="Q416" s="102">
        <f t="shared" si="102"/>
        <v>0</v>
      </c>
      <c r="R416" s="102">
        <f t="shared" si="103"/>
        <v>0</v>
      </c>
    </row>
    <row r="417" spans="1:18" x14ac:dyDescent="0.35">
      <c r="A417" s="106">
        <f t="shared" ref="A417:A480" si="106">IF(C417&gt;0,MONTH(C417),0)</f>
        <v>10</v>
      </c>
      <c r="B417" s="107" t="str">
        <f>VLOOKUP(A417,[1]Hoja3!$C$3:$D$14,2,FALSE)</f>
        <v>OCTUBRE</v>
      </c>
      <c r="C417" s="108">
        <v>45583.583668981482</v>
      </c>
      <c r="D417" s="108" t="s">
        <v>835</v>
      </c>
      <c r="E417" s="109" t="s">
        <v>842</v>
      </c>
      <c r="F417" s="109" t="s">
        <v>868</v>
      </c>
      <c r="G417" s="110" t="str">
        <f t="shared" si="104"/>
        <v>OCTUBRE</v>
      </c>
      <c r="H417" s="252">
        <v>800</v>
      </c>
      <c r="I417" s="102" t="str">
        <f t="shared" si="105"/>
        <v>OCTUBRE</v>
      </c>
      <c r="J417"/>
      <c r="K417" t="str">
        <f t="shared" ref="K417:K480" si="107">+B417</f>
        <v>OCTUBRE</v>
      </c>
      <c r="L417" s="111">
        <f t="shared" ref="L417:L480" si="108">+J417/0.16</f>
        <v>0</v>
      </c>
      <c r="M417" s="112">
        <f t="shared" ref="M417:M480" si="109">+H417-L417</f>
        <v>800</v>
      </c>
      <c r="N417" s="112">
        <f t="shared" ref="N417:N480" si="110">+H417+J417</f>
        <v>800</v>
      </c>
      <c r="O417" t="s">
        <v>451</v>
      </c>
      <c r="P417">
        <v>800</v>
      </c>
      <c r="Q417" s="102">
        <f t="shared" si="102"/>
        <v>0</v>
      </c>
      <c r="R417" s="102">
        <f t="shared" si="103"/>
        <v>0</v>
      </c>
    </row>
    <row r="418" spans="1:18" x14ac:dyDescent="0.35">
      <c r="A418" s="106">
        <f t="shared" si="106"/>
        <v>10</v>
      </c>
      <c r="B418" s="107" t="str">
        <f>VLOOKUP(A418,[1]Hoja3!$C$3:$D$14,2,FALSE)</f>
        <v>OCTUBRE</v>
      </c>
      <c r="C418" s="108">
        <v>45583.769189814811</v>
      </c>
      <c r="D418" s="108" t="s">
        <v>659</v>
      </c>
      <c r="E418" s="109" t="s">
        <v>653</v>
      </c>
      <c r="F418" s="109" t="s">
        <v>869</v>
      </c>
      <c r="G418" s="110" t="str">
        <f t="shared" si="104"/>
        <v>OCTUBRE</v>
      </c>
      <c r="H418" s="252">
        <v>2567.29</v>
      </c>
      <c r="I418" s="102" t="str">
        <f t="shared" si="105"/>
        <v>OCTUBRE</v>
      </c>
      <c r="J418">
        <v>397.35</v>
      </c>
      <c r="K418" t="str">
        <f t="shared" si="107"/>
        <v>OCTUBRE</v>
      </c>
      <c r="L418" s="111">
        <f t="shared" si="108"/>
        <v>2483.4375</v>
      </c>
      <c r="M418" s="112">
        <f t="shared" si="109"/>
        <v>83.852499999999964</v>
      </c>
      <c r="N418" s="112">
        <f t="shared" si="110"/>
        <v>2964.64</v>
      </c>
      <c r="O418" t="s">
        <v>451</v>
      </c>
      <c r="P418">
        <v>2964.64</v>
      </c>
      <c r="Q418" s="102">
        <f t="shared" si="102"/>
        <v>0</v>
      </c>
      <c r="R418" s="102">
        <f t="shared" si="103"/>
        <v>-397.35</v>
      </c>
    </row>
    <row r="419" spans="1:18" x14ac:dyDescent="0.35">
      <c r="A419" s="106">
        <f t="shared" si="106"/>
        <v>10</v>
      </c>
      <c r="B419" s="107" t="str">
        <f>VLOOKUP(A419,[1]Hoja3!$C$3:$D$14,2,FALSE)</f>
        <v>OCTUBRE</v>
      </c>
      <c r="C419" s="108">
        <v>45587.527557870373</v>
      </c>
      <c r="D419" s="108" t="s">
        <v>385</v>
      </c>
      <c r="E419" s="109" t="s">
        <v>401</v>
      </c>
      <c r="F419" s="109" t="s">
        <v>870</v>
      </c>
      <c r="G419" s="110" t="str">
        <f t="shared" si="104"/>
        <v>OCTUBRE</v>
      </c>
      <c r="H419" s="252">
        <v>1308.9100000000001</v>
      </c>
      <c r="I419" s="102" t="str">
        <f t="shared" si="105"/>
        <v>OCTUBRE</v>
      </c>
      <c r="J419">
        <v>204.10261600000001</v>
      </c>
      <c r="K419" t="str">
        <f t="shared" si="107"/>
        <v>OCTUBRE</v>
      </c>
      <c r="L419" s="111">
        <f t="shared" si="108"/>
        <v>1275.6413500000001</v>
      </c>
      <c r="M419" s="112">
        <f t="shared" si="109"/>
        <v>33.26864999999998</v>
      </c>
      <c r="N419" s="112">
        <f t="shared" si="110"/>
        <v>1513.012616</v>
      </c>
      <c r="O419" t="s">
        <v>451</v>
      </c>
      <c r="P419">
        <v>1513.01</v>
      </c>
      <c r="Q419" s="102">
        <f t="shared" si="102"/>
        <v>2.6159999999890715E-3</v>
      </c>
      <c r="R419" s="102">
        <f t="shared" si="103"/>
        <v>-204.10000000000002</v>
      </c>
    </row>
    <row r="420" spans="1:18" x14ac:dyDescent="0.35">
      <c r="A420" s="106">
        <f t="shared" si="106"/>
        <v>10</v>
      </c>
      <c r="B420" s="107" t="str">
        <f>VLOOKUP(A420,[1]Hoja3!$C$3:$D$14,2,FALSE)</f>
        <v>OCTUBRE</v>
      </c>
      <c r="C420" s="108">
        <v>45587.717615740738</v>
      </c>
      <c r="D420" s="108" t="s">
        <v>387</v>
      </c>
      <c r="E420" s="109" t="s">
        <v>403</v>
      </c>
      <c r="F420" s="109" t="s">
        <v>871</v>
      </c>
      <c r="G420" s="110" t="str">
        <f t="shared" si="104"/>
        <v>OCTUBRE</v>
      </c>
      <c r="H420" s="252">
        <v>5386.88</v>
      </c>
      <c r="I420" s="102" t="str">
        <f t="shared" si="105"/>
        <v>OCTUBRE</v>
      </c>
      <c r="J420">
        <v>0</v>
      </c>
      <c r="K420" t="str">
        <f t="shared" si="107"/>
        <v>OCTUBRE</v>
      </c>
      <c r="L420" s="111">
        <f t="shared" si="108"/>
        <v>0</v>
      </c>
      <c r="M420" s="112">
        <f t="shared" si="109"/>
        <v>5386.88</v>
      </c>
      <c r="N420" s="112">
        <f t="shared" si="110"/>
        <v>5386.88</v>
      </c>
      <c r="O420" t="s">
        <v>451</v>
      </c>
      <c r="P420">
        <v>5386.88</v>
      </c>
      <c r="Q420" s="102">
        <f t="shared" si="102"/>
        <v>0</v>
      </c>
      <c r="R420" s="102">
        <f t="shared" si="103"/>
        <v>0</v>
      </c>
    </row>
    <row r="421" spans="1:18" x14ac:dyDescent="0.35">
      <c r="A421" s="106">
        <f t="shared" si="106"/>
        <v>10</v>
      </c>
      <c r="B421" s="107" t="str">
        <f>VLOOKUP(A421,[1]Hoja3!$C$3:$D$14,2,FALSE)</f>
        <v>OCTUBRE</v>
      </c>
      <c r="C421" s="108">
        <v>45587.848136574074</v>
      </c>
      <c r="D421" s="108" t="s">
        <v>396</v>
      </c>
      <c r="E421" s="109" t="s">
        <v>412</v>
      </c>
      <c r="F421" s="109" t="s">
        <v>872</v>
      </c>
      <c r="G421" s="110" t="str">
        <f t="shared" si="104"/>
        <v>OCTUBRE</v>
      </c>
      <c r="H421" s="252">
        <v>0</v>
      </c>
      <c r="I421" s="102" t="str">
        <f t="shared" si="105"/>
        <v>OCTUBRE</v>
      </c>
      <c r="J421"/>
      <c r="K421" t="str">
        <f t="shared" si="107"/>
        <v>OCTUBRE</v>
      </c>
      <c r="L421" s="111">
        <f t="shared" si="108"/>
        <v>0</v>
      </c>
      <c r="M421" s="112">
        <f t="shared" si="109"/>
        <v>0</v>
      </c>
      <c r="N421" s="112">
        <f t="shared" si="110"/>
        <v>0</v>
      </c>
      <c r="P421">
        <v>0</v>
      </c>
      <c r="Q421" s="102">
        <f t="shared" si="102"/>
        <v>0</v>
      </c>
      <c r="R421" s="102">
        <f t="shared" si="103"/>
        <v>0</v>
      </c>
    </row>
    <row r="422" spans="1:18" x14ac:dyDescent="0.35">
      <c r="A422" s="106">
        <f t="shared" si="106"/>
        <v>10</v>
      </c>
      <c r="B422" s="107" t="str">
        <f>VLOOKUP(A422,[1]Hoja3!$C$3:$D$14,2,FALSE)</f>
        <v>OCTUBRE</v>
      </c>
      <c r="C422" s="108">
        <v>45587.848136574074</v>
      </c>
      <c r="D422" s="108" t="s">
        <v>395</v>
      </c>
      <c r="E422" s="109" t="s">
        <v>411</v>
      </c>
      <c r="F422" s="109" t="s">
        <v>873</v>
      </c>
      <c r="G422" s="110" t="str">
        <f t="shared" si="104"/>
        <v>OCTUBRE</v>
      </c>
      <c r="H422" s="252">
        <v>0</v>
      </c>
      <c r="I422" s="102" t="str">
        <f t="shared" si="105"/>
        <v>OCTUBRE</v>
      </c>
      <c r="J422"/>
      <c r="K422" t="str">
        <f t="shared" si="107"/>
        <v>OCTUBRE</v>
      </c>
      <c r="L422" s="111">
        <f t="shared" si="108"/>
        <v>0</v>
      </c>
      <c r="M422" s="112">
        <f t="shared" si="109"/>
        <v>0</v>
      </c>
      <c r="N422" s="112">
        <f t="shared" si="110"/>
        <v>0</v>
      </c>
      <c r="P422">
        <v>0</v>
      </c>
      <c r="Q422" s="102">
        <f t="shared" si="102"/>
        <v>0</v>
      </c>
      <c r="R422" s="102">
        <f t="shared" si="103"/>
        <v>0</v>
      </c>
    </row>
    <row r="423" spans="1:18" x14ac:dyDescent="0.35">
      <c r="A423" s="106">
        <f t="shared" si="106"/>
        <v>10</v>
      </c>
      <c r="B423" s="107" t="str">
        <f>VLOOKUP(A423,[1]Hoja3!$C$3:$D$14,2,FALSE)</f>
        <v>OCTUBRE</v>
      </c>
      <c r="C423" s="108">
        <v>45588.57303240741</v>
      </c>
      <c r="D423" s="108" t="s">
        <v>388</v>
      </c>
      <c r="E423" s="109" t="s">
        <v>404</v>
      </c>
      <c r="F423" s="109" t="s">
        <v>874</v>
      </c>
      <c r="G423" s="110" t="str">
        <f t="shared" si="104"/>
        <v>OCTUBRE</v>
      </c>
      <c r="H423" s="252">
        <v>51240</v>
      </c>
      <c r="I423" s="102" t="str">
        <f t="shared" si="105"/>
        <v>OCTUBRE</v>
      </c>
      <c r="J423">
        <v>0</v>
      </c>
      <c r="K423" t="str">
        <f t="shared" si="107"/>
        <v>OCTUBRE</v>
      </c>
      <c r="L423" s="111">
        <f t="shared" si="108"/>
        <v>0</v>
      </c>
      <c r="M423" s="112">
        <f t="shared" si="109"/>
        <v>51240</v>
      </c>
      <c r="N423" s="112">
        <f t="shared" si="110"/>
        <v>51240</v>
      </c>
      <c r="O423" t="s">
        <v>451</v>
      </c>
      <c r="P423">
        <v>51240</v>
      </c>
      <c r="Q423" s="102">
        <f t="shared" si="102"/>
        <v>0</v>
      </c>
      <c r="R423" s="102">
        <f t="shared" si="103"/>
        <v>0</v>
      </c>
    </row>
    <row r="424" spans="1:18" x14ac:dyDescent="0.35">
      <c r="A424" s="106">
        <f t="shared" si="106"/>
        <v>10</v>
      </c>
      <c r="B424" s="107" t="str">
        <f>VLOOKUP(A424,[1]Hoja3!$C$3:$D$14,2,FALSE)</f>
        <v>OCTUBRE</v>
      </c>
      <c r="C424" s="108">
        <v>45589.592546296299</v>
      </c>
      <c r="D424" s="108" t="s">
        <v>835</v>
      </c>
      <c r="E424" s="109" t="s">
        <v>842</v>
      </c>
      <c r="F424" s="109" t="s">
        <v>875</v>
      </c>
      <c r="G424" s="110" t="str">
        <f t="shared" si="104"/>
        <v>OCTUBRE</v>
      </c>
      <c r="H424" s="252">
        <v>460</v>
      </c>
      <c r="I424" s="102" t="str">
        <f t="shared" si="105"/>
        <v>OCTUBRE</v>
      </c>
      <c r="J424"/>
      <c r="K424" t="str">
        <f t="shared" si="107"/>
        <v>OCTUBRE</v>
      </c>
      <c r="L424" s="111">
        <f t="shared" si="108"/>
        <v>0</v>
      </c>
      <c r="M424" s="112">
        <f t="shared" si="109"/>
        <v>460</v>
      </c>
      <c r="N424" s="112">
        <f t="shared" si="110"/>
        <v>460</v>
      </c>
      <c r="O424" t="s">
        <v>451</v>
      </c>
      <c r="P424">
        <v>460</v>
      </c>
      <c r="Q424" s="102">
        <f t="shared" si="102"/>
        <v>0</v>
      </c>
      <c r="R424" s="102">
        <f t="shared" si="103"/>
        <v>0</v>
      </c>
    </row>
    <row r="425" spans="1:18" x14ac:dyDescent="0.35">
      <c r="A425" s="106">
        <f t="shared" si="106"/>
        <v>10</v>
      </c>
      <c r="B425" s="107" t="str">
        <f>VLOOKUP(A425,[1]Hoja3!$C$3:$D$14,2,FALSE)</f>
        <v>OCTUBRE</v>
      </c>
      <c r="C425" s="108">
        <v>45589.642372685186</v>
      </c>
      <c r="D425" s="108" t="s">
        <v>393</v>
      </c>
      <c r="E425" s="109" t="s">
        <v>409</v>
      </c>
      <c r="F425" s="109" t="s">
        <v>876</v>
      </c>
      <c r="G425" s="110" t="str">
        <f t="shared" si="104"/>
        <v>OCTUBRE</v>
      </c>
      <c r="H425" s="252"/>
      <c r="I425" s="102" t="str">
        <f t="shared" si="105"/>
        <v>OCTUBRE</v>
      </c>
      <c r="J425"/>
      <c r="K425" t="str">
        <f t="shared" si="107"/>
        <v>OCTUBRE</v>
      </c>
      <c r="L425" s="111">
        <f t="shared" si="108"/>
        <v>0</v>
      </c>
      <c r="M425" s="112">
        <f t="shared" si="109"/>
        <v>0</v>
      </c>
      <c r="N425" s="112">
        <f t="shared" si="110"/>
        <v>0</v>
      </c>
      <c r="O425" t="s">
        <v>551</v>
      </c>
      <c r="Q425" s="102"/>
      <c r="R425" s="102"/>
    </row>
    <row r="426" spans="1:18" x14ac:dyDescent="0.35">
      <c r="A426" s="106">
        <f t="shared" si="106"/>
        <v>10</v>
      </c>
      <c r="B426" s="107" t="str">
        <f>VLOOKUP(A426,[1]Hoja3!$C$3:$D$14,2,FALSE)</f>
        <v>OCTUBRE</v>
      </c>
      <c r="C426" s="108">
        <v>45593.327222222222</v>
      </c>
      <c r="D426" s="108" t="s">
        <v>386</v>
      </c>
      <c r="E426" s="109" t="s">
        <v>402</v>
      </c>
      <c r="F426" s="109" t="s">
        <v>445</v>
      </c>
      <c r="G426" s="110" t="str">
        <f t="shared" si="104"/>
        <v>OCTUBRE</v>
      </c>
      <c r="H426" s="252">
        <v>0.01</v>
      </c>
      <c r="I426" s="102" t="str">
        <f t="shared" si="105"/>
        <v>OCTUBRE</v>
      </c>
      <c r="J426"/>
      <c r="K426" t="str">
        <f t="shared" si="107"/>
        <v>OCTUBRE</v>
      </c>
      <c r="L426" s="111">
        <f t="shared" si="108"/>
        <v>0</v>
      </c>
      <c r="M426" s="112">
        <f t="shared" si="109"/>
        <v>0.01</v>
      </c>
      <c r="N426" s="112">
        <f t="shared" si="110"/>
        <v>0.01</v>
      </c>
      <c r="O426" t="s">
        <v>451</v>
      </c>
      <c r="P426">
        <v>0</v>
      </c>
      <c r="Q426" s="102">
        <f t="shared" si="102"/>
        <v>0.01</v>
      </c>
      <c r="R426" s="102">
        <f t="shared" si="103"/>
        <v>0.01</v>
      </c>
    </row>
    <row r="427" spans="1:18" x14ac:dyDescent="0.35">
      <c r="A427" s="106">
        <f t="shared" si="106"/>
        <v>10</v>
      </c>
      <c r="B427" s="107" t="str">
        <f>VLOOKUP(A427,[1]Hoja3!$C$3:$D$14,2,FALSE)</f>
        <v>OCTUBRE</v>
      </c>
      <c r="C427" s="108">
        <v>45593.411990740744</v>
      </c>
      <c r="D427" s="108" t="s">
        <v>395</v>
      </c>
      <c r="E427" s="109" t="s">
        <v>411</v>
      </c>
      <c r="F427" s="109" t="s">
        <v>877</v>
      </c>
      <c r="G427" s="110" t="str">
        <f t="shared" si="104"/>
        <v>OCTUBRE</v>
      </c>
      <c r="H427" s="252"/>
      <c r="I427" s="102" t="str">
        <f t="shared" si="105"/>
        <v>OCTUBRE</v>
      </c>
      <c r="J427"/>
      <c r="K427" t="str">
        <f t="shared" si="107"/>
        <v>OCTUBRE</v>
      </c>
      <c r="L427" s="111">
        <f t="shared" si="108"/>
        <v>0</v>
      </c>
      <c r="M427" s="112">
        <f t="shared" si="109"/>
        <v>0</v>
      </c>
      <c r="N427" s="112">
        <f t="shared" si="110"/>
        <v>0</v>
      </c>
      <c r="O427" t="s">
        <v>551</v>
      </c>
      <c r="Q427" s="102"/>
      <c r="R427" s="102"/>
    </row>
    <row r="428" spans="1:18" x14ac:dyDescent="0.35">
      <c r="A428" s="106">
        <f t="shared" si="106"/>
        <v>10</v>
      </c>
      <c r="B428" s="107" t="str">
        <f>VLOOKUP(A428,[1]Hoja3!$C$3:$D$14,2,FALSE)</f>
        <v>OCTUBRE</v>
      </c>
      <c r="C428" s="108">
        <v>45593.411990740744</v>
      </c>
      <c r="D428" s="108" t="s">
        <v>395</v>
      </c>
      <c r="E428" s="109" t="s">
        <v>411</v>
      </c>
      <c r="F428" s="109" t="s">
        <v>878</v>
      </c>
      <c r="G428" s="110" t="str">
        <f t="shared" si="104"/>
        <v>OCTUBRE</v>
      </c>
      <c r="H428" s="252"/>
      <c r="I428" s="102" t="str">
        <f t="shared" si="105"/>
        <v>OCTUBRE</v>
      </c>
      <c r="J428"/>
      <c r="K428" t="str">
        <f t="shared" si="107"/>
        <v>OCTUBRE</v>
      </c>
      <c r="L428" s="111">
        <f t="shared" si="108"/>
        <v>0</v>
      </c>
      <c r="M428" s="112">
        <f t="shared" si="109"/>
        <v>0</v>
      </c>
      <c r="N428" s="112">
        <f t="shared" si="110"/>
        <v>0</v>
      </c>
      <c r="O428" t="s">
        <v>551</v>
      </c>
      <c r="Q428" s="102"/>
      <c r="R428" s="102"/>
    </row>
    <row r="429" spans="1:18" x14ac:dyDescent="0.35">
      <c r="A429" s="106">
        <f t="shared" si="106"/>
        <v>10</v>
      </c>
      <c r="B429" s="107" t="str">
        <f>VLOOKUP(A429,[1]Hoja3!$C$3:$D$14,2,FALSE)</f>
        <v>OCTUBRE</v>
      </c>
      <c r="C429" s="108">
        <v>45593.411990740744</v>
      </c>
      <c r="D429" s="108" t="s">
        <v>396</v>
      </c>
      <c r="E429" s="109" t="s">
        <v>412</v>
      </c>
      <c r="F429" s="109" t="s">
        <v>879</v>
      </c>
      <c r="G429" s="110" t="str">
        <f t="shared" si="104"/>
        <v>OCTUBRE</v>
      </c>
      <c r="H429" s="252"/>
      <c r="I429" s="102" t="str">
        <f t="shared" si="105"/>
        <v>OCTUBRE</v>
      </c>
      <c r="J429"/>
      <c r="K429" t="str">
        <f t="shared" si="107"/>
        <v>OCTUBRE</v>
      </c>
      <c r="L429" s="111">
        <f t="shared" si="108"/>
        <v>0</v>
      </c>
      <c r="M429" s="112">
        <f t="shared" si="109"/>
        <v>0</v>
      </c>
      <c r="N429" s="112">
        <f t="shared" si="110"/>
        <v>0</v>
      </c>
      <c r="O429" t="s">
        <v>551</v>
      </c>
      <c r="Q429" s="102"/>
      <c r="R429" s="102"/>
    </row>
    <row r="430" spans="1:18" x14ac:dyDescent="0.35">
      <c r="A430" s="106">
        <f t="shared" si="106"/>
        <v>10</v>
      </c>
      <c r="B430" s="107" t="str">
        <f>VLOOKUP(A430,[1]Hoja3!$C$3:$D$14,2,FALSE)</f>
        <v>OCTUBRE</v>
      </c>
      <c r="C430" s="108">
        <v>45595.479351851849</v>
      </c>
      <c r="D430" s="108" t="s">
        <v>388</v>
      </c>
      <c r="E430" s="109" t="s">
        <v>404</v>
      </c>
      <c r="F430" s="109" t="s">
        <v>880</v>
      </c>
      <c r="G430" s="110" t="str">
        <f t="shared" si="104"/>
        <v>OCTUBRE</v>
      </c>
      <c r="H430" s="252">
        <v>17000</v>
      </c>
      <c r="I430" s="102" t="str">
        <f t="shared" si="105"/>
        <v>OCTUBRE</v>
      </c>
      <c r="J430"/>
      <c r="K430" t="str">
        <f t="shared" si="107"/>
        <v>OCTUBRE</v>
      </c>
      <c r="L430" s="111">
        <f t="shared" si="108"/>
        <v>0</v>
      </c>
      <c r="M430" s="112">
        <f t="shared" si="109"/>
        <v>17000</v>
      </c>
      <c r="N430" s="112">
        <f t="shared" si="110"/>
        <v>17000</v>
      </c>
      <c r="O430" t="s">
        <v>451</v>
      </c>
      <c r="P430">
        <v>17000</v>
      </c>
      <c r="Q430" s="102">
        <f t="shared" si="102"/>
        <v>0</v>
      </c>
      <c r="R430" s="102">
        <f t="shared" si="103"/>
        <v>0</v>
      </c>
    </row>
    <row r="431" spans="1:18" x14ac:dyDescent="0.35">
      <c r="A431" s="106">
        <f t="shared" si="106"/>
        <v>10</v>
      </c>
      <c r="B431" s="107" t="str">
        <f>VLOOKUP(A431,[1]Hoja3!$C$3:$D$14,2,FALSE)</f>
        <v>OCTUBRE</v>
      </c>
      <c r="C431" s="108">
        <v>45595.636874999997</v>
      </c>
      <c r="D431" s="108" t="s">
        <v>512</v>
      </c>
      <c r="E431" s="109" t="s">
        <v>514</v>
      </c>
      <c r="F431" s="109" t="s">
        <v>881</v>
      </c>
      <c r="G431" s="110" t="str">
        <f t="shared" si="104"/>
        <v>OCTUBRE</v>
      </c>
      <c r="H431" s="252">
        <v>2759</v>
      </c>
      <c r="I431" s="102" t="str">
        <f t="shared" si="105"/>
        <v>OCTUBRE</v>
      </c>
      <c r="J431">
        <v>0</v>
      </c>
      <c r="K431" t="str">
        <f t="shared" si="107"/>
        <v>OCTUBRE</v>
      </c>
      <c r="L431" s="111">
        <f t="shared" si="108"/>
        <v>0</v>
      </c>
      <c r="M431" s="112">
        <f t="shared" si="109"/>
        <v>2759</v>
      </c>
      <c r="N431" s="112">
        <f t="shared" si="110"/>
        <v>2759</v>
      </c>
      <c r="O431" t="s">
        <v>451</v>
      </c>
      <c r="P431">
        <v>2759</v>
      </c>
      <c r="Q431" s="102">
        <f t="shared" si="102"/>
        <v>0</v>
      </c>
      <c r="R431" s="102">
        <f t="shared" si="103"/>
        <v>0</v>
      </c>
    </row>
    <row r="432" spans="1:18" x14ac:dyDescent="0.35">
      <c r="A432" s="106">
        <f t="shared" si="106"/>
        <v>10</v>
      </c>
      <c r="B432" s="107" t="str">
        <f>VLOOKUP(A432,[1]Hoja3!$C$3:$D$14,2,FALSE)</f>
        <v>OCTUBRE</v>
      </c>
      <c r="C432" s="108">
        <v>45595.856030092589</v>
      </c>
      <c r="D432" s="108" t="s">
        <v>383</v>
      </c>
      <c r="E432" s="109" t="s">
        <v>399</v>
      </c>
      <c r="F432" s="109" t="s">
        <v>882</v>
      </c>
      <c r="G432" s="110" t="str">
        <f t="shared" si="104"/>
        <v>OCTUBRE</v>
      </c>
      <c r="H432" s="252">
        <v>34485</v>
      </c>
      <c r="I432" s="102" t="str">
        <f t="shared" si="105"/>
        <v>OCTUBRE</v>
      </c>
      <c r="J432">
        <v>0</v>
      </c>
      <c r="K432" t="str">
        <f t="shared" si="107"/>
        <v>OCTUBRE</v>
      </c>
      <c r="L432" s="111">
        <f t="shared" si="108"/>
        <v>0</v>
      </c>
      <c r="M432" s="112">
        <f t="shared" si="109"/>
        <v>34485</v>
      </c>
      <c r="N432" s="112">
        <f t="shared" si="110"/>
        <v>34485</v>
      </c>
      <c r="O432" t="s">
        <v>451</v>
      </c>
      <c r="P432">
        <v>34485</v>
      </c>
      <c r="Q432" s="102">
        <f t="shared" si="102"/>
        <v>0</v>
      </c>
      <c r="R432" s="102">
        <f t="shared" si="103"/>
        <v>0</v>
      </c>
    </row>
    <row r="433" spans="1:18" x14ac:dyDescent="0.35">
      <c r="A433" s="106">
        <f t="shared" si="106"/>
        <v>10</v>
      </c>
      <c r="B433" s="107" t="str">
        <f>VLOOKUP(A433,[1]Hoja3!$C$3:$D$14,2,FALSE)</f>
        <v>OCTUBRE</v>
      </c>
      <c r="C433" s="108">
        <v>45596</v>
      </c>
      <c r="D433" s="108" t="s">
        <v>354</v>
      </c>
      <c r="E433" s="109" t="s">
        <v>353</v>
      </c>
      <c r="F433" s="109" t="s">
        <v>448</v>
      </c>
      <c r="G433" s="110" t="str">
        <f t="shared" si="104"/>
        <v>OCTUBRE</v>
      </c>
      <c r="H433" s="252">
        <v>5725.6</v>
      </c>
      <c r="I433" s="102" t="str">
        <f t="shared" si="105"/>
        <v>OCTUBRE</v>
      </c>
      <c r="J433">
        <v>872.45</v>
      </c>
      <c r="K433" t="str">
        <f t="shared" si="107"/>
        <v>OCTUBRE</v>
      </c>
      <c r="L433" s="111">
        <f t="shared" si="108"/>
        <v>5452.8125</v>
      </c>
      <c r="M433" s="112">
        <f t="shared" si="109"/>
        <v>272.78750000000036</v>
      </c>
      <c r="N433" s="112">
        <f t="shared" si="110"/>
        <v>6598.05</v>
      </c>
      <c r="O433" t="s">
        <v>451</v>
      </c>
      <c r="P433">
        <v>6598.05</v>
      </c>
      <c r="Q433" s="102">
        <f t="shared" si="102"/>
        <v>0</v>
      </c>
      <c r="R433" s="102">
        <f t="shared" si="103"/>
        <v>-872.45</v>
      </c>
    </row>
    <row r="434" spans="1:18" x14ac:dyDescent="0.35">
      <c r="A434" s="106">
        <f t="shared" si="106"/>
        <v>10</v>
      </c>
      <c r="B434" s="107" t="str">
        <f>VLOOKUP(A434,[1]Hoja3!$C$3:$D$14,2,FALSE)</f>
        <v>OCTUBRE</v>
      </c>
      <c r="C434" s="108">
        <v>45596.123865740738</v>
      </c>
      <c r="D434" s="108" t="s">
        <v>385</v>
      </c>
      <c r="E434" s="109" t="s">
        <v>401</v>
      </c>
      <c r="F434" s="109" t="s">
        <v>883</v>
      </c>
      <c r="G434" s="110" t="str">
        <f t="shared" si="104"/>
        <v>OCTUBRE</v>
      </c>
      <c r="H434" s="252">
        <v>1283.72</v>
      </c>
      <c r="I434" s="102" t="str">
        <f t="shared" si="105"/>
        <v>OCTUBRE</v>
      </c>
      <c r="J434">
        <v>200.20683099999999</v>
      </c>
      <c r="K434" t="str">
        <f t="shared" si="107"/>
        <v>OCTUBRE</v>
      </c>
      <c r="L434" s="111">
        <f t="shared" si="108"/>
        <v>1251.2926937499999</v>
      </c>
      <c r="M434" s="112">
        <f t="shared" si="109"/>
        <v>32.427306250000129</v>
      </c>
      <c r="N434" s="112">
        <f t="shared" si="110"/>
        <v>1483.926831</v>
      </c>
      <c r="O434" t="s">
        <v>451</v>
      </c>
      <c r="P434">
        <v>1483.93</v>
      </c>
      <c r="Q434" s="102">
        <f t="shared" si="102"/>
        <v>-3.1690000000708096E-3</v>
      </c>
      <c r="R434" s="102">
        <f t="shared" si="103"/>
        <v>-200.21000000000006</v>
      </c>
    </row>
    <row r="435" spans="1:18" x14ac:dyDescent="0.35">
      <c r="A435" s="106">
        <f t="shared" si="106"/>
        <v>10</v>
      </c>
      <c r="B435" s="107" t="str">
        <f>VLOOKUP(A435,[1]Hoja3!$C$3:$D$14,2,FALSE)</f>
        <v>OCTUBRE</v>
      </c>
      <c r="C435" s="108">
        <v>45596.631597222222</v>
      </c>
      <c r="D435" s="108" t="s">
        <v>397</v>
      </c>
      <c r="E435" s="109" t="s">
        <v>413</v>
      </c>
      <c r="F435" s="109" t="s">
        <v>884</v>
      </c>
      <c r="G435" s="110" t="str">
        <f t="shared" si="104"/>
        <v>OCTUBRE</v>
      </c>
      <c r="H435" s="252">
        <v>1840</v>
      </c>
      <c r="I435" s="102" t="str">
        <f t="shared" si="105"/>
        <v>OCTUBRE</v>
      </c>
      <c r="J435">
        <v>0</v>
      </c>
      <c r="K435" t="str">
        <f t="shared" si="107"/>
        <v>OCTUBRE</v>
      </c>
      <c r="L435" s="111">
        <f t="shared" si="108"/>
        <v>0</v>
      </c>
      <c r="M435" s="112">
        <f t="shared" si="109"/>
        <v>1840</v>
      </c>
      <c r="N435" s="112">
        <f t="shared" si="110"/>
        <v>1840</v>
      </c>
      <c r="O435" t="s">
        <v>451</v>
      </c>
      <c r="P435">
        <v>1840</v>
      </c>
      <c r="Q435" s="102">
        <f t="shared" si="102"/>
        <v>0</v>
      </c>
      <c r="R435" s="102">
        <f t="shared" si="103"/>
        <v>0</v>
      </c>
    </row>
    <row r="436" spans="1:18" x14ac:dyDescent="0.35">
      <c r="A436" s="106">
        <f t="shared" si="106"/>
        <v>10</v>
      </c>
      <c r="B436" s="107" t="str">
        <f>VLOOKUP(A436,[1]Hoja3!$C$3:$D$14,2,FALSE)</f>
        <v>OCTUBRE</v>
      </c>
      <c r="C436" s="108">
        <v>45596.633287037039</v>
      </c>
      <c r="D436" s="108" t="s">
        <v>397</v>
      </c>
      <c r="E436" s="109" t="s">
        <v>413</v>
      </c>
      <c r="F436" s="109" t="s">
        <v>885</v>
      </c>
      <c r="G436" s="110" t="str">
        <f t="shared" si="104"/>
        <v>OCTUBRE</v>
      </c>
      <c r="H436" s="252">
        <v>1840</v>
      </c>
      <c r="I436" s="102" t="str">
        <f t="shared" si="105"/>
        <v>OCTUBRE</v>
      </c>
      <c r="J436">
        <v>0</v>
      </c>
      <c r="K436" t="str">
        <f t="shared" si="107"/>
        <v>OCTUBRE</v>
      </c>
      <c r="L436" s="111">
        <f t="shared" si="108"/>
        <v>0</v>
      </c>
      <c r="M436" s="112">
        <f t="shared" si="109"/>
        <v>1840</v>
      </c>
      <c r="N436" s="112">
        <f t="shared" si="110"/>
        <v>1840</v>
      </c>
      <c r="O436" t="s">
        <v>451</v>
      </c>
      <c r="P436">
        <v>1840</v>
      </c>
      <c r="Q436" s="102">
        <f t="shared" si="102"/>
        <v>0</v>
      </c>
      <c r="R436" s="102">
        <f t="shared" si="103"/>
        <v>0</v>
      </c>
    </row>
    <row r="437" spans="1:18" x14ac:dyDescent="0.35">
      <c r="A437" s="106">
        <f t="shared" si="106"/>
        <v>10</v>
      </c>
      <c r="B437" s="107" t="str">
        <f>VLOOKUP(A437,[1]Hoja3!$C$3:$D$14,2,FALSE)</f>
        <v>OCTUBRE</v>
      </c>
      <c r="C437" s="108">
        <v>45596.634768518517</v>
      </c>
      <c r="D437" s="108" t="s">
        <v>397</v>
      </c>
      <c r="E437" s="109" t="s">
        <v>413</v>
      </c>
      <c r="F437" s="109" t="s">
        <v>886</v>
      </c>
      <c r="G437" s="110" t="str">
        <f t="shared" si="104"/>
        <v>OCTUBRE</v>
      </c>
      <c r="H437" s="252">
        <v>1840</v>
      </c>
      <c r="I437" s="102" t="str">
        <f t="shared" si="105"/>
        <v>OCTUBRE</v>
      </c>
      <c r="J437">
        <v>0</v>
      </c>
      <c r="K437" t="str">
        <f t="shared" si="107"/>
        <v>OCTUBRE</v>
      </c>
      <c r="L437" s="111">
        <f t="shared" si="108"/>
        <v>0</v>
      </c>
      <c r="M437" s="112">
        <f t="shared" si="109"/>
        <v>1840</v>
      </c>
      <c r="N437" s="112">
        <f t="shared" si="110"/>
        <v>1840</v>
      </c>
      <c r="O437" t="s">
        <v>451</v>
      </c>
      <c r="P437">
        <v>1840</v>
      </c>
      <c r="Q437" s="102">
        <f t="shared" si="102"/>
        <v>0</v>
      </c>
      <c r="R437" s="102">
        <f t="shared" si="103"/>
        <v>0</v>
      </c>
    </row>
    <row r="438" spans="1:18" x14ac:dyDescent="0.35">
      <c r="A438" s="106">
        <f t="shared" si="106"/>
        <v>10</v>
      </c>
      <c r="B438" s="107" t="str">
        <f>VLOOKUP(A438,[1]Hoja3!$C$3:$D$14,2,FALSE)</f>
        <v>OCTUBRE</v>
      </c>
      <c r="C438" s="108">
        <v>45596.636354166665</v>
      </c>
      <c r="D438" s="108" t="s">
        <v>397</v>
      </c>
      <c r="E438" s="109" t="s">
        <v>413</v>
      </c>
      <c r="F438" s="109" t="s">
        <v>887</v>
      </c>
      <c r="G438" s="110" t="str">
        <f t="shared" si="104"/>
        <v>OCTUBRE</v>
      </c>
      <c r="H438" s="252">
        <v>1840</v>
      </c>
      <c r="I438" s="102" t="str">
        <f t="shared" si="105"/>
        <v>OCTUBRE</v>
      </c>
      <c r="J438">
        <v>0</v>
      </c>
      <c r="K438" t="str">
        <f t="shared" si="107"/>
        <v>OCTUBRE</v>
      </c>
      <c r="L438" s="111">
        <f t="shared" si="108"/>
        <v>0</v>
      </c>
      <c r="M438" s="112">
        <f t="shared" si="109"/>
        <v>1840</v>
      </c>
      <c r="N438" s="112">
        <f t="shared" si="110"/>
        <v>1840</v>
      </c>
      <c r="O438" t="s">
        <v>451</v>
      </c>
      <c r="P438">
        <v>1840</v>
      </c>
      <c r="Q438" s="102">
        <f t="shared" si="102"/>
        <v>0</v>
      </c>
      <c r="R438" s="102">
        <f t="shared" si="103"/>
        <v>0</v>
      </c>
    </row>
    <row r="439" spans="1:18" x14ac:dyDescent="0.35">
      <c r="A439" s="106">
        <f t="shared" si="106"/>
        <v>10</v>
      </c>
      <c r="B439" s="107" t="str">
        <f>VLOOKUP(A439,[1]Hoja3!$C$3:$D$14,2,FALSE)</f>
        <v>OCTUBRE</v>
      </c>
      <c r="C439" s="108">
        <v>45596.637974537036</v>
      </c>
      <c r="D439" s="108" t="s">
        <v>397</v>
      </c>
      <c r="E439" s="109" t="s">
        <v>413</v>
      </c>
      <c r="F439" s="109" t="s">
        <v>888</v>
      </c>
      <c r="G439" s="110" t="str">
        <f t="shared" si="104"/>
        <v>OCTUBRE</v>
      </c>
      <c r="H439" s="252">
        <v>1840</v>
      </c>
      <c r="I439" s="102" t="str">
        <f t="shared" si="105"/>
        <v>OCTUBRE</v>
      </c>
      <c r="J439">
        <v>0</v>
      </c>
      <c r="K439" t="str">
        <f t="shared" si="107"/>
        <v>OCTUBRE</v>
      </c>
      <c r="L439" s="111">
        <f t="shared" si="108"/>
        <v>0</v>
      </c>
      <c r="M439" s="112">
        <f t="shared" si="109"/>
        <v>1840</v>
      </c>
      <c r="N439" s="112">
        <f t="shared" si="110"/>
        <v>1840</v>
      </c>
      <c r="O439" t="s">
        <v>451</v>
      </c>
      <c r="P439">
        <v>1840</v>
      </c>
      <c r="Q439" s="102">
        <f t="shared" si="102"/>
        <v>0</v>
      </c>
      <c r="R439" s="102">
        <f t="shared" si="103"/>
        <v>0</v>
      </c>
    </row>
    <row r="440" spans="1:18" x14ac:dyDescent="0.35">
      <c r="A440" s="106">
        <f t="shared" si="106"/>
        <v>10</v>
      </c>
      <c r="B440" s="107" t="str">
        <f>VLOOKUP(A440,[1]Hoja3!$C$3:$D$14,2,FALSE)</f>
        <v>OCTUBRE</v>
      </c>
      <c r="C440" s="108">
        <v>45596.6409375</v>
      </c>
      <c r="D440" s="108" t="s">
        <v>397</v>
      </c>
      <c r="E440" s="109" t="s">
        <v>413</v>
      </c>
      <c r="F440" s="109" t="s">
        <v>889</v>
      </c>
      <c r="G440" s="110" t="str">
        <f t="shared" si="104"/>
        <v>OCTUBRE</v>
      </c>
      <c r="H440" s="252">
        <v>1840</v>
      </c>
      <c r="I440" s="102" t="str">
        <f t="shared" si="105"/>
        <v>OCTUBRE</v>
      </c>
      <c r="J440">
        <v>0</v>
      </c>
      <c r="K440" t="str">
        <f t="shared" si="107"/>
        <v>OCTUBRE</v>
      </c>
      <c r="L440" s="111">
        <f t="shared" si="108"/>
        <v>0</v>
      </c>
      <c r="M440" s="112">
        <f t="shared" si="109"/>
        <v>1840</v>
      </c>
      <c r="N440" s="112">
        <f t="shared" si="110"/>
        <v>1840</v>
      </c>
      <c r="O440" t="s">
        <v>451</v>
      </c>
      <c r="P440">
        <v>1840</v>
      </c>
      <c r="Q440" s="102">
        <f t="shared" si="102"/>
        <v>0</v>
      </c>
      <c r="R440" s="102">
        <f t="shared" si="103"/>
        <v>0</v>
      </c>
    </row>
    <row r="441" spans="1:18" x14ac:dyDescent="0.35">
      <c r="A441" s="106">
        <f t="shared" si="106"/>
        <v>10</v>
      </c>
      <c r="B441" s="107" t="str">
        <f>VLOOKUP(A441,[1]Hoja3!$C$3:$D$14,2,FALSE)</f>
        <v>OCTUBRE</v>
      </c>
      <c r="C441" s="108">
        <v>45596.642407407409</v>
      </c>
      <c r="D441" s="108" t="s">
        <v>397</v>
      </c>
      <c r="E441" s="109" t="s">
        <v>413</v>
      </c>
      <c r="F441" s="109" t="s">
        <v>890</v>
      </c>
      <c r="G441" s="110" t="str">
        <f t="shared" si="104"/>
        <v>OCTUBRE</v>
      </c>
      <c r="H441" s="252">
        <v>1840</v>
      </c>
      <c r="I441" s="102" t="str">
        <f t="shared" si="105"/>
        <v>OCTUBRE</v>
      </c>
      <c r="J441">
        <v>0</v>
      </c>
      <c r="K441" t="str">
        <f t="shared" si="107"/>
        <v>OCTUBRE</v>
      </c>
      <c r="L441" s="111">
        <f t="shared" si="108"/>
        <v>0</v>
      </c>
      <c r="M441" s="112">
        <f t="shared" si="109"/>
        <v>1840</v>
      </c>
      <c r="N441" s="112">
        <f t="shared" si="110"/>
        <v>1840</v>
      </c>
      <c r="O441" t="s">
        <v>451</v>
      </c>
      <c r="P441">
        <v>1840</v>
      </c>
      <c r="Q441" s="102">
        <f t="shared" si="102"/>
        <v>0</v>
      </c>
      <c r="R441" s="102">
        <f t="shared" si="103"/>
        <v>0</v>
      </c>
    </row>
    <row r="442" spans="1:18" x14ac:dyDescent="0.35">
      <c r="A442" s="106">
        <f t="shared" si="106"/>
        <v>10</v>
      </c>
      <c r="B442" s="107" t="str">
        <f>VLOOKUP(A442,[1]Hoja3!$C$3:$D$14,2,FALSE)</f>
        <v>OCTUBRE</v>
      </c>
      <c r="C442" s="108">
        <v>45596.749016203707</v>
      </c>
      <c r="D442" s="108" t="s">
        <v>270</v>
      </c>
      <c r="E442" s="109" t="s">
        <v>271</v>
      </c>
      <c r="F442" s="109" t="s">
        <v>891</v>
      </c>
      <c r="G442" s="110" t="str">
        <f t="shared" si="104"/>
        <v>OCTUBRE</v>
      </c>
      <c r="H442" s="252">
        <v>4500</v>
      </c>
      <c r="I442" s="102" t="str">
        <f t="shared" si="105"/>
        <v>OCTUBRE</v>
      </c>
      <c r="J442">
        <v>0</v>
      </c>
      <c r="K442" t="str">
        <f t="shared" si="107"/>
        <v>OCTUBRE</v>
      </c>
      <c r="L442" s="111">
        <f t="shared" si="108"/>
        <v>0</v>
      </c>
      <c r="M442" s="112">
        <f t="shared" si="109"/>
        <v>4500</v>
      </c>
      <c r="N442" s="112">
        <f t="shared" si="110"/>
        <v>4500</v>
      </c>
      <c r="O442" t="s">
        <v>451</v>
      </c>
      <c r="P442">
        <v>4500</v>
      </c>
      <c r="Q442" s="102">
        <f t="shared" si="102"/>
        <v>0</v>
      </c>
      <c r="R442" s="102">
        <f t="shared" si="103"/>
        <v>0</v>
      </c>
    </row>
    <row r="443" spans="1:18" x14ac:dyDescent="0.35">
      <c r="A443" s="106">
        <f t="shared" si="106"/>
        <v>10</v>
      </c>
      <c r="B443" s="107" t="str">
        <f>VLOOKUP(A443,[1]Hoja3!$C$3:$D$14,2,FALSE)</f>
        <v>OCTUBRE</v>
      </c>
      <c r="C443" s="108">
        <v>45596.750532407408</v>
      </c>
      <c r="D443" s="108" t="s">
        <v>270</v>
      </c>
      <c r="E443" s="109" t="s">
        <v>271</v>
      </c>
      <c r="F443" s="109" t="s">
        <v>892</v>
      </c>
      <c r="G443" s="110" t="str">
        <f t="shared" si="104"/>
        <v>OCTUBRE</v>
      </c>
      <c r="H443" s="252">
        <v>4300</v>
      </c>
      <c r="I443" s="102" t="str">
        <f t="shared" si="105"/>
        <v>OCTUBRE</v>
      </c>
      <c r="J443">
        <v>0</v>
      </c>
      <c r="K443" t="str">
        <f t="shared" si="107"/>
        <v>OCTUBRE</v>
      </c>
      <c r="L443" s="111">
        <f t="shared" si="108"/>
        <v>0</v>
      </c>
      <c r="M443" s="112">
        <f t="shared" si="109"/>
        <v>4300</v>
      </c>
      <c r="N443" s="112">
        <f t="shared" si="110"/>
        <v>4300</v>
      </c>
      <c r="O443" t="s">
        <v>451</v>
      </c>
      <c r="P443">
        <v>4300</v>
      </c>
      <c r="Q443" s="102">
        <f t="shared" si="102"/>
        <v>0</v>
      </c>
      <c r="R443" s="102">
        <f t="shared" si="103"/>
        <v>0</v>
      </c>
    </row>
    <row r="444" spans="1:18" x14ac:dyDescent="0.35">
      <c r="A444" s="106">
        <f t="shared" si="106"/>
        <v>11</v>
      </c>
      <c r="B444" s="107" t="str">
        <f>VLOOKUP(A444,[1]Hoja3!$C$3:$D$14,2,FALSE)</f>
        <v>NOVIEMBRE</v>
      </c>
      <c r="C444" s="108">
        <v>45597.623217592591</v>
      </c>
      <c r="D444" s="108" t="s">
        <v>659</v>
      </c>
      <c r="E444" s="109" t="s">
        <v>653</v>
      </c>
      <c r="F444" s="109" t="s">
        <v>893</v>
      </c>
      <c r="G444" s="110" t="str">
        <f t="shared" si="104"/>
        <v>NOVIEMBRE</v>
      </c>
      <c r="H444" s="252">
        <v>1189.23</v>
      </c>
      <c r="I444" s="102" t="str">
        <f t="shared" si="105"/>
        <v>NOVIEMBRE</v>
      </c>
      <c r="J444">
        <v>183.28</v>
      </c>
      <c r="K444" t="str">
        <f t="shared" si="107"/>
        <v>NOVIEMBRE</v>
      </c>
      <c r="L444" s="111">
        <f t="shared" si="108"/>
        <v>1145.5</v>
      </c>
      <c r="M444" s="112">
        <f t="shared" si="109"/>
        <v>43.730000000000018</v>
      </c>
      <c r="N444" s="112">
        <f t="shared" si="110"/>
        <v>1372.51</v>
      </c>
      <c r="O444" t="s">
        <v>451</v>
      </c>
      <c r="P444">
        <v>1372.51</v>
      </c>
      <c r="Q444" s="102">
        <f t="shared" si="102"/>
        <v>0</v>
      </c>
      <c r="R444" s="102">
        <f t="shared" si="103"/>
        <v>-183.28</v>
      </c>
    </row>
    <row r="445" spans="1:18" x14ac:dyDescent="0.35">
      <c r="A445" s="106">
        <f t="shared" si="106"/>
        <v>11</v>
      </c>
      <c r="B445" s="107" t="str">
        <f>VLOOKUP(A445,[1]Hoja3!$C$3:$D$14,2,FALSE)</f>
        <v>NOVIEMBRE</v>
      </c>
      <c r="C445" s="108">
        <v>45597.690798611111</v>
      </c>
      <c r="D445" s="108" t="s">
        <v>835</v>
      </c>
      <c r="E445" s="109" t="s">
        <v>842</v>
      </c>
      <c r="F445" s="109" t="s">
        <v>894</v>
      </c>
      <c r="G445" s="110" t="str">
        <f t="shared" si="104"/>
        <v>NOVIEMBRE</v>
      </c>
      <c r="H445" s="252">
        <v>200</v>
      </c>
      <c r="I445" s="102" t="str">
        <f t="shared" si="105"/>
        <v>NOVIEMBRE</v>
      </c>
      <c r="J445"/>
      <c r="K445" t="str">
        <f t="shared" si="107"/>
        <v>NOVIEMBRE</v>
      </c>
      <c r="L445" s="111">
        <f t="shared" si="108"/>
        <v>0</v>
      </c>
      <c r="M445" s="112">
        <f t="shared" si="109"/>
        <v>200</v>
      </c>
      <c r="N445" s="112">
        <f t="shared" si="110"/>
        <v>200</v>
      </c>
      <c r="O445" t="s">
        <v>451</v>
      </c>
      <c r="P445">
        <v>200</v>
      </c>
      <c r="Q445" s="102">
        <f t="shared" si="102"/>
        <v>0</v>
      </c>
      <c r="R445" s="102">
        <f t="shared" si="103"/>
        <v>0</v>
      </c>
    </row>
    <row r="446" spans="1:18" x14ac:dyDescent="0.35">
      <c r="A446" s="106">
        <f t="shared" si="106"/>
        <v>11</v>
      </c>
      <c r="B446" s="107" t="str">
        <f>VLOOKUP(A446,[1]Hoja3!$C$3:$D$14,2,FALSE)</f>
        <v>NOVIEMBRE</v>
      </c>
      <c r="C446" s="108">
        <v>45597.816319444442</v>
      </c>
      <c r="D446" s="108" t="s">
        <v>382</v>
      </c>
      <c r="E446" s="109" t="s">
        <v>398</v>
      </c>
      <c r="F446" s="109" t="s">
        <v>414</v>
      </c>
      <c r="G446" s="110" t="str">
        <f t="shared" si="104"/>
        <v>NOVIEMBRE</v>
      </c>
      <c r="H446" s="252">
        <v>1078.4100000000001</v>
      </c>
      <c r="I446" s="102" t="str">
        <f t="shared" si="105"/>
        <v>NOVIEMBRE</v>
      </c>
      <c r="J446">
        <v>172.55</v>
      </c>
      <c r="K446" t="str">
        <f t="shared" si="107"/>
        <v>NOVIEMBRE</v>
      </c>
      <c r="L446" s="111">
        <f t="shared" si="108"/>
        <v>1078.4375</v>
      </c>
      <c r="M446" s="112">
        <f t="shared" si="109"/>
        <v>-2.7499999999918145E-2</v>
      </c>
      <c r="N446" s="112">
        <f t="shared" si="110"/>
        <v>1250.96</v>
      </c>
      <c r="O446" t="s">
        <v>451</v>
      </c>
      <c r="P446">
        <v>1250.96</v>
      </c>
      <c r="Q446" s="102">
        <f t="shared" si="102"/>
        <v>0</v>
      </c>
      <c r="R446" s="102">
        <f t="shared" si="103"/>
        <v>-172.55</v>
      </c>
    </row>
    <row r="447" spans="1:18" x14ac:dyDescent="0.35">
      <c r="A447" s="106">
        <f t="shared" si="106"/>
        <v>11</v>
      </c>
      <c r="B447" s="107" t="str">
        <f>VLOOKUP(A447,[1]Hoja3!$C$3:$D$14,2,FALSE)</f>
        <v>NOVIEMBRE</v>
      </c>
      <c r="C447" s="108">
        <v>45598.113819444443</v>
      </c>
      <c r="D447" s="108" t="s">
        <v>655</v>
      </c>
      <c r="E447" s="109" t="s">
        <v>649</v>
      </c>
      <c r="F447" s="109" t="s">
        <v>662</v>
      </c>
      <c r="G447" s="110" t="str">
        <f t="shared" si="104"/>
        <v>NOVIEMBRE</v>
      </c>
      <c r="H447" s="252">
        <v>1068.58</v>
      </c>
      <c r="I447" s="102" t="str">
        <f t="shared" si="105"/>
        <v>NOVIEMBRE</v>
      </c>
      <c r="J447">
        <v>170.97</v>
      </c>
      <c r="K447" t="str">
        <f t="shared" si="107"/>
        <v>NOVIEMBRE</v>
      </c>
      <c r="L447" s="111">
        <f t="shared" si="108"/>
        <v>1068.5625</v>
      </c>
      <c r="M447" s="112">
        <f t="shared" si="109"/>
        <v>1.749999999992724E-2</v>
      </c>
      <c r="N447" s="112">
        <f t="shared" si="110"/>
        <v>1239.55</v>
      </c>
      <c r="O447" t="s">
        <v>451</v>
      </c>
      <c r="P447">
        <v>1239.55</v>
      </c>
      <c r="Q447" s="102">
        <f t="shared" si="102"/>
        <v>0</v>
      </c>
      <c r="R447" s="102">
        <f t="shared" si="103"/>
        <v>-170.97</v>
      </c>
    </row>
    <row r="448" spans="1:18" x14ac:dyDescent="0.35">
      <c r="A448" s="106">
        <f t="shared" si="106"/>
        <v>11</v>
      </c>
      <c r="B448" s="107" t="str">
        <f>VLOOKUP(A448,[1]Hoja3!$C$3:$D$14,2,FALSE)</f>
        <v>NOVIEMBRE</v>
      </c>
      <c r="C448" s="108">
        <v>45600.666655092595</v>
      </c>
      <c r="D448" s="108" t="s">
        <v>388</v>
      </c>
      <c r="E448" s="109" t="s">
        <v>404</v>
      </c>
      <c r="F448" s="109" t="s">
        <v>895</v>
      </c>
      <c r="G448" s="110" t="str">
        <f t="shared" si="104"/>
        <v>NOVIEMBRE</v>
      </c>
      <c r="H448" s="252">
        <v>39339.800000000003</v>
      </c>
      <c r="I448" s="102" t="str">
        <f t="shared" si="105"/>
        <v>NOVIEMBRE</v>
      </c>
      <c r="J448">
        <v>0</v>
      </c>
      <c r="K448" t="str">
        <f t="shared" si="107"/>
        <v>NOVIEMBRE</v>
      </c>
      <c r="L448" s="111">
        <f t="shared" si="108"/>
        <v>0</v>
      </c>
      <c r="M448" s="112">
        <f t="shared" si="109"/>
        <v>39339.800000000003</v>
      </c>
      <c r="N448" s="112">
        <f t="shared" si="110"/>
        <v>39339.800000000003</v>
      </c>
      <c r="O448" t="s">
        <v>451</v>
      </c>
      <c r="P448">
        <v>39339.800000000003</v>
      </c>
      <c r="Q448" s="102">
        <f t="shared" si="102"/>
        <v>0</v>
      </c>
      <c r="R448" s="102">
        <f t="shared" si="103"/>
        <v>0</v>
      </c>
    </row>
    <row r="449" spans="1:18" x14ac:dyDescent="0.35">
      <c r="A449" s="106">
        <f t="shared" si="106"/>
        <v>11</v>
      </c>
      <c r="B449" s="107" t="str">
        <f>VLOOKUP(A449,[1]Hoja3!$C$3:$D$14,2,FALSE)</f>
        <v>NOVIEMBRE</v>
      </c>
      <c r="C449" s="108">
        <v>45600.789189814815</v>
      </c>
      <c r="D449" s="108" t="s">
        <v>385</v>
      </c>
      <c r="E449" s="109" t="s">
        <v>401</v>
      </c>
      <c r="F449" s="109" t="s">
        <v>896</v>
      </c>
      <c r="G449" s="110" t="str">
        <f t="shared" si="104"/>
        <v>NOVIEMBRE</v>
      </c>
      <c r="H449" s="252">
        <v>1254.93</v>
      </c>
      <c r="I449" s="102" t="str">
        <f t="shared" si="105"/>
        <v>NOVIEMBRE</v>
      </c>
      <c r="J449">
        <v>195.70667499999999</v>
      </c>
      <c r="K449" t="str">
        <f t="shared" si="107"/>
        <v>NOVIEMBRE</v>
      </c>
      <c r="L449" s="111">
        <f t="shared" si="108"/>
        <v>1223.16671875</v>
      </c>
      <c r="M449" s="112">
        <f t="shared" si="109"/>
        <v>31.763281250000091</v>
      </c>
      <c r="N449" s="112">
        <f t="shared" si="110"/>
        <v>1450.636675</v>
      </c>
      <c r="O449" t="s">
        <v>451</v>
      </c>
      <c r="P449">
        <v>1450.64</v>
      </c>
      <c r="Q449" s="102">
        <f t="shared" si="102"/>
        <v>-3.3250000001316948E-3</v>
      </c>
      <c r="R449" s="102">
        <f t="shared" si="103"/>
        <v>-195.71000000000012</v>
      </c>
    </row>
    <row r="450" spans="1:18" x14ac:dyDescent="0.35">
      <c r="A450" s="106">
        <f t="shared" si="106"/>
        <v>11</v>
      </c>
      <c r="B450" s="107" t="str">
        <f>VLOOKUP(A450,[1]Hoja3!$C$3:$D$14,2,FALSE)</f>
        <v>NOVIEMBRE</v>
      </c>
      <c r="C450" s="108">
        <v>45603.819085648145</v>
      </c>
      <c r="D450" s="108" t="s">
        <v>393</v>
      </c>
      <c r="E450" s="109" t="s">
        <v>409</v>
      </c>
      <c r="F450" s="109" t="s">
        <v>897</v>
      </c>
      <c r="G450" s="110" t="str">
        <f t="shared" si="104"/>
        <v>NOVIEMBRE</v>
      </c>
      <c r="H450" s="252"/>
      <c r="I450" s="102" t="str">
        <f t="shared" si="105"/>
        <v>NOVIEMBRE</v>
      </c>
      <c r="J450"/>
      <c r="K450" t="str">
        <f t="shared" si="107"/>
        <v>NOVIEMBRE</v>
      </c>
      <c r="L450" s="111">
        <f t="shared" si="108"/>
        <v>0</v>
      </c>
      <c r="M450" s="112">
        <f t="shared" si="109"/>
        <v>0</v>
      </c>
      <c r="N450" s="112">
        <f t="shared" si="110"/>
        <v>0</v>
      </c>
      <c r="O450" t="s">
        <v>551</v>
      </c>
      <c r="Q450" s="102"/>
      <c r="R450" s="102"/>
    </row>
    <row r="451" spans="1:18" x14ac:dyDescent="0.35">
      <c r="A451" s="106">
        <f t="shared" si="106"/>
        <v>11</v>
      </c>
      <c r="B451" s="107" t="str">
        <f>VLOOKUP(A451,[1]Hoja3!$C$3:$D$14,2,FALSE)</f>
        <v>NOVIEMBRE</v>
      </c>
      <c r="C451" s="108">
        <v>45604.325416666667</v>
      </c>
      <c r="D451" s="108" t="s">
        <v>386</v>
      </c>
      <c r="E451" s="109" t="s">
        <v>402</v>
      </c>
      <c r="F451" s="109" t="s">
        <v>418</v>
      </c>
      <c r="G451" s="110" t="str">
        <f t="shared" si="104"/>
        <v>NOVIEMBRE</v>
      </c>
      <c r="H451" s="252">
        <v>0.01</v>
      </c>
      <c r="I451" s="102" t="str">
        <f t="shared" si="105"/>
        <v>NOVIEMBRE</v>
      </c>
      <c r="J451"/>
      <c r="K451" t="str">
        <f t="shared" si="107"/>
        <v>NOVIEMBRE</v>
      </c>
      <c r="L451" s="111">
        <f t="shared" si="108"/>
        <v>0</v>
      </c>
      <c r="M451" s="112">
        <f t="shared" si="109"/>
        <v>0.01</v>
      </c>
      <c r="N451" s="112">
        <f t="shared" si="110"/>
        <v>0.01</v>
      </c>
      <c r="O451" t="s">
        <v>451</v>
      </c>
      <c r="P451">
        <v>0</v>
      </c>
      <c r="Q451" s="102">
        <f t="shared" si="102"/>
        <v>0.01</v>
      </c>
      <c r="R451" s="102">
        <f t="shared" si="103"/>
        <v>0.01</v>
      </c>
    </row>
    <row r="452" spans="1:18" x14ac:dyDescent="0.35">
      <c r="A452" s="106">
        <f t="shared" si="106"/>
        <v>11</v>
      </c>
      <c r="B452" s="107" t="str">
        <f>VLOOKUP(A452,[1]Hoja3!$C$3:$D$14,2,FALSE)</f>
        <v>NOVIEMBRE</v>
      </c>
      <c r="C452" s="108">
        <v>45604.807800925926</v>
      </c>
      <c r="D452" s="108" t="s">
        <v>393</v>
      </c>
      <c r="E452" s="109" t="s">
        <v>409</v>
      </c>
      <c r="F452" s="109" t="s">
        <v>898</v>
      </c>
      <c r="G452" s="110" t="str">
        <f t="shared" si="104"/>
        <v>NOVIEMBRE</v>
      </c>
      <c r="H452" s="252">
        <v>0</v>
      </c>
      <c r="I452" s="102" t="str">
        <f t="shared" si="105"/>
        <v>NOVIEMBRE</v>
      </c>
      <c r="J452"/>
      <c r="K452" t="str">
        <f t="shared" si="107"/>
        <v>NOVIEMBRE</v>
      </c>
      <c r="L452" s="111">
        <f t="shared" si="108"/>
        <v>0</v>
      </c>
      <c r="M452" s="112">
        <f t="shared" si="109"/>
        <v>0</v>
      </c>
      <c r="N452" s="112">
        <f t="shared" si="110"/>
        <v>0</v>
      </c>
      <c r="P452">
        <v>0</v>
      </c>
      <c r="Q452" s="102">
        <f t="shared" si="102"/>
        <v>0</v>
      </c>
      <c r="R452" s="102">
        <f t="shared" si="103"/>
        <v>0</v>
      </c>
    </row>
    <row r="453" spans="1:18" x14ac:dyDescent="0.35">
      <c r="A453" s="106">
        <f t="shared" si="106"/>
        <v>11</v>
      </c>
      <c r="B453" s="107" t="str">
        <f>VLOOKUP(A453,[1]Hoja3!$C$3:$D$14,2,FALSE)</f>
        <v>NOVIEMBRE</v>
      </c>
      <c r="C453" s="108">
        <v>45606.440486111111</v>
      </c>
      <c r="D453" s="108" t="s">
        <v>387</v>
      </c>
      <c r="E453" s="109" t="s">
        <v>403</v>
      </c>
      <c r="F453" s="109" t="s">
        <v>899</v>
      </c>
      <c r="G453" s="110" t="str">
        <f t="shared" si="104"/>
        <v>NOVIEMBRE</v>
      </c>
      <c r="H453" s="252">
        <v>2841.43</v>
      </c>
      <c r="I453" s="102" t="str">
        <f t="shared" si="105"/>
        <v>NOVIEMBRE</v>
      </c>
      <c r="J453">
        <v>130.28</v>
      </c>
      <c r="K453" t="str">
        <f t="shared" si="107"/>
        <v>NOVIEMBRE</v>
      </c>
      <c r="L453" s="111">
        <f t="shared" si="108"/>
        <v>814.25</v>
      </c>
      <c r="M453" s="112">
        <f t="shared" si="109"/>
        <v>2027.1799999999998</v>
      </c>
      <c r="N453" s="112">
        <f t="shared" si="110"/>
        <v>2971.71</v>
      </c>
      <c r="O453" t="s">
        <v>451</v>
      </c>
      <c r="P453">
        <v>2971.71</v>
      </c>
      <c r="Q453" s="102">
        <f t="shared" si="102"/>
        <v>0</v>
      </c>
      <c r="R453" s="102">
        <f t="shared" si="103"/>
        <v>-130.28</v>
      </c>
    </row>
    <row r="454" spans="1:18" x14ac:dyDescent="0.35">
      <c r="A454" s="106">
        <f t="shared" si="106"/>
        <v>11</v>
      </c>
      <c r="B454" s="107" t="str">
        <f>VLOOKUP(A454,[1]Hoja3!$C$3:$D$14,2,FALSE)</f>
        <v>NOVIEMBRE</v>
      </c>
      <c r="C454" s="108">
        <v>45608.002291666664</v>
      </c>
      <c r="D454" s="108" t="s">
        <v>383</v>
      </c>
      <c r="E454" s="109" t="s">
        <v>399</v>
      </c>
      <c r="F454" s="109" t="s">
        <v>900</v>
      </c>
      <c r="G454" s="110" t="str">
        <f t="shared" si="104"/>
        <v>NOVIEMBRE</v>
      </c>
      <c r="H454" s="252">
        <v>22225</v>
      </c>
      <c r="I454" s="102" t="str">
        <f t="shared" si="105"/>
        <v>NOVIEMBRE</v>
      </c>
      <c r="J454">
        <v>0</v>
      </c>
      <c r="K454" t="str">
        <f t="shared" si="107"/>
        <v>NOVIEMBRE</v>
      </c>
      <c r="L454" s="111">
        <f t="shared" si="108"/>
        <v>0</v>
      </c>
      <c r="M454" s="112">
        <f t="shared" si="109"/>
        <v>22225</v>
      </c>
      <c r="N454" s="112">
        <f t="shared" si="110"/>
        <v>22225</v>
      </c>
      <c r="O454" t="s">
        <v>451</v>
      </c>
      <c r="P454">
        <v>22225</v>
      </c>
      <c r="Q454" s="102">
        <f t="shared" si="102"/>
        <v>0</v>
      </c>
      <c r="R454" s="102">
        <f t="shared" si="103"/>
        <v>0</v>
      </c>
    </row>
    <row r="455" spans="1:18" x14ac:dyDescent="0.35">
      <c r="A455" s="106">
        <f t="shared" si="106"/>
        <v>11</v>
      </c>
      <c r="B455" s="107" t="str">
        <f>VLOOKUP(A455,[1]Hoja3!$C$3:$D$14,2,FALSE)</f>
        <v>NOVIEMBRE</v>
      </c>
      <c r="C455" s="108">
        <v>45608.561527777776</v>
      </c>
      <c r="D455" s="108" t="s">
        <v>387</v>
      </c>
      <c r="E455" s="109" t="s">
        <v>403</v>
      </c>
      <c r="F455" s="109" t="s">
        <v>901</v>
      </c>
      <c r="G455" s="110" t="str">
        <f t="shared" si="104"/>
        <v>NOVIEMBRE</v>
      </c>
      <c r="H455" s="252">
        <v>8153.66</v>
      </c>
      <c r="I455" s="102" t="str">
        <f t="shared" si="105"/>
        <v>NOVIEMBRE</v>
      </c>
      <c r="J455">
        <v>0</v>
      </c>
      <c r="K455" t="str">
        <f t="shared" si="107"/>
        <v>NOVIEMBRE</v>
      </c>
      <c r="L455" s="111">
        <f t="shared" si="108"/>
        <v>0</v>
      </c>
      <c r="M455" s="112">
        <f t="shared" si="109"/>
        <v>8153.66</v>
      </c>
      <c r="N455" s="112">
        <f t="shared" si="110"/>
        <v>8153.66</v>
      </c>
      <c r="O455" t="s">
        <v>451</v>
      </c>
      <c r="P455">
        <v>8153.66</v>
      </c>
      <c r="Q455" s="102">
        <f t="shared" si="102"/>
        <v>0</v>
      </c>
      <c r="R455" s="102">
        <f t="shared" si="103"/>
        <v>0</v>
      </c>
    </row>
    <row r="456" spans="1:18" x14ac:dyDescent="0.35">
      <c r="A456" s="106">
        <f t="shared" si="106"/>
        <v>11</v>
      </c>
      <c r="B456" s="107" t="str">
        <f>VLOOKUP(A456,[1]Hoja3!$C$3:$D$14,2,FALSE)</f>
        <v>NOVIEMBRE</v>
      </c>
      <c r="C456" s="108">
        <v>45608.580775462964</v>
      </c>
      <c r="D456" s="108" t="s">
        <v>387</v>
      </c>
      <c r="E456" s="109" t="s">
        <v>403</v>
      </c>
      <c r="F456" s="109" t="s">
        <v>902</v>
      </c>
      <c r="G456" s="110" t="str">
        <f t="shared" si="104"/>
        <v>NOVIEMBRE</v>
      </c>
      <c r="H456" s="252">
        <v>1200.5999999999999</v>
      </c>
      <c r="I456" s="102" t="str">
        <f t="shared" si="105"/>
        <v>NOVIEMBRE</v>
      </c>
      <c r="J456">
        <v>0</v>
      </c>
      <c r="K456" t="str">
        <f t="shared" si="107"/>
        <v>NOVIEMBRE</v>
      </c>
      <c r="L456" s="111">
        <f t="shared" si="108"/>
        <v>0</v>
      </c>
      <c r="M456" s="112">
        <f t="shared" si="109"/>
        <v>1200.5999999999999</v>
      </c>
      <c r="N456" s="112">
        <f t="shared" si="110"/>
        <v>1200.5999999999999</v>
      </c>
      <c r="O456" t="s">
        <v>451</v>
      </c>
      <c r="P456">
        <v>1200.5999999999999</v>
      </c>
      <c r="Q456" s="102">
        <f t="shared" si="102"/>
        <v>0</v>
      </c>
      <c r="R456" s="102">
        <f t="shared" si="103"/>
        <v>0</v>
      </c>
    </row>
    <row r="457" spans="1:18" x14ac:dyDescent="0.35">
      <c r="A457" s="106">
        <f t="shared" si="106"/>
        <v>11</v>
      </c>
      <c r="B457" s="107" t="str">
        <f>VLOOKUP(A457,[1]Hoja3!$C$3:$D$14,2,FALSE)</f>
        <v>NOVIEMBRE</v>
      </c>
      <c r="C457" s="108">
        <v>45611.399675925924</v>
      </c>
      <c r="D457" s="108" t="s">
        <v>835</v>
      </c>
      <c r="E457" s="109" t="s">
        <v>842</v>
      </c>
      <c r="F457" s="109" t="s">
        <v>903</v>
      </c>
      <c r="G457" s="110" t="str">
        <f t="shared" si="104"/>
        <v>NOVIEMBRE</v>
      </c>
      <c r="H457" s="252">
        <v>600</v>
      </c>
      <c r="I457" s="102" t="str">
        <f t="shared" si="105"/>
        <v>NOVIEMBRE</v>
      </c>
      <c r="J457"/>
      <c r="K457" t="str">
        <f t="shared" si="107"/>
        <v>NOVIEMBRE</v>
      </c>
      <c r="L457" s="111">
        <f t="shared" si="108"/>
        <v>0</v>
      </c>
      <c r="M457" s="112">
        <f t="shared" si="109"/>
        <v>600</v>
      </c>
      <c r="N457" s="112">
        <f t="shared" si="110"/>
        <v>600</v>
      </c>
      <c r="O457" t="s">
        <v>451</v>
      </c>
      <c r="P457">
        <v>600</v>
      </c>
      <c r="Q457" s="102">
        <f t="shared" si="102"/>
        <v>0</v>
      </c>
      <c r="R457" s="102">
        <f t="shared" si="103"/>
        <v>0</v>
      </c>
    </row>
    <row r="458" spans="1:18" x14ac:dyDescent="0.35">
      <c r="A458" s="106">
        <f t="shared" si="106"/>
        <v>11</v>
      </c>
      <c r="B458" s="107" t="str">
        <f>VLOOKUP(A458,[1]Hoja3!$C$3:$D$14,2,FALSE)</f>
        <v>NOVIEMBRE</v>
      </c>
      <c r="C458" s="108">
        <v>45611.596701388888</v>
      </c>
      <c r="D458" s="108" t="s">
        <v>455</v>
      </c>
      <c r="E458" s="109" t="s">
        <v>458</v>
      </c>
      <c r="F458" s="109" t="s">
        <v>904</v>
      </c>
      <c r="G458" s="110" t="str">
        <f t="shared" si="104"/>
        <v>NOVIEMBRE</v>
      </c>
      <c r="H458" s="252">
        <v>3712</v>
      </c>
      <c r="I458" s="102" t="str">
        <f t="shared" si="105"/>
        <v>NOVIEMBRE</v>
      </c>
      <c r="J458">
        <v>0</v>
      </c>
      <c r="K458" t="str">
        <f t="shared" si="107"/>
        <v>NOVIEMBRE</v>
      </c>
      <c r="L458" s="111">
        <f t="shared" si="108"/>
        <v>0</v>
      </c>
      <c r="M458" s="112">
        <f t="shared" si="109"/>
        <v>3712</v>
      </c>
      <c r="N458" s="112">
        <f t="shared" si="110"/>
        <v>3712</v>
      </c>
      <c r="O458" t="s">
        <v>451</v>
      </c>
      <c r="P458">
        <v>3712</v>
      </c>
      <c r="Q458" s="102">
        <f t="shared" ref="Q458:Q521" si="111">+N458-P458</f>
        <v>0</v>
      </c>
      <c r="R458" s="102">
        <f t="shared" ref="R458:R521" si="112">+Q458-J458</f>
        <v>0</v>
      </c>
    </row>
    <row r="459" spans="1:18" x14ac:dyDescent="0.35">
      <c r="A459" s="106">
        <f t="shared" si="106"/>
        <v>11</v>
      </c>
      <c r="B459" s="107" t="str">
        <f>VLOOKUP(A459,[1]Hoja3!$C$3:$D$14,2,FALSE)</f>
        <v>NOVIEMBRE</v>
      </c>
      <c r="C459" s="108">
        <v>45612.422430555554</v>
      </c>
      <c r="D459" s="108" t="s">
        <v>656</v>
      </c>
      <c r="E459" s="109" t="s">
        <v>650</v>
      </c>
      <c r="F459" s="109" t="s">
        <v>905</v>
      </c>
      <c r="G459" s="110" t="str">
        <f t="shared" si="104"/>
        <v>NOVIEMBRE</v>
      </c>
      <c r="H459" s="252">
        <v>4655</v>
      </c>
      <c r="I459" s="102" t="str">
        <f t="shared" si="105"/>
        <v>NOVIEMBRE</v>
      </c>
      <c r="J459">
        <v>0</v>
      </c>
      <c r="K459" t="str">
        <f t="shared" si="107"/>
        <v>NOVIEMBRE</v>
      </c>
      <c r="L459" s="111">
        <f t="shared" si="108"/>
        <v>0</v>
      </c>
      <c r="M459" s="112">
        <f t="shared" si="109"/>
        <v>4655</v>
      </c>
      <c r="N459" s="112">
        <f t="shared" si="110"/>
        <v>4655</v>
      </c>
      <c r="O459" t="s">
        <v>451</v>
      </c>
      <c r="P459">
        <v>4655</v>
      </c>
      <c r="Q459" s="102">
        <f t="shared" si="111"/>
        <v>0</v>
      </c>
      <c r="R459" s="102">
        <f t="shared" si="112"/>
        <v>0</v>
      </c>
    </row>
    <row r="460" spans="1:18" x14ac:dyDescent="0.35">
      <c r="A460" s="106">
        <f t="shared" si="106"/>
        <v>11</v>
      </c>
      <c r="B460" s="107" t="str">
        <f>VLOOKUP(A460,[1]Hoja3!$C$3:$D$14,2,FALSE)</f>
        <v>NOVIEMBRE</v>
      </c>
      <c r="C460" s="108">
        <v>45615.55945601852</v>
      </c>
      <c r="D460" s="108" t="s">
        <v>457</v>
      </c>
      <c r="E460" s="109" t="s">
        <v>460</v>
      </c>
      <c r="F460" s="109" t="s">
        <v>906</v>
      </c>
      <c r="G460" s="110" t="str">
        <f t="shared" ref="G460:G523" si="113">+B460</f>
        <v>NOVIEMBRE</v>
      </c>
      <c r="H460" s="252">
        <v>3100</v>
      </c>
      <c r="I460" s="102" t="str">
        <f t="shared" ref="I460:I523" si="114">+B460</f>
        <v>NOVIEMBRE</v>
      </c>
      <c r="J460">
        <v>0</v>
      </c>
      <c r="K460" t="str">
        <f t="shared" si="107"/>
        <v>NOVIEMBRE</v>
      </c>
      <c r="L460" s="111">
        <f t="shared" si="108"/>
        <v>0</v>
      </c>
      <c r="M460" s="112">
        <f t="shared" si="109"/>
        <v>3100</v>
      </c>
      <c r="N460" s="112">
        <f t="shared" si="110"/>
        <v>3100</v>
      </c>
      <c r="O460" t="s">
        <v>551</v>
      </c>
      <c r="P460">
        <v>3100</v>
      </c>
      <c r="Q460" s="102">
        <f t="shared" si="111"/>
        <v>0</v>
      </c>
      <c r="R460" s="102">
        <f t="shared" si="112"/>
        <v>0</v>
      </c>
    </row>
    <row r="461" spans="1:18" x14ac:dyDescent="0.35">
      <c r="A461" s="106">
        <f t="shared" si="106"/>
        <v>11</v>
      </c>
      <c r="B461" s="107" t="str">
        <f>VLOOKUP(A461,[1]Hoja3!$C$3:$D$14,2,FALSE)</f>
        <v>NOVIEMBRE</v>
      </c>
      <c r="C461" s="108">
        <v>45615.647210648145</v>
      </c>
      <c r="D461" s="108" t="s">
        <v>388</v>
      </c>
      <c r="E461" s="109" t="s">
        <v>404</v>
      </c>
      <c r="F461" s="109" t="s">
        <v>907</v>
      </c>
      <c r="G461" s="110" t="str">
        <f t="shared" si="113"/>
        <v>NOVIEMBRE</v>
      </c>
      <c r="H461" s="252">
        <v>47050</v>
      </c>
      <c r="I461" s="102" t="str">
        <f t="shared" si="114"/>
        <v>NOVIEMBRE</v>
      </c>
      <c r="J461">
        <v>0</v>
      </c>
      <c r="K461" t="str">
        <f t="shared" si="107"/>
        <v>NOVIEMBRE</v>
      </c>
      <c r="L461" s="111">
        <f t="shared" si="108"/>
        <v>0</v>
      </c>
      <c r="M461" s="112">
        <f t="shared" si="109"/>
        <v>47050</v>
      </c>
      <c r="N461" s="112">
        <f t="shared" si="110"/>
        <v>47050</v>
      </c>
      <c r="O461" t="s">
        <v>451</v>
      </c>
      <c r="P461">
        <v>47050</v>
      </c>
      <c r="Q461" s="102">
        <f t="shared" si="111"/>
        <v>0</v>
      </c>
      <c r="R461" s="102">
        <f t="shared" si="112"/>
        <v>0</v>
      </c>
    </row>
    <row r="462" spans="1:18" x14ac:dyDescent="0.35">
      <c r="A462" s="106">
        <f t="shared" si="106"/>
        <v>11</v>
      </c>
      <c r="B462" s="107" t="str">
        <f>VLOOKUP(A462,[1]Hoja3!$C$3:$D$14,2,FALSE)</f>
        <v>NOVIEMBRE</v>
      </c>
      <c r="C462" s="108">
        <v>45615.650914351849</v>
      </c>
      <c r="D462" s="108" t="s">
        <v>457</v>
      </c>
      <c r="E462" s="109" t="s">
        <v>460</v>
      </c>
      <c r="F462" s="109" t="s">
        <v>908</v>
      </c>
      <c r="G462" s="110" t="str">
        <f t="shared" si="113"/>
        <v>NOVIEMBRE</v>
      </c>
      <c r="H462" s="252">
        <v>0</v>
      </c>
      <c r="I462" s="102" t="str">
        <f t="shared" si="114"/>
        <v>NOVIEMBRE</v>
      </c>
      <c r="J462"/>
      <c r="K462" t="str">
        <f t="shared" si="107"/>
        <v>NOVIEMBRE</v>
      </c>
      <c r="L462" s="111">
        <f t="shared" si="108"/>
        <v>0</v>
      </c>
      <c r="M462" s="112">
        <f t="shared" si="109"/>
        <v>0</v>
      </c>
      <c r="N462" s="112">
        <f t="shared" si="110"/>
        <v>0</v>
      </c>
      <c r="P462">
        <v>0</v>
      </c>
      <c r="Q462" s="102">
        <f t="shared" si="111"/>
        <v>0</v>
      </c>
      <c r="R462" s="102">
        <f t="shared" si="112"/>
        <v>0</v>
      </c>
    </row>
    <row r="463" spans="1:18" x14ac:dyDescent="0.35">
      <c r="A463" s="106">
        <f t="shared" si="106"/>
        <v>11</v>
      </c>
      <c r="B463" s="107" t="str">
        <f>VLOOKUP(A463,[1]Hoja3!$C$3:$D$14,2,FALSE)</f>
        <v>NOVIEMBRE</v>
      </c>
      <c r="C463" s="108">
        <v>45616.606770833336</v>
      </c>
      <c r="D463" s="108" t="s">
        <v>658</v>
      </c>
      <c r="E463" s="109" t="s">
        <v>652</v>
      </c>
      <c r="F463" s="109" t="s">
        <v>909</v>
      </c>
      <c r="G463" s="110" t="str">
        <f t="shared" si="113"/>
        <v>NOVIEMBRE</v>
      </c>
      <c r="H463" s="252">
        <v>646.54999999999995</v>
      </c>
      <c r="I463" s="102" t="str">
        <f t="shared" si="114"/>
        <v>NOVIEMBRE</v>
      </c>
      <c r="J463">
        <v>103.44799999999999</v>
      </c>
      <c r="K463" t="str">
        <f t="shared" si="107"/>
        <v>NOVIEMBRE</v>
      </c>
      <c r="L463" s="111">
        <f t="shared" si="108"/>
        <v>646.54999999999995</v>
      </c>
      <c r="M463" s="112">
        <f t="shared" si="109"/>
        <v>0</v>
      </c>
      <c r="N463" s="112">
        <f t="shared" si="110"/>
        <v>749.99799999999993</v>
      </c>
      <c r="O463" t="s">
        <v>451</v>
      </c>
      <c r="P463">
        <v>750</v>
      </c>
      <c r="Q463" s="102">
        <f t="shared" si="111"/>
        <v>-2.0000000000663931E-3</v>
      </c>
      <c r="R463" s="102">
        <f t="shared" si="112"/>
        <v>-103.45000000000006</v>
      </c>
    </row>
    <row r="464" spans="1:18" x14ac:dyDescent="0.35">
      <c r="A464" s="106">
        <f t="shared" si="106"/>
        <v>11</v>
      </c>
      <c r="B464" s="107" t="str">
        <f>VLOOKUP(A464,[1]Hoja3!$C$3:$D$14,2,FALSE)</f>
        <v>NOVIEMBRE</v>
      </c>
      <c r="C464" s="108">
        <v>45617.321064814816</v>
      </c>
      <c r="D464" s="108" t="s">
        <v>395</v>
      </c>
      <c r="E464" s="109" t="s">
        <v>411</v>
      </c>
      <c r="F464" s="109" t="s">
        <v>910</v>
      </c>
      <c r="G464" s="110" t="str">
        <f t="shared" si="113"/>
        <v>NOVIEMBRE</v>
      </c>
      <c r="H464" s="252">
        <v>0</v>
      </c>
      <c r="I464" s="102" t="str">
        <f t="shared" si="114"/>
        <v>NOVIEMBRE</v>
      </c>
      <c r="J464"/>
      <c r="K464" t="str">
        <f t="shared" si="107"/>
        <v>NOVIEMBRE</v>
      </c>
      <c r="L464" s="111">
        <f t="shared" si="108"/>
        <v>0</v>
      </c>
      <c r="M464" s="112">
        <f t="shared" si="109"/>
        <v>0</v>
      </c>
      <c r="N464" s="112">
        <f t="shared" si="110"/>
        <v>0</v>
      </c>
      <c r="P464">
        <v>0</v>
      </c>
      <c r="Q464" s="102">
        <f t="shared" si="111"/>
        <v>0</v>
      </c>
      <c r="R464" s="102">
        <f t="shared" si="112"/>
        <v>0</v>
      </c>
    </row>
    <row r="465" spans="1:18" x14ac:dyDescent="0.35">
      <c r="A465" s="106">
        <f t="shared" si="106"/>
        <v>11</v>
      </c>
      <c r="B465" s="107" t="str">
        <f>VLOOKUP(A465,[1]Hoja3!$C$3:$D$14,2,FALSE)</f>
        <v>NOVIEMBRE</v>
      </c>
      <c r="C465" s="108">
        <v>45617.321087962962</v>
      </c>
      <c r="D465" s="108" t="s">
        <v>396</v>
      </c>
      <c r="E465" s="109" t="s">
        <v>412</v>
      </c>
      <c r="F465" s="109" t="s">
        <v>911</v>
      </c>
      <c r="G465" s="110" t="str">
        <f t="shared" si="113"/>
        <v>NOVIEMBRE</v>
      </c>
      <c r="H465" s="252">
        <v>0</v>
      </c>
      <c r="I465" s="102" t="str">
        <f t="shared" si="114"/>
        <v>NOVIEMBRE</v>
      </c>
      <c r="J465"/>
      <c r="K465" t="str">
        <f t="shared" si="107"/>
        <v>NOVIEMBRE</v>
      </c>
      <c r="L465" s="111">
        <f t="shared" si="108"/>
        <v>0</v>
      </c>
      <c r="M465" s="112">
        <f t="shared" si="109"/>
        <v>0</v>
      </c>
      <c r="N465" s="112">
        <f t="shared" si="110"/>
        <v>0</v>
      </c>
      <c r="P465">
        <v>0</v>
      </c>
      <c r="Q465" s="102">
        <f t="shared" si="111"/>
        <v>0</v>
      </c>
      <c r="R465" s="102">
        <f t="shared" si="112"/>
        <v>0</v>
      </c>
    </row>
    <row r="466" spans="1:18" x14ac:dyDescent="0.35">
      <c r="A466" s="106">
        <f t="shared" si="106"/>
        <v>11</v>
      </c>
      <c r="B466" s="107" t="str">
        <f>VLOOKUP(A466,[1]Hoja3!$C$3:$D$14,2,FALSE)</f>
        <v>NOVIEMBRE</v>
      </c>
      <c r="C466" s="108">
        <v>45618.558668981481</v>
      </c>
      <c r="D466" s="108" t="s">
        <v>393</v>
      </c>
      <c r="E466" s="109" t="s">
        <v>409</v>
      </c>
      <c r="F466" s="109" t="s">
        <v>912</v>
      </c>
      <c r="G466" s="110" t="str">
        <f t="shared" si="113"/>
        <v>NOVIEMBRE</v>
      </c>
      <c r="H466" s="252">
        <v>0</v>
      </c>
      <c r="I466" s="102" t="str">
        <f t="shared" si="114"/>
        <v>NOVIEMBRE</v>
      </c>
      <c r="J466"/>
      <c r="K466" t="str">
        <f t="shared" si="107"/>
        <v>NOVIEMBRE</v>
      </c>
      <c r="L466" s="111">
        <f t="shared" si="108"/>
        <v>0</v>
      </c>
      <c r="M466" s="112">
        <f t="shared" si="109"/>
        <v>0</v>
      </c>
      <c r="N466" s="112">
        <f t="shared" si="110"/>
        <v>0</v>
      </c>
      <c r="P466">
        <v>0</v>
      </c>
      <c r="Q466" s="102">
        <f t="shared" si="111"/>
        <v>0</v>
      </c>
      <c r="R466" s="102">
        <f t="shared" si="112"/>
        <v>0</v>
      </c>
    </row>
    <row r="467" spans="1:18" x14ac:dyDescent="0.35">
      <c r="A467" s="106">
        <f t="shared" si="106"/>
        <v>11</v>
      </c>
      <c r="B467" s="107" t="str">
        <f>VLOOKUP(A467,[1]Hoja3!$C$3:$D$14,2,FALSE)</f>
        <v>NOVIEMBRE</v>
      </c>
      <c r="C467" s="108">
        <v>45618.589143518519</v>
      </c>
      <c r="D467" s="108" t="s">
        <v>385</v>
      </c>
      <c r="E467" s="109" t="s">
        <v>401</v>
      </c>
      <c r="F467" s="109" t="s">
        <v>913</v>
      </c>
      <c r="G467" s="110" t="str">
        <f t="shared" si="113"/>
        <v>NOVIEMBRE</v>
      </c>
      <c r="H467" s="252">
        <v>1254.8</v>
      </c>
      <c r="I467" s="102" t="str">
        <f t="shared" si="114"/>
        <v>NOVIEMBRE</v>
      </c>
      <c r="J467">
        <v>195.68643700000001</v>
      </c>
      <c r="K467" t="str">
        <f t="shared" si="107"/>
        <v>NOVIEMBRE</v>
      </c>
      <c r="L467" s="111">
        <f t="shared" si="108"/>
        <v>1223.04023125</v>
      </c>
      <c r="M467" s="112">
        <f t="shared" si="109"/>
        <v>31.759768749999921</v>
      </c>
      <c r="N467" s="112">
        <f t="shared" si="110"/>
        <v>1450.486437</v>
      </c>
      <c r="O467" t="s">
        <v>451</v>
      </c>
      <c r="P467">
        <v>1450.49</v>
      </c>
      <c r="Q467" s="102">
        <f t="shared" si="111"/>
        <v>-3.5629999999855499E-3</v>
      </c>
      <c r="R467" s="102">
        <f t="shared" si="112"/>
        <v>-195.69</v>
      </c>
    </row>
    <row r="468" spans="1:18" x14ac:dyDescent="0.35">
      <c r="A468" s="106">
        <f t="shared" si="106"/>
        <v>11</v>
      </c>
      <c r="B468" s="107" t="str">
        <f>VLOOKUP(A468,[1]Hoja3!$C$3:$D$14,2,FALSE)</f>
        <v>NOVIEMBRE</v>
      </c>
      <c r="C468" s="108">
        <v>45618.642731481479</v>
      </c>
      <c r="D468" s="108" t="s">
        <v>393</v>
      </c>
      <c r="E468" s="109" t="s">
        <v>409</v>
      </c>
      <c r="F468" s="109" t="s">
        <v>914</v>
      </c>
      <c r="G468" s="110" t="str">
        <f t="shared" si="113"/>
        <v>NOVIEMBRE</v>
      </c>
      <c r="H468" s="252">
        <v>0</v>
      </c>
      <c r="I468" s="102" t="str">
        <f t="shared" si="114"/>
        <v>NOVIEMBRE</v>
      </c>
      <c r="J468"/>
      <c r="K468" t="str">
        <f t="shared" si="107"/>
        <v>NOVIEMBRE</v>
      </c>
      <c r="L468" s="111">
        <f t="shared" si="108"/>
        <v>0</v>
      </c>
      <c r="M468" s="112">
        <f t="shared" si="109"/>
        <v>0</v>
      </c>
      <c r="N468" s="112">
        <f t="shared" si="110"/>
        <v>0</v>
      </c>
      <c r="P468">
        <v>0</v>
      </c>
      <c r="Q468" s="102">
        <f t="shared" si="111"/>
        <v>0</v>
      </c>
      <c r="R468" s="102">
        <f t="shared" si="112"/>
        <v>0</v>
      </c>
    </row>
    <row r="469" spans="1:18" x14ac:dyDescent="0.35">
      <c r="A469" s="106">
        <f t="shared" si="106"/>
        <v>11</v>
      </c>
      <c r="B469" s="107" t="str">
        <f>VLOOKUP(A469,[1]Hoja3!$C$3:$D$14,2,FALSE)</f>
        <v>NOVIEMBRE</v>
      </c>
      <c r="C469" s="108">
        <v>45618.705451388887</v>
      </c>
      <c r="D469" s="108" t="s">
        <v>836</v>
      </c>
      <c r="E469" s="109" t="s">
        <v>843</v>
      </c>
      <c r="F469" s="109" t="s">
        <v>915</v>
      </c>
      <c r="G469" s="110" t="str">
        <f t="shared" si="113"/>
        <v>NOVIEMBRE</v>
      </c>
      <c r="H469" s="252">
        <v>17000</v>
      </c>
      <c r="I469" s="102" t="str">
        <f t="shared" si="114"/>
        <v>NOVIEMBRE</v>
      </c>
      <c r="J469">
        <v>0</v>
      </c>
      <c r="K469" t="str">
        <f t="shared" si="107"/>
        <v>NOVIEMBRE</v>
      </c>
      <c r="L469" s="111">
        <f t="shared" si="108"/>
        <v>0</v>
      </c>
      <c r="M469" s="112">
        <f t="shared" si="109"/>
        <v>17000</v>
      </c>
      <c r="N469" s="112">
        <f t="shared" si="110"/>
        <v>17000</v>
      </c>
      <c r="O469" t="s">
        <v>451</v>
      </c>
      <c r="P469">
        <v>17000</v>
      </c>
      <c r="Q469" s="102">
        <f t="shared" si="111"/>
        <v>0</v>
      </c>
      <c r="R469" s="102">
        <f t="shared" si="112"/>
        <v>0</v>
      </c>
    </row>
    <row r="470" spans="1:18" x14ac:dyDescent="0.35">
      <c r="A470" s="106">
        <f t="shared" si="106"/>
        <v>11</v>
      </c>
      <c r="B470" s="107" t="str">
        <f>VLOOKUP(A470,[1]Hoja3!$C$3:$D$14,2,FALSE)</f>
        <v>NOVIEMBRE</v>
      </c>
      <c r="C470" s="108">
        <v>45621.392025462963</v>
      </c>
      <c r="D470" s="108" t="s">
        <v>393</v>
      </c>
      <c r="E470" s="109" t="s">
        <v>409</v>
      </c>
      <c r="F470" s="109" t="s">
        <v>916</v>
      </c>
      <c r="G470" s="110" t="str">
        <f t="shared" si="113"/>
        <v>NOVIEMBRE</v>
      </c>
      <c r="H470" s="252"/>
      <c r="I470" s="102" t="str">
        <f t="shared" si="114"/>
        <v>NOVIEMBRE</v>
      </c>
      <c r="J470"/>
      <c r="K470" t="str">
        <f t="shared" si="107"/>
        <v>NOVIEMBRE</v>
      </c>
      <c r="L470" s="111">
        <f t="shared" si="108"/>
        <v>0</v>
      </c>
      <c r="M470" s="112">
        <f t="shared" si="109"/>
        <v>0</v>
      </c>
      <c r="N470" s="112">
        <f t="shared" si="110"/>
        <v>0</v>
      </c>
      <c r="O470" t="s">
        <v>551</v>
      </c>
      <c r="Q470" s="102"/>
      <c r="R470" s="102"/>
    </row>
    <row r="471" spans="1:18" x14ac:dyDescent="0.35">
      <c r="A471" s="106">
        <f t="shared" si="106"/>
        <v>11</v>
      </c>
      <c r="B471" s="107" t="str">
        <f>VLOOKUP(A471,[1]Hoja3!$C$3:$D$14,2,FALSE)</f>
        <v>NOVIEMBRE</v>
      </c>
      <c r="C471" s="108">
        <v>45622.71056712963</v>
      </c>
      <c r="D471" s="108" t="s">
        <v>387</v>
      </c>
      <c r="E471" s="109" t="s">
        <v>403</v>
      </c>
      <c r="F471" s="109" t="s">
        <v>917</v>
      </c>
      <c r="G471" s="110" t="str">
        <f t="shared" si="113"/>
        <v>NOVIEMBRE</v>
      </c>
      <c r="H471" s="252">
        <v>1974.6</v>
      </c>
      <c r="I471" s="102" t="str">
        <f t="shared" si="114"/>
        <v>NOVIEMBRE</v>
      </c>
      <c r="J471">
        <v>0</v>
      </c>
      <c r="K471" t="str">
        <f t="shared" si="107"/>
        <v>NOVIEMBRE</v>
      </c>
      <c r="L471" s="111">
        <f t="shared" si="108"/>
        <v>0</v>
      </c>
      <c r="M471" s="112">
        <f t="shared" si="109"/>
        <v>1974.6</v>
      </c>
      <c r="N471" s="112">
        <f t="shared" si="110"/>
        <v>1974.6</v>
      </c>
      <c r="O471" t="s">
        <v>451</v>
      </c>
      <c r="P471">
        <v>1974.6</v>
      </c>
      <c r="Q471" s="102">
        <f t="shared" si="111"/>
        <v>0</v>
      </c>
      <c r="R471" s="102">
        <f t="shared" si="112"/>
        <v>0</v>
      </c>
    </row>
    <row r="472" spans="1:18" x14ac:dyDescent="0.35">
      <c r="A472" s="106">
        <f t="shared" si="106"/>
        <v>11</v>
      </c>
      <c r="B472" s="107" t="str">
        <f>VLOOKUP(A472,[1]Hoja3!$C$3:$D$14,2,FALSE)</f>
        <v>NOVIEMBRE</v>
      </c>
      <c r="C472" s="108">
        <v>45622.710775462961</v>
      </c>
      <c r="D472" s="108" t="s">
        <v>387</v>
      </c>
      <c r="E472" s="109" t="s">
        <v>403</v>
      </c>
      <c r="F472" s="109" t="s">
        <v>918</v>
      </c>
      <c r="G472" s="110" t="str">
        <f t="shared" si="113"/>
        <v>NOVIEMBRE</v>
      </c>
      <c r="H472" s="252">
        <v>1972.72</v>
      </c>
      <c r="I472" s="102" t="str">
        <f t="shared" si="114"/>
        <v>NOVIEMBRE</v>
      </c>
      <c r="J472">
        <v>0</v>
      </c>
      <c r="K472" t="str">
        <f t="shared" si="107"/>
        <v>NOVIEMBRE</v>
      </c>
      <c r="L472" s="111">
        <f t="shared" si="108"/>
        <v>0</v>
      </c>
      <c r="M472" s="112">
        <f t="shared" si="109"/>
        <v>1972.72</v>
      </c>
      <c r="N472" s="112">
        <f t="shared" si="110"/>
        <v>1972.72</v>
      </c>
      <c r="O472" t="s">
        <v>451</v>
      </c>
      <c r="P472">
        <v>1972.72</v>
      </c>
      <c r="Q472" s="102">
        <f t="shared" si="111"/>
        <v>0</v>
      </c>
      <c r="R472" s="102">
        <f t="shared" si="112"/>
        <v>0</v>
      </c>
    </row>
    <row r="473" spans="1:18" x14ac:dyDescent="0.35">
      <c r="A473" s="106">
        <f t="shared" si="106"/>
        <v>11</v>
      </c>
      <c r="B473" s="107" t="str">
        <f>VLOOKUP(A473,[1]Hoja3!$C$3:$D$14,2,FALSE)</f>
        <v>NOVIEMBRE</v>
      </c>
      <c r="C473" s="108">
        <v>45622.710972222223</v>
      </c>
      <c r="D473" s="108" t="s">
        <v>387</v>
      </c>
      <c r="E473" s="109" t="s">
        <v>403</v>
      </c>
      <c r="F473" s="109" t="s">
        <v>919</v>
      </c>
      <c r="G473" s="110" t="str">
        <f t="shared" si="113"/>
        <v>NOVIEMBRE</v>
      </c>
      <c r="H473" s="252">
        <v>1663.8</v>
      </c>
      <c r="I473" s="102" t="str">
        <f t="shared" si="114"/>
        <v>NOVIEMBRE</v>
      </c>
      <c r="J473">
        <v>0</v>
      </c>
      <c r="K473" t="str">
        <f t="shared" si="107"/>
        <v>NOVIEMBRE</v>
      </c>
      <c r="L473" s="111">
        <f t="shared" si="108"/>
        <v>0</v>
      </c>
      <c r="M473" s="112">
        <f t="shared" si="109"/>
        <v>1663.8</v>
      </c>
      <c r="N473" s="112">
        <f t="shared" si="110"/>
        <v>1663.8</v>
      </c>
      <c r="O473" t="s">
        <v>451</v>
      </c>
      <c r="P473">
        <v>1663.8</v>
      </c>
      <c r="Q473" s="102">
        <f t="shared" si="111"/>
        <v>0</v>
      </c>
      <c r="R473" s="102">
        <f t="shared" si="112"/>
        <v>0</v>
      </c>
    </row>
    <row r="474" spans="1:18" x14ac:dyDescent="0.35">
      <c r="A474" s="106">
        <f t="shared" si="106"/>
        <v>11</v>
      </c>
      <c r="B474" s="107" t="str">
        <f>VLOOKUP(A474,[1]Hoja3!$C$3:$D$14,2,FALSE)</f>
        <v>NOVIEMBRE</v>
      </c>
      <c r="C474" s="108">
        <v>45623.364224537036</v>
      </c>
      <c r="D474" s="108" t="s">
        <v>388</v>
      </c>
      <c r="E474" s="109" t="s">
        <v>404</v>
      </c>
      <c r="F474" s="109" t="s">
        <v>920</v>
      </c>
      <c r="G474" s="110" t="str">
        <f t="shared" si="113"/>
        <v>NOVIEMBRE</v>
      </c>
      <c r="H474" s="252">
        <v>63200.05</v>
      </c>
      <c r="I474" s="102" t="str">
        <f t="shared" si="114"/>
        <v>NOVIEMBRE</v>
      </c>
      <c r="J474">
        <v>0</v>
      </c>
      <c r="K474" t="str">
        <f t="shared" si="107"/>
        <v>NOVIEMBRE</v>
      </c>
      <c r="L474" s="111">
        <f t="shared" si="108"/>
        <v>0</v>
      </c>
      <c r="M474" s="112">
        <f t="shared" si="109"/>
        <v>63200.05</v>
      </c>
      <c r="N474" s="112">
        <f t="shared" si="110"/>
        <v>63200.05</v>
      </c>
      <c r="O474" t="s">
        <v>451</v>
      </c>
      <c r="P474">
        <v>63200.05</v>
      </c>
      <c r="Q474" s="102">
        <f t="shared" si="111"/>
        <v>0</v>
      </c>
      <c r="R474" s="102">
        <f t="shared" si="112"/>
        <v>0</v>
      </c>
    </row>
    <row r="475" spans="1:18" x14ac:dyDescent="0.35">
      <c r="A475" s="106">
        <f t="shared" si="106"/>
        <v>11</v>
      </c>
      <c r="B475" s="107" t="str">
        <f>VLOOKUP(A475,[1]Hoja3!$C$3:$D$14,2,FALSE)</f>
        <v>NOVIEMBRE</v>
      </c>
      <c r="C475" s="108">
        <v>45623.553113425929</v>
      </c>
      <c r="D475" s="108" t="s">
        <v>753</v>
      </c>
      <c r="E475" s="109" t="s">
        <v>757</v>
      </c>
      <c r="F475" s="109" t="s">
        <v>921</v>
      </c>
      <c r="G475" s="110" t="str">
        <f t="shared" si="113"/>
        <v>NOVIEMBRE</v>
      </c>
      <c r="H475" s="252">
        <v>504.31</v>
      </c>
      <c r="I475" s="102" t="str">
        <f t="shared" si="114"/>
        <v>NOVIEMBRE</v>
      </c>
      <c r="J475">
        <v>49.69</v>
      </c>
      <c r="K475" t="str">
        <f t="shared" si="107"/>
        <v>NOVIEMBRE</v>
      </c>
      <c r="L475" s="111">
        <f t="shared" si="108"/>
        <v>310.5625</v>
      </c>
      <c r="M475" s="112">
        <f t="shared" si="109"/>
        <v>193.7475</v>
      </c>
      <c r="N475" s="112">
        <f t="shared" si="110"/>
        <v>554</v>
      </c>
      <c r="O475" t="s">
        <v>451</v>
      </c>
      <c r="P475">
        <v>554</v>
      </c>
      <c r="Q475" s="102">
        <f t="shared" si="111"/>
        <v>0</v>
      </c>
      <c r="R475" s="102">
        <f t="shared" si="112"/>
        <v>-49.69</v>
      </c>
    </row>
    <row r="476" spans="1:18" x14ac:dyDescent="0.35">
      <c r="A476" s="106">
        <f t="shared" si="106"/>
        <v>11</v>
      </c>
      <c r="B476" s="107" t="str">
        <f>VLOOKUP(A476,[1]Hoja3!$C$3:$D$14,2,FALSE)</f>
        <v>NOVIEMBRE</v>
      </c>
      <c r="C476" s="108">
        <v>45623.983148148145</v>
      </c>
      <c r="D476" s="108" t="s">
        <v>393</v>
      </c>
      <c r="E476" s="109" t="s">
        <v>409</v>
      </c>
      <c r="F476" s="109" t="s">
        <v>922</v>
      </c>
      <c r="G476" s="110" t="str">
        <f t="shared" si="113"/>
        <v>NOVIEMBRE</v>
      </c>
      <c r="H476" s="252">
        <v>0</v>
      </c>
      <c r="I476" s="102" t="str">
        <f t="shared" si="114"/>
        <v>NOVIEMBRE</v>
      </c>
      <c r="J476"/>
      <c r="K476" t="str">
        <f t="shared" si="107"/>
        <v>NOVIEMBRE</v>
      </c>
      <c r="L476" s="111">
        <f t="shared" si="108"/>
        <v>0</v>
      </c>
      <c r="M476" s="112">
        <f t="shared" si="109"/>
        <v>0</v>
      </c>
      <c r="N476" s="112">
        <f t="shared" si="110"/>
        <v>0</v>
      </c>
      <c r="P476">
        <v>0</v>
      </c>
      <c r="Q476" s="102">
        <f t="shared" si="111"/>
        <v>0</v>
      </c>
      <c r="R476" s="102">
        <f t="shared" si="112"/>
        <v>0</v>
      </c>
    </row>
    <row r="477" spans="1:18" x14ac:dyDescent="0.35">
      <c r="A477" s="106">
        <f t="shared" si="106"/>
        <v>11</v>
      </c>
      <c r="B477" s="107" t="str">
        <f>VLOOKUP(A477,[1]Hoja3!$C$3:$D$14,2,FALSE)</f>
        <v>NOVIEMBRE</v>
      </c>
      <c r="C477" s="108">
        <v>45624.255543981482</v>
      </c>
      <c r="D477" s="108" t="s">
        <v>396</v>
      </c>
      <c r="E477" s="109" t="s">
        <v>412</v>
      </c>
      <c r="F477" s="109" t="s">
        <v>923</v>
      </c>
      <c r="G477" s="110" t="str">
        <f t="shared" si="113"/>
        <v>NOVIEMBRE</v>
      </c>
      <c r="H477" s="252"/>
      <c r="I477" s="102" t="str">
        <f t="shared" si="114"/>
        <v>NOVIEMBRE</v>
      </c>
      <c r="J477"/>
      <c r="K477" t="str">
        <f t="shared" si="107"/>
        <v>NOVIEMBRE</v>
      </c>
      <c r="L477" s="111">
        <f t="shared" si="108"/>
        <v>0</v>
      </c>
      <c r="M477" s="112">
        <f t="shared" si="109"/>
        <v>0</v>
      </c>
      <c r="N477" s="112">
        <f t="shared" si="110"/>
        <v>0</v>
      </c>
      <c r="O477" t="s">
        <v>551</v>
      </c>
      <c r="Q477" s="102"/>
      <c r="R477" s="102"/>
    </row>
    <row r="478" spans="1:18" x14ac:dyDescent="0.35">
      <c r="A478" s="106">
        <f t="shared" si="106"/>
        <v>11</v>
      </c>
      <c r="B478" s="107" t="str">
        <f>VLOOKUP(A478,[1]Hoja3!$C$3:$D$14,2,FALSE)</f>
        <v>NOVIEMBRE</v>
      </c>
      <c r="C478" s="108">
        <v>45624.255543981482</v>
      </c>
      <c r="D478" s="108" t="s">
        <v>395</v>
      </c>
      <c r="E478" s="109" t="s">
        <v>411</v>
      </c>
      <c r="F478" s="109" t="s">
        <v>924</v>
      </c>
      <c r="G478" s="110" t="str">
        <f t="shared" si="113"/>
        <v>NOVIEMBRE</v>
      </c>
      <c r="H478" s="252"/>
      <c r="I478" s="102" t="str">
        <f t="shared" si="114"/>
        <v>NOVIEMBRE</v>
      </c>
      <c r="J478"/>
      <c r="K478" t="str">
        <f t="shared" si="107"/>
        <v>NOVIEMBRE</v>
      </c>
      <c r="L478" s="111">
        <f t="shared" si="108"/>
        <v>0</v>
      </c>
      <c r="M478" s="112">
        <f t="shared" si="109"/>
        <v>0</v>
      </c>
      <c r="N478" s="112">
        <f t="shared" si="110"/>
        <v>0</v>
      </c>
      <c r="O478" t="s">
        <v>551</v>
      </c>
      <c r="Q478" s="102"/>
      <c r="R478" s="102"/>
    </row>
    <row r="479" spans="1:18" x14ac:dyDescent="0.35">
      <c r="A479" s="106">
        <f t="shared" si="106"/>
        <v>11</v>
      </c>
      <c r="B479" s="107" t="str">
        <f>VLOOKUP(A479,[1]Hoja3!$C$3:$D$14,2,FALSE)</f>
        <v>NOVIEMBRE</v>
      </c>
      <c r="C479" s="108">
        <v>45624.255543981482</v>
      </c>
      <c r="D479" s="108" t="s">
        <v>395</v>
      </c>
      <c r="E479" s="109" t="s">
        <v>411</v>
      </c>
      <c r="F479" s="109" t="s">
        <v>925</v>
      </c>
      <c r="G479" s="110" t="str">
        <f t="shared" si="113"/>
        <v>NOVIEMBRE</v>
      </c>
      <c r="H479" s="252"/>
      <c r="I479" s="102" t="str">
        <f t="shared" si="114"/>
        <v>NOVIEMBRE</v>
      </c>
      <c r="J479"/>
      <c r="K479" t="str">
        <f t="shared" si="107"/>
        <v>NOVIEMBRE</v>
      </c>
      <c r="L479" s="111">
        <f t="shared" si="108"/>
        <v>0</v>
      </c>
      <c r="M479" s="112">
        <f t="shared" si="109"/>
        <v>0</v>
      </c>
      <c r="N479" s="112">
        <f t="shared" si="110"/>
        <v>0</v>
      </c>
      <c r="O479" t="s">
        <v>551</v>
      </c>
      <c r="Q479" s="102"/>
      <c r="R479" s="102"/>
    </row>
    <row r="480" spans="1:18" x14ac:dyDescent="0.35">
      <c r="A480" s="106">
        <f t="shared" si="106"/>
        <v>11</v>
      </c>
      <c r="B480" s="107" t="str">
        <f>VLOOKUP(A480,[1]Hoja3!$C$3:$D$14,2,FALSE)</f>
        <v>NOVIEMBRE</v>
      </c>
      <c r="C480" s="108">
        <v>45624.312106481484</v>
      </c>
      <c r="D480" s="108" t="s">
        <v>386</v>
      </c>
      <c r="E480" s="109" t="s">
        <v>402</v>
      </c>
      <c r="F480" s="109" t="s">
        <v>445</v>
      </c>
      <c r="G480" s="110" t="str">
        <f t="shared" si="113"/>
        <v>NOVIEMBRE</v>
      </c>
      <c r="H480" s="252">
        <v>0.01</v>
      </c>
      <c r="I480" s="102" t="str">
        <f t="shared" si="114"/>
        <v>NOVIEMBRE</v>
      </c>
      <c r="J480"/>
      <c r="K480" t="str">
        <f t="shared" si="107"/>
        <v>NOVIEMBRE</v>
      </c>
      <c r="L480" s="111">
        <f t="shared" si="108"/>
        <v>0</v>
      </c>
      <c r="M480" s="112">
        <f t="shared" si="109"/>
        <v>0.01</v>
      </c>
      <c r="N480" s="112">
        <f t="shared" si="110"/>
        <v>0.01</v>
      </c>
      <c r="O480" t="s">
        <v>451</v>
      </c>
      <c r="P480">
        <v>0</v>
      </c>
      <c r="Q480" s="102">
        <f t="shared" si="111"/>
        <v>0.01</v>
      </c>
      <c r="R480" s="102">
        <f t="shared" si="112"/>
        <v>0.01</v>
      </c>
    </row>
    <row r="481" spans="1:18" x14ac:dyDescent="0.35">
      <c r="A481" s="106">
        <f t="shared" ref="A481:A544" si="115">IF(C481&gt;0,MONTH(C481),0)</f>
        <v>11</v>
      </c>
      <c r="B481" s="107" t="str">
        <f>VLOOKUP(A481,[1]Hoja3!$C$3:$D$14,2,FALSE)</f>
        <v>NOVIEMBRE</v>
      </c>
      <c r="C481" s="108">
        <v>45624.648831018516</v>
      </c>
      <c r="D481" s="108" t="s">
        <v>385</v>
      </c>
      <c r="E481" s="109" t="s">
        <v>401</v>
      </c>
      <c r="F481" s="109" t="s">
        <v>926</v>
      </c>
      <c r="G481" s="110" t="str">
        <f t="shared" si="113"/>
        <v>NOVIEMBRE</v>
      </c>
      <c r="H481" s="252">
        <v>1124.8399999999999</v>
      </c>
      <c r="I481" s="102" t="str">
        <f t="shared" si="114"/>
        <v>NOVIEMBRE</v>
      </c>
      <c r="J481">
        <v>175.400293</v>
      </c>
      <c r="K481" t="str">
        <f t="shared" ref="K481:K544" si="116">+B481</f>
        <v>NOVIEMBRE</v>
      </c>
      <c r="L481" s="111">
        <f t="shared" ref="L481:L544" si="117">+J481/0.16</f>
        <v>1096.2518312499999</v>
      </c>
      <c r="M481" s="112">
        <f t="shared" ref="M481:M544" si="118">+H481-L481</f>
        <v>28.588168750000023</v>
      </c>
      <c r="N481" s="112">
        <f t="shared" ref="N481:N544" si="119">+H481+J481</f>
        <v>1300.2402929999998</v>
      </c>
      <c r="O481" t="s">
        <v>451</v>
      </c>
      <c r="P481">
        <v>1300.24</v>
      </c>
      <c r="Q481" s="102">
        <f t="shared" si="111"/>
        <v>2.929999998286803E-4</v>
      </c>
      <c r="R481" s="102">
        <f t="shared" si="112"/>
        <v>-175.40000000000018</v>
      </c>
    </row>
    <row r="482" spans="1:18" x14ac:dyDescent="0.35">
      <c r="A482" s="106">
        <f t="shared" si="115"/>
        <v>11</v>
      </c>
      <c r="B482" s="107" t="str">
        <f>VLOOKUP(A482,[1]Hoja3!$C$3:$D$14,2,FALSE)</f>
        <v>NOVIEMBRE</v>
      </c>
      <c r="C482" s="108">
        <v>45625.450798611113</v>
      </c>
      <c r="D482" s="108" t="s">
        <v>270</v>
      </c>
      <c r="E482" s="109" t="s">
        <v>271</v>
      </c>
      <c r="F482" s="109" t="s">
        <v>927</v>
      </c>
      <c r="G482" s="110" t="str">
        <f t="shared" si="113"/>
        <v>NOVIEMBRE</v>
      </c>
      <c r="H482" s="252">
        <v>4000</v>
      </c>
      <c r="I482" s="102" t="str">
        <f t="shared" si="114"/>
        <v>NOVIEMBRE</v>
      </c>
      <c r="J482">
        <v>0</v>
      </c>
      <c r="K482" t="str">
        <f t="shared" si="116"/>
        <v>NOVIEMBRE</v>
      </c>
      <c r="L482" s="111">
        <f t="shared" si="117"/>
        <v>0</v>
      </c>
      <c r="M482" s="112">
        <f t="shared" si="118"/>
        <v>4000</v>
      </c>
      <c r="N482" s="112">
        <f t="shared" si="119"/>
        <v>4000</v>
      </c>
      <c r="O482" t="s">
        <v>451</v>
      </c>
      <c r="P482">
        <v>4000</v>
      </c>
      <c r="Q482" s="102">
        <f t="shared" si="111"/>
        <v>0</v>
      </c>
      <c r="R482" s="102">
        <f t="shared" si="112"/>
        <v>0</v>
      </c>
    </row>
    <row r="483" spans="1:18" x14ac:dyDescent="0.35">
      <c r="A483" s="106">
        <f t="shared" si="115"/>
        <v>11</v>
      </c>
      <c r="B483" s="107" t="str">
        <f>VLOOKUP(A483,[1]Hoja3!$C$3:$D$14,2,FALSE)</f>
        <v>NOVIEMBRE</v>
      </c>
      <c r="C483" s="108">
        <v>45625.451481481483</v>
      </c>
      <c r="D483" s="108" t="s">
        <v>270</v>
      </c>
      <c r="E483" s="109" t="s">
        <v>271</v>
      </c>
      <c r="F483" s="109" t="s">
        <v>928</v>
      </c>
      <c r="G483" s="110" t="str">
        <f t="shared" si="113"/>
        <v>NOVIEMBRE</v>
      </c>
      <c r="H483" s="252">
        <v>9300</v>
      </c>
      <c r="I483" s="102" t="str">
        <f t="shared" si="114"/>
        <v>NOVIEMBRE</v>
      </c>
      <c r="J483">
        <v>0</v>
      </c>
      <c r="K483" t="str">
        <f t="shared" si="116"/>
        <v>NOVIEMBRE</v>
      </c>
      <c r="L483" s="111">
        <f t="shared" si="117"/>
        <v>0</v>
      </c>
      <c r="M483" s="112">
        <f t="shared" si="118"/>
        <v>9300</v>
      </c>
      <c r="N483" s="112">
        <f t="shared" si="119"/>
        <v>9300</v>
      </c>
      <c r="O483" t="s">
        <v>451</v>
      </c>
      <c r="P483">
        <v>9300</v>
      </c>
      <c r="Q483" s="102">
        <f t="shared" si="111"/>
        <v>0</v>
      </c>
      <c r="R483" s="102">
        <f t="shared" si="112"/>
        <v>0</v>
      </c>
    </row>
    <row r="484" spans="1:18" x14ac:dyDescent="0.35">
      <c r="A484" s="106">
        <f t="shared" si="115"/>
        <v>11</v>
      </c>
      <c r="B484" s="107" t="str">
        <f>VLOOKUP(A484,[1]Hoja3!$C$3:$D$14,2,FALSE)</f>
        <v>NOVIEMBRE</v>
      </c>
      <c r="C484" s="108">
        <v>45625.490428240744</v>
      </c>
      <c r="D484" s="108" t="s">
        <v>387</v>
      </c>
      <c r="E484" s="109" t="s">
        <v>403</v>
      </c>
      <c r="F484" s="109" t="s">
        <v>929</v>
      </c>
      <c r="G484" s="110" t="str">
        <f t="shared" si="113"/>
        <v>NOVIEMBRE</v>
      </c>
      <c r="H484" s="252">
        <v>1979.51</v>
      </c>
      <c r="I484" s="102" t="str">
        <f t="shared" si="114"/>
        <v>NOVIEMBRE</v>
      </c>
      <c r="J484">
        <v>17.11</v>
      </c>
      <c r="K484" t="str">
        <f t="shared" si="116"/>
        <v>NOVIEMBRE</v>
      </c>
      <c r="L484" s="111">
        <f t="shared" si="117"/>
        <v>106.9375</v>
      </c>
      <c r="M484" s="112">
        <f t="shared" si="118"/>
        <v>1872.5725</v>
      </c>
      <c r="N484" s="112">
        <f t="shared" si="119"/>
        <v>1996.62</v>
      </c>
      <c r="O484" t="s">
        <v>451</v>
      </c>
      <c r="P484">
        <v>1996.62</v>
      </c>
      <c r="Q484" s="102">
        <f t="shared" si="111"/>
        <v>0</v>
      </c>
      <c r="R484" s="102">
        <f t="shared" si="112"/>
        <v>-17.11</v>
      </c>
    </row>
    <row r="485" spans="1:18" x14ac:dyDescent="0.35">
      <c r="A485" s="106">
        <f t="shared" si="115"/>
        <v>11</v>
      </c>
      <c r="B485" s="107" t="str">
        <f>VLOOKUP(A485,[1]Hoja3!$C$3:$D$14,2,FALSE)</f>
        <v>NOVIEMBRE</v>
      </c>
      <c r="C485" s="108">
        <v>45625.767430555556</v>
      </c>
      <c r="D485" s="108" t="s">
        <v>659</v>
      </c>
      <c r="E485" s="109" t="s">
        <v>653</v>
      </c>
      <c r="F485" s="109" t="s">
        <v>930</v>
      </c>
      <c r="G485" s="110" t="str">
        <f t="shared" si="113"/>
        <v>NOVIEMBRE</v>
      </c>
      <c r="H485" s="252">
        <v>2229.38</v>
      </c>
      <c r="I485" s="102" t="str">
        <f t="shared" si="114"/>
        <v>NOVIEMBRE</v>
      </c>
      <c r="J485">
        <v>333.78</v>
      </c>
      <c r="K485" t="str">
        <f t="shared" si="116"/>
        <v>NOVIEMBRE</v>
      </c>
      <c r="L485" s="111">
        <f t="shared" si="117"/>
        <v>2086.125</v>
      </c>
      <c r="M485" s="112">
        <f t="shared" si="118"/>
        <v>143.25500000000011</v>
      </c>
      <c r="N485" s="112">
        <f t="shared" si="119"/>
        <v>2563.16</v>
      </c>
      <c r="O485" t="s">
        <v>451</v>
      </c>
      <c r="P485">
        <v>2563.16</v>
      </c>
      <c r="Q485" s="102">
        <f t="shared" si="111"/>
        <v>0</v>
      </c>
      <c r="R485" s="102">
        <f t="shared" si="112"/>
        <v>-333.78</v>
      </c>
    </row>
    <row r="486" spans="1:18" x14ac:dyDescent="0.35">
      <c r="A486" s="106">
        <f t="shared" si="115"/>
        <v>11</v>
      </c>
      <c r="B486" s="107" t="str">
        <f>VLOOKUP(A486,[1]Hoja3!$C$3:$D$14,2,FALSE)</f>
        <v>NOVIEMBRE</v>
      </c>
      <c r="C486" s="108">
        <v>45626.456064814818</v>
      </c>
      <c r="D486" s="108" t="s">
        <v>655</v>
      </c>
      <c r="E486" s="109" t="s">
        <v>649</v>
      </c>
      <c r="F486" s="109" t="s">
        <v>662</v>
      </c>
      <c r="G486" s="110" t="str">
        <f t="shared" si="113"/>
        <v>NOVIEMBRE</v>
      </c>
      <c r="H486" s="252">
        <v>694.92</v>
      </c>
      <c r="I486" s="102" t="str">
        <f t="shared" si="114"/>
        <v>NOVIEMBRE</v>
      </c>
      <c r="J486">
        <v>111.18</v>
      </c>
      <c r="K486" t="str">
        <f t="shared" si="116"/>
        <v>NOVIEMBRE</v>
      </c>
      <c r="L486" s="111">
        <f t="shared" si="117"/>
        <v>694.875</v>
      </c>
      <c r="M486" s="112">
        <f t="shared" si="118"/>
        <v>4.4999999999959073E-2</v>
      </c>
      <c r="N486" s="112">
        <f t="shared" si="119"/>
        <v>806.09999999999991</v>
      </c>
      <c r="O486" t="s">
        <v>451</v>
      </c>
      <c r="P486">
        <v>806.1</v>
      </c>
      <c r="Q486" s="102">
        <f t="shared" si="111"/>
        <v>0</v>
      </c>
      <c r="R486" s="102">
        <f t="shared" si="112"/>
        <v>-111.18</v>
      </c>
    </row>
    <row r="487" spans="1:18" x14ac:dyDescent="0.35">
      <c r="A487" s="106">
        <f t="shared" si="115"/>
        <v>11</v>
      </c>
      <c r="B487" s="107" t="str">
        <f>VLOOKUP(A487,[1]Hoja3!$C$3:$D$14,2,FALSE)</f>
        <v>NOVIEMBRE</v>
      </c>
      <c r="C487" s="108">
        <v>45626.999305555553</v>
      </c>
      <c r="D487" s="108" t="s">
        <v>837</v>
      </c>
      <c r="E487" s="109" t="s">
        <v>844</v>
      </c>
      <c r="F487" s="109" t="s">
        <v>931</v>
      </c>
      <c r="G487" s="110" t="str">
        <f t="shared" si="113"/>
        <v>NOVIEMBRE</v>
      </c>
      <c r="H487" s="252">
        <v>698.1</v>
      </c>
      <c r="I487" s="102" t="str">
        <f t="shared" si="114"/>
        <v>NOVIEMBRE</v>
      </c>
      <c r="J487">
        <v>0</v>
      </c>
      <c r="K487" t="str">
        <f t="shared" si="116"/>
        <v>NOVIEMBRE</v>
      </c>
      <c r="L487" s="111">
        <f t="shared" si="117"/>
        <v>0</v>
      </c>
      <c r="M487" s="112">
        <f t="shared" si="118"/>
        <v>698.1</v>
      </c>
      <c r="N487" s="112">
        <f t="shared" si="119"/>
        <v>698.1</v>
      </c>
      <c r="O487" t="s">
        <v>451</v>
      </c>
      <c r="P487">
        <v>698.1</v>
      </c>
      <c r="Q487" s="102">
        <f t="shared" si="111"/>
        <v>0</v>
      </c>
      <c r="R487" s="102">
        <f t="shared" si="112"/>
        <v>0</v>
      </c>
    </row>
    <row r="488" spans="1:18" x14ac:dyDescent="0.35">
      <c r="A488" s="106">
        <f t="shared" si="115"/>
        <v>11</v>
      </c>
      <c r="B488" s="107" t="str">
        <f>VLOOKUP(A488,[1]Hoja3!$C$3:$D$14,2,FALSE)</f>
        <v>NOVIEMBRE</v>
      </c>
      <c r="C488" s="108">
        <v>45626.999988425923</v>
      </c>
      <c r="D488" s="108" t="s">
        <v>354</v>
      </c>
      <c r="E488" s="109" t="s">
        <v>353</v>
      </c>
      <c r="F488" s="109" t="s">
        <v>448</v>
      </c>
      <c r="G488" s="110" t="str">
        <f t="shared" si="113"/>
        <v>NOVIEMBRE</v>
      </c>
      <c r="H488" s="252">
        <v>8425.52</v>
      </c>
      <c r="I488" s="102" t="str">
        <f t="shared" si="114"/>
        <v>NOVIEMBRE</v>
      </c>
      <c r="J488">
        <v>1074.1099999999999</v>
      </c>
      <c r="K488" t="str">
        <f t="shared" si="116"/>
        <v>NOVIEMBRE</v>
      </c>
      <c r="L488" s="111">
        <f t="shared" si="117"/>
        <v>6713.1874999999991</v>
      </c>
      <c r="M488" s="112">
        <f t="shared" si="118"/>
        <v>1712.3325000000013</v>
      </c>
      <c r="N488" s="112">
        <f t="shared" si="119"/>
        <v>9499.630000000001</v>
      </c>
      <c r="O488" t="s">
        <v>451</v>
      </c>
      <c r="P488">
        <v>9499.6299999999992</v>
      </c>
      <c r="Q488" s="102">
        <f t="shared" si="111"/>
        <v>0</v>
      </c>
      <c r="R488" s="102">
        <f t="shared" si="112"/>
        <v>-1074.1099999999999</v>
      </c>
    </row>
    <row r="489" spans="1:18" x14ac:dyDescent="0.35">
      <c r="A489" s="106">
        <f t="shared" si="115"/>
        <v>12</v>
      </c>
      <c r="B489" s="107" t="str">
        <f>VLOOKUP(A489,[1]Hoja3!$C$3:$D$14,2,FALSE)</f>
        <v>DICIEMBRE</v>
      </c>
      <c r="C489" s="108">
        <v>45628.562557870369</v>
      </c>
      <c r="D489" s="108" t="s">
        <v>387</v>
      </c>
      <c r="E489" s="109" t="s">
        <v>403</v>
      </c>
      <c r="F489" s="109" t="s">
        <v>932</v>
      </c>
      <c r="G489" s="110" t="str">
        <f t="shared" si="113"/>
        <v>DICIEMBRE</v>
      </c>
      <c r="H489" s="252">
        <v>3830.66</v>
      </c>
      <c r="I489" s="102" t="str">
        <f t="shared" si="114"/>
        <v>DICIEMBRE</v>
      </c>
      <c r="J489">
        <v>0</v>
      </c>
      <c r="K489" t="str">
        <f t="shared" si="116"/>
        <v>DICIEMBRE</v>
      </c>
      <c r="L489" s="111">
        <f t="shared" si="117"/>
        <v>0</v>
      </c>
      <c r="M489" s="112">
        <f t="shared" si="118"/>
        <v>3830.66</v>
      </c>
      <c r="N489" s="112">
        <f t="shared" si="119"/>
        <v>3830.66</v>
      </c>
      <c r="O489" t="s">
        <v>451</v>
      </c>
      <c r="P489">
        <v>3830.66</v>
      </c>
      <c r="Q489" s="102">
        <f t="shared" si="111"/>
        <v>0</v>
      </c>
      <c r="R489" s="102">
        <f t="shared" si="112"/>
        <v>0</v>
      </c>
    </row>
    <row r="490" spans="1:18" x14ac:dyDescent="0.35">
      <c r="A490" s="106">
        <f t="shared" si="115"/>
        <v>12</v>
      </c>
      <c r="B490" s="107" t="str">
        <f>VLOOKUP(A490,[1]Hoja3!$C$3:$D$14,2,FALSE)</f>
        <v>DICIEMBRE</v>
      </c>
      <c r="C490" s="108">
        <v>45628.724490740744</v>
      </c>
      <c r="D490" s="108" t="s">
        <v>382</v>
      </c>
      <c r="E490" s="109" t="s">
        <v>398</v>
      </c>
      <c r="F490" s="109" t="s">
        <v>414</v>
      </c>
      <c r="G490" s="110" t="str">
        <f t="shared" si="113"/>
        <v>DICIEMBRE</v>
      </c>
      <c r="H490" s="252">
        <v>929.41</v>
      </c>
      <c r="I490" s="102" t="str">
        <f t="shared" si="114"/>
        <v>DICIEMBRE</v>
      </c>
      <c r="J490">
        <v>148.71</v>
      </c>
      <c r="K490" t="str">
        <f t="shared" si="116"/>
        <v>DICIEMBRE</v>
      </c>
      <c r="L490" s="111">
        <f t="shared" si="117"/>
        <v>929.4375</v>
      </c>
      <c r="M490" s="112">
        <f t="shared" si="118"/>
        <v>-2.7500000000031832E-2</v>
      </c>
      <c r="N490" s="112">
        <f t="shared" si="119"/>
        <v>1078.1199999999999</v>
      </c>
      <c r="O490" t="s">
        <v>451</v>
      </c>
      <c r="P490">
        <v>1078.1199999999999</v>
      </c>
      <c r="Q490" s="102">
        <f t="shared" si="111"/>
        <v>0</v>
      </c>
      <c r="R490" s="102">
        <f t="shared" si="112"/>
        <v>-148.71</v>
      </c>
    </row>
    <row r="491" spans="1:18" x14ac:dyDescent="0.35">
      <c r="A491" s="106">
        <f t="shared" si="115"/>
        <v>12</v>
      </c>
      <c r="B491" s="107" t="str">
        <f>VLOOKUP(A491,[1]Hoja3!$C$3:$D$14,2,FALSE)</f>
        <v>DICIEMBRE</v>
      </c>
      <c r="C491" s="108">
        <v>45628.989976851852</v>
      </c>
      <c r="D491" s="108" t="s">
        <v>383</v>
      </c>
      <c r="E491" s="109" t="s">
        <v>399</v>
      </c>
      <c r="F491" s="109" t="s">
        <v>933</v>
      </c>
      <c r="G491" s="110" t="str">
        <f t="shared" si="113"/>
        <v>DICIEMBRE</v>
      </c>
      <c r="H491" s="252">
        <v>27880</v>
      </c>
      <c r="I491" s="102" t="str">
        <f t="shared" si="114"/>
        <v>DICIEMBRE</v>
      </c>
      <c r="J491">
        <v>0</v>
      </c>
      <c r="K491" t="str">
        <f t="shared" si="116"/>
        <v>DICIEMBRE</v>
      </c>
      <c r="L491" s="111">
        <f t="shared" si="117"/>
        <v>0</v>
      </c>
      <c r="M491" s="112">
        <f t="shared" si="118"/>
        <v>27880</v>
      </c>
      <c r="N491" s="112">
        <f t="shared" si="119"/>
        <v>27880</v>
      </c>
      <c r="O491" t="s">
        <v>451</v>
      </c>
      <c r="P491">
        <v>27880</v>
      </c>
      <c r="Q491" s="102">
        <f t="shared" si="111"/>
        <v>0</v>
      </c>
      <c r="R491" s="102">
        <f t="shared" si="112"/>
        <v>0</v>
      </c>
    </row>
    <row r="492" spans="1:18" x14ac:dyDescent="0.35">
      <c r="A492" s="106">
        <f t="shared" si="115"/>
        <v>12</v>
      </c>
      <c r="B492" s="107" t="str">
        <f>VLOOKUP(A492,[1]Hoja3!$C$3:$D$14,2,FALSE)</f>
        <v>DICIEMBRE</v>
      </c>
      <c r="C492" s="108">
        <v>45629.785231481481</v>
      </c>
      <c r="D492" s="108" t="s">
        <v>838</v>
      </c>
      <c r="E492" s="109" t="s">
        <v>845</v>
      </c>
      <c r="F492" s="109" t="s">
        <v>934</v>
      </c>
      <c r="G492" s="110" t="str">
        <f t="shared" si="113"/>
        <v>DICIEMBRE</v>
      </c>
      <c r="H492" s="252">
        <v>473.28</v>
      </c>
      <c r="I492" s="102" t="str">
        <f t="shared" si="114"/>
        <v>DICIEMBRE</v>
      </c>
      <c r="J492">
        <v>75.72</v>
      </c>
      <c r="K492" t="str">
        <f t="shared" si="116"/>
        <v>DICIEMBRE</v>
      </c>
      <c r="L492" s="111">
        <f t="shared" si="117"/>
        <v>473.25</v>
      </c>
      <c r="M492" s="112">
        <f t="shared" si="118"/>
        <v>2.9999999999972715E-2</v>
      </c>
      <c r="N492" s="112">
        <f t="shared" si="119"/>
        <v>549</v>
      </c>
      <c r="O492" t="s">
        <v>451</v>
      </c>
      <c r="P492">
        <v>549</v>
      </c>
      <c r="Q492" s="102">
        <f t="shared" si="111"/>
        <v>0</v>
      </c>
      <c r="R492" s="102">
        <f t="shared" si="112"/>
        <v>-75.72</v>
      </c>
    </row>
    <row r="493" spans="1:18" x14ac:dyDescent="0.35">
      <c r="A493" s="106">
        <f t="shared" si="115"/>
        <v>12</v>
      </c>
      <c r="B493" s="107" t="str">
        <f>VLOOKUP(A493,[1]Hoja3!$C$3:$D$14,2,FALSE)</f>
        <v>DICIEMBRE</v>
      </c>
      <c r="C493" s="108">
        <v>45630.472638888888</v>
      </c>
      <c r="D493" s="108" t="s">
        <v>385</v>
      </c>
      <c r="E493" s="109" t="s">
        <v>401</v>
      </c>
      <c r="F493" s="109" t="s">
        <v>935</v>
      </c>
      <c r="G493" s="110" t="str">
        <f t="shared" si="113"/>
        <v>DICIEMBRE</v>
      </c>
      <c r="H493" s="252">
        <v>1442.43</v>
      </c>
      <c r="I493" s="102" t="str">
        <f t="shared" si="114"/>
        <v>DICIEMBRE</v>
      </c>
      <c r="J493">
        <v>225.88</v>
      </c>
      <c r="K493" t="str">
        <f t="shared" si="116"/>
        <v>DICIEMBRE</v>
      </c>
      <c r="L493" s="111">
        <f t="shared" si="117"/>
        <v>1411.75</v>
      </c>
      <c r="M493" s="112">
        <f t="shared" si="118"/>
        <v>30.680000000000064</v>
      </c>
      <c r="N493" s="112">
        <f t="shared" si="119"/>
        <v>1668.31</v>
      </c>
      <c r="O493" t="s">
        <v>451</v>
      </c>
      <c r="P493">
        <v>1668.31</v>
      </c>
      <c r="Q493" s="102">
        <f t="shared" si="111"/>
        <v>0</v>
      </c>
      <c r="R493" s="102">
        <f t="shared" si="112"/>
        <v>-225.88</v>
      </c>
    </row>
    <row r="494" spans="1:18" x14ac:dyDescent="0.35">
      <c r="A494" s="106">
        <f t="shared" si="115"/>
        <v>12</v>
      </c>
      <c r="B494" s="107" t="str">
        <f>VLOOKUP(A494,[1]Hoja3!$C$3:$D$14,2,FALSE)</f>
        <v>DICIEMBRE</v>
      </c>
      <c r="C494" s="108">
        <v>45631.511342592596</v>
      </c>
      <c r="D494" s="108" t="s">
        <v>603</v>
      </c>
      <c r="E494" s="109" t="s">
        <v>599</v>
      </c>
      <c r="F494" s="109" t="s">
        <v>936</v>
      </c>
      <c r="G494" s="110" t="str">
        <f t="shared" si="113"/>
        <v>DICIEMBRE</v>
      </c>
      <c r="H494" s="252">
        <v>35225</v>
      </c>
      <c r="I494" s="102" t="str">
        <f t="shared" si="114"/>
        <v>DICIEMBRE</v>
      </c>
      <c r="J494">
        <v>0</v>
      </c>
      <c r="K494" t="str">
        <f t="shared" si="116"/>
        <v>DICIEMBRE</v>
      </c>
      <c r="L494" s="111">
        <f t="shared" si="117"/>
        <v>0</v>
      </c>
      <c r="M494" s="112">
        <f t="shared" si="118"/>
        <v>35225</v>
      </c>
      <c r="N494" s="112">
        <f t="shared" si="119"/>
        <v>35225</v>
      </c>
      <c r="O494" t="s">
        <v>551</v>
      </c>
      <c r="P494">
        <v>35225</v>
      </c>
      <c r="Q494" s="102">
        <f t="shared" si="111"/>
        <v>0</v>
      </c>
      <c r="R494" s="102">
        <f t="shared" si="112"/>
        <v>0</v>
      </c>
    </row>
    <row r="495" spans="1:18" x14ac:dyDescent="0.35">
      <c r="A495" s="106">
        <f t="shared" si="115"/>
        <v>12</v>
      </c>
      <c r="B495" s="107" t="str">
        <f>VLOOKUP(A495,[1]Hoja3!$C$3:$D$14,2,FALSE)</f>
        <v>DICIEMBRE</v>
      </c>
      <c r="C495" s="108">
        <v>45631.576064814813</v>
      </c>
      <c r="D495" s="108" t="s">
        <v>656</v>
      </c>
      <c r="E495" s="109" t="s">
        <v>650</v>
      </c>
      <c r="F495" s="109" t="s">
        <v>937</v>
      </c>
      <c r="G495" s="110" t="str">
        <f t="shared" si="113"/>
        <v>DICIEMBRE</v>
      </c>
      <c r="H495" s="252">
        <v>6260</v>
      </c>
      <c r="I495" s="102" t="str">
        <f t="shared" si="114"/>
        <v>DICIEMBRE</v>
      </c>
      <c r="J495">
        <v>0</v>
      </c>
      <c r="K495" t="str">
        <f t="shared" si="116"/>
        <v>DICIEMBRE</v>
      </c>
      <c r="L495" s="111">
        <f t="shared" si="117"/>
        <v>0</v>
      </c>
      <c r="M495" s="112">
        <f t="shared" si="118"/>
        <v>6260</v>
      </c>
      <c r="N495" s="112">
        <f t="shared" si="119"/>
        <v>6260</v>
      </c>
      <c r="O495" t="s">
        <v>451</v>
      </c>
      <c r="P495">
        <v>6260</v>
      </c>
      <c r="Q495" s="102">
        <f t="shared" si="111"/>
        <v>0</v>
      </c>
      <c r="R495" s="102">
        <f t="shared" si="112"/>
        <v>0</v>
      </c>
    </row>
    <row r="496" spans="1:18" x14ac:dyDescent="0.35">
      <c r="A496" s="106">
        <f t="shared" si="115"/>
        <v>12</v>
      </c>
      <c r="B496" s="107" t="str">
        <f>VLOOKUP(A496,[1]Hoja3!$C$3:$D$14,2,FALSE)</f>
        <v>DICIEMBRE</v>
      </c>
      <c r="C496" s="108">
        <v>45632.357453703706</v>
      </c>
      <c r="D496" s="108" t="s">
        <v>388</v>
      </c>
      <c r="E496" s="109" t="s">
        <v>404</v>
      </c>
      <c r="F496" s="109" t="s">
        <v>938</v>
      </c>
      <c r="G496" s="110" t="str">
        <f t="shared" si="113"/>
        <v>DICIEMBRE</v>
      </c>
      <c r="H496" s="252">
        <v>3360.96</v>
      </c>
      <c r="I496" s="102" t="str">
        <f t="shared" si="114"/>
        <v>DICIEMBRE</v>
      </c>
      <c r="J496">
        <v>0</v>
      </c>
      <c r="K496" t="str">
        <f t="shared" si="116"/>
        <v>DICIEMBRE</v>
      </c>
      <c r="L496" s="111">
        <f t="shared" si="117"/>
        <v>0</v>
      </c>
      <c r="M496" s="112">
        <f t="shared" si="118"/>
        <v>3360.96</v>
      </c>
      <c r="N496" s="112">
        <f t="shared" si="119"/>
        <v>3360.96</v>
      </c>
      <c r="O496" t="s">
        <v>451</v>
      </c>
      <c r="P496">
        <v>3360.96</v>
      </c>
      <c r="Q496" s="102">
        <f t="shared" si="111"/>
        <v>0</v>
      </c>
      <c r="R496" s="102">
        <f t="shared" si="112"/>
        <v>0</v>
      </c>
    </row>
    <row r="497" spans="1:18" x14ac:dyDescent="0.35">
      <c r="A497" s="106">
        <f t="shared" si="115"/>
        <v>12</v>
      </c>
      <c r="B497" s="107" t="str">
        <f>VLOOKUP(A497,[1]Hoja3!$C$3:$D$14,2,FALSE)</f>
        <v>DICIEMBRE</v>
      </c>
      <c r="C497" s="108">
        <v>45632.451238425929</v>
      </c>
      <c r="D497" s="108" t="s">
        <v>387</v>
      </c>
      <c r="E497" s="109" t="s">
        <v>403</v>
      </c>
      <c r="F497" s="109" t="s">
        <v>939</v>
      </c>
      <c r="G497" s="110" t="str">
        <f t="shared" si="113"/>
        <v>DICIEMBRE</v>
      </c>
      <c r="H497" s="252">
        <v>2953.33</v>
      </c>
      <c r="I497" s="102" t="str">
        <f t="shared" si="114"/>
        <v>DICIEMBRE</v>
      </c>
      <c r="J497">
        <v>37.96</v>
      </c>
      <c r="K497" t="str">
        <f t="shared" si="116"/>
        <v>DICIEMBRE</v>
      </c>
      <c r="L497" s="111">
        <f t="shared" si="117"/>
        <v>237.25</v>
      </c>
      <c r="M497" s="112">
        <f t="shared" si="118"/>
        <v>2716.08</v>
      </c>
      <c r="N497" s="112">
        <f t="shared" si="119"/>
        <v>2991.29</v>
      </c>
      <c r="O497" t="s">
        <v>451</v>
      </c>
      <c r="P497">
        <v>2991.29</v>
      </c>
      <c r="Q497" s="102">
        <f t="shared" si="111"/>
        <v>0</v>
      </c>
      <c r="R497" s="102">
        <f t="shared" si="112"/>
        <v>-37.96</v>
      </c>
    </row>
    <row r="498" spans="1:18" x14ac:dyDescent="0.35">
      <c r="A498" s="106">
        <f t="shared" si="115"/>
        <v>12</v>
      </c>
      <c r="B498" s="107" t="str">
        <f>VLOOKUP(A498,[1]Hoja3!$C$3:$D$14,2,FALSE)</f>
        <v>DICIEMBRE</v>
      </c>
      <c r="C498" s="108">
        <v>45634.382916666669</v>
      </c>
      <c r="D498" s="108" t="s">
        <v>386</v>
      </c>
      <c r="E498" s="109" t="s">
        <v>402</v>
      </c>
      <c r="F498" s="109" t="s">
        <v>418</v>
      </c>
      <c r="G498" s="110" t="str">
        <f t="shared" si="113"/>
        <v>DICIEMBRE</v>
      </c>
      <c r="H498" s="252">
        <v>0.01</v>
      </c>
      <c r="I498" s="102" t="str">
        <f t="shared" si="114"/>
        <v>DICIEMBRE</v>
      </c>
      <c r="J498"/>
      <c r="K498" t="str">
        <f t="shared" si="116"/>
        <v>DICIEMBRE</v>
      </c>
      <c r="L498" s="111">
        <f t="shared" si="117"/>
        <v>0</v>
      </c>
      <c r="M498" s="112">
        <f t="shared" si="118"/>
        <v>0.01</v>
      </c>
      <c r="N498" s="112">
        <f t="shared" si="119"/>
        <v>0.01</v>
      </c>
      <c r="O498" t="s">
        <v>451</v>
      </c>
      <c r="P498">
        <v>0</v>
      </c>
      <c r="Q498" s="102">
        <f t="shared" si="111"/>
        <v>0.01</v>
      </c>
      <c r="R498" s="102">
        <f t="shared" si="112"/>
        <v>0.01</v>
      </c>
    </row>
    <row r="499" spans="1:18" x14ac:dyDescent="0.35">
      <c r="A499" s="106">
        <f t="shared" si="115"/>
        <v>12</v>
      </c>
      <c r="B499" s="107" t="str">
        <f>VLOOKUP(A499,[1]Hoja3!$C$3:$D$14,2,FALSE)</f>
        <v>DICIEMBRE</v>
      </c>
      <c r="C499" s="108">
        <v>45635.63554398148</v>
      </c>
      <c r="D499" s="108" t="s">
        <v>388</v>
      </c>
      <c r="E499" s="109" t="s">
        <v>404</v>
      </c>
      <c r="F499" s="109" t="s">
        <v>940</v>
      </c>
      <c r="G499" s="110" t="str">
        <f t="shared" si="113"/>
        <v>DICIEMBRE</v>
      </c>
      <c r="H499" s="252">
        <v>58895</v>
      </c>
      <c r="I499" s="102" t="str">
        <f t="shared" si="114"/>
        <v>DICIEMBRE</v>
      </c>
      <c r="J499">
        <v>0</v>
      </c>
      <c r="K499" t="str">
        <f t="shared" si="116"/>
        <v>DICIEMBRE</v>
      </c>
      <c r="L499" s="111">
        <f t="shared" si="117"/>
        <v>0</v>
      </c>
      <c r="M499" s="112">
        <f t="shared" si="118"/>
        <v>58895</v>
      </c>
      <c r="N499" s="112">
        <f t="shared" si="119"/>
        <v>58895</v>
      </c>
      <c r="O499" t="s">
        <v>451</v>
      </c>
      <c r="P499">
        <v>58895</v>
      </c>
      <c r="Q499" s="102">
        <f t="shared" si="111"/>
        <v>0</v>
      </c>
      <c r="R499" s="102">
        <f t="shared" si="112"/>
        <v>0</v>
      </c>
    </row>
    <row r="500" spans="1:18" x14ac:dyDescent="0.35">
      <c r="A500" s="106">
        <f t="shared" si="115"/>
        <v>12</v>
      </c>
      <c r="B500" s="107" t="str">
        <f>VLOOKUP(A500,[1]Hoja3!$C$3:$D$14,2,FALSE)</f>
        <v>DICIEMBRE</v>
      </c>
      <c r="C500" s="108">
        <v>45635.647881944446</v>
      </c>
      <c r="D500" s="108" t="s">
        <v>455</v>
      </c>
      <c r="E500" s="109" t="s">
        <v>458</v>
      </c>
      <c r="F500" s="109" t="s">
        <v>941</v>
      </c>
      <c r="G500" s="110" t="str">
        <f t="shared" si="113"/>
        <v>DICIEMBRE</v>
      </c>
      <c r="H500" s="252">
        <v>7584</v>
      </c>
      <c r="I500" s="102" t="str">
        <f t="shared" si="114"/>
        <v>DICIEMBRE</v>
      </c>
      <c r="J500">
        <v>0</v>
      </c>
      <c r="K500" t="str">
        <f t="shared" si="116"/>
        <v>DICIEMBRE</v>
      </c>
      <c r="L500" s="111">
        <f t="shared" si="117"/>
        <v>0</v>
      </c>
      <c r="M500" s="112">
        <f t="shared" si="118"/>
        <v>7584</v>
      </c>
      <c r="N500" s="112">
        <f t="shared" si="119"/>
        <v>7584</v>
      </c>
      <c r="O500" t="s">
        <v>451</v>
      </c>
      <c r="P500">
        <v>7584</v>
      </c>
      <c r="Q500" s="102">
        <f t="shared" si="111"/>
        <v>0</v>
      </c>
      <c r="R500" s="102">
        <f t="shared" si="112"/>
        <v>0</v>
      </c>
    </row>
    <row r="501" spans="1:18" x14ac:dyDescent="0.35">
      <c r="A501" s="106">
        <f t="shared" si="115"/>
        <v>12</v>
      </c>
      <c r="B501" s="107" t="str">
        <f>VLOOKUP(A501,[1]Hoja3!$C$3:$D$14,2,FALSE)</f>
        <v>DICIEMBRE</v>
      </c>
      <c r="C501" s="108">
        <v>45636.611064814817</v>
      </c>
      <c r="D501" s="108" t="s">
        <v>835</v>
      </c>
      <c r="E501" s="109" t="s">
        <v>842</v>
      </c>
      <c r="F501" s="109" t="s">
        <v>942</v>
      </c>
      <c r="G501" s="110" t="str">
        <f t="shared" si="113"/>
        <v>DICIEMBRE</v>
      </c>
      <c r="H501" s="252">
        <v>500</v>
      </c>
      <c r="I501" s="102" t="str">
        <f t="shared" si="114"/>
        <v>DICIEMBRE</v>
      </c>
      <c r="J501"/>
      <c r="K501" t="str">
        <f t="shared" si="116"/>
        <v>DICIEMBRE</v>
      </c>
      <c r="L501" s="111">
        <f t="shared" si="117"/>
        <v>0</v>
      </c>
      <c r="M501" s="112">
        <f t="shared" si="118"/>
        <v>500</v>
      </c>
      <c r="N501" s="112">
        <f t="shared" si="119"/>
        <v>500</v>
      </c>
      <c r="O501" t="s">
        <v>451</v>
      </c>
      <c r="P501">
        <v>500</v>
      </c>
      <c r="Q501" s="102">
        <f t="shared" si="111"/>
        <v>0</v>
      </c>
      <c r="R501" s="102">
        <f t="shared" si="112"/>
        <v>0</v>
      </c>
    </row>
    <row r="502" spans="1:18" x14ac:dyDescent="0.35">
      <c r="A502" s="106">
        <f t="shared" si="115"/>
        <v>12</v>
      </c>
      <c r="B502" s="107" t="str">
        <f>VLOOKUP(A502,[1]Hoja3!$C$3:$D$14,2,FALSE)</f>
        <v>DICIEMBRE</v>
      </c>
      <c r="C502" s="108">
        <v>45636.611550925925</v>
      </c>
      <c r="D502" s="108" t="s">
        <v>835</v>
      </c>
      <c r="E502" s="109" t="s">
        <v>842</v>
      </c>
      <c r="F502" s="109" t="s">
        <v>943</v>
      </c>
      <c r="G502" s="110" t="str">
        <f t="shared" si="113"/>
        <v>DICIEMBRE</v>
      </c>
      <c r="H502" s="252">
        <v>600</v>
      </c>
      <c r="I502" s="102" t="str">
        <f t="shared" si="114"/>
        <v>DICIEMBRE</v>
      </c>
      <c r="J502"/>
      <c r="K502" t="str">
        <f t="shared" si="116"/>
        <v>DICIEMBRE</v>
      </c>
      <c r="L502" s="111">
        <f t="shared" si="117"/>
        <v>0</v>
      </c>
      <c r="M502" s="112">
        <f t="shared" si="118"/>
        <v>600</v>
      </c>
      <c r="N502" s="112">
        <f t="shared" si="119"/>
        <v>600</v>
      </c>
      <c r="O502" t="s">
        <v>451</v>
      </c>
      <c r="P502">
        <v>600</v>
      </c>
      <c r="Q502" s="102">
        <f t="shared" si="111"/>
        <v>0</v>
      </c>
      <c r="R502" s="102">
        <f t="shared" si="112"/>
        <v>0</v>
      </c>
    </row>
    <row r="503" spans="1:18" x14ac:dyDescent="0.35">
      <c r="A503" s="106">
        <f t="shared" si="115"/>
        <v>12</v>
      </c>
      <c r="B503" s="107" t="str">
        <f>VLOOKUP(A503,[1]Hoja3!$C$3:$D$14,2,FALSE)</f>
        <v>DICIEMBRE</v>
      </c>
      <c r="C503" s="108">
        <v>45636.61445601852</v>
      </c>
      <c r="D503" s="108" t="s">
        <v>385</v>
      </c>
      <c r="E503" s="109" t="s">
        <v>401</v>
      </c>
      <c r="F503" s="109" t="s">
        <v>944</v>
      </c>
      <c r="G503" s="110" t="str">
        <f t="shared" si="113"/>
        <v>DICIEMBRE</v>
      </c>
      <c r="H503" s="252">
        <v>1171.52</v>
      </c>
      <c r="I503" s="102" t="str">
        <f t="shared" si="114"/>
        <v>DICIEMBRE</v>
      </c>
      <c r="J503">
        <v>182.67938699999999</v>
      </c>
      <c r="K503" t="str">
        <f t="shared" si="116"/>
        <v>DICIEMBRE</v>
      </c>
      <c r="L503" s="111">
        <f t="shared" si="117"/>
        <v>1141.7461687499999</v>
      </c>
      <c r="M503" s="112">
        <f t="shared" si="118"/>
        <v>29.773831250000057</v>
      </c>
      <c r="N503" s="112">
        <f t="shared" si="119"/>
        <v>1354.1993869999999</v>
      </c>
      <c r="O503" t="s">
        <v>451</v>
      </c>
      <c r="P503">
        <v>1354.2</v>
      </c>
      <c r="Q503" s="102">
        <f t="shared" si="111"/>
        <v>-6.1300000015762635E-4</v>
      </c>
      <c r="R503" s="102">
        <f t="shared" si="112"/>
        <v>-182.68000000000015</v>
      </c>
    </row>
    <row r="504" spans="1:18" x14ac:dyDescent="0.35">
      <c r="A504" s="106">
        <f t="shared" si="115"/>
        <v>12</v>
      </c>
      <c r="B504" s="107" t="str">
        <f>VLOOKUP(A504,[1]Hoja3!$C$3:$D$14,2,FALSE)</f>
        <v>DICIEMBRE</v>
      </c>
      <c r="C504" s="108">
        <v>45637.024085648147</v>
      </c>
      <c r="D504" s="108" t="s">
        <v>383</v>
      </c>
      <c r="E504" s="109" t="s">
        <v>399</v>
      </c>
      <c r="F504" s="109" t="s">
        <v>945</v>
      </c>
      <c r="G504" s="110" t="str">
        <f t="shared" si="113"/>
        <v>DICIEMBRE</v>
      </c>
      <c r="H504" s="252">
        <v>21880</v>
      </c>
      <c r="I504" s="102" t="str">
        <f t="shared" si="114"/>
        <v>DICIEMBRE</v>
      </c>
      <c r="J504">
        <v>0</v>
      </c>
      <c r="K504" t="str">
        <f t="shared" si="116"/>
        <v>DICIEMBRE</v>
      </c>
      <c r="L504" s="111">
        <f t="shared" si="117"/>
        <v>0</v>
      </c>
      <c r="M504" s="112">
        <f t="shared" si="118"/>
        <v>21880</v>
      </c>
      <c r="N504" s="112">
        <f t="shared" si="119"/>
        <v>21880</v>
      </c>
      <c r="O504" t="s">
        <v>451</v>
      </c>
      <c r="P504">
        <v>21880</v>
      </c>
      <c r="Q504" s="102">
        <f t="shared" si="111"/>
        <v>0</v>
      </c>
      <c r="R504" s="102">
        <f t="shared" si="112"/>
        <v>0</v>
      </c>
    </row>
    <row r="505" spans="1:18" x14ac:dyDescent="0.35">
      <c r="A505" s="106">
        <f t="shared" si="115"/>
        <v>12</v>
      </c>
      <c r="B505" s="107" t="str">
        <f>VLOOKUP(A505,[1]Hoja3!$C$3:$D$14,2,FALSE)</f>
        <v>DICIEMBRE</v>
      </c>
      <c r="C505" s="108">
        <v>45639.452013888891</v>
      </c>
      <c r="D505" s="108" t="s">
        <v>512</v>
      </c>
      <c r="E505" s="109" t="s">
        <v>514</v>
      </c>
      <c r="F505" s="109" t="s">
        <v>946</v>
      </c>
      <c r="G505" s="110" t="str">
        <f t="shared" si="113"/>
        <v>DICIEMBRE</v>
      </c>
      <c r="H505" s="252">
        <v>4275</v>
      </c>
      <c r="I505" s="102" t="str">
        <f t="shared" si="114"/>
        <v>DICIEMBRE</v>
      </c>
      <c r="J505">
        <v>0</v>
      </c>
      <c r="K505" t="str">
        <f t="shared" si="116"/>
        <v>DICIEMBRE</v>
      </c>
      <c r="L505" s="111">
        <f t="shared" si="117"/>
        <v>0</v>
      </c>
      <c r="M505" s="112">
        <f t="shared" si="118"/>
        <v>4275</v>
      </c>
      <c r="N505" s="112">
        <f t="shared" si="119"/>
        <v>4275</v>
      </c>
      <c r="O505" t="s">
        <v>451</v>
      </c>
      <c r="P505">
        <v>4275</v>
      </c>
      <c r="Q505" s="102">
        <f t="shared" si="111"/>
        <v>0</v>
      </c>
      <c r="R505" s="102">
        <f t="shared" si="112"/>
        <v>0</v>
      </c>
    </row>
    <row r="506" spans="1:18" x14ac:dyDescent="0.35">
      <c r="A506" s="106">
        <f t="shared" si="115"/>
        <v>12</v>
      </c>
      <c r="B506" s="107" t="str">
        <f>VLOOKUP(A506,[1]Hoja3!$C$3:$D$14,2,FALSE)</f>
        <v>DICIEMBRE</v>
      </c>
      <c r="C506" s="108">
        <v>45639.467546296299</v>
      </c>
      <c r="D506" s="108" t="s">
        <v>387</v>
      </c>
      <c r="E506" s="109" t="s">
        <v>403</v>
      </c>
      <c r="F506" s="109" t="s">
        <v>947</v>
      </c>
      <c r="G506" s="110" t="str">
        <f t="shared" si="113"/>
        <v>DICIEMBRE</v>
      </c>
      <c r="H506" s="252">
        <v>3012.92</v>
      </c>
      <c r="I506" s="102" t="str">
        <f t="shared" si="114"/>
        <v>DICIEMBRE</v>
      </c>
      <c r="J506">
        <v>45.16</v>
      </c>
      <c r="K506" t="str">
        <f t="shared" si="116"/>
        <v>DICIEMBRE</v>
      </c>
      <c r="L506" s="111">
        <f t="shared" si="117"/>
        <v>282.25</v>
      </c>
      <c r="M506" s="112">
        <f t="shared" si="118"/>
        <v>2730.67</v>
      </c>
      <c r="N506" s="112">
        <f t="shared" si="119"/>
        <v>3058.08</v>
      </c>
      <c r="O506" t="s">
        <v>451</v>
      </c>
      <c r="P506">
        <v>3058.08</v>
      </c>
      <c r="Q506" s="102">
        <f t="shared" si="111"/>
        <v>0</v>
      </c>
      <c r="R506" s="102">
        <f t="shared" si="112"/>
        <v>-45.16</v>
      </c>
    </row>
    <row r="507" spans="1:18" x14ac:dyDescent="0.35">
      <c r="A507" s="106">
        <f t="shared" si="115"/>
        <v>12</v>
      </c>
      <c r="B507" s="107" t="str">
        <f>VLOOKUP(A507,[1]Hoja3!$C$3:$D$14,2,FALSE)</f>
        <v>DICIEMBRE</v>
      </c>
      <c r="C507" s="108">
        <v>45640.464282407411</v>
      </c>
      <c r="D507" s="108" t="s">
        <v>391</v>
      </c>
      <c r="E507" s="109" t="s">
        <v>407</v>
      </c>
      <c r="F507" s="109" t="s">
        <v>948</v>
      </c>
      <c r="G507" s="110" t="str">
        <f t="shared" si="113"/>
        <v>DICIEMBRE</v>
      </c>
      <c r="H507" s="252">
        <v>1297.8599999999999</v>
      </c>
      <c r="I507" s="102" t="str">
        <f t="shared" si="114"/>
        <v>DICIEMBRE</v>
      </c>
      <c r="J507">
        <v>207.66</v>
      </c>
      <c r="K507" t="str">
        <f t="shared" si="116"/>
        <v>DICIEMBRE</v>
      </c>
      <c r="L507" s="111">
        <f t="shared" si="117"/>
        <v>1297.875</v>
      </c>
      <c r="M507" s="112">
        <f t="shared" si="118"/>
        <v>-1.5000000000100044E-2</v>
      </c>
      <c r="N507" s="112">
        <f t="shared" si="119"/>
        <v>1505.52</v>
      </c>
      <c r="O507" t="s">
        <v>451</v>
      </c>
      <c r="P507">
        <v>1505.52</v>
      </c>
      <c r="Q507" s="102">
        <f t="shared" si="111"/>
        <v>0</v>
      </c>
      <c r="R507" s="102">
        <f t="shared" si="112"/>
        <v>-207.66</v>
      </c>
    </row>
    <row r="508" spans="1:18" x14ac:dyDescent="0.35">
      <c r="A508" s="106">
        <f t="shared" si="115"/>
        <v>12</v>
      </c>
      <c r="B508" s="107" t="str">
        <f>VLOOKUP(A508,[1]Hoja3!$C$3:$D$14,2,FALSE)</f>
        <v>DICIEMBRE</v>
      </c>
      <c r="C508" s="108">
        <v>45640.564918981479</v>
      </c>
      <c r="D508" s="108" t="s">
        <v>658</v>
      </c>
      <c r="E508" s="109" t="s">
        <v>652</v>
      </c>
      <c r="F508" s="109" t="s">
        <v>949</v>
      </c>
      <c r="G508" s="110" t="str">
        <f t="shared" si="113"/>
        <v>DICIEMBRE</v>
      </c>
      <c r="H508" s="252">
        <v>646.54999999999995</v>
      </c>
      <c r="I508" s="102" t="str">
        <f t="shared" si="114"/>
        <v>DICIEMBRE</v>
      </c>
      <c r="J508">
        <v>103.44799999999999</v>
      </c>
      <c r="K508" t="str">
        <f t="shared" si="116"/>
        <v>DICIEMBRE</v>
      </c>
      <c r="L508" s="111">
        <f t="shared" si="117"/>
        <v>646.54999999999995</v>
      </c>
      <c r="M508" s="112">
        <f t="shared" si="118"/>
        <v>0</v>
      </c>
      <c r="N508" s="112">
        <f t="shared" si="119"/>
        <v>749.99799999999993</v>
      </c>
      <c r="O508" t="s">
        <v>451</v>
      </c>
      <c r="P508">
        <v>750</v>
      </c>
      <c r="Q508" s="102">
        <f t="shared" si="111"/>
        <v>-2.0000000000663931E-3</v>
      </c>
      <c r="R508" s="102">
        <f t="shared" si="112"/>
        <v>-103.45000000000006</v>
      </c>
    </row>
    <row r="509" spans="1:18" x14ac:dyDescent="0.35">
      <c r="A509" s="106">
        <f t="shared" si="115"/>
        <v>12</v>
      </c>
      <c r="B509" s="107" t="str">
        <f>VLOOKUP(A509,[1]Hoja3!$C$3:$D$14,2,FALSE)</f>
        <v>DICIEMBRE</v>
      </c>
      <c r="C509" s="108">
        <v>45642.528993055559</v>
      </c>
      <c r="D509" s="108" t="s">
        <v>839</v>
      </c>
      <c r="E509" s="109" t="s">
        <v>846</v>
      </c>
      <c r="F509" s="109" t="s">
        <v>950</v>
      </c>
      <c r="G509" s="110" t="str">
        <f t="shared" si="113"/>
        <v>DICIEMBRE</v>
      </c>
      <c r="H509" s="252">
        <v>3562.45</v>
      </c>
      <c r="I509" s="102" t="str">
        <f t="shared" si="114"/>
        <v>DICIEMBRE</v>
      </c>
      <c r="J509">
        <v>284.55</v>
      </c>
      <c r="K509" t="str">
        <f t="shared" si="116"/>
        <v>DICIEMBRE</v>
      </c>
      <c r="L509" s="111">
        <f t="shared" si="117"/>
        <v>1778.4375</v>
      </c>
      <c r="M509" s="112">
        <f t="shared" si="118"/>
        <v>1784.0124999999998</v>
      </c>
      <c r="N509" s="112">
        <f t="shared" si="119"/>
        <v>3847</v>
      </c>
      <c r="O509" t="s">
        <v>451</v>
      </c>
      <c r="P509">
        <v>3847</v>
      </c>
      <c r="Q509" s="102">
        <f t="shared" si="111"/>
        <v>0</v>
      </c>
      <c r="R509" s="102">
        <f t="shared" si="112"/>
        <v>-284.55</v>
      </c>
    </row>
    <row r="510" spans="1:18" x14ac:dyDescent="0.35">
      <c r="A510" s="106">
        <f t="shared" si="115"/>
        <v>12</v>
      </c>
      <c r="B510" s="107" t="str">
        <f>VLOOKUP(A510,[1]Hoja3!$C$3:$D$14,2,FALSE)</f>
        <v>DICIEMBRE</v>
      </c>
      <c r="C510" s="108">
        <v>45642.574386574073</v>
      </c>
      <c r="D510" s="108" t="s">
        <v>659</v>
      </c>
      <c r="E510" s="109" t="s">
        <v>653</v>
      </c>
      <c r="F510" s="109" t="s">
        <v>951</v>
      </c>
      <c r="G510" s="110" t="str">
        <f t="shared" si="113"/>
        <v>DICIEMBRE</v>
      </c>
      <c r="H510" s="252">
        <v>1344.32</v>
      </c>
      <c r="I510" s="102" t="str">
        <f t="shared" si="114"/>
        <v>DICIEMBRE</v>
      </c>
      <c r="J510">
        <v>215.09</v>
      </c>
      <c r="K510" t="str">
        <f t="shared" si="116"/>
        <v>DICIEMBRE</v>
      </c>
      <c r="L510" s="111">
        <f t="shared" si="117"/>
        <v>1344.3125</v>
      </c>
      <c r="M510" s="112">
        <f t="shared" si="118"/>
        <v>7.4999999999363354E-3</v>
      </c>
      <c r="N510" s="112">
        <f t="shared" si="119"/>
        <v>1559.4099999999999</v>
      </c>
      <c r="O510" t="s">
        <v>451</v>
      </c>
      <c r="P510">
        <v>1559.41</v>
      </c>
      <c r="Q510" s="102">
        <f t="shared" si="111"/>
        <v>0</v>
      </c>
      <c r="R510" s="102">
        <f t="shared" si="112"/>
        <v>-215.09</v>
      </c>
    </row>
    <row r="511" spans="1:18" x14ac:dyDescent="0.35">
      <c r="A511" s="106">
        <f t="shared" si="115"/>
        <v>12</v>
      </c>
      <c r="B511" s="107" t="str">
        <f>VLOOKUP(A511,[1]Hoja3!$C$3:$D$14,2,FALSE)</f>
        <v>DICIEMBRE</v>
      </c>
      <c r="C511" s="108">
        <v>45642.575138888889</v>
      </c>
      <c r="D511" s="108" t="s">
        <v>659</v>
      </c>
      <c r="E511" s="109" t="s">
        <v>653</v>
      </c>
      <c r="F511" s="109" t="s">
        <v>952</v>
      </c>
      <c r="G511" s="110" t="str">
        <f t="shared" si="113"/>
        <v>DICIEMBRE</v>
      </c>
      <c r="H511" s="252">
        <v>423.37</v>
      </c>
      <c r="I511" s="102" t="str">
        <f t="shared" si="114"/>
        <v>DICIEMBRE</v>
      </c>
      <c r="J511">
        <v>67.739199999999997</v>
      </c>
      <c r="K511" t="str">
        <f t="shared" si="116"/>
        <v>DICIEMBRE</v>
      </c>
      <c r="L511" s="111">
        <f t="shared" si="117"/>
        <v>423.36999999999995</v>
      </c>
      <c r="M511" s="112">
        <f t="shared" si="118"/>
        <v>0</v>
      </c>
      <c r="N511" s="112">
        <f t="shared" si="119"/>
        <v>491.10919999999999</v>
      </c>
      <c r="O511" t="s">
        <v>451</v>
      </c>
      <c r="P511">
        <v>491.11</v>
      </c>
      <c r="Q511" s="102">
        <f t="shared" si="111"/>
        <v>-8.0000000002655725E-4</v>
      </c>
      <c r="R511" s="102">
        <f t="shared" si="112"/>
        <v>-67.740000000000023</v>
      </c>
    </row>
    <row r="512" spans="1:18" x14ac:dyDescent="0.35">
      <c r="A512" s="106">
        <f t="shared" si="115"/>
        <v>12</v>
      </c>
      <c r="B512" s="107" t="str">
        <f>VLOOKUP(A512,[1]Hoja3!$C$3:$D$14,2,FALSE)</f>
        <v>DICIEMBRE</v>
      </c>
      <c r="C512" s="108">
        <v>45642.575740740744</v>
      </c>
      <c r="D512" s="108" t="s">
        <v>659</v>
      </c>
      <c r="E512" s="109" t="s">
        <v>653</v>
      </c>
      <c r="F512" s="109" t="s">
        <v>953</v>
      </c>
      <c r="G512" s="110" t="str">
        <f t="shared" si="113"/>
        <v>DICIEMBRE</v>
      </c>
      <c r="H512" s="252">
        <v>1695.98</v>
      </c>
      <c r="I512" s="102" t="str">
        <f t="shared" si="114"/>
        <v>DICIEMBRE</v>
      </c>
      <c r="J512">
        <v>223.22</v>
      </c>
      <c r="K512" t="str">
        <f t="shared" si="116"/>
        <v>DICIEMBRE</v>
      </c>
      <c r="L512" s="111">
        <f t="shared" si="117"/>
        <v>1395.125</v>
      </c>
      <c r="M512" s="112">
        <f t="shared" si="118"/>
        <v>300.85500000000002</v>
      </c>
      <c r="N512" s="112">
        <f t="shared" si="119"/>
        <v>1919.2</v>
      </c>
      <c r="O512" t="s">
        <v>451</v>
      </c>
      <c r="P512">
        <v>1919.2</v>
      </c>
      <c r="Q512" s="102">
        <f t="shared" si="111"/>
        <v>0</v>
      </c>
      <c r="R512" s="102">
        <f t="shared" si="112"/>
        <v>-223.22</v>
      </c>
    </row>
    <row r="513" spans="1:18" x14ac:dyDescent="0.35">
      <c r="A513" s="106">
        <f t="shared" si="115"/>
        <v>12</v>
      </c>
      <c r="B513" s="107" t="str">
        <f>VLOOKUP(A513,[1]Hoja3!$C$3:$D$14,2,FALSE)</f>
        <v>DICIEMBRE</v>
      </c>
      <c r="C513" s="108">
        <v>45642.618888888886</v>
      </c>
      <c r="D513" s="108" t="s">
        <v>387</v>
      </c>
      <c r="E513" s="109" t="s">
        <v>403</v>
      </c>
      <c r="F513" s="109" t="s">
        <v>954</v>
      </c>
      <c r="G513" s="110" t="str">
        <f t="shared" si="113"/>
        <v>DICIEMBRE</v>
      </c>
      <c r="H513" s="252">
        <v>4385.38</v>
      </c>
      <c r="I513" s="102" t="str">
        <f t="shared" si="114"/>
        <v>DICIEMBRE</v>
      </c>
      <c r="J513">
        <v>0</v>
      </c>
      <c r="K513" t="str">
        <f t="shared" si="116"/>
        <v>DICIEMBRE</v>
      </c>
      <c r="L513" s="111">
        <f t="shared" si="117"/>
        <v>0</v>
      </c>
      <c r="M513" s="112">
        <f t="shared" si="118"/>
        <v>4385.38</v>
      </c>
      <c r="N513" s="112">
        <f t="shared" si="119"/>
        <v>4385.38</v>
      </c>
      <c r="O513" t="s">
        <v>451</v>
      </c>
      <c r="P513">
        <v>4385.38</v>
      </c>
      <c r="Q513" s="102">
        <f t="shared" si="111"/>
        <v>0</v>
      </c>
      <c r="R513" s="102">
        <f t="shared" si="112"/>
        <v>0</v>
      </c>
    </row>
    <row r="514" spans="1:18" x14ac:dyDescent="0.35">
      <c r="A514" s="106">
        <f t="shared" si="115"/>
        <v>12</v>
      </c>
      <c r="B514" s="107" t="str">
        <f>VLOOKUP(A514,[1]Hoja3!$C$3:$D$14,2,FALSE)</f>
        <v>DICIEMBRE</v>
      </c>
      <c r="C514" s="108">
        <v>45643.417974537035</v>
      </c>
      <c r="D514" s="108" t="s">
        <v>388</v>
      </c>
      <c r="E514" s="109" t="s">
        <v>404</v>
      </c>
      <c r="F514" s="109" t="s">
        <v>955</v>
      </c>
      <c r="G514" s="110" t="str">
        <f t="shared" si="113"/>
        <v>DICIEMBRE</v>
      </c>
      <c r="H514" s="252">
        <v>20350</v>
      </c>
      <c r="I514" s="102" t="str">
        <f t="shared" si="114"/>
        <v>DICIEMBRE</v>
      </c>
      <c r="J514">
        <v>0</v>
      </c>
      <c r="K514" t="str">
        <f t="shared" si="116"/>
        <v>DICIEMBRE</v>
      </c>
      <c r="L514" s="111">
        <f t="shared" si="117"/>
        <v>0</v>
      </c>
      <c r="M514" s="112">
        <f t="shared" si="118"/>
        <v>20350</v>
      </c>
      <c r="N514" s="112">
        <f t="shared" si="119"/>
        <v>20350</v>
      </c>
      <c r="O514" t="s">
        <v>451</v>
      </c>
      <c r="P514">
        <v>20350</v>
      </c>
      <c r="Q514" s="102">
        <f t="shared" si="111"/>
        <v>0</v>
      </c>
      <c r="R514" s="102">
        <f t="shared" si="112"/>
        <v>0</v>
      </c>
    </row>
    <row r="515" spans="1:18" x14ac:dyDescent="0.35">
      <c r="A515" s="106">
        <f t="shared" si="115"/>
        <v>12</v>
      </c>
      <c r="B515" s="107" t="str">
        <f>VLOOKUP(A515,[1]Hoja3!$C$3:$D$14,2,FALSE)</f>
        <v>DICIEMBRE</v>
      </c>
      <c r="C515" s="108">
        <v>45643.991435185184</v>
      </c>
      <c r="D515" s="108" t="s">
        <v>383</v>
      </c>
      <c r="E515" s="109" t="s">
        <v>399</v>
      </c>
      <c r="F515" s="109" t="s">
        <v>956</v>
      </c>
      <c r="G515" s="110" t="str">
        <f t="shared" si="113"/>
        <v>DICIEMBRE</v>
      </c>
      <c r="H515" s="252">
        <v>15000</v>
      </c>
      <c r="I515" s="102" t="str">
        <f t="shared" si="114"/>
        <v>DICIEMBRE</v>
      </c>
      <c r="J515">
        <v>0</v>
      </c>
      <c r="K515" t="str">
        <f t="shared" si="116"/>
        <v>DICIEMBRE</v>
      </c>
      <c r="L515" s="111">
        <f t="shared" si="117"/>
        <v>0</v>
      </c>
      <c r="M515" s="112">
        <f t="shared" si="118"/>
        <v>15000</v>
      </c>
      <c r="N515" s="112">
        <f t="shared" si="119"/>
        <v>15000</v>
      </c>
      <c r="O515" t="s">
        <v>451</v>
      </c>
      <c r="P515">
        <v>15000</v>
      </c>
      <c r="Q515" s="102">
        <f t="shared" si="111"/>
        <v>0</v>
      </c>
      <c r="R515" s="102">
        <f t="shared" si="112"/>
        <v>0</v>
      </c>
    </row>
    <row r="516" spans="1:18" x14ac:dyDescent="0.35">
      <c r="A516" s="106">
        <f t="shared" si="115"/>
        <v>12</v>
      </c>
      <c r="B516" s="107" t="str">
        <f>VLOOKUP(A516,[1]Hoja3!$C$3:$D$14,2,FALSE)</f>
        <v>DICIEMBRE</v>
      </c>
      <c r="C516" s="108">
        <v>45644.45412037037</v>
      </c>
      <c r="D516" s="108" t="s">
        <v>604</v>
      </c>
      <c r="E516" s="109" t="s">
        <v>600</v>
      </c>
      <c r="F516" s="109" t="s">
        <v>957</v>
      </c>
      <c r="G516" s="110" t="str">
        <f t="shared" si="113"/>
        <v>DICIEMBRE</v>
      </c>
      <c r="H516" s="252">
        <v>631.29</v>
      </c>
      <c r="I516" s="102" t="str">
        <f t="shared" si="114"/>
        <v>DICIEMBRE</v>
      </c>
      <c r="J516">
        <v>101.01</v>
      </c>
      <c r="K516" t="str">
        <f t="shared" si="116"/>
        <v>DICIEMBRE</v>
      </c>
      <c r="L516" s="111">
        <f t="shared" si="117"/>
        <v>631.3125</v>
      </c>
      <c r="M516" s="112">
        <f t="shared" si="118"/>
        <v>-2.250000000003638E-2</v>
      </c>
      <c r="N516" s="112">
        <f t="shared" si="119"/>
        <v>732.3</v>
      </c>
      <c r="O516" t="s">
        <v>451</v>
      </c>
      <c r="P516">
        <v>732.3</v>
      </c>
      <c r="Q516" s="102">
        <f t="shared" si="111"/>
        <v>0</v>
      </c>
      <c r="R516" s="102">
        <f t="shared" si="112"/>
        <v>-101.01</v>
      </c>
    </row>
    <row r="517" spans="1:18" x14ac:dyDescent="0.35">
      <c r="A517" s="106">
        <f t="shared" si="115"/>
        <v>12</v>
      </c>
      <c r="B517" s="107" t="str">
        <f>VLOOKUP(A517,[1]Hoja3!$C$3:$D$14,2,FALSE)</f>
        <v>DICIEMBRE</v>
      </c>
      <c r="C517" s="108">
        <v>45644.496446759258</v>
      </c>
      <c r="D517" s="108" t="s">
        <v>603</v>
      </c>
      <c r="E517" s="109" t="s">
        <v>599</v>
      </c>
      <c r="F517" s="109" t="s">
        <v>958</v>
      </c>
      <c r="G517" s="110" t="str">
        <f t="shared" si="113"/>
        <v>DICIEMBRE</v>
      </c>
      <c r="H517" s="252">
        <v>0</v>
      </c>
      <c r="I517" s="102" t="str">
        <f t="shared" si="114"/>
        <v>DICIEMBRE</v>
      </c>
      <c r="J517"/>
      <c r="K517" t="str">
        <f t="shared" si="116"/>
        <v>DICIEMBRE</v>
      </c>
      <c r="L517" s="111">
        <f t="shared" si="117"/>
        <v>0</v>
      </c>
      <c r="M517" s="112">
        <f t="shared" si="118"/>
        <v>0</v>
      </c>
      <c r="N517" s="112">
        <f t="shared" si="119"/>
        <v>0</v>
      </c>
      <c r="P517">
        <v>0</v>
      </c>
      <c r="Q517" s="102">
        <f t="shared" si="111"/>
        <v>0</v>
      </c>
      <c r="R517" s="102">
        <f t="shared" si="112"/>
        <v>0</v>
      </c>
    </row>
    <row r="518" spans="1:18" x14ac:dyDescent="0.35">
      <c r="A518" s="106">
        <f t="shared" si="115"/>
        <v>12</v>
      </c>
      <c r="B518" s="107" t="str">
        <f>VLOOKUP(A518,[1]Hoja3!$C$3:$D$14,2,FALSE)</f>
        <v>DICIEMBRE</v>
      </c>
      <c r="C518" s="108">
        <v>45644.515532407408</v>
      </c>
      <c r="D518" s="108" t="s">
        <v>387</v>
      </c>
      <c r="E518" s="109" t="s">
        <v>403</v>
      </c>
      <c r="F518" s="109" t="s">
        <v>959</v>
      </c>
      <c r="G518" s="110" t="str">
        <f t="shared" si="113"/>
        <v>DICIEMBRE</v>
      </c>
      <c r="H518" s="252">
        <v>7343</v>
      </c>
      <c r="I518" s="102" t="str">
        <f t="shared" si="114"/>
        <v>DICIEMBRE</v>
      </c>
      <c r="J518">
        <v>0</v>
      </c>
      <c r="K518" t="str">
        <f t="shared" si="116"/>
        <v>DICIEMBRE</v>
      </c>
      <c r="L518" s="111">
        <f t="shared" si="117"/>
        <v>0</v>
      </c>
      <c r="M518" s="112">
        <f t="shared" si="118"/>
        <v>7343</v>
      </c>
      <c r="N518" s="112">
        <f t="shared" si="119"/>
        <v>7343</v>
      </c>
      <c r="O518" t="s">
        <v>451</v>
      </c>
      <c r="P518">
        <v>7343</v>
      </c>
      <c r="Q518" s="102">
        <f t="shared" si="111"/>
        <v>0</v>
      </c>
      <c r="R518" s="102">
        <f t="shared" si="112"/>
        <v>0</v>
      </c>
    </row>
    <row r="519" spans="1:18" x14ac:dyDescent="0.35">
      <c r="A519" s="106">
        <f t="shared" si="115"/>
        <v>12</v>
      </c>
      <c r="B519" s="107" t="str">
        <f>VLOOKUP(A519,[1]Hoja3!$C$3:$D$14,2,FALSE)</f>
        <v>DICIEMBRE</v>
      </c>
      <c r="C519" s="108">
        <v>45644.5158912037</v>
      </c>
      <c r="D519" s="108" t="s">
        <v>387</v>
      </c>
      <c r="E519" s="109" t="s">
        <v>403</v>
      </c>
      <c r="F519" s="109" t="s">
        <v>960</v>
      </c>
      <c r="G519" s="110" t="str">
        <f t="shared" si="113"/>
        <v>DICIEMBRE</v>
      </c>
      <c r="H519" s="252">
        <v>1506.74</v>
      </c>
      <c r="I519" s="102" t="str">
        <f t="shared" si="114"/>
        <v>DICIEMBRE</v>
      </c>
      <c r="J519">
        <v>31.84</v>
      </c>
      <c r="K519" t="str">
        <f t="shared" si="116"/>
        <v>DICIEMBRE</v>
      </c>
      <c r="L519" s="111">
        <f t="shared" si="117"/>
        <v>199</v>
      </c>
      <c r="M519" s="112">
        <f t="shared" si="118"/>
        <v>1307.74</v>
      </c>
      <c r="N519" s="112">
        <f t="shared" si="119"/>
        <v>1538.58</v>
      </c>
      <c r="O519" t="s">
        <v>451</v>
      </c>
      <c r="P519">
        <v>1538.58</v>
      </c>
      <c r="Q519" s="102">
        <f t="shared" si="111"/>
        <v>0</v>
      </c>
      <c r="R519" s="102">
        <f t="shared" si="112"/>
        <v>-31.84</v>
      </c>
    </row>
    <row r="520" spans="1:18" x14ac:dyDescent="0.35">
      <c r="A520" s="106">
        <f t="shared" si="115"/>
        <v>12</v>
      </c>
      <c r="B520" s="107" t="str">
        <f>VLOOKUP(A520,[1]Hoja3!$C$3:$D$14,2,FALSE)</f>
        <v>DICIEMBRE</v>
      </c>
      <c r="C520" s="108">
        <v>45644.51829861111</v>
      </c>
      <c r="D520" s="108" t="s">
        <v>603</v>
      </c>
      <c r="E520" s="109" t="s">
        <v>599</v>
      </c>
      <c r="F520" s="109" t="s">
        <v>961</v>
      </c>
      <c r="G520" s="110" t="str">
        <f t="shared" si="113"/>
        <v>DICIEMBRE</v>
      </c>
      <c r="H520" s="252">
        <v>16943.82</v>
      </c>
      <c r="I520" s="102" t="str">
        <f t="shared" si="114"/>
        <v>DICIEMBRE</v>
      </c>
      <c r="J520">
        <v>0</v>
      </c>
      <c r="K520" t="str">
        <f t="shared" si="116"/>
        <v>DICIEMBRE</v>
      </c>
      <c r="L520" s="111">
        <f t="shared" si="117"/>
        <v>0</v>
      </c>
      <c r="M520" s="112">
        <f t="shared" si="118"/>
        <v>16943.82</v>
      </c>
      <c r="N520" s="112">
        <f t="shared" si="119"/>
        <v>16943.82</v>
      </c>
      <c r="O520" t="s">
        <v>551</v>
      </c>
      <c r="P520">
        <v>16943.82</v>
      </c>
      <c r="Q520" s="102">
        <f t="shared" si="111"/>
        <v>0</v>
      </c>
      <c r="R520" s="102">
        <f t="shared" si="112"/>
        <v>0</v>
      </c>
    </row>
    <row r="521" spans="1:18" x14ac:dyDescent="0.35">
      <c r="A521" s="106">
        <f t="shared" si="115"/>
        <v>12</v>
      </c>
      <c r="B521" s="107" t="str">
        <f>VLOOKUP(A521,[1]Hoja3!$C$3:$D$14,2,FALSE)</f>
        <v>DICIEMBRE</v>
      </c>
      <c r="C521" s="108">
        <v>45644.519537037035</v>
      </c>
      <c r="D521" s="108" t="s">
        <v>603</v>
      </c>
      <c r="E521" s="109" t="s">
        <v>599</v>
      </c>
      <c r="F521" s="109" t="s">
        <v>962</v>
      </c>
      <c r="G521" s="110" t="str">
        <f t="shared" si="113"/>
        <v>DICIEMBRE</v>
      </c>
      <c r="H521" s="252">
        <v>0</v>
      </c>
      <c r="I521" s="102" t="str">
        <f t="shared" si="114"/>
        <v>DICIEMBRE</v>
      </c>
      <c r="J521"/>
      <c r="K521" t="str">
        <f t="shared" si="116"/>
        <v>DICIEMBRE</v>
      </c>
      <c r="L521" s="111">
        <f t="shared" si="117"/>
        <v>0</v>
      </c>
      <c r="M521" s="112">
        <f t="shared" si="118"/>
        <v>0</v>
      </c>
      <c r="N521" s="112">
        <f t="shared" si="119"/>
        <v>0</v>
      </c>
      <c r="P521">
        <v>0</v>
      </c>
      <c r="Q521" s="102">
        <f t="shared" si="111"/>
        <v>0</v>
      </c>
      <c r="R521" s="102">
        <f t="shared" si="112"/>
        <v>0</v>
      </c>
    </row>
    <row r="522" spans="1:18" x14ac:dyDescent="0.35">
      <c r="A522" s="106">
        <f t="shared" si="115"/>
        <v>12</v>
      </c>
      <c r="B522" s="107" t="str">
        <f>VLOOKUP(A522,[1]Hoja3!$C$3:$D$14,2,FALSE)</f>
        <v>DICIEMBRE</v>
      </c>
      <c r="C522" s="108">
        <v>45645.4997337963</v>
      </c>
      <c r="D522" s="108" t="s">
        <v>388</v>
      </c>
      <c r="E522" s="109" t="s">
        <v>404</v>
      </c>
      <c r="F522" s="109" t="s">
        <v>963</v>
      </c>
      <c r="G522" s="110" t="str">
        <f t="shared" si="113"/>
        <v>DICIEMBRE</v>
      </c>
      <c r="H522" s="252">
        <v>4702</v>
      </c>
      <c r="I522" s="102" t="str">
        <f t="shared" si="114"/>
        <v>DICIEMBRE</v>
      </c>
      <c r="J522">
        <v>0</v>
      </c>
      <c r="K522" t="str">
        <f t="shared" si="116"/>
        <v>DICIEMBRE</v>
      </c>
      <c r="L522" s="111">
        <f t="shared" si="117"/>
        <v>0</v>
      </c>
      <c r="M522" s="112">
        <f t="shared" si="118"/>
        <v>4702</v>
      </c>
      <c r="N522" s="112">
        <f t="shared" si="119"/>
        <v>4702</v>
      </c>
      <c r="O522" t="s">
        <v>451</v>
      </c>
      <c r="P522">
        <v>4702</v>
      </c>
      <c r="Q522" s="102">
        <f t="shared" ref="Q522:Q559" si="120">+N522-P522</f>
        <v>0</v>
      </c>
      <c r="R522" s="102">
        <f t="shared" ref="R522:R559" si="121">+Q522-J522</f>
        <v>0</v>
      </c>
    </row>
    <row r="523" spans="1:18" x14ac:dyDescent="0.35">
      <c r="A523" s="106">
        <f t="shared" si="115"/>
        <v>12</v>
      </c>
      <c r="B523" s="107" t="str">
        <f>VLOOKUP(A523,[1]Hoja3!$C$3:$D$14,2,FALSE)</f>
        <v>DICIEMBRE</v>
      </c>
      <c r="C523" s="108">
        <v>45646.291875000003</v>
      </c>
      <c r="D523" s="108" t="s">
        <v>603</v>
      </c>
      <c r="E523" s="109" t="s">
        <v>599</v>
      </c>
      <c r="F523" s="109" t="s">
        <v>964</v>
      </c>
      <c r="G523" s="110" t="str">
        <f t="shared" si="113"/>
        <v>DICIEMBRE</v>
      </c>
      <c r="H523" s="252">
        <v>39699.839999999997</v>
      </c>
      <c r="I523" s="102" t="str">
        <f t="shared" si="114"/>
        <v>DICIEMBRE</v>
      </c>
      <c r="J523">
        <v>0</v>
      </c>
      <c r="K523" t="str">
        <f t="shared" si="116"/>
        <v>DICIEMBRE</v>
      </c>
      <c r="L523" s="111">
        <f t="shared" si="117"/>
        <v>0</v>
      </c>
      <c r="M523" s="112">
        <f t="shared" si="118"/>
        <v>39699.839999999997</v>
      </c>
      <c r="N523" s="112">
        <f t="shared" si="119"/>
        <v>39699.839999999997</v>
      </c>
      <c r="O523" t="s">
        <v>551</v>
      </c>
      <c r="P523">
        <v>39699.839999999997</v>
      </c>
      <c r="Q523" s="102">
        <f t="shared" si="120"/>
        <v>0</v>
      </c>
      <c r="R523" s="102">
        <f t="shared" si="121"/>
        <v>0</v>
      </c>
    </row>
    <row r="524" spans="1:18" x14ac:dyDescent="0.35">
      <c r="A524" s="106">
        <f t="shared" si="115"/>
        <v>12</v>
      </c>
      <c r="B524" s="107" t="str">
        <f>VLOOKUP(A524,[1]Hoja3!$C$3:$D$14,2,FALSE)</f>
        <v>DICIEMBRE</v>
      </c>
      <c r="C524" s="108">
        <v>45646.397615740738</v>
      </c>
      <c r="D524" s="108" t="s">
        <v>391</v>
      </c>
      <c r="E524" s="109" t="s">
        <v>407</v>
      </c>
      <c r="F524" s="109" t="s">
        <v>965</v>
      </c>
      <c r="G524" s="110" t="str">
        <f t="shared" ref="G524:G587" si="122">+B524</f>
        <v>DICIEMBRE</v>
      </c>
      <c r="H524" s="252">
        <v>1296.8499999999999</v>
      </c>
      <c r="I524" s="102" t="str">
        <f t="shared" ref="I524:I587" si="123">+B524</f>
        <v>DICIEMBRE</v>
      </c>
      <c r="J524">
        <v>207.49</v>
      </c>
      <c r="K524" t="str">
        <f t="shared" si="116"/>
        <v>DICIEMBRE</v>
      </c>
      <c r="L524" s="111">
        <f t="shared" si="117"/>
        <v>1296.8125</v>
      </c>
      <c r="M524" s="112">
        <f t="shared" si="118"/>
        <v>3.7499999999909051E-2</v>
      </c>
      <c r="N524" s="112">
        <f t="shared" si="119"/>
        <v>1504.34</v>
      </c>
      <c r="O524" t="s">
        <v>451</v>
      </c>
      <c r="P524">
        <v>1504.34</v>
      </c>
      <c r="Q524" s="102">
        <f t="shared" si="120"/>
        <v>0</v>
      </c>
      <c r="R524" s="102">
        <f t="shared" si="121"/>
        <v>-207.49</v>
      </c>
    </row>
    <row r="525" spans="1:18" x14ac:dyDescent="0.35">
      <c r="A525" s="106">
        <f t="shared" si="115"/>
        <v>12</v>
      </c>
      <c r="B525" s="107" t="str">
        <f>VLOOKUP(A525,[1]Hoja3!$C$3:$D$14,2,FALSE)</f>
        <v>DICIEMBRE</v>
      </c>
      <c r="C525" s="108">
        <v>45646.812152777777</v>
      </c>
      <c r="D525" s="108" t="s">
        <v>385</v>
      </c>
      <c r="E525" s="109" t="s">
        <v>401</v>
      </c>
      <c r="F525" s="109" t="s">
        <v>966</v>
      </c>
      <c r="G525" s="110" t="str">
        <f t="shared" si="122"/>
        <v>DICIEMBRE</v>
      </c>
      <c r="H525" s="252">
        <v>519.04999999999995</v>
      </c>
      <c r="I525" s="102" t="str">
        <f t="shared" si="123"/>
        <v>DICIEMBRE</v>
      </c>
      <c r="J525">
        <v>80.953564999999998</v>
      </c>
      <c r="K525" t="str">
        <f t="shared" si="116"/>
        <v>DICIEMBRE</v>
      </c>
      <c r="L525" s="111">
        <f t="shared" si="117"/>
        <v>505.95978124999999</v>
      </c>
      <c r="M525" s="112">
        <f t="shared" si="118"/>
        <v>13.090218749999963</v>
      </c>
      <c r="N525" s="112">
        <f t="shared" si="119"/>
        <v>600.00356499999998</v>
      </c>
      <c r="O525" t="s">
        <v>451</v>
      </c>
      <c r="P525">
        <v>600</v>
      </c>
      <c r="Q525" s="102">
        <f t="shared" si="120"/>
        <v>3.5649999999805004E-3</v>
      </c>
      <c r="R525" s="102">
        <f t="shared" si="121"/>
        <v>-80.950000000000017</v>
      </c>
    </row>
    <row r="526" spans="1:18" x14ac:dyDescent="0.35">
      <c r="A526" s="106">
        <f t="shared" si="115"/>
        <v>12</v>
      </c>
      <c r="B526" s="107" t="str">
        <f>VLOOKUP(A526,[1]Hoja3!$C$3:$D$14,2,FALSE)</f>
        <v>DICIEMBRE</v>
      </c>
      <c r="C526" s="108">
        <v>45647.474027777775</v>
      </c>
      <c r="D526" s="108" t="s">
        <v>388</v>
      </c>
      <c r="E526" s="109" t="s">
        <v>404</v>
      </c>
      <c r="F526" s="109" t="s">
        <v>967</v>
      </c>
      <c r="G526" s="110" t="str">
        <f t="shared" si="122"/>
        <v>DICIEMBRE</v>
      </c>
      <c r="H526" s="252">
        <v>22020</v>
      </c>
      <c r="I526" s="102" t="str">
        <f t="shared" si="123"/>
        <v>DICIEMBRE</v>
      </c>
      <c r="J526">
        <v>0</v>
      </c>
      <c r="K526" t="str">
        <f t="shared" si="116"/>
        <v>DICIEMBRE</v>
      </c>
      <c r="L526" s="111">
        <f t="shared" si="117"/>
        <v>0</v>
      </c>
      <c r="M526" s="112">
        <f t="shared" si="118"/>
        <v>22020</v>
      </c>
      <c r="N526" s="112">
        <f t="shared" si="119"/>
        <v>22020</v>
      </c>
      <c r="O526" t="s">
        <v>451</v>
      </c>
      <c r="P526">
        <v>22020</v>
      </c>
      <c r="Q526" s="102">
        <f t="shared" si="120"/>
        <v>0</v>
      </c>
      <c r="R526" s="102">
        <f t="shared" si="121"/>
        <v>0</v>
      </c>
    </row>
    <row r="527" spans="1:18" x14ac:dyDescent="0.35">
      <c r="A527" s="106">
        <f t="shared" si="115"/>
        <v>12</v>
      </c>
      <c r="B527" s="107" t="str">
        <f>VLOOKUP(A527,[1]Hoja3!$C$3:$D$14,2,FALSE)</f>
        <v>DICIEMBRE</v>
      </c>
      <c r="C527" s="108">
        <v>45648.336053240739</v>
      </c>
      <c r="D527" s="108" t="s">
        <v>396</v>
      </c>
      <c r="E527" s="109" t="s">
        <v>412</v>
      </c>
      <c r="F527" s="109" t="s">
        <v>968</v>
      </c>
      <c r="G527" s="110" t="str">
        <f t="shared" si="122"/>
        <v>DICIEMBRE</v>
      </c>
      <c r="H527" s="252">
        <v>0</v>
      </c>
      <c r="I527" s="102" t="str">
        <f t="shared" si="123"/>
        <v>DICIEMBRE</v>
      </c>
      <c r="J527"/>
      <c r="K527" t="str">
        <f t="shared" si="116"/>
        <v>DICIEMBRE</v>
      </c>
      <c r="L527" s="111">
        <f t="shared" si="117"/>
        <v>0</v>
      </c>
      <c r="M527" s="112">
        <f t="shared" si="118"/>
        <v>0</v>
      </c>
      <c r="N527" s="112">
        <f t="shared" si="119"/>
        <v>0</v>
      </c>
      <c r="P527">
        <v>0</v>
      </c>
      <c r="Q527" s="102">
        <f t="shared" si="120"/>
        <v>0</v>
      </c>
      <c r="R527" s="102">
        <f t="shared" si="121"/>
        <v>0</v>
      </c>
    </row>
    <row r="528" spans="1:18" x14ac:dyDescent="0.35">
      <c r="A528" s="106">
        <f t="shared" si="115"/>
        <v>12</v>
      </c>
      <c r="B528" s="107" t="str">
        <f>VLOOKUP(A528,[1]Hoja3!$C$3:$D$14,2,FALSE)</f>
        <v>DICIEMBRE</v>
      </c>
      <c r="C528" s="108">
        <v>45648.336168981485</v>
      </c>
      <c r="D528" s="108" t="s">
        <v>395</v>
      </c>
      <c r="E528" s="109" t="s">
        <v>411</v>
      </c>
      <c r="F528" s="109" t="s">
        <v>969</v>
      </c>
      <c r="G528" s="110" t="str">
        <f t="shared" si="122"/>
        <v>DICIEMBRE</v>
      </c>
      <c r="H528" s="252">
        <v>0</v>
      </c>
      <c r="I528" s="102" t="str">
        <f t="shared" si="123"/>
        <v>DICIEMBRE</v>
      </c>
      <c r="J528"/>
      <c r="K528" t="str">
        <f t="shared" si="116"/>
        <v>DICIEMBRE</v>
      </c>
      <c r="L528" s="111">
        <f t="shared" si="117"/>
        <v>0</v>
      </c>
      <c r="M528" s="112">
        <f t="shared" si="118"/>
        <v>0</v>
      </c>
      <c r="N528" s="112">
        <f t="shared" si="119"/>
        <v>0</v>
      </c>
      <c r="P528">
        <v>0</v>
      </c>
      <c r="Q528" s="102">
        <f t="shared" si="120"/>
        <v>0</v>
      </c>
      <c r="R528" s="102">
        <f t="shared" si="121"/>
        <v>0</v>
      </c>
    </row>
    <row r="529" spans="1:18" x14ac:dyDescent="0.35">
      <c r="A529" s="106">
        <f t="shared" si="115"/>
        <v>12</v>
      </c>
      <c r="B529" s="107" t="str">
        <f>VLOOKUP(A529,[1]Hoja3!$C$3:$D$14,2,FALSE)</f>
        <v>DICIEMBRE</v>
      </c>
      <c r="C529" s="108">
        <v>45649.423564814817</v>
      </c>
      <c r="D529" s="108" t="s">
        <v>397</v>
      </c>
      <c r="E529" s="109" t="s">
        <v>413</v>
      </c>
      <c r="F529" s="109" t="s">
        <v>970</v>
      </c>
      <c r="G529" s="110" t="str">
        <f t="shared" si="122"/>
        <v>DICIEMBRE</v>
      </c>
      <c r="H529" s="252">
        <v>4600</v>
      </c>
      <c r="I529" s="102" t="str">
        <f t="shared" si="123"/>
        <v>DICIEMBRE</v>
      </c>
      <c r="J529">
        <v>0</v>
      </c>
      <c r="K529" t="str">
        <f t="shared" si="116"/>
        <v>DICIEMBRE</v>
      </c>
      <c r="L529" s="111">
        <f t="shared" si="117"/>
        <v>0</v>
      </c>
      <c r="M529" s="112">
        <f t="shared" si="118"/>
        <v>4600</v>
      </c>
      <c r="N529" s="112">
        <f t="shared" si="119"/>
        <v>4600</v>
      </c>
      <c r="O529" t="s">
        <v>451</v>
      </c>
      <c r="P529">
        <v>4600</v>
      </c>
      <c r="Q529" s="102">
        <f t="shared" si="120"/>
        <v>0</v>
      </c>
      <c r="R529" s="102">
        <f t="shared" si="121"/>
        <v>0</v>
      </c>
    </row>
    <row r="530" spans="1:18" x14ac:dyDescent="0.35">
      <c r="A530" s="106">
        <f t="shared" si="115"/>
        <v>12</v>
      </c>
      <c r="B530" s="107" t="str">
        <f>VLOOKUP(A530,[1]Hoja3!$C$3:$D$14,2,FALSE)</f>
        <v>DICIEMBRE</v>
      </c>
      <c r="C530" s="108">
        <v>45649.724710648145</v>
      </c>
      <c r="D530" s="108" t="s">
        <v>393</v>
      </c>
      <c r="E530" s="109" t="s">
        <v>409</v>
      </c>
      <c r="F530" s="109" t="s">
        <v>971</v>
      </c>
      <c r="G530" s="110" t="str">
        <f t="shared" si="122"/>
        <v>DICIEMBRE</v>
      </c>
      <c r="H530" s="252">
        <v>0</v>
      </c>
      <c r="I530" s="102" t="str">
        <f t="shared" si="123"/>
        <v>DICIEMBRE</v>
      </c>
      <c r="J530"/>
      <c r="K530" t="str">
        <f t="shared" si="116"/>
        <v>DICIEMBRE</v>
      </c>
      <c r="L530" s="111">
        <f t="shared" si="117"/>
        <v>0</v>
      </c>
      <c r="M530" s="112">
        <f t="shared" si="118"/>
        <v>0</v>
      </c>
      <c r="N530" s="112">
        <f t="shared" si="119"/>
        <v>0</v>
      </c>
      <c r="P530">
        <v>0</v>
      </c>
      <c r="Q530" s="102">
        <f t="shared" si="120"/>
        <v>0</v>
      </c>
      <c r="R530" s="102">
        <f t="shared" si="121"/>
        <v>0</v>
      </c>
    </row>
    <row r="531" spans="1:18" x14ac:dyDescent="0.35">
      <c r="A531" s="106">
        <f t="shared" si="115"/>
        <v>12</v>
      </c>
      <c r="B531" s="107" t="str">
        <f>VLOOKUP(A531,[1]Hoja3!$C$3:$D$14,2,FALSE)</f>
        <v>DICIEMBRE</v>
      </c>
      <c r="C531" s="108">
        <v>45650.467442129629</v>
      </c>
      <c r="D531" s="108" t="s">
        <v>753</v>
      </c>
      <c r="E531" s="109" t="s">
        <v>757</v>
      </c>
      <c r="F531" s="109" t="s">
        <v>972</v>
      </c>
      <c r="G531" s="110" t="str">
        <f t="shared" si="122"/>
        <v>DICIEMBRE</v>
      </c>
      <c r="H531" s="252">
        <v>428.59</v>
      </c>
      <c r="I531" s="102" t="str">
        <f t="shared" si="123"/>
        <v>DICIEMBRE</v>
      </c>
      <c r="J531">
        <v>273.41000000000003</v>
      </c>
      <c r="K531" t="str">
        <f t="shared" si="116"/>
        <v>DICIEMBRE</v>
      </c>
      <c r="L531" s="111">
        <f t="shared" si="117"/>
        <v>1708.8125000000002</v>
      </c>
      <c r="M531" s="112">
        <f t="shared" si="118"/>
        <v>-1280.2225000000003</v>
      </c>
      <c r="N531" s="112">
        <f t="shared" si="119"/>
        <v>702</v>
      </c>
      <c r="O531" t="s">
        <v>451</v>
      </c>
      <c r="P531">
        <v>702</v>
      </c>
      <c r="Q531" s="102">
        <f t="shared" si="120"/>
        <v>0</v>
      </c>
      <c r="R531" s="102">
        <f t="shared" si="121"/>
        <v>-273.41000000000003</v>
      </c>
    </row>
    <row r="532" spans="1:18" x14ac:dyDescent="0.35">
      <c r="A532" s="106">
        <f t="shared" si="115"/>
        <v>12</v>
      </c>
      <c r="B532" s="107" t="str">
        <f>VLOOKUP(A532,[1]Hoja3!$C$3:$D$14,2,FALSE)</f>
        <v>DICIEMBRE</v>
      </c>
      <c r="C532" s="108">
        <v>45650.512511574074</v>
      </c>
      <c r="D532" s="108" t="s">
        <v>388</v>
      </c>
      <c r="E532" s="109" t="s">
        <v>404</v>
      </c>
      <c r="F532" s="109" t="s">
        <v>973</v>
      </c>
      <c r="G532" s="110" t="str">
        <f t="shared" si="122"/>
        <v>DICIEMBRE</v>
      </c>
      <c r="H532" s="252">
        <v>12800</v>
      </c>
      <c r="I532" s="102" t="str">
        <f t="shared" si="123"/>
        <v>DICIEMBRE</v>
      </c>
      <c r="J532">
        <v>0</v>
      </c>
      <c r="K532" t="str">
        <f t="shared" si="116"/>
        <v>DICIEMBRE</v>
      </c>
      <c r="L532" s="111">
        <f t="shared" si="117"/>
        <v>0</v>
      </c>
      <c r="M532" s="112">
        <f t="shared" si="118"/>
        <v>12800</v>
      </c>
      <c r="N532" s="112">
        <f t="shared" si="119"/>
        <v>12800</v>
      </c>
      <c r="O532" t="s">
        <v>451</v>
      </c>
      <c r="P532">
        <v>12800</v>
      </c>
      <c r="Q532" s="102">
        <f t="shared" si="120"/>
        <v>0</v>
      </c>
      <c r="R532" s="102">
        <f t="shared" si="121"/>
        <v>0</v>
      </c>
    </row>
    <row r="533" spans="1:18" x14ac:dyDescent="0.35">
      <c r="A533" s="106">
        <f t="shared" si="115"/>
        <v>12</v>
      </c>
      <c r="B533" s="107" t="str">
        <f>VLOOKUP(A533,[1]Hoja3!$C$3:$D$14,2,FALSE)</f>
        <v>DICIEMBRE</v>
      </c>
      <c r="C533" s="108">
        <v>45650.672766203701</v>
      </c>
      <c r="D533" s="108" t="s">
        <v>387</v>
      </c>
      <c r="E533" s="109" t="s">
        <v>403</v>
      </c>
      <c r="F533" s="109" t="s">
        <v>974</v>
      </c>
      <c r="G533" s="110" t="str">
        <f t="shared" si="122"/>
        <v>DICIEMBRE</v>
      </c>
      <c r="H533" s="252">
        <v>1715.17</v>
      </c>
      <c r="I533" s="102" t="str">
        <f t="shared" si="123"/>
        <v>DICIEMBRE</v>
      </c>
      <c r="J533">
        <v>32.880000000000003</v>
      </c>
      <c r="K533" t="str">
        <f t="shared" si="116"/>
        <v>DICIEMBRE</v>
      </c>
      <c r="L533" s="111">
        <f t="shared" si="117"/>
        <v>205.5</v>
      </c>
      <c r="M533" s="112">
        <f t="shared" si="118"/>
        <v>1509.67</v>
      </c>
      <c r="N533" s="112">
        <f t="shared" si="119"/>
        <v>1748.0500000000002</v>
      </c>
      <c r="O533" t="s">
        <v>451</v>
      </c>
      <c r="P533">
        <v>1748.05</v>
      </c>
      <c r="Q533" s="102">
        <f t="shared" si="120"/>
        <v>0</v>
      </c>
      <c r="R533" s="102">
        <f t="shared" si="121"/>
        <v>-32.880000000000003</v>
      </c>
    </row>
    <row r="534" spans="1:18" x14ac:dyDescent="0.35">
      <c r="A534" s="106">
        <f t="shared" si="115"/>
        <v>12</v>
      </c>
      <c r="B534" s="107" t="str">
        <f>VLOOKUP(A534,[1]Hoja3!$C$3:$D$14,2,FALSE)</f>
        <v>DICIEMBRE</v>
      </c>
      <c r="C534" s="108">
        <v>45650.672939814816</v>
      </c>
      <c r="D534" s="108" t="s">
        <v>387</v>
      </c>
      <c r="E534" s="109" t="s">
        <v>403</v>
      </c>
      <c r="F534" s="109" t="s">
        <v>975</v>
      </c>
      <c r="G534" s="110" t="str">
        <f t="shared" si="122"/>
        <v>DICIEMBRE</v>
      </c>
      <c r="H534" s="252">
        <v>2008.76</v>
      </c>
      <c r="I534" s="102" t="str">
        <f t="shared" si="123"/>
        <v>DICIEMBRE</v>
      </c>
      <c r="J534">
        <v>0</v>
      </c>
      <c r="K534" t="str">
        <f t="shared" si="116"/>
        <v>DICIEMBRE</v>
      </c>
      <c r="L534" s="111">
        <f t="shared" si="117"/>
        <v>0</v>
      </c>
      <c r="M534" s="112">
        <f t="shared" si="118"/>
        <v>2008.76</v>
      </c>
      <c r="N534" s="112">
        <f t="shared" si="119"/>
        <v>2008.76</v>
      </c>
      <c r="O534" t="s">
        <v>451</v>
      </c>
      <c r="P534">
        <v>2008.76</v>
      </c>
      <c r="Q534" s="102">
        <f t="shared" si="120"/>
        <v>0</v>
      </c>
      <c r="R534" s="102">
        <f t="shared" si="121"/>
        <v>0</v>
      </c>
    </row>
    <row r="535" spans="1:18" x14ac:dyDescent="0.35">
      <c r="A535" s="106">
        <f t="shared" si="115"/>
        <v>12</v>
      </c>
      <c r="B535" s="107" t="str">
        <f>VLOOKUP(A535,[1]Hoja3!$C$3:$D$14,2,FALSE)</f>
        <v>DICIEMBRE</v>
      </c>
      <c r="C535" s="108">
        <v>45650.673206018517</v>
      </c>
      <c r="D535" s="108" t="s">
        <v>387</v>
      </c>
      <c r="E535" s="109" t="s">
        <v>403</v>
      </c>
      <c r="F535" s="109" t="s">
        <v>976</v>
      </c>
      <c r="G535" s="110" t="str">
        <f t="shared" si="122"/>
        <v>DICIEMBRE</v>
      </c>
      <c r="H535" s="252">
        <v>1745.1</v>
      </c>
      <c r="I535" s="102" t="str">
        <f t="shared" si="123"/>
        <v>DICIEMBRE</v>
      </c>
      <c r="J535">
        <v>0</v>
      </c>
      <c r="K535" t="str">
        <f t="shared" si="116"/>
        <v>DICIEMBRE</v>
      </c>
      <c r="L535" s="111">
        <f t="shared" si="117"/>
        <v>0</v>
      </c>
      <c r="M535" s="112">
        <f t="shared" si="118"/>
        <v>1745.1</v>
      </c>
      <c r="N535" s="112">
        <f t="shared" si="119"/>
        <v>1745.1</v>
      </c>
      <c r="O535" t="s">
        <v>451</v>
      </c>
      <c r="P535">
        <v>1745.1</v>
      </c>
      <c r="Q535" s="102">
        <f t="shared" si="120"/>
        <v>0</v>
      </c>
      <c r="R535" s="102">
        <f t="shared" si="121"/>
        <v>0</v>
      </c>
    </row>
    <row r="536" spans="1:18" x14ac:dyDescent="0.35">
      <c r="A536" s="106">
        <f t="shared" si="115"/>
        <v>12</v>
      </c>
      <c r="B536" s="107" t="str">
        <f>VLOOKUP(A536,[1]Hoja3!$C$3:$D$14,2,FALSE)</f>
        <v>DICIEMBRE</v>
      </c>
      <c r="C536" s="108">
        <v>45650.673402777778</v>
      </c>
      <c r="D536" s="108" t="s">
        <v>387</v>
      </c>
      <c r="E536" s="109" t="s">
        <v>403</v>
      </c>
      <c r="F536" s="109" t="s">
        <v>977</v>
      </c>
      <c r="G536" s="110" t="str">
        <f t="shared" si="122"/>
        <v>DICIEMBRE</v>
      </c>
      <c r="H536" s="252">
        <v>1572.24</v>
      </c>
      <c r="I536" s="102" t="str">
        <f t="shared" si="123"/>
        <v>DICIEMBRE</v>
      </c>
      <c r="J536">
        <v>0</v>
      </c>
      <c r="K536" t="str">
        <f t="shared" si="116"/>
        <v>DICIEMBRE</v>
      </c>
      <c r="L536" s="111">
        <f t="shared" si="117"/>
        <v>0</v>
      </c>
      <c r="M536" s="112">
        <f t="shared" si="118"/>
        <v>1572.24</v>
      </c>
      <c r="N536" s="112">
        <f t="shared" si="119"/>
        <v>1572.24</v>
      </c>
      <c r="O536" t="s">
        <v>451</v>
      </c>
      <c r="P536">
        <v>1572.24</v>
      </c>
      <c r="Q536" s="102">
        <f t="shared" si="120"/>
        <v>0</v>
      </c>
      <c r="R536" s="102">
        <f t="shared" si="121"/>
        <v>0</v>
      </c>
    </row>
    <row r="537" spans="1:18" x14ac:dyDescent="0.35">
      <c r="A537" s="106">
        <f t="shared" si="115"/>
        <v>12</v>
      </c>
      <c r="B537" s="107" t="str">
        <f>VLOOKUP(A537,[1]Hoja3!$C$3:$D$14,2,FALSE)</f>
        <v>DICIEMBRE</v>
      </c>
      <c r="C537" s="108">
        <v>45650.770138888889</v>
      </c>
      <c r="D537" s="108" t="s">
        <v>393</v>
      </c>
      <c r="E537" s="109" t="s">
        <v>409</v>
      </c>
      <c r="F537" s="109" t="s">
        <v>978</v>
      </c>
      <c r="G537" s="110" t="str">
        <f t="shared" si="122"/>
        <v>DICIEMBRE</v>
      </c>
      <c r="H537" s="252"/>
      <c r="I537" s="102" t="str">
        <f t="shared" si="123"/>
        <v>DICIEMBRE</v>
      </c>
      <c r="J537"/>
      <c r="K537" t="str">
        <f t="shared" si="116"/>
        <v>DICIEMBRE</v>
      </c>
      <c r="L537" s="111">
        <f t="shared" si="117"/>
        <v>0</v>
      </c>
      <c r="M537" s="112">
        <f t="shared" si="118"/>
        <v>0</v>
      </c>
      <c r="N537" s="112">
        <f t="shared" si="119"/>
        <v>0</v>
      </c>
      <c r="O537" t="s">
        <v>551</v>
      </c>
      <c r="Q537" s="102"/>
      <c r="R537" s="102"/>
    </row>
    <row r="538" spans="1:18" x14ac:dyDescent="0.35">
      <c r="A538" s="106">
        <f t="shared" si="115"/>
        <v>12</v>
      </c>
      <c r="B538" s="107" t="str">
        <f>VLOOKUP(A538,[1]Hoja3!$C$3:$D$14,2,FALSE)</f>
        <v>DICIEMBRE</v>
      </c>
      <c r="C538" s="108">
        <v>45651.404224537036</v>
      </c>
      <c r="D538" s="108" t="s">
        <v>385</v>
      </c>
      <c r="E538" s="109" t="s">
        <v>401</v>
      </c>
      <c r="F538" s="109" t="s">
        <v>979</v>
      </c>
      <c r="G538" s="110" t="str">
        <f t="shared" si="122"/>
        <v>DICIEMBRE</v>
      </c>
      <c r="H538" s="252">
        <v>432.54</v>
      </c>
      <c r="I538" s="102" t="str">
        <f t="shared" si="123"/>
        <v>DICIEMBRE</v>
      </c>
      <c r="J538">
        <v>67.461330000000004</v>
      </c>
      <c r="K538" t="str">
        <f t="shared" si="116"/>
        <v>DICIEMBRE</v>
      </c>
      <c r="L538" s="111">
        <f t="shared" si="117"/>
        <v>421.63331249999999</v>
      </c>
      <c r="M538" s="112">
        <f t="shared" si="118"/>
        <v>10.906687500000032</v>
      </c>
      <c r="N538" s="112">
        <f t="shared" si="119"/>
        <v>500.00133000000005</v>
      </c>
      <c r="O538" t="s">
        <v>451</v>
      </c>
      <c r="P538">
        <v>500</v>
      </c>
      <c r="Q538" s="102">
        <f t="shared" si="120"/>
        <v>1.3300000000526779E-3</v>
      </c>
      <c r="R538" s="102">
        <f t="shared" si="121"/>
        <v>-67.459999999999951</v>
      </c>
    </row>
    <row r="539" spans="1:18" x14ac:dyDescent="0.35">
      <c r="A539" s="106">
        <f t="shared" si="115"/>
        <v>12</v>
      </c>
      <c r="B539" s="107" t="str">
        <f>VLOOKUP(A539,[1]Hoja3!$C$3:$D$14,2,FALSE)</f>
        <v>DICIEMBRE</v>
      </c>
      <c r="C539" s="108">
        <v>45651.473530092589</v>
      </c>
      <c r="D539" s="108" t="s">
        <v>385</v>
      </c>
      <c r="E539" s="109" t="s">
        <v>401</v>
      </c>
      <c r="F539" s="109" t="s">
        <v>980</v>
      </c>
      <c r="G539" s="110" t="str">
        <f t="shared" si="122"/>
        <v>DICIEMBRE</v>
      </c>
      <c r="H539" s="252">
        <v>865.08</v>
      </c>
      <c r="I539" s="102" t="str">
        <f t="shared" si="123"/>
        <v>DICIEMBRE</v>
      </c>
      <c r="J539">
        <v>134.92265900000001</v>
      </c>
      <c r="K539" t="str">
        <f t="shared" si="116"/>
        <v>DICIEMBRE</v>
      </c>
      <c r="L539" s="111">
        <f t="shared" si="117"/>
        <v>843.26661875000002</v>
      </c>
      <c r="M539" s="112">
        <f t="shared" si="118"/>
        <v>21.81338125000002</v>
      </c>
      <c r="N539" s="112">
        <f t="shared" si="119"/>
        <v>1000.002659</v>
      </c>
      <c r="O539" t="s">
        <v>451</v>
      </c>
      <c r="P539">
        <v>1000</v>
      </c>
      <c r="Q539" s="102">
        <f t="shared" si="120"/>
        <v>2.6589999999941938E-3</v>
      </c>
      <c r="R539" s="102">
        <f t="shared" si="121"/>
        <v>-134.92000000000002</v>
      </c>
    </row>
    <row r="540" spans="1:18" x14ac:dyDescent="0.35">
      <c r="A540" s="106">
        <f t="shared" si="115"/>
        <v>12</v>
      </c>
      <c r="B540" s="107" t="str">
        <f>VLOOKUP(A540,[1]Hoja3!$C$3:$D$14,2,FALSE)</f>
        <v>DICIEMBRE</v>
      </c>
      <c r="C540" s="108">
        <v>45652.657002314816</v>
      </c>
      <c r="D540" s="108" t="s">
        <v>388</v>
      </c>
      <c r="E540" s="109" t="s">
        <v>404</v>
      </c>
      <c r="F540" s="109" t="s">
        <v>981</v>
      </c>
      <c r="G540" s="110" t="str">
        <f t="shared" si="122"/>
        <v>DICIEMBRE</v>
      </c>
      <c r="H540" s="252">
        <v>85000</v>
      </c>
      <c r="I540" s="102" t="str">
        <f t="shared" si="123"/>
        <v>DICIEMBRE</v>
      </c>
      <c r="J540">
        <v>0</v>
      </c>
      <c r="K540" t="str">
        <f t="shared" si="116"/>
        <v>DICIEMBRE</v>
      </c>
      <c r="L540" s="111">
        <f t="shared" si="117"/>
        <v>0</v>
      </c>
      <c r="M540" s="112">
        <f t="shared" si="118"/>
        <v>85000</v>
      </c>
      <c r="N540" s="112">
        <f t="shared" si="119"/>
        <v>85000</v>
      </c>
      <c r="O540" t="s">
        <v>451</v>
      </c>
      <c r="P540">
        <v>85000</v>
      </c>
      <c r="Q540" s="102">
        <f t="shared" si="120"/>
        <v>0</v>
      </c>
      <c r="R540" s="102">
        <f t="shared" si="121"/>
        <v>0</v>
      </c>
    </row>
    <row r="541" spans="1:18" x14ac:dyDescent="0.35">
      <c r="A541" s="106">
        <f t="shared" si="115"/>
        <v>12</v>
      </c>
      <c r="B541" s="107" t="str">
        <f>VLOOKUP(A541,[1]Hoja3!$C$3:$D$14,2,FALSE)</f>
        <v>DICIEMBRE</v>
      </c>
      <c r="C541" s="108">
        <v>45653.621377314812</v>
      </c>
      <c r="D541" s="108" t="s">
        <v>397</v>
      </c>
      <c r="E541" s="109" t="s">
        <v>413</v>
      </c>
      <c r="F541" s="109" t="s">
        <v>982</v>
      </c>
      <c r="G541" s="110" t="str">
        <f t="shared" si="122"/>
        <v>DICIEMBRE</v>
      </c>
      <c r="H541" s="252">
        <v>4600</v>
      </c>
      <c r="I541" s="102" t="str">
        <f t="shared" si="123"/>
        <v>DICIEMBRE</v>
      </c>
      <c r="J541">
        <v>0</v>
      </c>
      <c r="K541" t="str">
        <f t="shared" si="116"/>
        <v>DICIEMBRE</v>
      </c>
      <c r="L541" s="111">
        <f t="shared" si="117"/>
        <v>0</v>
      </c>
      <c r="M541" s="112">
        <f t="shared" si="118"/>
        <v>4600</v>
      </c>
      <c r="N541" s="112">
        <f t="shared" si="119"/>
        <v>4600</v>
      </c>
      <c r="O541" t="s">
        <v>451</v>
      </c>
      <c r="P541">
        <v>4600</v>
      </c>
      <c r="Q541" s="102">
        <f t="shared" si="120"/>
        <v>0</v>
      </c>
      <c r="R541" s="102">
        <f t="shared" si="121"/>
        <v>0</v>
      </c>
    </row>
    <row r="542" spans="1:18" x14ac:dyDescent="0.35">
      <c r="A542" s="106">
        <f t="shared" si="115"/>
        <v>12</v>
      </c>
      <c r="B542" s="107" t="str">
        <f>VLOOKUP(A542,[1]Hoja3!$C$3:$D$14,2,FALSE)</f>
        <v>DICIEMBRE</v>
      </c>
      <c r="C542" s="108">
        <v>45653.626805555556</v>
      </c>
      <c r="D542" s="108" t="s">
        <v>397</v>
      </c>
      <c r="E542" s="109" t="s">
        <v>413</v>
      </c>
      <c r="F542" s="109" t="s">
        <v>983</v>
      </c>
      <c r="G542" s="110" t="str">
        <f t="shared" si="122"/>
        <v>DICIEMBRE</v>
      </c>
      <c r="H542" s="252">
        <v>1840</v>
      </c>
      <c r="I542" s="102" t="str">
        <f t="shared" si="123"/>
        <v>DICIEMBRE</v>
      </c>
      <c r="J542">
        <v>0</v>
      </c>
      <c r="K542" t="str">
        <f t="shared" si="116"/>
        <v>DICIEMBRE</v>
      </c>
      <c r="L542" s="111">
        <f t="shared" si="117"/>
        <v>0</v>
      </c>
      <c r="M542" s="112">
        <f t="shared" si="118"/>
        <v>1840</v>
      </c>
      <c r="N542" s="112">
        <f t="shared" si="119"/>
        <v>1840</v>
      </c>
      <c r="O542" t="s">
        <v>451</v>
      </c>
      <c r="P542">
        <v>1840</v>
      </c>
      <c r="Q542" s="102">
        <f t="shared" si="120"/>
        <v>0</v>
      </c>
      <c r="R542" s="102">
        <f t="shared" si="121"/>
        <v>0</v>
      </c>
    </row>
    <row r="543" spans="1:18" x14ac:dyDescent="0.35">
      <c r="A543" s="106">
        <f t="shared" si="115"/>
        <v>12</v>
      </c>
      <c r="B543" s="107" t="str">
        <f>VLOOKUP(A543,[1]Hoja3!$C$3:$D$14,2,FALSE)</f>
        <v>DICIEMBRE</v>
      </c>
      <c r="C543" s="108">
        <v>45653.629583333335</v>
      </c>
      <c r="D543" s="108" t="s">
        <v>397</v>
      </c>
      <c r="E543" s="109" t="s">
        <v>413</v>
      </c>
      <c r="F543" s="109" t="s">
        <v>984</v>
      </c>
      <c r="G543" s="110" t="str">
        <f t="shared" si="122"/>
        <v>DICIEMBRE</v>
      </c>
      <c r="H543" s="252">
        <v>1610</v>
      </c>
      <c r="I543" s="102" t="str">
        <f t="shared" si="123"/>
        <v>DICIEMBRE</v>
      </c>
      <c r="J543">
        <v>0</v>
      </c>
      <c r="K543" t="str">
        <f t="shared" si="116"/>
        <v>DICIEMBRE</v>
      </c>
      <c r="L543" s="111">
        <f t="shared" si="117"/>
        <v>0</v>
      </c>
      <c r="M543" s="112">
        <f t="shared" si="118"/>
        <v>1610</v>
      </c>
      <c r="N543" s="112">
        <f t="shared" si="119"/>
        <v>1610</v>
      </c>
      <c r="O543" t="s">
        <v>451</v>
      </c>
      <c r="P543">
        <v>1610</v>
      </c>
      <c r="Q543" s="102">
        <f t="shared" si="120"/>
        <v>0</v>
      </c>
      <c r="R543" s="102">
        <f t="shared" si="121"/>
        <v>0</v>
      </c>
    </row>
    <row r="544" spans="1:18" x14ac:dyDescent="0.35">
      <c r="A544" s="106">
        <f t="shared" si="115"/>
        <v>12</v>
      </c>
      <c r="B544" s="107" t="str">
        <f>VLOOKUP(A544,[1]Hoja3!$C$3:$D$14,2,FALSE)</f>
        <v>DICIEMBRE</v>
      </c>
      <c r="C544" s="108">
        <v>45653.661412037036</v>
      </c>
      <c r="D544" s="108" t="s">
        <v>840</v>
      </c>
      <c r="E544" s="109" t="s">
        <v>847</v>
      </c>
      <c r="F544" s="109" t="s">
        <v>985</v>
      </c>
      <c r="G544" s="110" t="str">
        <f t="shared" si="122"/>
        <v>DICIEMBRE</v>
      </c>
      <c r="H544" s="252">
        <v>0.01</v>
      </c>
      <c r="I544" s="102" t="str">
        <f t="shared" si="123"/>
        <v>DICIEMBRE</v>
      </c>
      <c r="J544"/>
      <c r="K544" t="str">
        <f t="shared" si="116"/>
        <v>DICIEMBRE</v>
      </c>
      <c r="L544" s="111">
        <f t="shared" si="117"/>
        <v>0</v>
      </c>
      <c r="M544" s="112">
        <f t="shared" si="118"/>
        <v>0.01</v>
      </c>
      <c r="N544" s="112">
        <f t="shared" si="119"/>
        <v>0.01</v>
      </c>
      <c r="O544" t="s">
        <v>451</v>
      </c>
      <c r="P544">
        <v>0</v>
      </c>
      <c r="Q544" s="102">
        <f t="shared" si="120"/>
        <v>0.01</v>
      </c>
      <c r="R544" s="102">
        <f t="shared" si="121"/>
        <v>0.01</v>
      </c>
    </row>
    <row r="545" spans="1:18" x14ac:dyDescent="0.35">
      <c r="A545" s="106">
        <f t="shared" ref="A545:A608" si="124">IF(C545&gt;0,MONTH(C545),0)</f>
        <v>12</v>
      </c>
      <c r="B545" s="107" t="str">
        <f>VLOOKUP(A545,[1]Hoja3!$C$3:$D$14,2,FALSE)</f>
        <v>DICIEMBRE</v>
      </c>
      <c r="C545" s="108">
        <v>45653.741168981483</v>
      </c>
      <c r="D545" s="108" t="s">
        <v>836</v>
      </c>
      <c r="E545" s="109" t="s">
        <v>843</v>
      </c>
      <c r="F545" s="109" t="s">
        <v>986</v>
      </c>
      <c r="G545" s="110" t="str">
        <f t="shared" si="122"/>
        <v>DICIEMBRE</v>
      </c>
      <c r="H545" s="252">
        <v>17500</v>
      </c>
      <c r="I545" s="102" t="str">
        <f t="shared" si="123"/>
        <v>DICIEMBRE</v>
      </c>
      <c r="J545">
        <v>0</v>
      </c>
      <c r="K545" t="str">
        <f t="shared" ref="K545:K608" si="125">+B545</f>
        <v>DICIEMBRE</v>
      </c>
      <c r="L545" s="111">
        <f t="shared" ref="L545:L608" si="126">+J545/0.16</f>
        <v>0</v>
      </c>
      <c r="M545" s="112">
        <f t="shared" ref="M545:M608" si="127">+H545-L545</f>
        <v>17500</v>
      </c>
      <c r="N545" s="112">
        <f t="shared" ref="N545:N608" si="128">+H545+J545</f>
        <v>17500</v>
      </c>
      <c r="O545" t="s">
        <v>451</v>
      </c>
      <c r="P545">
        <v>17500</v>
      </c>
      <c r="Q545" s="102">
        <f t="shared" si="120"/>
        <v>0</v>
      </c>
      <c r="R545" s="102">
        <f t="shared" si="121"/>
        <v>0</v>
      </c>
    </row>
    <row r="546" spans="1:18" x14ac:dyDescent="0.35">
      <c r="A546" s="106">
        <f t="shared" si="124"/>
        <v>12</v>
      </c>
      <c r="B546" s="107" t="str">
        <f>VLOOKUP(A546,[1]Hoja3!$C$3:$D$14,2,FALSE)</f>
        <v>DICIEMBRE</v>
      </c>
      <c r="C546" s="108">
        <v>45654.190300925926</v>
      </c>
      <c r="D546" s="108" t="s">
        <v>395</v>
      </c>
      <c r="E546" s="109" t="s">
        <v>411</v>
      </c>
      <c r="F546" s="109" t="s">
        <v>987</v>
      </c>
      <c r="G546" s="110" t="str">
        <f t="shared" si="122"/>
        <v>DICIEMBRE</v>
      </c>
      <c r="H546" s="252"/>
      <c r="I546" s="102" t="str">
        <f t="shared" si="123"/>
        <v>DICIEMBRE</v>
      </c>
      <c r="J546"/>
      <c r="K546" t="str">
        <f t="shared" si="125"/>
        <v>DICIEMBRE</v>
      </c>
      <c r="L546" s="111">
        <f t="shared" si="126"/>
        <v>0</v>
      </c>
      <c r="M546" s="112">
        <f t="shared" si="127"/>
        <v>0</v>
      </c>
      <c r="N546" s="112">
        <f t="shared" si="128"/>
        <v>0</v>
      </c>
      <c r="O546" t="s">
        <v>551</v>
      </c>
      <c r="Q546" s="102"/>
      <c r="R546" s="102"/>
    </row>
    <row r="547" spans="1:18" x14ac:dyDescent="0.35">
      <c r="A547" s="106">
        <f t="shared" si="124"/>
        <v>12</v>
      </c>
      <c r="B547" s="107" t="str">
        <f>VLOOKUP(A547,[1]Hoja3!$C$3:$D$14,2,FALSE)</f>
        <v>DICIEMBRE</v>
      </c>
      <c r="C547" s="108">
        <v>45654.190300925926</v>
      </c>
      <c r="D547" s="108" t="s">
        <v>395</v>
      </c>
      <c r="E547" s="109" t="s">
        <v>411</v>
      </c>
      <c r="F547" s="109" t="s">
        <v>988</v>
      </c>
      <c r="G547" s="110" t="str">
        <f t="shared" si="122"/>
        <v>DICIEMBRE</v>
      </c>
      <c r="H547" s="252"/>
      <c r="I547" s="102" t="str">
        <f t="shared" si="123"/>
        <v>DICIEMBRE</v>
      </c>
      <c r="J547"/>
      <c r="K547" t="str">
        <f t="shared" si="125"/>
        <v>DICIEMBRE</v>
      </c>
      <c r="L547" s="111">
        <f t="shared" si="126"/>
        <v>0</v>
      </c>
      <c r="M547" s="112">
        <f t="shared" si="127"/>
        <v>0</v>
      </c>
      <c r="N547" s="112">
        <f t="shared" si="128"/>
        <v>0</v>
      </c>
      <c r="O547" t="s">
        <v>551</v>
      </c>
      <c r="Q547" s="102"/>
      <c r="R547" s="102"/>
    </row>
    <row r="548" spans="1:18" x14ac:dyDescent="0.35">
      <c r="A548" s="106">
        <f t="shared" si="124"/>
        <v>12</v>
      </c>
      <c r="B548" s="107" t="str">
        <f>VLOOKUP(A548,[1]Hoja3!$C$3:$D$14,2,FALSE)</f>
        <v>DICIEMBRE</v>
      </c>
      <c r="C548" s="108">
        <v>45654.190300925926</v>
      </c>
      <c r="D548" s="108" t="s">
        <v>396</v>
      </c>
      <c r="E548" s="109" t="s">
        <v>412</v>
      </c>
      <c r="F548" s="109" t="s">
        <v>989</v>
      </c>
      <c r="G548" s="110" t="str">
        <f t="shared" si="122"/>
        <v>DICIEMBRE</v>
      </c>
      <c r="H548" s="252"/>
      <c r="I548" s="102" t="str">
        <f t="shared" si="123"/>
        <v>DICIEMBRE</v>
      </c>
      <c r="J548"/>
      <c r="K548" t="str">
        <f t="shared" si="125"/>
        <v>DICIEMBRE</v>
      </c>
      <c r="L548" s="111">
        <f t="shared" si="126"/>
        <v>0</v>
      </c>
      <c r="M548" s="112">
        <f t="shared" si="127"/>
        <v>0</v>
      </c>
      <c r="N548" s="112">
        <f t="shared" si="128"/>
        <v>0</v>
      </c>
      <c r="O548" t="s">
        <v>551</v>
      </c>
      <c r="Q548" s="102"/>
      <c r="R548" s="102"/>
    </row>
    <row r="549" spans="1:18" x14ac:dyDescent="0.35">
      <c r="A549" s="106">
        <f t="shared" si="124"/>
        <v>12</v>
      </c>
      <c r="B549" s="107" t="str">
        <f>VLOOKUP(A549,[1]Hoja3!$C$3:$D$14,2,FALSE)</f>
        <v>DICIEMBRE</v>
      </c>
      <c r="C549" s="108">
        <v>45654.379756944443</v>
      </c>
      <c r="D549" s="108" t="s">
        <v>386</v>
      </c>
      <c r="E549" s="109" t="s">
        <v>402</v>
      </c>
      <c r="F549" s="109" t="s">
        <v>445</v>
      </c>
      <c r="G549" s="110" t="str">
        <f t="shared" si="122"/>
        <v>DICIEMBRE</v>
      </c>
      <c r="H549" s="252">
        <v>0.01</v>
      </c>
      <c r="I549" s="102" t="str">
        <f t="shared" si="123"/>
        <v>DICIEMBRE</v>
      </c>
      <c r="J549"/>
      <c r="K549" t="str">
        <f t="shared" si="125"/>
        <v>DICIEMBRE</v>
      </c>
      <c r="L549" s="111">
        <f t="shared" si="126"/>
        <v>0</v>
      </c>
      <c r="M549" s="112">
        <f t="shared" si="127"/>
        <v>0.01</v>
      </c>
      <c r="N549" s="112">
        <f t="shared" si="128"/>
        <v>0.01</v>
      </c>
      <c r="O549" t="s">
        <v>451</v>
      </c>
      <c r="P549">
        <v>0</v>
      </c>
      <c r="Q549" s="102">
        <f t="shared" si="120"/>
        <v>0.01</v>
      </c>
      <c r="R549" s="102">
        <f t="shared" si="121"/>
        <v>0.01</v>
      </c>
    </row>
    <row r="550" spans="1:18" x14ac:dyDescent="0.35">
      <c r="A550" s="106">
        <f t="shared" si="124"/>
        <v>12</v>
      </c>
      <c r="B550" s="107" t="str">
        <f>VLOOKUP(A550,[1]Hoja3!$C$3:$D$14,2,FALSE)</f>
        <v>DICIEMBRE</v>
      </c>
      <c r="C550" s="108">
        <v>45654.494942129626</v>
      </c>
      <c r="D550" s="108" t="s">
        <v>835</v>
      </c>
      <c r="E550" s="109" t="s">
        <v>842</v>
      </c>
      <c r="F550" s="109" t="s">
        <v>990</v>
      </c>
      <c r="G550" s="110" t="str">
        <f t="shared" si="122"/>
        <v>DICIEMBRE</v>
      </c>
      <c r="H550" s="252">
        <v>720</v>
      </c>
      <c r="I550" s="102" t="str">
        <f t="shared" si="123"/>
        <v>DICIEMBRE</v>
      </c>
      <c r="J550"/>
      <c r="K550" t="str">
        <f t="shared" si="125"/>
        <v>DICIEMBRE</v>
      </c>
      <c r="L550" s="111">
        <f t="shared" si="126"/>
        <v>0</v>
      </c>
      <c r="M550" s="112">
        <f t="shared" si="127"/>
        <v>720</v>
      </c>
      <c r="N550" s="112">
        <f t="shared" si="128"/>
        <v>720</v>
      </c>
      <c r="O550" t="s">
        <v>451</v>
      </c>
      <c r="P550">
        <v>720</v>
      </c>
      <c r="Q550" s="102">
        <f t="shared" si="120"/>
        <v>0</v>
      </c>
      <c r="R550" s="102">
        <f t="shared" si="121"/>
        <v>0</v>
      </c>
    </row>
    <row r="551" spans="1:18" x14ac:dyDescent="0.35">
      <c r="A551" s="106">
        <f t="shared" si="124"/>
        <v>12</v>
      </c>
      <c r="B551" s="107" t="str">
        <f>VLOOKUP(A551,[1]Hoja3!$C$3:$D$14,2,FALSE)</f>
        <v>DICIEMBRE</v>
      </c>
      <c r="C551" s="108">
        <v>45655.539050925923</v>
      </c>
      <c r="D551" s="108" t="s">
        <v>753</v>
      </c>
      <c r="E551" s="109" t="s">
        <v>757</v>
      </c>
      <c r="F551" s="109" t="s">
        <v>991</v>
      </c>
      <c r="G551" s="110" t="str">
        <f t="shared" si="122"/>
        <v>DICIEMBRE</v>
      </c>
      <c r="H551" s="252">
        <v>447</v>
      </c>
      <c r="I551" s="102" t="str">
        <f t="shared" si="123"/>
        <v>DICIEMBRE</v>
      </c>
      <c r="J551">
        <v>0</v>
      </c>
      <c r="K551" t="str">
        <f t="shared" si="125"/>
        <v>DICIEMBRE</v>
      </c>
      <c r="L551" s="111">
        <f t="shared" si="126"/>
        <v>0</v>
      </c>
      <c r="M551" s="112">
        <f t="shared" si="127"/>
        <v>447</v>
      </c>
      <c r="N551" s="112">
        <f t="shared" si="128"/>
        <v>447</v>
      </c>
      <c r="O551" t="s">
        <v>451</v>
      </c>
      <c r="P551">
        <v>447</v>
      </c>
      <c r="Q551" s="102">
        <f t="shared" si="120"/>
        <v>0</v>
      </c>
      <c r="R551" s="102">
        <f t="shared" si="121"/>
        <v>0</v>
      </c>
    </row>
    <row r="552" spans="1:18" x14ac:dyDescent="0.35">
      <c r="A552" s="106">
        <f t="shared" si="124"/>
        <v>12</v>
      </c>
      <c r="B552" s="107" t="str">
        <f>VLOOKUP(A552,[1]Hoja3!$C$3:$D$14,2,FALSE)</f>
        <v>DICIEMBRE</v>
      </c>
      <c r="C552" s="108">
        <v>45655.545497685183</v>
      </c>
      <c r="D552" s="108" t="s">
        <v>385</v>
      </c>
      <c r="E552" s="109" t="s">
        <v>401</v>
      </c>
      <c r="F552" s="109" t="s">
        <v>992</v>
      </c>
      <c r="G552" s="110" t="str">
        <f t="shared" si="122"/>
        <v>DICIEMBRE</v>
      </c>
      <c r="H552" s="252">
        <v>865.08</v>
      </c>
      <c r="I552" s="102" t="str">
        <f t="shared" si="123"/>
        <v>DICIEMBRE</v>
      </c>
      <c r="J552">
        <v>134.92265900000001</v>
      </c>
      <c r="K552" t="str">
        <f t="shared" si="125"/>
        <v>DICIEMBRE</v>
      </c>
      <c r="L552" s="111">
        <f t="shared" si="126"/>
        <v>843.26661875000002</v>
      </c>
      <c r="M552" s="112">
        <f t="shared" si="127"/>
        <v>21.81338125000002</v>
      </c>
      <c r="N552" s="112">
        <f t="shared" si="128"/>
        <v>1000.002659</v>
      </c>
      <c r="O552" t="s">
        <v>451</v>
      </c>
      <c r="P552">
        <v>1000</v>
      </c>
      <c r="Q552" s="102">
        <f t="shared" si="120"/>
        <v>2.6589999999941938E-3</v>
      </c>
      <c r="R552" s="102">
        <f t="shared" si="121"/>
        <v>-134.92000000000002</v>
      </c>
    </row>
    <row r="553" spans="1:18" x14ac:dyDescent="0.35">
      <c r="A553" s="106">
        <f t="shared" si="124"/>
        <v>12</v>
      </c>
      <c r="B553" s="107" t="str">
        <f>VLOOKUP(A553,[1]Hoja3!$C$3:$D$14,2,FALSE)</f>
        <v>DICIEMBRE</v>
      </c>
      <c r="C553" s="108">
        <v>45655.802407407406</v>
      </c>
      <c r="D553" s="108" t="s">
        <v>385</v>
      </c>
      <c r="E553" s="109" t="s">
        <v>401</v>
      </c>
      <c r="F553" s="109" t="s">
        <v>993</v>
      </c>
      <c r="G553" s="110" t="str">
        <f t="shared" si="122"/>
        <v>DICIEMBRE</v>
      </c>
      <c r="H553" s="252">
        <v>207.04</v>
      </c>
      <c r="I553" s="102" t="str">
        <f t="shared" si="123"/>
        <v>DICIEMBRE</v>
      </c>
      <c r="J553">
        <v>32.291041999999997</v>
      </c>
      <c r="K553" t="str">
        <f t="shared" si="125"/>
        <v>DICIEMBRE</v>
      </c>
      <c r="L553" s="111">
        <f t="shared" si="126"/>
        <v>201.81901249999999</v>
      </c>
      <c r="M553" s="112">
        <f t="shared" si="127"/>
        <v>5.2209875000000068</v>
      </c>
      <c r="N553" s="112">
        <f t="shared" si="128"/>
        <v>239.331042</v>
      </c>
      <c r="O553" t="s">
        <v>451</v>
      </c>
      <c r="P553">
        <v>239.33</v>
      </c>
      <c r="Q553" s="102">
        <f t="shared" si="120"/>
        <v>1.0419999999840002E-3</v>
      </c>
      <c r="R553" s="102">
        <f t="shared" si="121"/>
        <v>-32.290000000000013</v>
      </c>
    </row>
    <row r="554" spans="1:18" x14ac:dyDescent="0.35">
      <c r="A554" s="106">
        <f t="shared" si="124"/>
        <v>12</v>
      </c>
      <c r="B554" s="107" t="str">
        <f>VLOOKUP(A554,[1]Hoja3!$C$3:$D$14,2,FALSE)</f>
        <v>DICIEMBRE</v>
      </c>
      <c r="C554" s="108">
        <v>45656.488703703704</v>
      </c>
      <c r="D554" s="108" t="s">
        <v>659</v>
      </c>
      <c r="E554" s="109" t="s">
        <v>653</v>
      </c>
      <c r="F554" s="109" t="s">
        <v>994</v>
      </c>
      <c r="G554" s="110" t="str">
        <f t="shared" si="122"/>
        <v>DICIEMBRE</v>
      </c>
      <c r="H554" s="252">
        <v>1200.21</v>
      </c>
      <c r="I554" s="102" t="str">
        <f t="shared" si="123"/>
        <v>DICIEMBRE</v>
      </c>
      <c r="J554">
        <v>185.03</v>
      </c>
      <c r="K554" t="str">
        <f t="shared" si="125"/>
        <v>DICIEMBRE</v>
      </c>
      <c r="L554" s="111">
        <f t="shared" si="126"/>
        <v>1156.4375</v>
      </c>
      <c r="M554" s="112">
        <f t="shared" si="127"/>
        <v>43.772500000000036</v>
      </c>
      <c r="N554" s="112">
        <f t="shared" si="128"/>
        <v>1385.24</v>
      </c>
      <c r="O554" t="s">
        <v>451</v>
      </c>
      <c r="P554">
        <v>1385.24</v>
      </c>
      <c r="Q554" s="102">
        <f t="shared" si="120"/>
        <v>0</v>
      </c>
      <c r="R554" s="102">
        <f t="shared" si="121"/>
        <v>-185.03</v>
      </c>
    </row>
    <row r="555" spans="1:18" x14ac:dyDescent="0.35">
      <c r="A555" s="106">
        <f t="shared" si="124"/>
        <v>12</v>
      </c>
      <c r="B555" s="107" t="str">
        <f>VLOOKUP(A555,[1]Hoja3!$C$3:$D$14,2,FALSE)</f>
        <v>DICIEMBRE</v>
      </c>
      <c r="C555" s="108">
        <v>45656.687083333331</v>
      </c>
      <c r="D555" s="108" t="s">
        <v>660</v>
      </c>
      <c r="E555" s="109" t="s">
        <v>654</v>
      </c>
      <c r="F555" s="109" t="s">
        <v>995</v>
      </c>
      <c r="G555" s="110" t="str">
        <f t="shared" si="122"/>
        <v>DICIEMBRE</v>
      </c>
      <c r="H555" s="252">
        <v>0</v>
      </c>
      <c r="I555" s="102" t="str">
        <f t="shared" si="123"/>
        <v>DICIEMBRE</v>
      </c>
      <c r="J555"/>
      <c r="K555" t="str">
        <f t="shared" si="125"/>
        <v>DICIEMBRE</v>
      </c>
      <c r="L555" s="111">
        <f t="shared" si="126"/>
        <v>0</v>
      </c>
      <c r="M555" s="112">
        <f t="shared" si="127"/>
        <v>0</v>
      </c>
      <c r="N555" s="112">
        <f t="shared" si="128"/>
        <v>0</v>
      </c>
      <c r="P555">
        <v>0</v>
      </c>
      <c r="Q555" s="102">
        <f t="shared" si="120"/>
        <v>0</v>
      </c>
      <c r="R555" s="102">
        <f t="shared" si="121"/>
        <v>0</v>
      </c>
    </row>
    <row r="556" spans="1:18" x14ac:dyDescent="0.35">
      <c r="A556" s="106">
        <f t="shared" si="124"/>
        <v>12</v>
      </c>
      <c r="B556" s="107" t="str">
        <f>VLOOKUP(A556,[1]Hoja3!$C$3:$D$14,2,FALSE)</f>
        <v>DICIEMBRE</v>
      </c>
      <c r="C556" s="108">
        <v>45656.688437500001</v>
      </c>
      <c r="D556" s="108" t="s">
        <v>660</v>
      </c>
      <c r="E556" s="109" t="s">
        <v>654</v>
      </c>
      <c r="F556" s="109" t="s">
        <v>996</v>
      </c>
      <c r="G556" s="110" t="str">
        <f t="shared" si="122"/>
        <v>DICIEMBRE</v>
      </c>
      <c r="H556" s="252">
        <v>0</v>
      </c>
      <c r="I556" s="102" t="str">
        <f t="shared" si="123"/>
        <v>DICIEMBRE</v>
      </c>
      <c r="J556"/>
      <c r="K556" t="str">
        <f t="shared" si="125"/>
        <v>DICIEMBRE</v>
      </c>
      <c r="L556" s="111">
        <f t="shared" si="126"/>
        <v>0</v>
      </c>
      <c r="M556" s="112">
        <f t="shared" si="127"/>
        <v>0</v>
      </c>
      <c r="N556" s="112">
        <f t="shared" si="128"/>
        <v>0</v>
      </c>
      <c r="P556">
        <v>0</v>
      </c>
      <c r="Q556" s="102">
        <f t="shared" si="120"/>
        <v>0</v>
      </c>
      <c r="R556" s="102">
        <f t="shared" si="121"/>
        <v>0</v>
      </c>
    </row>
    <row r="557" spans="1:18" x14ac:dyDescent="0.35">
      <c r="A557" s="106">
        <f t="shared" si="124"/>
        <v>12</v>
      </c>
      <c r="B557" s="107" t="str">
        <f>VLOOKUP(A557,[1]Hoja3!$C$3:$D$14,2,FALSE)</f>
        <v>DICIEMBRE</v>
      </c>
      <c r="C557" s="108">
        <v>45656.793263888889</v>
      </c>
      <c r="D557" s="108" t="s">
        <v>388</v>
      </c>
      <c r="E557" s="109" t="s">
        <v>404</v>
      </c>
      <c r="F557" s="109" t="s">
        <v>997</v>
      </c>
      <c r="G557" s="110" t="str">
        <f t="shared" si="122"/>
        <v>DICIEMBRE</v>
      </c>
      <c r="H557" s="252">
        <v>4800</v>
      </c>
      <c r="I557" s="102" t="str">
        <f t="shared" si="123"/>
        <v>DICIEMBRE</v>
      </c>
      <c r="J557">
        <v>0</v>
      </c>
      <c r="K557" t="str">
        <f t="shared" si="125"/>
        <v>DICIEMBRE</v>
      </c>
      <c r="L557" s="111">
        <f t="shared" si="126"/>
        <v>0</v>
      </c>
      <c r="M557" s="112">
        <f t="shared" si="127"/>
        <v>4800</v>
      </c>
      <c r="N557" s="112">
        <f t="shared" si="128"/>
        <v>4800</v>
      </c>
      <c r="O557" t="s">
        <v>451</v>
      </c>
      <c r="P557">
        <v>4800</v>
      </c>
      <c r="Q557" s="102">
        <f t="shared" si="120"/>
        <v>0</v>
      </c>
      <c r="R557" s="102">
        <f t="shared" si="121"/>
        <v>0</v>
      </c>
    </row>
    <row r="558" spans="1:18" x14ac:dyDescent="0.35">
      <c r="A558" s="106">
        <f t="shared" si="124"/>
        <v>12</v>
      </c>
      <c r="B558" s="107" t="str">
        <f>VLOOKUP(A558,[1]Hoja3!$C$3:$D$14,2,FALSE)</f>
        <v>DICIEMBRE</v>
      </c>
      <c r="C558" s="108">
        <v>45656.942731481482</v>
      </c>
      <c r="D558" s="108" t="s">
        <v>383</v>
      </c>
      <c r="E558" s="109" t="s">
        <v>399</v>
      </c>
      <c r="F558" s="109" t="s">
        <v>998</v>
      </c>
      <c r="G558" s="110" t="str">
        <f t="shared" si="122"/>
        <v>DICIEMBRE</v>
      </c>
      <c r="H558" s="252">
        <v>26860</v>
      </c>
      <c r="I558" s="102" t="str">
        <f t="shared" si="123"/>
        <v>DICIEMBRE</v>
      </c>
      <c r="J558">
        <v>0</v>
      </c>
      <c r="K558" t="str">
        <f t="shared" si="125"/>
        <v>DICIEMBRE</v>
      </c>
      <c r="L558" s="111">
        <f t="shared" si="126"/>
        <v>0</v>
      </c>
      <c r="M558" s="112">
        <f t="shared" si="127"/>
        <v>26860</v>
      </c>
      <c r="N558" s="112">
        <f t="shared" si="128"/>
        <v>26860</v>
      </c>
      <c r="O558" t="s">
        <v>451</v>
      </c>
      <c r="P558">
        <v>26860</v>
      </c>
      <c r="Q558" s="102">
        <f t="shared" si="120"/>
        <v>0</v>
      </c>
      <c r="R558" s="102">
        <f t="shared" si="121"/>
        <v>0</v>
      </c>
    </row>
    <row r="559" spans="1:18" x14ac:dyDescent="0.35">
      <c r="A559" s="106">
        <f t="shared" si="124"/>
        <v>12</v>
      </c>
      <c r="B559" s="107" t="str">
        <f>VLOOKUP(A559,[1]Hoja3!$C$3:$D$14,2,FALSE)</f>
        <v>DICIEMBRE</v>
      </c>
      <c r="C559" s="108">
        <v>45657.470937500002</v>
      </c>
      <c r="D559" s="108" t="s">
        <v>455</v>
      </c>
      <c r="E559" s="109" t="s">
        <v>458</v>
      </c>
      <c r="F559" s="109" t="s">
        <v>999</v>
      </c>
      <c r="G559" s="110" t="str">
        <f t="shared" si="122"/>
        <v>DICIEMBRE</v>
      </c>
      <c r="H559" s="252">
        <v>2784</v>
      </c>
      <c r="I559" s="102" t="str">
        <f t="shared" si="123"/>
        <v>DICIEMBRE</v>
      </c>
      <c r="J559">
        <v>0</v>
      </c>
      <c r="K559" t="str">
        <f t="shared" si="125"/>
        <v>DICIEMBRE</v>
      </c>
      <c r="L559" s="111">
        <f t="shared" si="126"/>
        <v>0</v>
      </c>
      <c r="M559" s="112">
        <f t="shared" si="127"/>
        <v>2784</v>
      </c>
      <c r="N559" s="112">
        <f t="shared" si="128"/>
        <v>2784</v>
      </c>
      <c r="O559" t="s">
        <v>451</v>
      </c>
      <c r="P559">
        <v>2784</v>
      </c>
      <c r="Q559" s="102">
        <f t="shared" si="120"/>
        <v>0</v>
      </c>
      <c r="R559" s="102">
        <f t="shared" si="121"/>
        <v>0</v>
      </c>
    </row>
    <row r="560" spans="1:18" x14ac:dyDescent="0.35">
      <c r="A560" s="106">
        <f t="shared" si="124"/>
        <v>0</v>
      </c>
      <c r="B560" s="107" t="e">
        <f>VLOOKUP(A560,[1]Hoja3!$C$3:$D$14,2,FALSE)</f>
        <v>#N/A</v>
      </c>
      <c r="C560" s="108"/>
      <c r="D560" s="108"/>
      <c r="E560" s="109"/>
      <c r="F560" s="109"/>
      <c r="G560" s="110" t="e">
        <f t="shared" si="122"/>
        <v>#N/A</v>
      </c>
      <c r="H560" s="252"/>
      <c r="I560" s="102" t="e">
        <f t="shared" si="123"/>
        <v>#N/A</v>
      </c>
      <c r="J560">
        <f t="shared" ref="J560:J583" si="129">+H560*0.16</f>
        <v>0</v>
      </c>
      <c r="K560" t="e">
        <f t="shared" si="125"/>
        <v>#N/A</v>
      </c>
      <c r="L560" s="111">
        <f t="shared" si="126"/>
        <v>0</v>
      </c>
      <c r="M560" s="112">
        <f t="shared" si="127"/>
        <v>0</v>
      </c>
      <c r="N560" s="112">
        <f t="shared" si="128"/>
        <v>0</v>
      </c>
    </row>
    <row r="561" spans="1:14" x14ac:dyDescent="0.35">
      <c r="A561" s="106">
        <f t="shared" si="124"/>
        <v>0</v>
      </c>
      <c r="B561" s="107" t="e">
        <f>VLOOKUP(A561,[1]Hoja3!$C$3:$D$14,2,FALSE)</f>
        <v>#N/A</v>
      </c>
      <c r="C561" s="108"/>
      <c r="D561" s="108"/>
      <c r="E561" s="109"/>
      <c r="F561" s="109"/>
      <c r="G561" s="110" t="e">
        <f t="shared" si="122"/>
        <v>#N/A</v>
      </c>
      <c r="H561" s="252"/>
      <c r="I561" s="102" t="e">
        <f t="shared" si="123"/>
        <v>#N/A</v>
      </c>
      <c r="J561">
        <f t="shared" si="129"/>
        <v>0</v>
      </c>
      <c r="K561" t="e">
        <f t="shared" si="125"/>
        <v>#N/A</v>
      </c>
      <c r="L561" s="111">
        <f t="shared" si="126"/>
        <v>0</v>
      </c>
      <c r="M561" s="112">
        <f t="shared" si="127"/>
        <v>0</v>
      </c>
      <c r="N561" s="112">
        <f t="shared" si="128"/>
        <v>0</v>
      </c>
    </row>
    <row r="562" spans="1:14" x14ac:dyDescent="0.35">
      <c r="A562" s="106">
        <f t="shared" si="124"/>
        <v>0</v>
      </c>
      <c r="B562" s="107" t="e">
        <f>VLOOKUP(A562,[1]Hoja3!$C$3:$D$14,2,FALSE)</f>
        <v>#N/A</v>
      </c>
      <c r="C562" s="108"/>
      <c r="D562" s="108"/>
      <c r="E562" s="109"/>
      <c r="F562" s="109"/>
      <c r="G562" s="110" t="e">
        <f t="shared" si="122"/>
        <v>#N/A</v>
      </c>
      <c r="H562" s="252"/>
      <c r="I562" s="102" t="e">
        <f t="shared" si="123"/>
        <v>#N/A</v>
      </c>
      <c r="J562">
        <f t="shared" si="129"/>
        <v>0</v>
      </c>
      <c r="K562" t="e">
        <f t="shared" si="125"/>
        <v>#N/A</v>
      </c>
      <c r="L562" s="111">
        <f t="shared" si="126"/>
        <v>0</v>
      </c>
      <c r="M562" s="112">
        <f t="shared" si="127"/>
        <v>0</v>
      </c>
      <c r="N562" s="112">
        <f t="shared" si="128"/>
        <v>0</v>
      </c>
    </row>
    <row r="563" spans="1:14" x14ac:dyDescent="0.35">
      <c r="A563" s="106">
        <f t="shared" si="124"/>
        <v>0</v>
      </c>
      <c r="B563" s="107" t="e">
        <f>VLOOKUP(A563,[1]Hoja3!$C$3:$D$14,2,FALSE)</f>
        <v>#N/A</v>
      </c>
      <c r="C563" s="108"/>
      <c r="D563" s="108"/>
      <c r="E563" s="109"/>
      <c r="F563" s="109"/>
      <c r="G563" s="110" t="e">
        <f t="shared" si="122"/>
        <v>#N/A</v>
      </c>
      <c r="H563" s="252"/>
      <c r="I563" s="102" t="e">
        <f t="shared" si="123"/>
        <v>#N/A</v>
      </c>
      <c r="J563">
        <f t="shared" si="129"/>
        <v>0</v>
      </c>
      <c r="K563" t="e">
        <f t="shared" si="125"/>
        <v>#N/A</v>
      </c>
      <c r="L563" s="111">
        <f t="shared" si="126"/>
        <v>0</v>
      </c>
      <c r="M563" s="112">
        <f t="shared" si="127"/>
        <v>0</v>
      </c>
      <c r="N563" s="112">
        <f t="shared" si="128"/>
        <v>0</v>
      </c>
    </row>
    <row r="564" spans="1:14" x14ac:dyDescent="0.35">
      <c r="A564" s="106">
        <f t="shared" si="124"/>
        <v>0</v>
      </c>
      <c r="B564" s="107" t="e">
        <f>VLOOKUP(A564,[1]Hoja3!$C$3:$D$14,2,FALSE)</f>
        <v>#N/A</v>
      </c>
      <c r="C564" s="108"/>
      <c r="D564" s="108"/>
      <c r="E564" s="109"/>
      <c r="F564" s="109"/>
      <c r="G564" s="110" t="e">
        <f t="shared" si="122"/>
        <v>#N/A</v>
      </c>
      <c r="H564" s="252"/>
      <c r="I564" s="102" t="e">
        <f t="shared" si="123"/>
        <v>#N/A</v>
      </c>
      <c r="J564">
        <f t="shared" si="129"/>
        <v>0</v>
      </c>
      <c r="K564" t="e">
        <f t="shared" si="125"/>
        <v>#N/A</v>
      </c>
      <c r="L564" s="111">
        <f t="shared" si="126"/>
        <v>0</v>
      </c>
      <c r="M564" s="112">
        <f t="shared" si="127"/>
        <v>0</v>
      </c>
      <c r="N564" s="112">
        <f t="shared" si="128"/>
        <v>0</v>
      </c>
    </row>
    <row r="565" spans="1:14" x14ac:dyDescent="0.35">
      <c r="A565" s="106">
        <f t="shared" si="124"/>
        <v>0</v>
      </c>
      <c r="B565" s="107" t="e">
        <f>VLOOKUP(A565,[1]Hoja3!$C$3:$D$14,2,FALSE)</f>
        <v>#N/A</v>
      </c>
      <c r="C565" s="108"/>
      <c r="D565" s="108"/>
      <c r="E565" s="109"/>
      <c r="F565" s="109"/>
      <c r="G565" s="110" t="e">
        <f t="shared" si="122"/>
        <v>#N/A</v>
      </c>
      <c r="H565" s="252"/>
      <c r="I565" s="102" t="e">
        <f t="shared" si="123"/>
        <v>#N/A</v>
      </c>
      <c r="J565">
        <f t="shared" si="129"/>
        <v>0</v>
      </c>
      <c r="K565" t="e">
        <f t="shared" si="125"/>
        <v>#N/A</v>
      </c>
      <c r="L565" s="111">
        <f t="shared" si="126"/>
        <v>0</v>
      </c>
      <c r="M565" s="112">
        <f t="shared" si="127"/>
        <v>0</v>
      </c>
      <c r="N565" s="112">
        <f t="shared" si="128"/>
        <v>0</v>
      </c>
    </row>
    <row r="566" spans="1:14" x14ac:dyDescent="0.35">
      <c r="A566" s="106">
        <f t="shared" si="124"/>
        <v>0</v>
      </c>
      <c r="B566" s="107" t="e">
        <f>VLOOKUP(A566,[1]Hoja3!$C$3:$D$14,2,FALSE)</f>
        <v>#N/A</v>
      </c>
      <c r="C566" s="108"/>
      <c r="D566" s="108"/>
      <c r="E566" s="109"/>
      <c r="F566" s="109"/>
      <c r="G566" s="110" t="e">
        <f t="shared" si="122"/>
        <v>#N/A</v>
      </c>
      <c r="H566" s="252"/>
      <c r="I566" s="102" t="e">
        <f t="shared" si="123"/>
        <v>#N/A</v>
      </c>
      <c r="J566">
        <f t="shared" si="129"/>
        <v>0</v>
      </c>
      <c r="K566" t="e">
        <f t="shared" si="125"/>
        <v>#N/A</v>
      </c>
      <c r="L566" s="111">
        <f t="shared" si="126"/>
        <v>0</v>
      </c>
      <c r="M566" s="112">
        <f t="shared" si="127"/>
        <v>0</v>
      </c>
      <c r="N566" s="112">
        <f t="shared" si="128"/>
        <v>0</v>
      </c>
    </row>
    <row r="567" spans="1:14" x14ac:dyDescent="0.35">
      <c r="A567" s="106">
        <f t="shared" si="124"/>
        <v>0</v>
      </c>
      <c r="B567" s="107" t="e">
        <f>VLOOKUP(A567,[1]Hoja3!$C$3:$D$14,2,FALSE)</f>
        <v>#N/A</v>
      </c>
      <c r="C567" s="108"/>
      <c r="D567" s="108"/>
      <c r="E567" s="109"/>
      <c r="F567" s="109"/>
      <c r="G567" s="110" t="e">
        <f t="shared" si="122"/>
        <v>#N/A</v>
      </c>
      <c r="H567" s="252"/>
      <c r="I567" s="102" t="e">
        <f t="shared" si="123"/>
        <v>#N/A</v>
      </c>
      <c r="J567">
        <f t="shared" si="129"/>
        <v>0</v>
      </c>
      <c r="K567" t="e">
        <f t="shared" si="125"/>
        <v>#N/A</v>
      </c>
      <c r="L567" s="111">
        <f t="shared" si="126"/>
        <v>0</v>
      </c>
      <c r="M567" s="112">
        <f t="shared" si="127"/>
        <v>0</v>
      </c>
      <c r="N567" s="112">
        <f t="shared" si="128"/>
        <v>0</v>
      </c>
    </row>
    <row r="568" spans="1:14" x14ac:dyDescent="0.35">
      <c r="A568" s="106">
        <f t="shared" si="124"/>
        <v>0</v>
      </c>
      <c r="B568" s="107" t="e">
        <f>VLOOKUP(A568,[1]Hoja3!$C$3:$D$14,2,FALSE)</f>
        <v>#N/A</v>
      </c>
      <c r="C568" s="108"/>
      <c r="D568" s="108"/>
      <c r="E568" s="109"/>
      <c r="F568" s="109"/>
      <c r="G568" s="110" t="e">
        <f t="shared" si="122"/>
        <v>#N/A</v>
      </c>
      <c r="H568" s="252"/>
      <c r="I568" s="102" t="e">
        <f t="shared" si="123"/>
        <v>#N/A</v>
      </c>
      <c r="J568">
        <f t="shared" si="129"/>
        <v>0</v>
      </c>
      <c r="K568" t="e">
        <f t="shared" si="125"/>
        <v>#N/A</v>
      </c>
      <c r="L568" s="111">
        <f t="shared" si="126"/>
        <v>0</v>
      </c>
      <c r="M568" s="112">
        <f t="shared" si="127"/>
        <v>0</v>
      </c>
      <c r="N568" s="112">
        <f t="shared" si="128"/>
        <v>0</v>
      </c>
    </row>
    <row r="569" spans="1:14" x14ac:dyDescent="0.35">
      <c r="A569" s="106">
        <f t="shared" si="124"/>
        <v>0</v>
      </c>
      <c r="B569" s="107" t="e">
        <f>VLOOKUP(A569,[1]Hoja3!$C$3:$D$14,2,FALSE)</f>
        <v>#N/A</v>
      </c>
      <c r="C569" s="108"/>
      <c r="D569" s="108"/>
      <c r="E569" s="109"/>
      <c r="F569" s="109"/>
      <c r="G569" s="110" t="e">
        <f t="shared" si="122"/>
        <v>#N/A</v>
      </c>
      <c r="H569" s="252"/>
      <c r="I569" s="102" t="e">
        <f t="shared" si="123"/>
        <v>#N/A</v>
      </c>
      <c r="J569">
        <f t="shared" si="129"/>
        <v>0</v>
      </c>
      <c r="K569" t="e">
        <f t="shared" si="125"/>
        <v>#N/A</v>
      </c>
      <c r="L569" s="111">
        <f t="shared" si="126"/>
        <v>0</v>
      </c>
      <c r="M569" s="112">
        <f t="shared" si="127"/>
        <v>0</v>
      </c>
      <c r="N569" s="112">
        <f t="shared" si="128"/>
        <v>0</v>
      </c>
    </row>
    <row r="570" spans="1:14" x14ac:dyDescent="0.35">
      <c r="A570" s="106">
        <f t="shared" si="124"/>
        <v>0</v>
      </c>
      <c r="B570" s="107" t="e">
        <f>VLOOKUP(A570,[1]Hoja3!$C$3:$D$14,2,FALSE)</f>
        <v>#N/A</v>
      </c>
      <c r="C570" s="108"/>
      <c r="D570" s="108"/>
      <c r="E570" s="109"/>
      <c r="F570" s="109"/>
      <c r="G570" s="110" t="e">
        <f t="shared" si="122"/>
        <v>#N/A</v>
      </c>
      <c r="H570" s="252"/>
      <c r="I570" s="102" t="e">
        <f t="shared" si="123"/>
        <v>#N/A</v>
      </c>
      <c r="J570">
        <f t="shared" si="129"/>
        <v>0</v>
      </c>
      <c r="K570" t="e">
        <f t="shared" si="125"/>
        <v>#N/A</v>
      </c>
      <c r="L570" s="111">
        <f t="shared" si="126"/>
        <v>0</v>
      </c>
      <c r="M570" s="112">
        <f t="shared" si="127"/>
        <v>0</v>
      </c>
      <c r="N570" s="112">
        <f t="shared" si="128"/>
        <v>0</v>
      </c>
    </row>
    <row r="571" spans="1:14" x14ac:dyDescent="0.35">
      <c r="A571" s="106">
        <f t="shared" si="124"/>
        <v>0</v>
      </c>
      <c r="B571" s="107" t="e">
        <f>VLOOKUP(A571,[1]Hoja3!$C$3:$D$14,2,FALSE)</f>
        <v>#N/A</v>
      </c>
      <c r="C571" s="108"/>
      <c r="D571" s="108"/>
      <c r="E571" s="109"/>
      <c r="F571" s="109"/>
      <c r="G571" s="110" t="e">
        <f t="shared" si="122"/>
        <v>#N/A</v>
      </c>
      <c r="H571" s="252"/>
      <c r="I571" s="102" t="e">
        <f t="shared" si="123"/>
        <v>#N/A</v>
      </c>
      <c r="J571">
        <f t="shared" si="129"/>
        <v>0</v>
      </c>
      <c r="K571" t="e">
        <f t="shared" si="125"/>
        <v>#N/A</v>
      </c>
      <c r="L571" s="111">
        <f t="shared" si="126"/>
        <v>0</v>
      </c>
      <c r="M571" s="112">
        <f t="shared" si="127"/>
        <v>0</v>
      </c>
      <c r="N571" s="112">
        <f t="shared" si="128"/>
        <v>0</v>
      </c>
    </row>
    <row r="572" spans="1:14" x14ac:dyDescent="0.35">
      <c r="A572" s="106">
        <f t="shared" si="124"/>
        <v>0</v>
      </c>
      <c r="B572" s="107" t="e">
        <f>VLOOKUP(A572,[1]Hoja3!$C$3:$D$14,2,FALSE)</f>
        <v>#N/A</v>
      </c>
      <c r="C572" s="108"/>
      <c r="D572" s="108"/>
      <c r="E572" s="109"/>
      <c r="F572" s="109"/>
      <c r="G572" s="110" t="e">
        <f t="shared" si="122"/>
        <v>#N/A</v>
      </c>
      <c r="H572" s="252"/>
      <c r="I572" s="102" t="e">
        <f t="shared" si="123"/>
        <v>#N/A</v>
      </c>
      <c r="J572">
        <f t="shared" si="129"/>
        <v>0</v>
      </c>
      <c r="K572" t="e">
        <f t="shared" si="125"/>
        <v>#N/A</v>
      </c>
      <c r="L572" s="111">
        <f t="shared" si="126"/>
        <v>0</v>
      </c>
      <c r="M572" s="112">
        <f t="shared" si="127"/>
        <v>0</v>
      </c>
      <c r="N572" s="112">
        <f t="shared" si="128"/>
        <v>0</v>
      </c>
    </row>
    <row r="573" spans="1:14" x14ac:dyDescent="0.35">
      <c r="A573" s="106">
        <f t="shared" si="124"/>
        <v>0</v>
      </c>
      <c r="B573" s="107" t="e">
        <f>VLOOKUP(A573,[1]Hoja3!$C$3:$D$14,2,FALSE)</f>
        <v>#N/A</v>
      </c>
      <c r="C573" s="108"/>
      <c r="D573" s="108"/>
      <c r="E573" s="109"/>
      <c r="F573" s="109"/>
      <c r="G573" s="110" t="e">
        <f t="shared" si="122"/>
        <v>#N/A</v>
      </c>
      <c r="H573" s="252"/>
      <c r="I573" s="102" t="e">
        <f t="shared" si="123"/>
        <v>#N/A</v>
      </c>
      <c r="J573">
        <f t="shared" si="129"/>
        <v>0</v>
      </c>
      <c r="K573" t="e">
        <f t="shared" si="125"/>
        <v>#N/A</v>
      </c>
      <c r="L573" s="111">
        <f t="shared" si="126"/>
        <v>0</v>
      </c>
      <c r="M573" s="112">
        <f t="shared" si="127"/>
        <v>0</v>
      </c>
      <c r="N573" s="112">
        <f t="shared" si="128"/>
        <v>0</v>
      </c>
    </row>
    <row r="574" spans="1:14" x14ac:dyDescent="0.35">
      <c r="A574" s="106">
        <f t="shared" si="124"/>
        <v>0</v>
      </c>
      <c r="B574" s="107" t="e">
        <f>VLOOKUP(A574,[1]Hoja3!$C$3:$D$14,2,FALSE)</f>
        <v>#N/A</v>
      </c>
      <c r="C574" s="108"/>
      <c r="D574" s="108"/>
      <c r="E574" s="109"/>
      <c r="F574" s="109"/>
      <c r="G574" s="110" t="e">
        <f t="shared" si="122"/>
        <v>#N/A</v>
      </c>
      <c r="H574" s="252"/>
      <c r="I574" s="102" t="e">
        <f t="shared" si="123"/>
        <v>#N/A</v>
      </c>
      <c r="J574">
        <f t="shared" si="129"/>
        <v>0</v>
      </c>
      <c r="K574" t="e">
        <f t="shared" si="125"/>
        <v>#N/A</v>
      </c>
      <c r="L574" s="111">
        <f t="shared" si="126"/>
        <v>0</v>
      </c>
      <c r="M574" s="112">
        <f t="shared" si="127"/>
        <v>0</v>
      </c>
      <c r="N574" s="112">
        <f t="shared" si="128"/>
        <v>0</v>
      </c>
    </row>
    <row r="575" spans="1:14" x14ac:dyDescent="0.35">
      <c r="A575" s="106">
        <f t="shared" si="124"/>
        <v>0</v>
      </c>
      <c r="B575" s="107" t="e">
        <f>VLOOKUP(A575,[1]Hoja3!$C$3:$D$14,2,FALSE)</f>
        <v>#N/A</v>
      </c>
      <c r="C575" s="108"/>
      <c r="D575" s="108"/>
      <c r="E575" s="109"/>
      <c r="F575" s="109"/>
      <c r="G575" s="110" t="e">
        <f t="shared" si="122"/>
        <v>#N/A</v>
      </c>
      <c r="H575" s="252"/>
      <c r="I575" s="102" t="e">
        <f t="shared" si="123"/>
        <v>#N/A</v>
      </c>
      <c r="J575">
        <f t="shared" si="129"/>
        <v>0</v>
      </c>
      <c r="K575" t="e">
        <f t="shared" si="125"/>
        <v>#N/A</v>
      </c>
      <c r="L575" s="111">
        <f t="shared" si="126"/>
        <v>0</v>
      </c>
      <c r="M575" s="112">
        <f t="shared" si="127"/>
        <v>0</v>
      </c>
      <c r="N575" s="112">
        <f t="shared" si="128"/>
        <v>0</v>
      </c>
    </row>
    <row r="576" spans="1:14" x14ac:dyDescent="0.35">
      <c r="A576" s="106">
        <f t="shared" si="124"/>
        <v>0</v>
      </c>
      <c r="B576" s="107" t="e">
        <f>VLOOKUP(A576,[1]Hoja3!$C$3:$D$14,2,FALSE)</f>
        <v>#N/A</v>
      </c>
      <c r="C576" s="108"/>
      <c r="D576" s="108"/>
      <c r="E576" s="109"/>
      <c r="F576" s="109"/>
      <c r="G576" s="110" t="e">
        <f t="shared" si="122"/>
        <v>#N/A</v>
      </c>
      <c r="H576" s="252"/>
      <c r="I576" s="102" t="e">
        <f t="shared" si="123"/>
        <v>#N/A</v>
      </c>
      <c r="J576">
        <f t="shared" si="129"/>
        <v>0</v>
      </c>
      <c r="K576" t="e">
        <f t="shared" si="125"/>
        <v>#N/A</v>
      </c>
      <c r="L576" s="111">
        <f t="shared" si="126"/>
        <v>0</v>
      </c>
      <c r="M576" s="112">
        <f t="shared" si="127"/>
        <v>0</v>
      </c>
      <c r="N576" s="112">
        <f t="shared" si="128"/>
        <v>0</v>
      </c>
    </row>
    <row r="577" spans="1:14" x14ac:dyDescent="0.35">
      <c r="A577" s="106">
        <f t="shared" si="124"/>
        <v>0</v>
      </c>
      <c r="B577" s="107" t="e">
        <f>VLOOKUP(A577,[1]Hoja3!$C$3:$D$14,2,FALSE)</f>
        <v>#N/A</v>
      </c>
      <c r="C577" s="108"/>
      <c r="D577" s="108"/>
      <c r="E577" s="109"/>
      <c r="F577" s="109"/>
      <c r="G577" s="110" t="e">
        <f t="shared" si="122"/>
        <v>#N/A</v>
      </c>
      <c r="H577" s="252"/>
      <c r="I577" s="102" t="e">
        <f t="shared" si="123"/>
        <v>#N/A</v>
      </c>
      <c r="J577">
        <f t="shared" si="129"/>
        <v>0</v>
      </c>
      <c r="K577" t="e">
        <f t="shared" si="125"/>
        <v>#N/A</v>
      </c>
      <c r="L577" s="111">
        <f t="shared" si="126"/>
        <v>0</v>
      </c>
      <c r="M577" s="112">
        <f t="shared" si="127"/>
        <v>0</v>
      </c>
      <c r="N577" s="112">
        <f t="shared" si="128"/>
        <v>0</v>
      </c>
    </row>
    <row r="578" spans="1:14" x14ac:dyDescent="0.35">
      <c r="A578" s="106">
        <f t="shared" si="124"/>
        <v>0</v>
      </c>
      <c r="B578" s="107" t="e">
        <f>VLOOKUP(A578,[1]Hoja3!$C$3:$D$14,2,FALSE)</f>
        <v>#N/A</v>
      </c>
      <c r="C578" s="108"/>
      <c r="D578" s="108"/>
      <c r="E578" s="109"/>
      <c r="F578" s="109"/>
      <c r="G578" s="110" t="e">
        <f t="shared" si="122"/>
        <v>#N/A</v>
      </c>
      <c r="H578" s="252"/>
      <c r="I578" s="102" t="e">
        <f t="shared" si="123"/>
        <v>#N/A</v>
      </c>
      <c r="J578">
        <f t="shared" si="129"/>
        <v>0</v>
      </c>
      <c r="K578" t="e">
        <f t="shared" si="125"/>
        <v>#N/A</v>
      </c>
      <c r="L578" s="111">
        <f t="shared" si="126"/>
        <v>0</v>
      </c>
      <c r="M578" s="112">
        <f t="shared" si="127"/>
        <v>0</v>
      </c>
      <c r="N578" s="112">
        <f t="shared" si="128"/>
        <v>0</v>
      </c>
    </row>
    <row r="579" spans="1:14" x14ac:dyDescent="0.35">
      <c r="A579" s="106">
        <f t="shared" si="124"/>
        <v>0</v>
      </c>
      <c r="B579" s="107" t="e">
        <f>VLOOKUP(A579,[1]Hoja3!$C$3:$D$14,2,FALSE)</f>
        <v>#N/A</v>
      </c>
      <c r="C579" s="108"/>
      <c r="D579" s="108"/>
      <c r="E579" s="109"/>
      <c r="F579" s="109"/>
      <c r="G579" s="110" t="e">
        <f t="shared" si="122"/>
        <v>#N/A</v>
      </c>
      <c r="H579" s="252"/>
      <c r="I579" s="102" t="e">
        <f t="shared" si="123"/>
        <v>#N/A</v>
      </c>
      <c r="J579">
        <f t="shared" si="129"/>
        <v>0</v>
      </c>
      <c r="K579" t="e">
        <f t="shared" si="125"/>
        <v>#N/A</v>
      </c>
      <c r="L579" s="111">
        <f t="shared" si="126"/>
        <v>0</v>
      </c>
      <c r="M579" s="112">
        <f t="shared" si="127"/>
        <v>0</v>
      </c>
      <c r="N579" s="112">
        <f t="shared" si="128"/>
        <v>0</v>
      </c>
    </row>
    <row r="580" spans="1:14" x14ac:dyDescent="0.35">
      <c r="A580" s="106">
        <f t="shared" si="124"/>
        <v>0</v>
      </c>
      <c r="B580" s="107" t="e">
        <f>VLOOKUP(A580,[1]Hoja3!$C$3:$D$14,2,FALSE)</f>
        <v>#N/A</v>
      </c>
      <c r="C580" s="108"/>
      <c r="D580" s="108"/>
      <c r="E580" s="109"/>
      <c r="F580" s="109"/>
      <c r="G580" s="110" t="e">
        <f t="shared" si="122"/>
        <v>#N/A</v>
      </c>
      <c r="H580" s="252"/>
      <c r="I580" s="102" t="e">
        <f t="shared" si="123"/>
        <v>#N/A</v>
      </c>
      <c r="J580">
        <f t="shared" si="129"/>
        <v>0</v>
      </c>
      <c r="K580" t="e">
        <f t="shared" si="125"/>
        <v>#N/A</v>
      </c>
      <c r="L580" s="111">
        <f t="shared" si="126"/>
        <v>0</v>
      </c>
      <c r="M580" s="112">
        <f t="shared" si="127"/>
        <v>0</v>
      </c>
      <c r="N580" s="112">
        <f t="shared" si="128"/>
        <v>0</v>
      </c>
    </row>
    <row r="581" spans="1:14" x14ac:dyDescent="0.35">
      <c r="A581" s="106">
        <f t="shared" si="124"/>
        <v>0</v>
      </c>
      <c r="B581" s="107" t="e">
        <f>VLOOKUP(A581,[1]Hoja3!$C$3:$D$14,2,FALSE)</f>
        <v>#N/A</v>
      </c>
      <c r="C581" s="108"/>
      <c r="D581" s="108"/>
      <c r="E581" s="109"/>
      <c r="F581" s="109"/>
      <c r="G581" s="110" t="e">
        <f t="shared" si="122"/>
        <v>#N/A</v>
      </c>
      <c r="H581" s="252"/>
      <c r="I581" s="102" t="e">
        <f t="shared" si="123"/>
        <v>#N/A</v>
      </c>
      <c r="J581">
        <f t="shared" si="129"/>
        <v>0</v>
      </c>
      <c r="K581" t="e">
        <f t="shared" si="125"/>
        <v>#N/A</v>
      </c>
      <c r="L581" s="111">
        <f t="shared" si="126"/>
        <v>0</v>
      </c>
      <c r="M581" s="112">
        <f t="shared" si="127"/>
        <v>0</v>
      </c>
      <c r="N581" s="112">
        <f t="shared" si="128"/>
        <v>0</v>
      </c>
    </row>
    <row r="582" spans="1:14" x14ac:dyDescent="0.35">
      <c r="A582" s="106">
        <f t="shared" si="124"/>
        <v>0</v>
      </c>
      <c r="B582" s="107" t="e">
        <f>VLOOKUP(A582,[1]Hoja3!$C$3:$D$14,2,FALSE)</f>
        <v>#N/A</v>
      </c>
      <c r="C582" s="108"/>
      <c r="D582" s="108"/>
      <c r="E582" s="109"/>
      <c r="F582" s="109"/>
      <c r="G582" s="110" t="e">
        <f t="shared" si="122"/>
        <v>#N/A</v>
      </c>
      <c r="H582" s="252"/>
      <c r="I582" s="102" t="e">
        <f t="shared" si="123"/>
        <v>#N/A</v>
      </c>
      <c r="J582">
        <f t="shared" si="129"/>
        <v>0</v>
      </c>
      <c r="K582" t="e">
        <f t="shared" si="125"/>
        <v>#N/A</v>
      </c>
      <c r="L582" s="111">
        <f t="shared" si="126"/>
        <v>0</v>
      </c>
      <c r="M582" s="112">
        <f t="shared" si="127"/>
        <v>0</v>
      </c>
      <c r="N582" s="112">
        <f t="shared" si="128"/>
        <v>0</v>
      </c>
    </row>
    <row r="583" spans="1:14" x14ac:dyDescent="0.35">
      <c r="A583" s="106">
        <f t="shared" si="124"/>
        <v>0</v>
      </c>
      <c r="B583" s="107" t="e">
        <f>VLOOKUP(A583,[1]Hoja3!$C$3:$D$14,2,FALSE)</f>
        <v>#N/A</v>
      </c>
      <c r="C583" s="108"/>
      <c r="D583" s="108"/>
      <c r="E583" s="109"/>
      <c r="F583" s="109"/>
      <c r="G583" s="110" t="e">
        <f t="shared" si="122"/>
        <v>#N/A</v>
      </c>
      <c r="H583" s="252"/>
      <c r="I583" s="102" t="e">
        <f t="shared" si="123"/>
        <v>#N/A</v>
      </c>
      <c r="J583">
        <f t="shared" si="129"/>
        <v>0</v>
      </c>
      <c r="K583" t="e">
        <f t="shared" si="125"/>
        <v>#N/A</v>
      </c>
      <c r="L583" s="111">
        <f t="shared" si="126"/>
        <v>0</v>
      </c>
      <c r="M583" s="112">
        <f t="shared" si="127"/>
        <v>0</v>
      </c>
      <c r="N583" s="112">
        <f t="shared" si="128"/>
        <v>0</v>
      </c>
    </row>
    <row r="584" spans="1:14" x14ac:dyDescent="0.35">
      <c r="A584" s="106">
        <f t="shared" si="124"/>
        <v>0</v>
      </c>
      <c r="B584" s="107" t="e">
        <f>VLOOKUP(A584,[1]Hoja3!$C$3:$D$14,2,FALSE)</f>
        <v>#N/A</v>
      </c>
      <c r="C584" s="108"/>
      <c r="D584" s="108"/>
      <c r="E584" s="109"/>
      <c r="F584" s="109"/>
      <c r="G584" s="110" t="e">
        <f t="shared" si="122"/>
        <v>#N/A</v>
      </c>
      <c r="H584" s="252"/>
      <c r="I584" s="102" t="e">
        <f t="shared" si="123"/>
        <v>#N/A</v>
      </c>
      <c r="J584">
        <f t="shared" ref="J584:J647" si="130">+H584*0.16</f>
        <v>0</v>
      </c>
      <c r="K584" t="e">
        <f t="shared" si="125"/>
        <v>#N/A</v>
      </c>
      <c r="L584" s="111">
        <f t="shared" si="126"/>
        <v>0</v>
      </c>
      <c r="M584" s="112">
        <f t="shared" si="127"/>
        <v>0</v>
      </c>
      <c r="N584" s="112">
        <f t="shared" si="128"/>
        <v>0</v>
      </c>
    </row>
    <row r="585" spans="1:14" x14ac:dyDescent="0.35">
      <c r="A585" s="106">
        <f t="shared" si="124"/>
        <v>0</v>
      </c>
      <c r="B585" s="107" t="e">
        <f>VLOOKUP(A585,[1]Hoja3!$C$3:$D$14,2,FALSE)</f>
        <v>#N/A</v>
      </c>
      <c r="C585" s="108"/>
      <c r="D585" s="108"/>
      <c r="E585" s="109"/>
      <c r="F585" s="109"/>
      <c r="G585" s="110" t="e">
        <f t="shared" si="122"/>
        <v>#N/A</v>
      </c>
      <c r="H585" s="252"/>
      <c r="I585" s="102" t="e">
        <f t="shared" si="123"/>
        <v>#N/A</v>
      </c>
      <c r="J585">
        <f t="shared" si="130"/>
        <v>0</v>
      </c>
      <c r="K585" t="e">
        <f t="shared" si="125"/>
        <v>#N/A</v>
      </c>
      <c r="L585" s="111">
        <f t="shared" si="126"/>
        <v>0</v>
      </c>
      <c r="M585" s="112">
        <f t="shared" si="127"/>
        <v>0</v>
      </c>
      <c r="N585" s="112">
        <f t="shared" si="128"/>
        <v>0</v>
      </c>
    </row>
    <row r="586" spans="1:14" x14ac:dyDescent="0.35">
      <c r="A586" s="106">
        <f t="shared" si="124"/>
        <v>0</v>
      </c>
      <c r="B586" s="107" t="e">
        <f>VLOOKUP(A586,[1]Hoja3!$C$3:$D$14,2,FALSE)</f>
        <v>#N/A</v>
      </c>
      <c r="C586" s="108"/>
      <c r="D586" s="108"/>
      <c r="E586" s="109"/>
      <c r="F586" s="109"/>
      <c r="G586" s="110" t="e">
        <f t="shared" si="122"/>
        <v>#N/A</v>
      </c>
      <c r="H586" s="252"/>
      <c r="I586" s="102" t="e">
        <f t="shared" si="123"/>
        <v>#N/A</v>
      </c>
      <c r="J586">
        <f t="shared" si="130"/>
        <v>0</v>
      </c>
      <c r="K586" t="e">
        <f t="shared" si="125"/>
        <v>#N/A</v>
      </c>
      <c r="L586" s="111">
        <f t="shared" si="126"/>
        <v>0</v>
      </c>
      <c r="M586" s="112">
        <f t="shared" si="127"/>
        <v>0</v>
      </c>
      <c r="N586" s="112">
        <f t="shared" si="128"/>
        <v>0</v>
      </c>
    </row>
    <row r="587" spans="1:14" x14ac:dyDescent="0.35">
      <c r="A587" s="106">
        <f t="shared" si="124"/>
        <v>0</v>
      </c>
      <c r="B587" s="107" t="e">
        <f>VLOOKUP(A587,[1]Hoja3!$C$3:$D$14,2,FALSE)</f>
        <v>#N/A</v>
      </c>
      <c r="C587" s="108"/>
      <c r="D587" s="108"/>
      <c r="E587" s="109"/>
      <c r="F587" s="109"/>
      <c r="G587" s="110" t="e">
        <f t="shared" si="122"/>
        <v>#N/A</v>
      </c>
      <c r="H587" s="252"/>
      <c r="I587" s="102" t="e">
        <f t="shared" si="123"/>
        <v>#N/A</v>
      </c>
      <c r="J587">
        <f t="shared" si="130"/>
        <v>0</v>
      </c>
      <c r="K587" t="e">
        <f t="shared" si="125"/>
        <v>#N/A</v>
      </c>
      <c r="L587" s="111">
        <f t="shared" si="126"/>
        <v>0</v>
      </c>
      <c r="M587" s="112">
        <f t="shared" si="127"/>
        <v>0</v>
      </c>
      <c r="N587" s="112">
        <f t="shared" si="128"/>
        <v>0</v>
      </c>
    </row>
    <row r="588" spans="1:14" x14ac:dyDescent="0.35">
      <c r="A588" s="106">
        <f t="shared" si="124"/>
        <v>0</v>
      </c>
      <c r="B588" s="107" t="e">
        <f>VLOOKUP(A588,[1]Hoja3!$C$3:$D$14,2,FALSE)</f>
        <v>#N/A</v>
      </c>
      <c r="C588" s="108"/>
      <c r="D588" s="108"/>
      <c r="E588" s="109"/>
      <c r="F588" s="109"/>
      <c r="G588" s="110" t="e">
        <f t="shared" ref="G588:G651" si="131">+B588</f>
        <v>#N/A</v>
      </c>
      <c r="H588" s="252"/>
      <c r="I588" s="102" t="e">
        <f t="shared" ref="I588:I651" si="132">+B588</f>
        <v>#N/A</v>
      </c>
      <c r="J588">
        <f t="shared" si="130"/>
        <v>0</v>
      </c>
      <c r="K588" t="e">
        <f t="shared" si="125"/>
        <v>#N/A</v>
      </c>
      <c r="L588" s="111">
        <f t="shared" si="126"/>
        <v>0</v>
      </c>
      <c r="M588" s="112">
        <f t="shared" si="127"/>
        <v>0</v>
      </c>
      <c r="N588" s="112">
        <f t="shared" si="128"/>
        <v>0</v>
      </c>
    </row>
    <row r="589" spans="1:14" x14ac:dyDescent="0.35">
      <c r="A589" s="106">
        <f t="shared" si="124"/>
        <v>0</v>
      </c>
      <c r="B589" s="107" t="e">
        <f>VLOOKUP(A589,[1]Hoja3!$C$3:$D$14,2,FALSE)</f>
        <v>#N/A</v>
      </c>
      <c r="C589" s="108"/>
      <c r="D589" s="108"/>
      <c r="E589" s="109"/>
      <c r="F589" s="109"/>
      <c r="G589" s="110" t="e">
        <f t="shared" si="131"/>
        <v>#N/A</v>
      </c>
      <c r="H589" s="252"/>
      <c r="I589" s="102" t="e">
        <f t="shared" si="132"/>
        <v>#N/A</v>
      </c>
      <c r="J589">
        <f t="shared" si="130"/>
        <v>0</v>
      </c>
      <c r="K589" t="e">
        <f t="shared" si="125"/>
        <v>#N/A</v>
      </c>
      <c r="L589" s="111">
        <f t="shared" si="126"/>
        <v>0</v>
      </c>
      <c r="M589" s="112">
        <f t="shared" si="127"/>
        <v>0</v>
      </c>
      <c r="N589" s="112">
        <f t="shared" si="128"/>
        <v>0</v>
      </c>
    </row>
    <row r="590" spans="1:14" x14ac:dyDescent="0.35">
      <c r="A590" s="106">
        <f t="shared" si="124"/>
        <v>0</v>
      </c>
      <c r="B590" s="107" t="e">
        <f>VLOOKUP(A590,[1]Hoja3!$C$3:$D$14,2,FALSE)</f>
        <v>#N/A</v>
      </c>
      <c r="C590" s="108"/>
      <c r="D590" s="108"/>
      <c r="E590" s="109"/>
      <c r="F590" s="109"/>
      <c r="G590" s="110" t="e">
        <f t="shared" si="131"/>
        <v>#N/A</v>
      </c>
      <c r="H590" s="252"/>
      <c r="I590" s="102" t="e">
        <f t="shared" si="132"/>
        <v>#N/A</v>
      </c>
      <c r="J590">
        <f t="shared" si="130"/>
        <v>0</v>
      </c>
      <c r="K590" t="e">
        <f t="shared" si="125"/>
        <v>#N/A</v>
      </c>
      <c r="L590" s="111">
        <f t="shared" si="126"/>
        <v>0</v>
      </c>
      <c r="M590" s="112">
        <f t="shared" si="127"/>
        <v>0</v>
      </c>
      <c r="N590" s="112">
        <f t="shared" si="128"/>
        <v>0</v>
      </c>
    </row>
    <row r="591" spans="1:14" x14ac:dyDescent="0.35">
      <c r="A591" s="106">
        <f t="shared" si="124"/>
        <v>0</v>
      </c>
      <c r="B591" s="107" t="e">
        <f>VLOOKUP(A591,[1]Hoja3!$C$3:$D$14,2,FALSE)</f>
        <v>#N/A</v>
      </c>
      <c r="C591" s="108"/>
      <c r="D591" s="108"/>
      <c r="E591" s="109"/>
      <c r="F591" s="109"/>
      <c r="G591" s="110" t="e">
        <f t="shared" si="131"/>
        <v>#N/A</v>
      </c>
      <c r="H591" s="252"/>
      <c r="I591" s="102" t="e">
        <f t="shared" si="132"/>
        <v>#N/A</v>
      </c>
      <c r="J591">
        <f t="shared" si="130"/>
        <v>0</v>
      </c>
      <c r="K591" t="e">
        <f t="shared" si="125"/>
        <v>#N/A</v>
      </c>
      <c r="L591" s="111">
        <f t="shared" si="126"/>
        <v>0</v>
      </c>
      <c r="M591" s="112">
        <f t="shared" si="127"/>
        <v>0</v>
      </c>
      <c r="N591" s="112">
        <f t="shared" si="128"/>
        <v>0</v>
      </c>
    </row>
    <row r="592" spans="1:14" x14ac:dyDescent="0.35">
      <c r="A592" s="106">
        <f t="shared" si="124"/>
        <v>0</v>
      </c>
      <c r="B592" s="107" t="e">
        <f>VLOOKUP(A592,[1]Hoja3!$C$3:$D$14,2,FALSE)</f>
        <v>#N/A</v>
      </c>
      <c r="C592" s="108"/>
      <c r="D592" s="108"/>
      <c r="E592" s="109"/>
      <c r="F592" s="109"/>
      <c r="G592" s="110" t="e">
        <f t="shared" si="131"/>
        <v>#N/A</v>
      </c>
      <c r="H592" s="252"/>
      <c r="I592" s="102" t="e">
        <f t="shared" si="132"/>
        <v>#N/A</v>
      </c>
      <c r="J592">
        <f t="shared" si="130"/>
        <v>0</v>
      </c>
      <c r="K592" t="e">
        <f t="shared" si="125"/>
        <v>#N/A</v>
      </c>
      <c r="L592" s="111">
        <f t="shared" si="126"/>
        <v>0</v>
      </c>
      <c r="M592" s="112">
        <f t="shared" si="127"/>
        <v>0</v>
      </c>
      <c r="N592" s="112">
        <f t="shared" si="128"/>
        <v>0</v>
      </c>
    </row>
    <row r="593" spans="1:14" x14ac:dyDescent="0.35">
      <c r="A593" s="106">
        <f t="shared" si="124"/>
        <v>0</v>
      </c>
      <c r="B593" s="107" t="e">
        <f>VLOOKUP(A593,[1]Hoja3!$C$3:$D$14,2,FALSE)</f>
        <v>#N/A</v>
      </c>
      <c r="C593" s="108"/>
      <c r="D593" s="108"/>
      <c r="E593" s="109"/>
      <c r="F593" s="109"/>
      <c r="G593" s="110" t="e">
        <f t="shared" si="131"/>
        <v>#N/A</v>
      </c>
      <c r="H593" s="252"/>
      <c r="I593" s="102" t="e">
        <f t="shared" si="132"/>
        <v>#N/A</v>
      </c>
      <c r="J593">
        <f t="shared" si="130"/>
        <v>0</v>
      </c>
      <c r="K593" t="e">
        <f t="shared" si="125"/>
        <v>#N/A</v>
      </c>
      <c r="L593" s="111">
        <f t="shared" si="126"/>
        <v>0</v>
      </c>
      <c r="M593" s="112">
        <f t="shared" si="127"/>
        <v>0</v>
      </c>
      <c r="N593" s="112">
        <f t="shared" si="128"/>
        <v>0</v>
      </c>
    </row>
    <row r="594" spans="1:14" x14ac:dyDescent="0.35">
      <c r="A594" s="106">
        <f t="shared" si="124"/>
        <v>0</v>
      </c>
      <c r="B594" s="107" t="e">
        <f>VLOOKUP(A594,[1]Hoja3!$C$3:$D$14,2,FALSE)</f>
        <v>#N/A</v>
      </c>
      <c r="C594" s="108"/>
      <c r="D594" s="108"/>
      <c r="E594" s="109"/>
      <c r="F594" s="109"/>
      <c r="G594" s="110" t="e">
        <f t="shared" si="131"/>
        <v>#N/A</v>
      </c>
      <c r="H594" s="252"/>
      <c r="I594" s="102" t="e">
        <f t="shared" si="132"/>
        <v>#N/A</v>
      </c>
      <c r="J594">
        <f t="shared" si="130"/>
        <v>0</v>
      </c>
      <c r="K594" t="e">
        <f t="shared" si="125"/>
        <v>#N/A</v>
      </c>
      <c r="L594" s="111">
        <f t="shared" si="126"/>
        <v>0</v>
      </c>
      <c r="M594" s="112">
        <f t="shared" si="127"/>
        <v>0</v>
      </c>
      <c r="N594" s="112">
        <f t="shared" si="128"/>
        <v>0</v>
      </c>
    </row>
    <row r="595" spans="1:14" x14ac:dyDescent="0.35">
      <c r="A595" s="106">
        <f t="shared" si="124"/>
        <v>0</v>
      </c>
      <c r="B595" s="107" t="e">
        <f>VLOOKUP(A595,[1]Hoja3!$C$3:$D$14,2,FALSE)</f>
        <v>#N/A</v>
      </c>
      <c r="C595" s="108"/>
      <c r="D595" s="108"/>
      <c r="E595" s="109"/>
      <c r="F595" s="109"/>
      <c r="G595" s="110" t="e">
        <f t="shared" si="131"/>
        <v>#N/A</v>
      </c>
      <c r="H595" s="252"/>
      <c r="I595" s="102" t="e">
        <f t="shared" si="132"/>
        <v>#N/A</v>
      </c>
      <c r="J595">
        <f t="shared" si="130"/>
        <v>0</v>
      </c>
      <c r="K595" t="e">
        <f t="shared" si="125"/>
        <v>#N/A</v>
      </c>
      <c r="L595" s="111">
        <f t="shared" si="126"/>
        <v>0</v>
      </c>
      <c r="M595" s="112">
        <f t="shared" si="127"/>
        <v>0</v>
      </c>
      <c r="N595" s="112">
        <f t="shared" si="128"/>
        <v>0</v>
      </c>
    </row>
    <row r="596" spans="1:14" x14ac:dyDescent="0.35">
      <c r="A596" s="106">
        <f t="shared" si="124"/>
        <v>0</v>
      </c>
      <c r="B596" s="107" t="e">
        <f>VLOOKUP(A596,[1]Hoja3!$C$3:$D$14,2,FALSE)</f>
        <v>#N/A</v>
      </c>
      <c r="C596" s="108"/>
      <c r="D596" s="108"/>
      <c r="E596" s="109"/>
      <c r="F596" s="109"/>
      <c r="G596" s="110" t="e">
        <f t="shared" si="131"/>
        <v>#N/A</v>
      </c>
      <c r="H596" s="252"/>
      <c r="I596" s="102" t="e">
        <f t="shared" si="132"/>
        <v>#N/A</v>
      </c>
      <c r="J596">
        <f t="shared" si="130"/>
        <v>0</v>
      </c>
      <c r="K596" t="e">
        <f t="shared" si="125"/>
        <v>#N/A</v>
      </c>
      <c r="L596" s="111">
        <f t="shared" si="126"/>
        <v>0</v>
      </c>
      <c r="M596" s="112">
        <f t="shared" si="127"/>
        <v>0</v>
      </c>
      <c r="N596" s="112">
        <f t="shared" si="128"/>
        <v>0</v>
      </c>
    </row>
    <row r="597" spans="1:14" x14ac:dyDescent="0.35">
      <c r="A597" s="106">
        <f t="shared" si="124"/>
        <v>0</v>
      </c>
      <c r="B597" s="107" t="e">
        <f>VLOOKUP(A597,[1]Hoja3!$C$3:$D$14,2,FALSE)</f>
        <v>#N/A</v>
      </c>
      <c r="C597" s="108"/>
      <c r="D597" s="108"/>
      <c r="E597" s="109"/>
      <c r="F597" s="109"/>
      <c r="G597" s="110" t="e">
        <f t="shared" si="131"/>
        <v>#N/A</v>
      </c>
      <c r="H597" s="252"/>
      <c r="I597" s="102" t="e">
        <f t="shared" si="132"/>
        <v>#N/A</v>
      </c>
      <c r="J597">
        <f t="shared" si="130"/>
        <v>0</v>
      </c>
      <c r="K597" t="e">
        <f t="shared" si="125"/>
        <v>#N/A</v>
      </c>
      <c r="L597" s="111">
        <f t="shared" si="126"/>
        <v>0</v>
      </c>
      <c r="M597" s="112">
        <f t="shared" si="127"/>
        <v>0</v>
      </c>
      <c r="N597" s="112">
        <f t="shared" si="128"/>
        <v>0</v>
      </c>
    </row>
    <row r="598" spans="1:14" x14ac:dyDescent="0.35">
      <c r="A598" s="106">
        <f t="shared" si="124"/>
        <v>0</v>
      </c>
      <c r="B598" s="107" t="e">
        <f>VLOOKUP(A598,[1]Hoja3!$C$3:$D$14,2,FALSE)</f>
        <v>#N/A</v>
      </c>
      <c r="C598" s="108"/>
      <c r="D598" s="108"/>
      <c r="E598" s="109"/>
      <c r="F598" s="109"/>
      <c r="G598" s="110" t="e">
        <f t="shared" si="131"/>
        <v>#N/A</v>
      </c>
      <c r="H598" s="252"/>
      <c r="I598" s="102" t="e">
        <f t="shared" si="132"/>
        <v>#N/A</v>
      </c>
      <c r="J598">
        <f t="shared" si="130"/>
        <v>0</v>
      </c>
      <c r="K598" t="e">
        <f t="shared" si="125"/>
        <v>#N/A</v>
      </c>
      <c r="L598" s="111">
        <f t="shared" si="126"/>
        <v>0</v>
      </c>
      <c r="M598" s="112">
        <f t="shared" si="127"/>
        <v>0</v>
      </c>
      <c r="N598" s="112">
        <f t="shared" si="128"/>
        <v>0</v>
      </c>
    </row>
    <row r="599" spans="1:14" x14ac:dyDescent="0.35">
      <c r="A599" s="106">
        <f t="shared" si="124"/>
        <v>0</v>
      </c>
      <c r="B599" s="107" t="e">
        <f>VLOOKUP(A599,[1]Hoja3!$C$3:$D$14,2,FALSE)</f>
        <v>#N/A</v>
      </c>
      <c r="C599" s="108"/>
      <c r="D599" s="108"/>
      <c r="E599" s="109"/>
      <c r="F599" s="109"/>
      <c r="G599" s="110" t="e">
        <f t="shared" si="131"/>
        <v>#N/A</v>
      </c>
      <c r="H599" s="252"/>
      <c r="I599" s="102" t="e">
        <f t="shared" si="132"/>
        <v>#N/A</v>
      </c>
      <c r="J599">
        <f t="shared" si="130"/>
        <v>0</v>
      </c>
      <c r="K599" t="e">
        <f t="shared" si="125"/>
        <v>#N/A</v>
      </c>
      <c r="L599" s="111">
        <f t="shared" si="126"/>
        <v>0</v>
      </c>
      <c r="M599" s="112">
        <f t="shared" si="127"/>
        <v>0</v>
      </c>
      <c r="N599" s="112">
        <f t="shared" si="128"/>
        <v>0</v>
      </c>
    </row>
    <row r="600" spans="1:14" x14ac:dyDescent="0.35">
      <c r="A600" s="106">
        <f t="shared" si="124"/>
        <v>0</v>
      </c>
      <c r="B600" s="107" t="e">
        <f>VLOOKUP(A600,[1]Hoja3!$C$3:$D$14,2,FALSE)</f>
        <v>#N/A</v>
      </c>
      <c r="C600" s="108"/>
      <c r="D600" s="108"/>
      <c r="E600" s="109"/>
      <c r="F600" s="109"/>
      <c r="G600" s="110" t="e">
        <f t="shared" si="131"/>
        <v>#N/A</v>
      </c>
      <c r="H600" s="252"/>
      <c r="I600" s="102" t="e">
        <f t="shared" si="132"/>
        <v>#N/A</v>
      </c>
      <c r="J600">
        <f t="shared" si="130"/>
        <v>0</v>
      </c>
      <c r="K600" t="e">
        <f t="shared" si="125"/>
        <v>#N/A</v>
      </c>
      <c r="L600" s="111">
        <f t="shared" si="126"/>
        <v>0</v>
      </c>
      <c r="M600" s="112">
        <f t="shared" si="127"/>
        <v>0</v>
      </c>
      <c r="N600" s="112">
        <f t="shared" si="128"/>
        <v>0</v>
      </c>
    </row>
    <row r="601" spans="1:14" x14ac:dyDescent="0.35">
      <c r="A601" s="106">
        <f t="shared" si="124"/>
        <v>0</v>
      </c>
      <c r="B601" s="107" t="e">
        <f>VLOOKUP(A601,[1]Hoja3!$C$3:$D$14,2,FALSE)</f>
        <v>#N/A</v>
      </c>
      <c r="C601" s="108"/>
      <c r="D601" s="108"/>
      <c r="E601" s="109"/>
      <c r="F601" s="109"/>
      <c r="G601" s="110" t="e">
        <f t="shared" si="131"/>
        <v>#N/A</v>
      </c>
      <c r="H601" s="252"/>
      <c r="I601" s="102" t="e">
        <f t="shared" si="132"/>
        <v>#N/A</v>
      </c>
      <c r="J601">
        <f t="shared" si="130"/>
        <v>0</v>
      </c>
      <c r="K601" t="e">
        <f t="shared" si="125"/>
        <v>#N/A</v>
      </c>
      <c r="L601" s="111">
        <f t="shared" si="126"/>
        <v>0</v>
      </c>
      <c r="M601" s="112">
        <f t="shared" si="127"/>
        <v>0</v>
      </c>
      <c r="N601" s="112">
        <f t="shared" si="128"/>
        <v>0</v>
      </c>
    </row>
    <row r="602" spans="1:14" x14ac:dyDescent="0.35">
      <c r="A602" s="106">
        <f t="shared" si="124"/>
        <v>0</v>
      </c>
      <c r="B602" s="107" t="e">
        <f>VLOOKUP(A602,[1]Hoja3!$C$3:$D$14,2,FALSE)</f>
        <v>#N/A</v>
      </c>
      <c r="C602" s="108"/>
      <c r="D602" s="108"/>
      <c r="E602" s="109"/>
      <c r="F602" s="109"/>
      <c r="G602" s="110" t="e">
        <f t="shared" si="131"/>
        <v>#N/A</v>
      </c>
      <c r="H602" s="252"/>
      <c r="I602" s="102" t="e">
        <f t="shared" si="132"/>
        <v>#N/A</v>
      </c>
      <c r="J602">
        <f t="shared" si="130"/>
        <v>0</v>
      </c>
      <c r="K602" t="e">
        <f t="shared" si="125"/>
        <v>#N/A</v>
      </c>
      <c r="L602" s="111">
        <f t="shared" si="126"/>
        <v>0</v>
      </c>
      <c r="M602" s="112">
        <f t="shared" si="127"/>
        <v>0</v>
      </c>
      <c r="N602" s="112">
        <f t="shared" si="128"/>
        <v>0</v>
      </c>
    </row>
    <row r="603" spans="1:14" x14ac:dyDescent="0.35">
      <c r="A603" s="106">
        <f t="shared" si="124"/>
        <v>0</v>
      </c>
      <c r="B603" s="107" t="e">
        <f>VLOOKUP(A603,[1]Hoja3!$C$3:$D$14,2,FALSE)</f>
        <v>#N/A</v>
      </c>
      <c r="C603" s="108"/>
      <c r="D603" s="108"/>
      <c r="E603" s="109"/>
      <c r="F603" s="109"/>
      <c r="G603" s="110" t="e">
        <f t="shared" si="131"/>
        <v>#N/A</v>
      </c>
      <c r="H603" s="252"/>
      <c r="I603" s="102" t="e">
        <f t="shared" si="132"/>
        <v>#N/A</v>
      </c>
      <c r="J603">
        <f t="shared" si="130"/>
        <v>0</v>
      </c>
      <c r="K603" t="e">
        <f t="shared" si="125"/>
        <v>#N/A</v>
      </c>
      <c r="L603" s="111">
        <f t="shared" si="126"/>
        <v>0</v>
      </c>
      <c r="M603" s="112">
        <f t="shared" si="127"/>
        <v>0</v>
      </c>
      <c r="N603" s="112">
        <f t="shared" si="128"/>
        <v>0</v>
      </c>
    </row>
    <row r="604" spans="1:14" x14ac:dyDescent="0.35">
      <c r="A604" s="106">
        <f t="shared" si="124"/>
        <v>0</v>
      </c>
      <c r="B604" s="107" t="e">
        <f>VLOOKUP(A604,[1]Hoja3!$C$3:$D$14,2,FALSE)</f>
        <v>#N/A</v>
      </c>
      <c r="C604" s="108"/>
      <c r="D604" s="108"/>
      <c r="E604" s="109"/>
      <c r="F604" s="109"/>
      <c r="G604" s="110" t="e">
        <f t="shared" si="131"/>
        <v>#N/A</v>
      </c>
      <c r="H604" s="252"/>
      <c r="I604" s="102" t="e">
        <f t="shared" si="132"/>
        <v>#N/A</v>
      </c>
      <c r="J604">
        <f t="shared" si="130"/>
        <v>0</v>
      </c>
      <c r="K604" t="e">
        <f t="shared" si="125"/>
        <v>#N/A</v>
      </c>
      <c r="L604" s="111">
        <f t="shared" si="126"/>
        <v>0</v>
      </c>
      <c r="M604" s="112">
        <f t="shared" si="127"/>
        <v>0</v>
      </c>
      <c r="N604" s="112">
        <f t="shared" si="128"/>
        <v>0</v>
      </c>
    </row>
    <row r="605" spans="1:14" x14ac:dyDescent="0.35">
      <c r="A605" s="106">
        <f t="shared" si="124"/>
        <v>0</v>
      </c>
      <c r="B605" s="107" t="e">
        <f>VLOOKUP(A605,[1]Hoja3!$C$3:$D$14,2,FALSE)</f>
        <v>#N/A</v>
      </c>
      <c r="C605" s="108"/>
      <c r="D605" s="108"/>
      <c r="E605" s="109"/>
      <c r="F605" s="109"/>
      <c r="G605" s="110" t="e">
        <f t="shared" si="131"/>
        <v>#N/A</v>
      </c>
      <c r="H605" s="252"/>
      <c r="I605" s="102" t="e">
        <f t="shared" si="132"/>
        <v>#N/A</v>
      </c>
      <c r="J605">
        <f t="shared" si="130"/>
        <v>0</v>
      </c>
      <c r="K605" t="e">
        <f t="shared" si="125"/>
        <v>#N/A</v>
      </c>
      <c r="L605" s="111">
        <f t="shared" si="126"/>
        <v>0</v>
      </c>
      <c r="M605" s="112">
        <f t="shared" si="127"/>
        <v>0</v>
      </c>
      <c r="N605" s="112">
        <f t="shared" si="128"/>
        <v>0</v>
      </c>
    </row>
    <row r="606" spans="1:14" x14ac:dyDescent="0.35">
      <c r="A606" s="106">
        <f t="shared" si="124"/>
        <v>0</v>
      </c>
      <c r="B606" s="107" t="e">
        <f>VLOOKUP(A606,[1]Hoja3!$C$3:$D$14,2,FALSE)</f>
        <v>#N/A</v>
      </c>
      <c r="C606" s="108"/>
      <c r="D606" s="108"/>
      <c r="E606" s="109"/>
      <c r="F606" s="109"/>
      <c r="G606" s="110" t="e">
        <f t="shared" si="131"/>
        <v>#N/A</v>
      </c>
      <c r="H606" s="252"/>
      <c r="I606" s="102" t="e">
        <f t="shared" si="132"/>
        <v>#N/A</v>
      </c>
      <c r="J606">
        <f t="shared" si="130"/>
        <v>0</v>
      </c>
      <c r="K606" t="e">
        <f t="shared" si="125"/>
        <v>#N/A</v>
      </c>
      <c r="L606" s="111">
        <f t="shared" si="126"/>
        <v>0</v>
      </c>
      <c r="M606" s="112">
        <f t="shared" si="127"/>
        <v>0</v>
      </c>
      <c r="N606" s="112">
        <f t="shared" si="128"/>
        <v>0</v>
      </c>
    </row>
    <row r="607" spans="1:14" x14ac:dyDescent="0.35">
      <c r="A607" s="106">
        <f t="shared" si="124"/>
        <v>0</v>
      </c>
      <c r="B607" s="107" t="e">
        <f>VLOOKUP(A607,[1]Hoja3!$C$3:$D$14,2,FALSE)</f>
        <v>#N/A</v>
      </c>
      <c r="C607" s="108"/>
      <c r="D607" s="108"/>
      <c r="E607" s="109"/>
      <c r="F607" s="109"/>
      <c r="G607" s="110" t="e">
        <f t="shared" si="131"/>
        <v>#N/A</v>
      </c>
      <c r="H607" s="252"/>
      <c r="I607" s="102" t="e">
        <f t="shared" si="132"/>
        <v>#N/A</v>
      </c>
      <c r="J607">
        <f t="shared" si="130"/>
        <v>0</v>
      </c>
      <c r="K607" t="e">
        <f t="shared" si="125"/>
        <v>#N/A</v>
      </c>
      <c r="L607" s="111">
        <f t="shared" si="126"/>
        <v>0</v>
      </c>
      <c r="M607" s="112">
        <f t="shared" si="127"/>
        <v>0</v>
      </c>
      <c r="N607" s="112">
        <f t="shared" si="128"/>
        <v>0</v>
      </c>
    </row>
    <row r="608" spans="1:14" x14ac:dyDescent="0.35">
      <c r="A608" s="106">
        <f t="shared" si="124"/>
        <v>0</v>
      </c>
      <c r="B608" s="107" t="e">
        <f>VLOOKUP(A608,[1]Hoja3!$C$3:$D$14,2,FALSE)</f>
        <v>#N/A</v>
      </c>
      <c r="C608" s="108"/>
      <c r="D608" s="108"/>
      <c r="E608" s="109"/>
      <c r="F608" s="109"/>
      <c r="G608" s="110" t="e">
        <f t="shared" si="131"/>
        <v>#N/A</v>
      </c>
      <c r="H608" s="252"/>
      <c r="I608" s="102" t="e">
        <f t="shared" si="132"/>
        <v>#N/A</v>
      </c>
      <c r="J608">
        <f t="shared" si="130"/>
        <v>0</v>
      </c>
      <c r="K608" t="e">
        <f t="shared" si="125"/>
        <v>#N/A</v>
      </c>
      <c r="L608" s="111">
        <f t="shared" si="126"/>
        <v>0</v>
      </c>
      <c r="M608" s="112">
        <f t="shared" si="127"/>
        <v>0</v>
      </c>
      <c r="N608" s="112">
        <f t="shared" si="128"/>
        <v>0</v>
      </c>
    </row>
    <row r="609" spans="1:14" x14ac:dyDescent="0.35">
      <c r="A609" s="106">
        <f t="shared" ref="A609:A672" si="133">IF(C609&gt;0,MONTH(C609),0)</f>
        <v>0</v>
      </c>
      <c r="B609" s="107" t="e">
        <f>VLOOKUP(A609,[1]Hoja3!$C$3:$D$14,2,FALSE)</f>
        <v>#N/A</v>
      </c>
      <c r="C609" s="108"/>
      <c r="D609" s="108"/>
      <c r="E609" s="109"/>
      <c r="F609" s="109"/>
      <c r="G609" s="110" t="e">
        <f t="shared" si="131"/>
        <v>#N/A</v>
      </c>
      <c r="H609" s="252"/>
      <c r="I609" s="102" t="e">
        <f t="shared" si="132"/>
        <v>#N/A</v>
      </c>
      <c r="J609">
        <f t="shared" si="130"/>
        <v>0</v>
      </c>
      <c r="K609" t="e">
        <f t="shared" ref="K609:K672" si="134">+B609</f>
        <v>#N/A</v>
      </c>
      <c r="L609" s="111">
        <f t="shared" ref="L609:L672" si="135">+J609/0.16</f>
        <v>0</v>
      </c>
      <c r="M609" s="112">
        <f t="shared" ref="M609:M672" si="136">+H609-L609</f>
        <v>0</v>
      </c>
      <c r="N609" s="112">
        <f t="shared" ref="N609:N672" si="137">+H609+J609</f>
        <v>0</v>
      </c>
    </row>
    <row r="610" spans="1:14" x14ac:dyDescent="0.35">
      <c r="A610" s="106">
        <f t="shared" si="133"/>
        <v>0</v>
      </c>
      <c r="B610" s="107" t="e">
        <f>VLOOKUP(A610,[1]Hoja3!$C$3:$D$14,2,FALSE)</f>
        <v>#N/A</v>
      </c>
      <c r="C610" s="108"/>
      <c r="D610" s="108"/>
      <c r="E610" s="109"/>
      <c r="F610" s="109"/>
      <c r="G610" s="110" t="e">
        <f t="shared" si="131"/>
        <v>#N/A</v>
      </c>
      <c r="H610" s="252"/>
      <c r="I610" s="102" t="e">
        <f t="shared" si="132"/>
        <v>#N/A</v>
      </c>
      <c r="J610">
        <f t="shared" si="130"/>
        <v>0</v>
      </c>
      <c r="K610" t="e">
        <f t="shared" si="134"/>
        <v>#N/A</v>
      </c>
      <c r="L610" s="111">
        <f t="shared" si="135"/>
        <v>0</v>
      </c>
      <c r="M610" s="112">
        <f t="shared" si="136"/>
        <v>0</v>
      </c>
      <c r="N610" s="112">
        <f t="shared" si="137"/>
        <v>0</v>
      </c>
    </row>
    <row r="611" spans="1:14" x14ac:dyDescent="0.35">
      <c r="A611" s="106">
        <f t="shared" si="133"/>
        <v>0</v>
      </c>
      <c r="B611" s="107" t="e">
        <f>VLOOKUP(A611,[1]Hoja3!$C$3:$D$14,2,FALSE)</f>
        <v>#N/A</v>
      </c>
      <c r="C611" s="108"/>
      <c r="D611" s="108"/>
      <c r="E611" s="109"/>
      <c r="F611" s="109"/>
      <c r="G611" s="110" t="e">
        <f t="shared" si="131"/>
        <v>#N/A</v>
      </c>
      <c r="H611" s="252"/>
      <c r="I611" s="102" t="e">
        <f t="shared" si="132"/>
        <v>#N/A</v>
      </c>
      <c r="J611">
        <f t="shared" si="130"/>
        <v>0</v>
      </c>
      <c r="K611" t="e">
        <f t="shared" si="134"/>
        <v>#N/A</v>
      </c>
      <c r="L611" s="111">
        <f t="shared" si="135"/>
        <v>0</v>
      </c>
      <c r="M611" s="112">
        <f t="shared" si="136"/>
        <v>0</v>
      </c>
      <c r="N611" s="112">
        <f t="shared" si="137"/>
        <v>0</v>
      </c>
    </row>
    <row r="612" spans="1:14" x14ac:dyDescent="0.35">
      <c r="A612" s="106">
        <f t="shared" si="133"/>
        <v>0</v>
      </c>
      <c r="B612" s="107" t="e">
        <f>VLOOKUP(A612,[1]Hoja3!$C$3:$D$14,2,FALSE)</f>
        <v>#N/A</v>
      </c>
      <c r="C612" s="108"/>
      <c r="D612" s="108"/>
      <c r="E612" s="109"/>
      <c r="F612" s="109"/>
      <c r="G612" s="110" t="e">
        <f t="shared" si="131"/>
        <v>#N/A</v>
      </c>
      <c r="H612" s="252"/>
      <c r="I612" s="102" t="e">
        <f t="shared" si="132"/>
        <v>#N/A</v>
      </c>
      <c r="J612">
        <f t="shared" si="130"/>
        <v>0</v>
      </c>
      <c r="K612" t="e">
        <f t="shared" si="134"/>
        <v>#N/A</v>
      </c>
      <c r="L612" s="111">
        <f t="shared" si="135"/>
        <v>0</v>
      </c>
      <c r="M612" s="112">
        <f t="shared" si="136"/>
        <v>0</v>
      </c>
      <c r="N612" s="112">
        <f t="shared" si="137"/>
        <v>0</v>
      </c>
    </row>
    <row r="613" spans="1:14" x14ac:dyDescent="0.35">
      <c r="A613" s="106">
        <f t="shared" si="133"/>
        <v>0</v>
      </c>
      <c r="B613" s="107" t="e">
        <f>VLOOKUP(A613,[1]Hoja3!$C$3:$D$14,2,FALSE)</f>
        <v>#N/A</v>
      </c>
      <c r="C613" s="108"/>
      <c r="D613" s="108"/>
      <c r="E613" s="109"/>
      <c r="F613" s="109"/>
      <c r="G613" s="110" t="e">
        <f t="shared" si="131"/>
        <v>#N/A</v>
      </c>
      <c r="H613" s="252"/>
      <c r="I613" s="102" t="e">
        <f t="shared" si="132"/>
        <v>#N/A</v>
      </c>
      <c r="J613">
        <f t="shared" si="130"/>
        <v>0</v>
      </c>
      <c r="K613" t="e">
        <f t="shared" si="134"/>
        <v>#N/A</v>
      </c>
      <c r="L613" s="111">
        <f t="shared" si="135"/>
        <v>0</v>
      </c>
      <c r="M613" s="112">
        <f t="shared" si="136"/>
        <v>0</v>
      </c>
      <c r="N613" s="112">
        <f t="shared" si="137"/>
        <v>0</v>
      </c>
    </row>
    <row r="614" spans="1:14" x14ac:dyDescent="0.35">
      <c r="A614" s="106">
        <f t="shared" si="133"/>
        <v>0</v>
      </c>
      <c r="B614" s="107" t="e">
        <f>VLOOKUP(A614,[1]Hoja3!$C$3:$D$14,2,FALSE)</f>
        <v>#N/A</v>
      </c>
      <c r="C614" s="108"/>
      <c r="D614" s="108"/>
      <c r="E614" s="109"/>
      <c r="F614" s="109"/>
      <c r="G614" s="110" t="e">
        <f t="shared" si="131"/>
        <v>#N/A</v>
      </c>
      <c r="H614" s="252"/>
      <c r="I614" s="102" t="e">
        <f t="shared" si="132"/>
        <v>#N/A</v>
      </c>
      <c r="J614">
        <f t="shared" si="130"/>
        <v>0</v>
      </c>
      <c r="K614" t="e">
        <f t="shared" si="134"/>
        <v>#N/A</v>
      </c>
      <c r="L614" s="111">
        <f t="shared" si="135"/>
        <v>0</v>
      </c>
      <c r="M614" s="112">
        <f t="shared" si="136"/>
        <v>0</v>
      </c>
      <c r="N614" s="112">
        <f t="shared" si="137"/>
        <v>0</v>
      </c>
    </row>
    <row r="615" spans="1:14" x14ac:dyDescent="0.35">
      <c r="A615" s="106">
        <f t="shared" si="133"/>
        <v>0</v>
      </c>
      <c r="B615" s="107" t="e">
        <f>VLOOKUP(A615,[1]Hoja3!$C$3:$D$14,2,FALSE)</f>
        <v>#N/A</v>
      </c>
      <c r="C615" s="108"/>
      <c r="D615" s="108"/>
      <c r="E615" s="109"/>
      <c r="F615" s="109"/>
      <c r="G615" s="110" t="e">
        <f t="shared" si="131"/>
        <v>#N/A</v>
      </c>
      <c r="H615" s="252"/>
      <c r="I615" s="102" t="e">
        <f t="shared" si="132"/>
        <v>#N/A</v>
      </c>
      <c r="J615">
        <f t="shared" si="130"/>
        <v>0</v>
      </c>
      <c r="K615" t="e">
        <f t="shared" si="134"/>
        <v>#N/A</v>
      </c>
      <c r="L615" s="111">
        <f t="shared" si="135"/>
        <v>0</v>
      </c>
      <c r="M615" s="112">
        <f t="shared" si="136"/>
        <v>0</v>
      </c>
      <c r="N615" s="112">
        <f t="shared" si="137"/>
        <v>0</v>
      </c>
    </row>
    <row r="616" spans="1:14" x14ac:dyDescent="0.35">
      <c r="A616" s="106">
        <f t="shared" si="133"/>
        <v>0</v>
      </c>
      <c r="B616" s="107" t="e">
        <f>VLOOKUP(A616,[1]Hoja3!$C$3:$D$14,2,FALSE)</f>
        <v>#N/A</v>
      </c>
      <c r="C616" s="108"/>
      <c r="D616" s="108"/>
      <c r="E616" s="109"/>
      <c r="F616" s="109"/>
      <c r="G616" s="110" t="e">
        <f t="shared" si="131"/>
        <v>#N/A</v>
      </c>
      <c r="H616" s="252"/>
      <c r="I616" s="102" t="e">
        <f t="shared" si="132"/>
        <v>#N/A</v>
      </c>
      <c r="J616">
        <f t="shared" si="130"/>
        <v>0</v>
      </c>
      <c r="K616" t="e">
        <f t="shared" si="134"/>
        <v>#N/A</v>
      </c>
      <c r="L616" s="111">
        <f t="shared" si="135"/>
        <v>0</v>
      </c>
      <c r="M616" s="112">
        <f t="shared" si="136"/>
        <v>0</v>
      </c>
      <c r="N616" s="112">
        <f t="shared" si="137"/>
        <v>0</v>
      </c>
    </row>
    <row r="617" spans="1:14" x14ac:dyDescent="0.35">
      <c r="A617" s="106">
        <f t="shared" si="133"/>
        <v>0</v>
      </c>
      <c r="B617" s="107" t="e">
        <f>VLOOKUP(A617,[1]Hoja3!$C$3:$D$14,2,FALSE)</f>
        <v>#N/A</v>
      </c>
      <c r="C617" s="108"/>
      <c r="D617" s="108"/>
      <c r="E617" s="109"/>
      <c r="F617" s="109"/>
      <c r="G617" s="110" t="e">
        <f t="shared" si="131"/>
        <v>#N/A</v>
      </c>
      <c r="H617" s="252"/>
      <c r="I617" s="102" t="e">
        <f t="shared" si="132"/>
        <v>#N/A</v>
      </c>
      <c r="J617">
        <f t="shared" si="130"/>
        <v>0</v>
      </c>
      <c r="K617" t="e">
        <f t="shared" si="134"/>
        <v>#N/A</v>
      </c>
      <c r="L617" s="111">
        <f t="shared" si="135"/>
        <v>0</v>
      </c>
      <c r="M617" s="112">
        <f t="shared" si="136"/>
        <v>0</v>
      </c>
      <c r="N617" s="112">
        <f t="shared" si="137"/>
        <v>0</v>
      </c>
    </row>
    <row r="618" spans="1:14" x14ac:dyDescent="0.35">
      <c r="A618" s="106">
        <f t="shared" si="133"/>
        <v>0</v>
      </c>
      <c r="B618" s="107" t="e">
        <f>VLOOKUP(A618,[1]Hoja3!$C$3:$D$14,2,FALSE)</f>
        <v>#N/A</v>
      </c>
      <c r="C618" s="108"/>
      <c r="D618" s="108"/>
      <c r="E618" s="109"/>
      <c r="F618" s="109"/>
      <c r="G618" s="110" t="e">
        <f t="shared" si="131"/>
        <v>#N/A</v>
      </c>
      <c r="H618" s="252"/>
      <c r="I618" s="102" t="e">
        <f t="shared" si="132"/>
        <v>#N/A</v>
      </c>
      <c r="J618">
        <f t="shared" si="130"/>
        <v>0</v>
      </c>
      <c r="K618" t="e">
        <f t="shared" si="134"/>
        <v>#N/A</v>
      </c>
      <c r="L618" s="111">
        <f t="shared" si="135"/>
        <v>0</v>
      </c>
      <c r="M618" s="112">
        <f t="shared" si="136"/>
        <v>0</v>
      </c>
      <c r="N618" s="112">
        <f t="shared" si="137"/>
        <v>0</v>
      </c>
    </row>
    <row r="619" spans="1:14" x14ac:dyDescent="0.35">
      <c r="A619" s="106">
        <f t="shared" si="133"/>
        <v>0</v>
      </c>
      <c r="B619" s="107" t="e">
        <f>VLOOKUP(A619,[1]Hoja3!$C$3:$D$14,2,FALSE)</f>
        <v>#N/A</v>
      </c>
      <c r="C619" s="108"/>
      <c r="D619" s="108"/>
      <c r="E619" s="109"/>
      <c r="F619" s="109"/>
      <c r="G619" s="110" t="e">
        <f t="shared" si="131"/>
        <v>#N/A</v>
      </c>
      <c r="H619" s="252"/>
      <c r="I619" s="102" t="e">
        <f t="shared" si="132"/>
        <v>#N/A</v>
      </c>
      <c r="J619">
        <f t="shared" si="130"/>
        <v>0</v>
      </c>
      <c r="K619" t="e">
        <f t="shared" si="134"/>
        <v>#N/A</v>
      </c>
      <c r="L619" s="111">
        <f t="shared" si="135"/>
        <v>0</v>
      </c>
      <c r="M619" s="112">
        <f t="shared" si="136"/>
        <v>0</v>
      </c>
      <c r="N619" s="112">
        <f t="shared" si="137"/>
        <v>0</v>
      </c>
    </row>
    <row r="620" spans="1:14" x14ac:dyDescent="0.35">
      <c r="A620" s="106">
        <f t="shared" si="133"/>
        <v>0</v>
      </c>
      <c r="B620" s="107" t="e">
        <f>VLOOKUP(A620,[1]Hoja3!$C$3:$D$14,2,FALSE)</f>
        <v>#N/A</v>
      </c>
      <c r="C620" s="108"/>
      <c r="D620" s="108"/>
      <c r="E620" s="109"/>
      <c r="F620" s="109"/>
      <c r="G620" s="110" t="e">
        <f t="shared" si="131"/>
        <v>#N/A</v>
      </c>
      <c r="H620" s="252"/>
      <c r="I620" s="102" t="e">
        <f t="shared" si="132"/>
        <v>#N/A</v>
      </c>
      <c r="J620">
        <f t="shared" si="130"/>
        <v>0</v>
      </c>
      <c r="K620" t="e">
        <f t="shared" si="134"/>
        <v>#N/A</v>
      </c>
      <c r="L620" s="111">
        <f t="shared" si="135"/>
        <v>0</v>
      </c>
      <c r="M620" s="112">
        <f t="shared" si="136"/>
        <v>0</v>
      </c>
      <c r="N620" s="112">
        <f t="shared" si="137"/>
        <v>0</v>
      </c>
    </row>
    <row r="621" spans="1:14" x14ac:dyDescent="0.35">
      <c r="A621" s="106">
        <f t="shared" si="133"/>
        <v>0</v>
      </c>
      <c r="B621" s="107" t="e">
        <f>VLOOKUP(A621,[1]Hoja3!$C$3:$D$14,2,FALSE)</f>
        <v>#N/A</v>
      </c>
      <c r="C621" s="108"/>
      <c r="D621" s="108"/>
      <c r="E621" s="109"/>
      <c r="F621" s="109"/>
      <c r="G621" s="110" t="e">
        <f t="shared" si="131"/>
        <v>#N/A</v>
      </c>
      <c r="H621" s="252"/>
      <c r="I621" s="102" t="e">
        <f t="shared" si="132"/>
        <v>#N/A</v>
      </c>
      <c r="J621">
        <f t="shared" si="130"/>
        <v>0</v>
      </c>
      <c r="K621" t="e">
        <f t="shared" si="134"/>
        <v>#N/A</v>
      </c>
      <c r="L621" s="111">
        <f t="shared" si="135"/>
        <v>0</v>
      </c>
      <c r="M621" s="112">
        <f t="shared" si="136"/>
        <v>0</v>
      </c>
      <c r="N621" s="112">
        <f t="shared" si="137"/>
        <v>0</v>
      </c>
    </row>
    <row r="622" spans="1:14" x14ac:dyDescent="0.35">
      <c r="A622" s="106">
        <f t="shared" si="133"/>
        <v>0</v>
      </c>
      <c r="B622" s="107" t="e">
        <f>VLOOKUP(A622,[1]Hoja3!$C$3:$D$14,2,FALSE)</f>
        <v>#N/A</v>
      </c>
      <c r="C622" s="108"/>
      <c r="D622" s="108"/>
      <c r="E622" s="109"/>
      <c r="F622" s="109"/>
      <c r="G622" s="110" t="e">
        <f t="shared" si="131"/>
        <v>#N/A</v>
      </c>
      <c r="H622" s="252"/>
      <c r="I622" s="102" t="e">
        <f t="shared" si="132"/>
        <v>#N/A</v>
      </c>
      <c r="J622">
        <f t="shared" si="130"/>
        <v>0</v>
      </c>
      <c r="K622" t="e">
        <f t="shared" si="134"/>
        <v>#N/A</v>
      </c>
      <c r="L622" s="111">
        <f t="shared" si="135"/>
        <v>0</v>
      </c>
      <c r="M622" s="112">
        <f t="shared" si="136"/>
        <v>0</v>
      </c>
      <c r="N622" s="112">
        <f t="shared" si="137"/>
        <v>0</v>
      </c>
    </row>
    <row r="623" spans="1:14" x14ac:dyDescent="0.35">
      <c r="A623" s="106">
        <f t="shared" si="133"/>
        <v>0</v>
      </c>
      <c r="B623" s="107" t="e">
        <f>VLOOKUP(A623,[1]Hoja3!$C$3:$D$14,2,FALSE)</f>
        <v>#N/A</v>
      </c>
      <c r="C623" s="108"/>
      <c r="D623" s="108"/>
      <c r="E623" s="109"/>
      <c r="F623" s="109"/>
      <c r="G623" s="110" t="e">
        <f t="shared" si="131"/>
        <v>#N/A</v>
      </c>
      <c r="H623" s="252"/>
      <c r="I623" s="102" t="e">
        <f t="shared" si="132"/>
        <v>#N/A</v>
      </c>
      <c r="J623">
        <f t="shared" si="130"/>
        <v>0</v>
      </c>
      <c r="K623" t="e">
        <f t="shared" si="134"/>
        <v>#N/A</v>
      </c>
      <c r="L623" s="111">
        <f t="shared" si="135"/>
        <v>0</v>
      </c>
      <c r="M623" s="112">
        <f t="shared" si="136"/>
        <v>0</v>
      </c>
      <c r="N623" s="112">
        <f t="shared" si="137"/>
        <v>0</v>
      </c>
    </row>
    <row r="624" spans="1:14" x14ac:dyDescent="0.35">
      <c r="A624" s="106">
        <f t="shared" si="133"/>
        <v>0</v>
      </c>
      <c r="B624" s="107" t="e">
        <f>VLOOKUP(A624,[1]Hoja3!$C$3:$D$14,2,FALSE)</f>
        <v>#N/A</v>
      </c>
      <c r="C624" s="108"/>
      <c r="D624" s="108"/>
      <c r="E624" s="109"/>
      <c r="F624" s="109"/>
      <c r="G624" s="110" t="e">
        <f t="shared" si="131"/>
        <v>#N/A</v>
      </c>
      <c r="H624" s="252"/>
      <c r="I624" s="102" t="e">
        <f t="shared" si="132"/>
        <v>#N/A</v>
      </c>
      <c r="J624">
        <f t="shared" si="130"/>
        <v>0</v>
      </c>
      <c r="K624" t="e">
        <f t="shared" si="134"/>
        <v>#N/A</v>
      </c>
      <c r="L624" s="111">
        <f t="shared" si="135"/>
        <v>0</v>
      </c>
      <c r="M624" s="112">
        <f t="shared" si="136"/>
        <v>0</v>
      </c>
      <c r="N624" s="112">
        <f t="shared" si="137"/>
        <v>0</v>
      </c>
    </row>
    <row r="625" spans="1:14" x14ac:dyDescent="0.35">
      <c r="A625" s="106">
        <f t="shared" si="133"/>
        <v>0</v>
      </c>
      <c r="B625" s="107" t="e">
        <f>VLOOKUP(A625,[1]Hoja3!$C$3:$D$14,2,FALSE)</f>
        <v>#N/A</v>
      </c>
      <c r="C625" s="108"/>
      <c r="D625" s="108"/>
      <c r="E625" s="109"/>
      <c r="F625" s="109"/>
      <c r="G625" s="110" t="e">
        <f t="shared" si="131"/>
        <v>#N/A</v>
      </c>
      <c r="H625" s="252"/>
      <c r="I625" s="102" t="e">
        <f t="shared" si="132"/>
        <v>#N/A</v>
      </c>
      <c r="J625">
        <f t="shared" si="130"/>
        <v>0</v>
      </c>
      <c r="K625" t="e">
        <f t="shared" si="134"/>
        <v>#N/A</v>
      </c>
      <c r="L625" s="111">
        <f t="shared" si="135"/>
        <v>0</v>
      </c>
      <c r="M625" s="112">
        <f t="shared" si="136"/>
        <v>0</v>
      </c>
      <c r="N625" s="112">
        <f t="shared" si="137"/>
        <v>0</v>
      </c>
    </row>
    <row r="626" spans="1:14" x14ac:dyDescent="0.35">
      <c r="A626" s="106">
        <f t="shared" si="133"/>
        <v>0</v>
      </c>
      <c r="B626" s="107" t="e">
        <f>VLOOKUP(A626,[1]Hoja3!$C$3:$D$14,2,FALSE)</f>
        <v>#N/A</v>
      </c>
      <c r="C626" s="108"/>
      <c r="D626" s="108"/>
      <c r="E626" s="109"/>
      <c r="F626" s="109"/>
      <c r="G626" s="110" t="e">
        <f t="shared" si="131"/>
        <v>#N/A</v>
      </c>
      <c r="H626" s="252"/>
      <c r="I626" s="102" t="e">
        <f t="shared" si="132"/>
        <v>#N/A</v>
      </c>
      <c r="J626">
        <f t="shared" si="130"/>
        <v>0</v>
      </c>
      <c r="K626" t="e">
        <f t="shared" si="134"/>
        <v>#N/A</v>
      </c>
      <c r="L626" s="111">
        <f t="shared" si="135"/>
        <v>0</v>
      </c>
      <c r="M626" s="112">
        <f t="shared" si="136"/>
        <v>0</v>
      </c>
      <c r="N626" s="112">
        <f t="shared" si="137"/>
        <v>0</v>
      </c>
    </row>
    <row r="627" spans="1:14" x14ac:dyDescent="0.35">
      <c r="A627" s="106">
        <f t="shared" si="133"/>
        <v>0</v>
      </c>
      <c r="B627" s="107" t="e">
        <f>VLOOKUP(A627,[1]Hoja3!$C$3:$D$14,2,FALSE)</f>
        <v>#N/A</v>
      </c>
      <c r="C627" s="108"/>
      <c r="D627" s="108"/>
      <c r="E627" s="109"/>
      <c r="F627" s="109"/>
      <c r="G627" s="110" t="e">
        <f t="shared" si="131"/>
        <v>#N/A</v>
      </c>
      <c r="H627" s="252"/>
      <c r="I627" s="102" t="e">
        <f t="shared" si="132"/>
        <v>#N/A</v>
      </c>
      <c r="J627">
        <f t="shared" si="130"/>
        <v>0</v>
      </c>
      <c r="K627" t="e">
        <f t="shared" si="134"/>
        <v>#N/A</v>
      </c>
      <c r="L627" s="111">
        <f t="shared" si="135"/>
        <v>0</v>
      </c>
      <c r="M627" s="112">
        <f t="shared" si="136"/>
        <v>0</v>
      </c>
      <c r="N627" s="112">
        <f t="shared" si="137"/>
        <v>0</v>
      </c>
    </row>
    <row r="628" spans="1:14" x14ac:dyDescent="0.35">
      <c r="A628" s="106">
        <f t="shared" si="133"/>
        <v>0</v>
      </c>
      <c r="B628" s="107" t="e">
        <f>VLOOKUP(A628,[1]Hoja3!$C$3:$D$14,2,FALSE)</f>
        <v>#N/A</v>
      </c>
      <c r="C628" s="108"/>
      <c r="D628" s="108"/>
      <c r="E628" s="109"/>
      <c r="F628" s="109"/>
      <c r="G628" s="110" t="e">
        <f t="shared" si="131"/>
        <v>#N/A</v>
      </c>
      <c r="H628" s="252"/>
      <c r="I628" s="102" t="e">
        <f t="shared" si="132"/>
        <v>#N/A</v>
      </c>
      <c r="J628">
        <f t="shared" si="130"/>
        <v>0</v>
      </c>
      <c r="K628" t="e">
        <f t="shared" si="134"/>
        <v>#N/A</v>
      </c>
      <c r="L628" s="111">
        <f t="shared" si="135"/>
        <v>0</v>
      </c>
      <c r="M628" s="112">
        <f t="shared" si="136"/>
        <v>0</v>
      </c>
      <c r="N628" s="112">
        <f t="shared" si="137"/>
        <v>0</v>
      </c>
    </row>
    <row r="629" spans="1:14" x14ac:dyDescent="0.35">
      <c r="A629" s="106">
        <f t="shared" si="133"/>
        <v>0</v>
      </c>
      <c r="B629" s="107" t="e">
        <f>VLOOKUP(A629,[1]Hoja3!$C$3:$D$14,2,FALSE)</f>
        <v>#N/A</v>
      </c>
      <c r="C629" s="108"/>
      <c r="D629" s="108"/>
      <c r="E629" s="109"/>
      <c r="F629" s="109"/>
      <c r="G629" s="110" t="e">
        <f t="shared" si="131"/>
        <v>#N/A</v>
      </c>
      <c r="H629" s="252"/>
      <c r="I629" s="102" t="e">
        <f t="shared" si="132"/>
        <v>#N/A</v>
      </c>
      <c r="J629">
        <f t="shared" si="130"/>
        <v>0</v>
      </c>
      <c r="K629" t="e">
        <f t="shared" si="134"/>
        <v>#N/A</v>
      </c>
      <c r="L629" s="111">
        <f t="shared" si="135"/>
        <v>0</v>
      </c>
      <c r="M629" s="112">
        <f t="shared" si="136"/>
        <v>0</v>
      </c>
      <c r="N629" s="112">
        <f t="shared" si="137"/>
        <v>0</v>
      </c>
    </row>
    <row r="630" spans="1:14" x14ac:dyDescent="0.35">
      <c r="A630" s="106">
        <f t="shared" si="133"/>
        <v>0</v>
      </c>
      <c r="B630" s="107" t="e">
        <f>VLOOKUP(A630,[1]Hoja3!$C$3:$D$14,2,FALSE)</f>
        <v>#N/A</v>
      </c>
      <c r="C630" s="108"/>
      <c r="D630" s="108"/>
      <c r="E630" s="109"/>
      <c r="F630" s="109"/>
      <c r="G630" s="110" t="e">
        <f t="shared" si="131"/>
        <v>#N/A</v>
      </c>
      <c r="H630" s="252"/>
      <c r="I630" s="102" t="e">
        <f t="shared" si="132"/>
        <v>#N/A</v>
      </c>
      <c r="J630">
        <f t="shared" si="130"/>
        <v>0</v>
      </c>
      <c r="K630" t="e">
        <f t="shared" si="134"/>
        <v>#N/A</v>
      </c>
      <c r="L630" s="111">
        <f t="shared" si="135"/>
        <v>0</v>
      </c>
      <c r="M630" s="112">
        <f t="shared" si="136"/>
        <v>0</v>
      </c>
      <c r="N630" s="112">
        <f t="shared" si="137"/>
        <v>0</v>
      </c>
    </row>
    <row r="631" spans="1:14" x14ac:dyDescent="0.35">
      <c r="A631" s="106">
        <f t="shared" si="133"/>
        <v>0</v>
      </c>
      <c r="B631" s="107" t="e">
        <f>VLOOKUP(A631,[1]Hoja3!$C$3:$D$14,2,FALSE)</f>
        <v>#N/A</v>
      </c>
      <c r="C631" s="108"/>
      <c r="D631" s="108"/>
      <c r="E631" s="109"/>
      <c r="F631" s="109"/>
      <c r="G631" s="110" t="e">
        <f t="shared" si="131"/>
        <v>#N/A</v>
      </c>
      <c r="H631" s="252"/>
      <c r="I631" s="102" t="e">
        <f t="shared" si="132"/>
        <v>#N/A</v>
      </c>
      <c r="J631">
        <f t="shared" si="130"/>
        <v>0</v>
      </c>
      <c r="K631" t="e">
        <f t="shared" si="134"/>
        <v>#N/A</v>
      </c>
      <c r="L631" s="111">
        <f t="shared" si="135"/>
        <v>0</v>
      </c>
      <c r="M631" s="112">
        <f t="shared" si="136"/>
        <v>0</v>
      </c>
      <c r="N631" s="112">
        <f t="shared" si="137"/>
        <v>0</v>
      </c>
    </row>
    <row r="632" spans="1:14" x14ac:dyDescent="0.35">
      <c r="A632" s="106">
        <f t="shared" si="133"/>
        <v>0</v>
      </c>
      <c r="B632" s="107" t="e">
        <f>VLOOKUP(A632,[1]Hoja3!$C$3:$D$14,2,FALSE)</f>
        <v>#N/A</v>
      </c>
      <c r="C632" s="108"/>
      <c r="D632" s="108"/>
      <c r="E632" s="109"/>
      <c r="F632" s="109"/>
      <c r="G632" s="110" t="e">
        <f t="shared" si="131"/>
        <v>#N/A</v>
      </c>
      <c r="H632" s="252"/>
      <c r="I632" s="102" t="e">
        <f t="shared" si="132"/>
        <v>#N/A</v>
      </c>
      <c r="J632">
        <f t="shared" si="130"/>
        <v>0</v>
      </c>
      <c r="K632" t="e">
        <f t="shared" si="134"/>
        <v>#N/A</v>
      </c>
      <c r="L632" s="111">
        <f t="shared" si="135"/>
        <v>0</v>
      </c>
      <c r="M632" s="112">
        <f t="shared" si="136"/>
        <v>0</v>
      </c>
      <c r="N632" s="112">
        <f t="shared" si="137"/>
        <v>0</v>
      </c>
    </row>
    <row r="633" spans="1:14" x14ac:dyDescent="0.35">
      <c r="A633" s="106">
        <f t="shared" si="133"/>
        <v>0</v>
      </c>
      <c r="B633" s="107" t="e">
        <f>VLOOKUP(A633,[1]Hoja3!$C$3:$D$14,2,FALSE)</f>
        <v>#N/A</v>
      </c>
      <c r="C633" s="108"/>
      <c r="D633" s="108"/>
      <c r="E633" s="109"/>
      <c r="F633" s="109"/>
      <c r="G633" s="110" t="e">
        <f t="shared" si="131"/>
        <v>#N/A</v>
      </c>
      <c r="H633" s="252"/>
      <c r="I633" s="102" t="e">
        <f t="shared" si="132"/>
        <v>#N/A</v>
      </c>
      <c r="J633">
        <f t="shared" si="130"/>
        <v>0</v>
      </c>
      <c r="K633" t="e">
        <f t="shared" si="134"/>
        <v>#N/A</v>
      </c>
      <c r="L633" s="111">
        <f t="shared" si="135"/>
        <v>0</v>
      </c>
      <c r="M633" s="112">
        <f t="shared" si="136"/>
        <v>0</v>
      </c>
      <c r="N633" s="112">
        <f t="shared" si="137"/>
        <v>0</v>
      </c>
    </row>
    <row r="634" spans="1:14" x14ac:dyDescent="0.35">
      <c r="A634" s="106">
        <f t="shared" si="133"/>
        <v>0</v>
      </c>
      <c r="B634" s="107" t="e">
        <f>VLOOKUP(A634,[1]Hoja3!$C$3:$D$14,2,FALSE)</f>
        <v>#N/A</v>
      </c>
      <c r="C634" s="108"/>
      <c r="D634" s="108"/>
      <c r="E634" s="109"/>
      <c r="F634" s="109"/>
      <c r="G634" s="110" t="e">
        <f t="shared" si="131"/>
        <v>#N/A</v>
      </c>
      <c r="H634" s="252"/>
      <c r="I634" s="102" t="e">
        <f t="shared" si="132"/>
        <v>#N/A</v>
      </c>
      <c r="J634">
        <f t="shared" si="130"/>
        <v>0</v>
      </c>
      <c r="K634" t="e">
        <f t="shared" si="134"/>
        <v>#N/A</v>
      </c>
      <c r="L634" s="111">
        <f t="shared" si="135"/>
        <v>0</v>
      </c>
      <c r="M634" s="112">
        <f t="shared" si="136"/>
        <v>0</v>
      </c>
      <c r="N634" s="112">
        <f t="shared" si="137"/>
        <v>0</v>
      </c>
    </row>
    <row r="635" spans="1:14" x14ac:dyDescent="0.35">
      <c r="A635" s="106">
        <f t="shared" si="133"/>
        <v>0</v>
      </c>
      <c r="B635" s="107" t="e">
        <f>VLOOKUP(A635,[1]Hoja3!$C$3:$D$14,2,FALSE)</f>
        <v>#N/A</v>
      </c>
      <c r="C635" s="108"/>
      <c r="D635" s="108"/>
      <c r="E635" s="109"/>
      <c r="F635" s="109"/>
      <c r="G635" s="110" t="e">
        <f t="shared" si="131"/>
        <v>#N/A</v>
      </c>
      <c r="H635" s="252"/>
      <c r="I635" s="102" t="e">
        <f t="shared" si="132"/>
        <v>#N/A</v>
      </c>
      <c r="J635">
        <f t="shared" si="130"/>
        <v>0</v>
      </c>
      <c r="K635" t="e">
        <f t="shared" si="134"/>
        <v>#N/A</v>
      </c>
      <c r="L635" s="111">
        <f t="shared" si="135"/>
        <v>0</v>
      </c>
      <c r="M635" s="112">
        <f t="shared" si="136"/>
        <v>0</v>
      </c>
      <c r="N635" s="112">
        <f t="shared" si="137"/>
        <v>0</v>
      </c>
    </row>
    <row r="636" spans="1:14" x14ac:dyDescent="0.35">
      <c r="A636" s="106">
        <f t="shared" si="133"/>
        <v>0</v>
      </c>
      <c r="B636" s="107" t="e">
        <f>VLOOKUP(A636,[1]Hoja3!$C$3:$D$14,2,FALSE)</f>
        <v>#N/A</v>
      </c>
      <c r="C636" s="108"/>
      <c r="D636" s="108"/>
      <c r="E636" s="109"/>
      <c r="F636" s="109"/>
      <c r="G636" s="110" t="e">
        <f t="shared" si="131"/>
        <v>#N/A</v>
      </c>
      <c r="H636" s="252"/>
      <c r="I636" s="102" t="e">
        <f t="shared" si="132"/>
        <v>#N/A</v>
      </c>
      <c r="J636">
        <f t="shared" si="130"/>
        <v>0</v>
      </c>
      <c r="K636" t="e">
        <f t="shared" si="134"/>
        <v>#N/A</v>
      </c>
      <c r="L636" s="111">
        <f t="shared" si="135"/>
        <v>0</v>
      </c>
      <c r="M636" s="112">
        <f t="shared" si="136"/>
        <v>0</v>
      </c>
      <c r="N636" s="112">
        <f t="shared" si="137"/>
        <v>0</v>
      </c>
    </row>
    <row r="637" spans="1:14" x14ac:dyDescent="0.35">
      <c r="A637" s="106">
        <f t="shared" si="133"/>
        <v>0</v>
      </c>
      <c r="B637" s="107" t="e">
        <f>VLOOKUP(A637,[1]Hoja3!$C$3:$D$14,2,FALSE)</f>
        <v>#N/A</v>
      </c>
      <c r="C637" s="108"/>
      <c r="D637" s="108"/>
      <c r="E637" s="109"/>
      <c r="F637" s="109"/>
      <c r="G637" s="110" t="e">
        <f t="shared" si="131"/>
        <v>#N/A</v>
      </c>
      <c r="H637" s="252"/>
      <c r="I637" s="102" t="e">
        <f t="shared" si="132"/>
        <v>#N/A</v>
      </c>
      <c r="J637">
        <f t="shared" si="130"/>
        <v>0</v>
      </c>
      <c r="K637" t="e">
        <f t="shared" si="134"/>
        <v>#N/A</v>
      </c>
      <c r="L637" s="111">
        <f t="shared" si="135"/>
        <v>0</v>
      </c>
      <c r="M637" s="112">
        <f t="shared" si="136"/>
        <v>0</v>
      </c>
      <c r="N637" s="112">
        <f t="shared" si="137"/>
        <v>0</v>
      </c>
    </row>
    <row r="638" spans="1:14" x14ac:dyDescent="0.35">
      <c r="A638" s="106">
        <f t="shared" si="133"/>
        <v>0</v>
      </c>
      <c r="B638" s="107" t="e">
        <f>VLOOKUP(A638,[1]Hoja3!$C$3:$D$14,2,FALSE)</f>
        <v>#N/A</v>
      </c>
      <c r="C638" s="108"/>
      <c r="D638" s="108"/>
      <c r="E638" s="109"/>
      <c r="F638" s="109"/>
      <c r="G638" s="110" t="e">
        <f t="shared" si="131"/>
        <v>#N/A</v>
      </c>
      <c r="H638" s="252"/>
      <c r="I638" s="102" t="e">
        <f t="shared" si="132"/>
        <v>#N/A</v>
      </c>
      <c r="J638">
        <f t="shared" si="130"/>
        <v>0</v>
      </c>
      <c r="K638" t="e">
        <f t="shared" si="134"/>
        <v>#N/A</v>
      </c>
      <c r="L638" s="111">
        <f t="shared" si="135"/>
        <v>0</v>
      </c>
      <c r="M638" s="112">
        <f t="shared" si="136"/>
        <v>0</v>
      </c>
      <c r="N638" s="112">
        <f t="shared" si="137"/>
        <v>0</v>
      </c>
    </row>
    <row r="639" spans="1:14" x14ac:dyDescent="0.35">
      <c r="A639" s="106">
        <f t="shared" si="133"/>
        <v>0</v>
      </c>
      <c r="B639" s="107" t="e">
        <f>VLOOKUP(A639,[1]Hoja3!$C$3:$D$14,2,FALSE)</f>
        <v>#N/A</v>
      </c>
      <c r="C639" s="108"/>
      <c r="D639" s="108"/>
      <c r="E639" s="109"/>
      <c r="F639" s="109"/>
      <c r="G639" s="110" t="e">
        <f t="shared" si="131"/>
        <v>#N/A</v>
      </c>
      <c r="H639" s="252"/>
      <c r="I639" s="102" t="e">
        <f t="shared" si="132"/>
        <v>#N/A</v>
      </c>
      <c r="J639">
        <f t="shared" si="130"/>
        <v>0</v>
      </c>
      <c r="K639" t="e">
        <f t="shared" si="134"/>
        <v>#N/A</v>
      </c>
      <c r="L639" s="111">
        <f t="shared" si="135"/>
        <v>0</v>
      </c>
      <c r="M639" s="112">
        <f t="shared" si="136"/>
        <v>0</v>
      </c>
      <c r="N639" s="112">
        <f t="shared" si="137"/>
        <v>0</v>
      </c>
    </row>
    <row r="640" spans="1:14" x14ac:dyDescent="0.35">
      <c r="A640" s="106">
        <f t="shared" si="133"/>
        <v>0</v>
      </c>
      <c r="B640" s="107" t="e">
        <f>VLOOKUP(A640,[1]Hoja3!$C$3:$D$14,2,FALSE)</f>
        <v>#N/A</v>
      </c>
      <c r="C640" s="108"/>
      <c r="D640" s="108"/>
      <c r="E640" s="109"/>
      <c r="F640" s="109"/>
      <c r="G640" s="110" t="e">
        <f t="shared" si="131"/>
        <v>#N/A</v>
      </c>
      <c r="H640" s="252"/>
      <c r="I640" s="102" t="e">
        <f t="shared" si="132"/>
        <v>#N/A</v>
      </c>
      <c r="J640">
        <f t="shared" si="130"/>
        <v>0</v>
      </c>
      <c r="K640" t="e">
        <f t="shared" si="134"/>
        <v>#N/A</v>
      </c>
      <c r="L640" s="111">
        <f t="shared" si="135"/>
        <v>0</v>
      </c>
      <c r="M640" s="112">
        <f t="shared" si="136"/>
        <v>0</v>
      </c>
      <c r="N640" s="112">
        <f t="shared" si="137"/>
        <v>0</v>
      </c>
    </row>
    <row r="641" spans="1:14" x14ac:dyDescent="0.35">
      <c r="A641" s="106">
        <f t="shared" si="133"/>
        <v>0</v>
      </c>
      <c r="B641" s="107" t="e">
        <f>VLOOKUP(A641,[1]Hoja3!$C$3:$D$14,2,FALSE)</f>
        <v>#N/A</v>
      </c>
      <c r="C641" s="108"/>
      <c r="D641" s="108"/>
      <c r="E641" s="109"/>
      <c r="F641" s="109"/>
      <c r="G641" s="110" t="e">
        <f t="shared" si="131"/>
        <v>#N/A</v>
      </c>
      <c r="H641" s="252"/>
      <c r="I641" s="102" t="e">
        <f t="shared" si="132"/>
        <v>#N/A</v>
      </c>
      <c r="J641">
        <f t="shared" si="130"/>
        <v>0</v>
      </c>
      <c r="K641" t="e">
        <f t="shared" si="134"/>
        <v>#N/A</v>
      </c>
      <c r="L641" s="111">
        <f t="shared" si="135"/>
        <v>0</v>
      </c>
      <c r="M641" s="112">
        <f t="shared" si="136"/>
        <v>0</v>
      </c>
      <c r="N641" s="112">
        <f t="shared" si="137"/>
        <v>0</v>
      </c>
    </row>
    <row r="642" spans="1:14" x14ac:dyDescent="0.35">
      <c r="A642" s="106">
        <f t="shared" si="133"/>
        <v>0</v>
      </c>
      <c r="B642" s="107" t="e">
        <f>VLOOKUP(A642,[1]Hoja3!$C$3:$D$14,2,FALSE)</f>
        <v>#N/A</v>
      </c>
      <c r="C642" s="108"/>
      <c r="D642" s="108"/>
      <c r="E642" s="109"/>
      <c r="F642" s="109"/>
      <c r="G642" s="110" t="e">
        <f t="shared" si="131"/>
        <v>#N/A</v>
      </c>
      <c r="H642" s="252"/>
      <c r="I642" s="102" t="e">
        <f t="shared" si="132"/>
        <v>#N/A</v>
      </c>
      <c r="J642">
        <f t="shared" si="130"/>
        <v>0</v>
      </c>
      <c r="K642" t="e">
        <f t="shared" si="134"/>
        <v>#N/A</v>
      </c>
      <c r="L642" s="111">
        <f t="shared" si="135"/>
        <v>0</v>
      </c>
      <c r="M642" s="112">
        <f t="shared" si="136"/>
        <v>0</v>
      </c>
      <c r="N642" s="112">
        <f t="shared" si="137"/>
        <v>0</v>
      </c>
    </row>
    <row r="643" spans="1:14" x14ac:dyDescent="0.35">
      <c r="A643" s="106">
        <f t="shared" si="133"/>
        <v>0</v>
      </c>
      <c r="B643" s="107" t="e">
        <f>VLOOKUP(A643,[1]Hoja3!$C$3:$D$14,2,FALSE)</f>
        <v>#N/A</v>
      </c>
      <c r="C643" s="108"/>
      <c r="D643" s="108"/>
      <c r="E643" s="109"/>
      <c r="F643" s="109"/>
      <c r="G643" s="110" t="e">
        <f t="shared" si="131"/>
        <v>#N/A</v>
      </c>
      <c r="H643" s="252"/>
      <c r="I643" s="102" t="e">
        <f t="shared" si="132"/>
        <v>#N/A</v>
      </c>
      <c r="J643">
        <f t="shared" si="130"/>
        <v>0</v>
      </c>
      <c r="K643" t="e">
        <f t="shared" si="134"/>
        <v>#N/A</v>
      </c>
      <c r="L643" s="111">
        <f t="shared" si="135"/>
        <v>0</v>
      </c>
      <c r="M643" s="112">
        <f t="shared" si="136"/>
        <v>0</v>
      </c>
      <c r="N643" s="112">
        <f t="shared" si="137"/>
        <v>0</v>
      </c>
    </row>
    <row r="644" spans="1:14" x14ac:dyDescent="0.35">
      <c r="A644" s="106">
        <f t="shared" si="133"/>
        <v>0</v>
      </c>
      <c r="B644" s="107" t="e">
        <f>VLOOKUP(A644,[1]Hoja3!$C$3:$D$14,2,FALSE)</f>
        <v>#N/A</v>
      </c>
      <c r="C644" s="108"/>
      <c r="D644" s="108"/>
      <c r="E644" s="109"/>
      <c r="F644" s="109"/>
      <c r="G644" s="110" t="e">
        <f t="shared" si="131"/>
        <v>#N/A</v>
      </c>
      <c r="H644" s="252"/>
      <c r="I644" s="102" t="e">
        <f t="shared" si="132"/>
        <v>#N/A</v>
      </c>
      <c r="J644">
        <f t="shared" si="130"/>
        <v>0</v>
      </c>
      <c r="K644" t="e">
        <f t="shared" si="134"/>
        <v>#N/A</v>
      </c>
      <c r="L644" s="111">
        <f t="shared" si="135"/>
        <v>0</v>
      </c>
      <c r="M644" s="112">
        <f t="shared" si="136"/>
        <v>0</v>
      </c>
      <c r="N644" s="112">
        <f t="shared" si="137"/>
        <v>0</v>
      </c>
    </row>
    <row r="645" spans="1:14" x14ac:dyDescent="0.35">
      <c r="A645" s="106">
        <f t="shared" si="133"/>
        <v>0</v>
      </c>
      <c r="B645" s="107" t="e">
        <f>VLOOKUP(A645,[1]Hoja3!$C$3:$D$14,2,FALSE)</f>
        <v>#N/A</v>
      </c>
      <c r="C645" s="108"/>
      <c r="D645" s="108"/>
      <c r="E645" s="109"/>
      <c r="F645" s="109"/>
      <c r="G645" s="110" t="e">
        <f t="shared" si="131"/>
        <v>#N/A</v>
      </c>
      <c r="H645" s="252"/>
      <c r="I645" s="102" t="e">
        <f t="shared" si="132"/>
        <v>#N/A</v>
      </c>
      <c r="J645">
        <f t="shared" si="130"/>
        <v>0</v>
      </c>
      <c r="K645" t="e">
        <f t="shared" si="134"/>
        <v>#N/A</v>
      </c>
      <c r="L645" s="111">
        <f t="shared" si="135"/>
        <v>0</v>
      </c>
      <c r="M645" s="112">
        <f t="shared" si="136"/>
        <v>0</v>
      </c>
      <c r="N645" s="112">
        <f t="shared" si="137"/>
        <v>0</v>
      </c>
    </row>
    <row r="646" spans="1:14" x14ac:dyDescent="0.35">
      <c r="A646" s="106">
        <f t="shared" si="133"/>
        <v>0</v>
      </c>
      <c r="B646" s="107" t="e">
        <f>VLOOKUP(A646,[1]Hoja3!$C$3:$D$14,2,FALSE)</f>
        <v>#N/A</v>
      </c>
      <c r="C646" s="108"/>
      <c r="D646" s="108"/>
      <c r="E646" s="109"/>
      <c r="F646" s="109"/>
      <c r="G646" s="110" t="e">
        <f t="shared" si="131"/>
        <v>#N/A</v>
      </c>
      <c r="H646" s="252"/>
      <c r="I646" s="102" t="e">
        <f t="shared" si="132"/>
        <v>#N/A</v>
      </c>
      <c r="J646">
        <f t="shared" si="130"/>
        <v>0</v>
      </c>
      <c r="K646" t="e">
        <f t="shared" si="134"/>
        <v>#N/A</v>
      </c>
      <c r="L646" s="111">
        <f t="shared" si="135"/>
        <v>0</v>
      </c>
      <c r="M646" s="112">
        <f t="shared" si="136"/>
        <v>0</v>
      </c>
      <c r="N646" s="112">
        <f t="shared" si="137"/>
        <v>0</v>
      </c>
    </row>
    <row r="647" spans="1:14" x14ac:dyDescent="0.35">
      <c r="A647" s="106">
        <f t="shared" si="133"/>
        <v>0</v>
      </c>
      <c r="B647" s="107" t="e">
        <f>VLOOKUP(A647,[1]Hoja3!$C$3:$D$14,2,FALSE)</f>
        <v>#N/A</v>
      </c>
      <c r="C647" s="108"/>
      <c r="D647" s="108"/>
      <c r="E647" s="109"/>
      <c r="F647" s="109"/>
      <c r="G647" s="110" t="e">
        <f t="shared" si="131"/>
        <v>#N/A</v>
      </c>
      <c r="H647" s="252"/>
      <c r="I647" s="102" t="e">
        <f t="shared" si="132"/>
        <v>#N/A</v>
      </c>
      <c r="J647">
        <f t="shared" si="130"/>
        <v>0</v>
      </c>
      <c r="K647" t="e">
        <f t="shared" si="134"/>
        <v>#N/A</v>
      </c>
      <c r="L647" s="111">
        <f t="shared" si="135"/>
        <v>0</v>
      </c>
      <c r="M647" s="112">
        <f t="shared" si="136"/>
        <v>0</v>
      </c>
      <c r="N647" s="112">
        <f t="shared" si="137"/>
        <v>0</v>
      </c>
    </row>
    <row r="648" spans="1:14" x14ac:dyDescent="0.35">
      <c r="A648" s="106">
        <f t="shared" si="133"/>
        <v>0</v>
      </c>
      <c r="B648" s="107" t="e">
        <f>VLOOKUP(A648,[1]Hoja3!$C$3:$D$14,2,FALSE)</f>
        <v>#N/A</v>
      </c>
      <c r="C648" s="108"/>
      <c r="D648" s="108"/>
      <c r="E648" s="109"/>
      <c r="F648" s="109"/>
      <c r="G648" s="110" t="e">
        <f t="shared" si="131"/>
        <v>#N/A</v>
      </c>
      <c r="H648" s="252"/>
      <c r="I648" s="102" t="e">
        <f t="shared" si="132"/>
        <v>#N/A</v>
      </c>
      <c r="J648">
        <f t="shared" ref="J648:J711" si="138">+H648*0.16</f>
        <v>0</v>
      </c>
      <c r="K648" t="e">
        <f t="shared" si="134"/>
        <v>#N/A</v>
      </c>
      <c r="L648" s="111">
        <f t="shared" si="135"/>
        <v>0</v>
      </c>
      <c r="M648" s="112">
        <f t="shared" si="136"/>
        <v>0</v>
      </c>
      <c r="N648" s="112">
        <f t="shared" si="137"/>
        <v>0</v>
      </c>
    </row>
    <row r="649" spans="1:14" x14ac:dyDescent="0.35">
      <c r="A649" s="106">
        <f t="shared" si="133"/>
        <v>0</v>
      </c>
      <c r="B649" s="107" t="e">
        <f>VLOOKUP(A649,[1]Hoja3!$C$3:$D$14,2,FALSE)</f>
        <v>#N/A</v>
      </c>
      <c r="C649" s="108"/>
      <c r="D649" s="108"/>
      <c r="E649" s="109"/>
      <c r="F649" s="109"/>
      <c r="G649" s="110" t="e">
        <f t="shared" si="131"/>
        <v>#N/A</v>
      </c>
      <c r="H649" s="252"/>
      <c r="I649" s="102" t="e">
        <f t="shared" si="132"/>
        <v>#N/A</v>
      </c>
      <c r="J649">
        <f t="shared" si="138"/>
        <v>0</v>
      </c>
      <c r="K649" t="e">
        <f t="shared" si="134"/>
        <v>#N/A</v>
      </c>
      <c r="L649" s="111">
        <f t="shared" si="135"/>
        <v>0</v>
      </c>
      <c r="M649" s="112">
        <f t="shared" si="136"/>
        <v>0</v>
      </c>
      <c r="N649" s="112">
        <f t="shared" si="137"/>
        <v>0</v>
      </c>
    </row>
    <row r="650" spans="1:14" x14ac:dyDescent="0.35">
      <c r="A650" s="106">
        <f t="shared" si="133"/>
        <v>0</v>
      </c>
      <c r="B650" s="107" t="e">
        <f>VLOOKUP(A650,[1]Hoja3!$C$3:$D$14,2,FALSE)</f>
        <v>#N/A</v>
      </c>
      <c r="C650" s="108"/>
      <c r="D650" s="108"/>
      <c r="E650" s="109"/>
      <c r="F650" s="109"/>
      <c r="G650" s="110" t="e">
        <f t="shared" si="131"/>
        <v>#N/A</v>
      </c>
      <c r="H650" s="252"/>
      <c r="I650" s="102" t="e">
        <f t="shared" si="132"/>
        <v>#N/A</v>
      </c>
      <c r="J650">
        <f t="shared" si="138"/>
        <v>0</v>
      </c>
      <c r="K650" t="e">
        <f t="shared" si="134"/>
        <v>#N/A</v>
      </c>
      <c r="L650" s="111">
        <f t="shared" si="135"/>
        <v>0</v>
      </c>
      <c r="M650" s="112">
        <f t="shared" si="136"/>
        <v>0</v>
      </c>
      <c r="N650" s="112">
        <f t="shared" si="137"/>
        <v>0</v>
      </c>
    </row>
    <row r="651" spans="1:14" x14ac:dyDescent="0.35">
      <c r="A651" s="106">
        <f t="shared" si="133"/>
        <v>0</v>
      </c>
      <c r="B651" s="107" t="e">
        <f>VLOOKUP(A651,[1]Hoja3!$C$3:$D$14,2,FALSE)</f>
        <v>#N/A</v>
      </c>
      <c r="C651" s="108"/>
      <c r="D651" s="108"/>
      <c r="E651" s="109"/>
      <c r="F651" s="109"/>
      <c r="G651" s="110" t="e">
        <f t="shared" si="131"/>
        <v>#N/A</v>
      </c>
      <c r="H651" s="252"/>
      <c r="I651" s="102" t="e">
        <f t="shared" si="132"/>
        <v>#N/A</v>
      </c>
      <c r="J651">
        <f t="shared" si="138"/>
        <v>0</v>
      </c>
      <c r="K651" t="e">
        <f t="shared" si="134"/>
        <v>#N/A</v>
      </c>
      <c r="L651" s="111">
        <f t="shared" si="135"/>
        <v>0</v>
      </c>
      <c r="M651" s="112">
        <f t="shared" si="136"/>
        <v>0</v>
      </c>
      <c r="N651" s="112">
        <f t="shared" si="137"/>
        <v>0</v>
      </c>
    </row>
    <row r="652" spans="1:14" x14ac:dyDescent="0.35">
      <c r="A652" s="106">
        <f t="shared" si="133"/>
        <v>0</v>
      </c>
      <c r="B652" s="107" t="e">
        <f>VLOOKUP(A652,[1]Hoja3!$C$3:$D$14,2,FALSE)</f>
        <v>#N/A</v>
      </c>
      <c r="C652" s="108"/>
      <c r="D652" s="108"/>
      <c r="E652" s="109"/>
      <c r="F652" s="109"/>
      <c r="G652" s="110" t="e">
        <f t="shared" ref="G652:G715" si="139">+B652</f>
        <v>#N/A</v>
      </c>
      <c r="H652" s="252"/>
      <c r="I652" s="102" t="e">
        <f t="shared" ref="I652:I715" si="140">+B652</f>
        <v>#N/A</v>
      </c>
      <c r="J652">
        <f t="shared" si="138"/>
        <v>0</v>
      </c>
      <c r="K652" t="e">
        <f t="shared" si="134"/>
        <v>#N/A</v>
      </c>
      <c r="L652" s="111">
        <f t="shared" si="135"/>
        <v>0</v>
      </c>
      <c r="M652" s="112">
        <f t="shared" si="136"/>
        <v>0</v>
      </c>
      <c r="N652" s="112">
        <f t="shared" si="137"/>
        <v>0</v>
      </c>
    </row>
    <row r="653" spans="1:14" x14ac:dyDescent="0.35">
      <c r="A653" s="106">
        <f t="shared" si="133"/>
        <v>0</v>
      </c>
      <c r="B653" s="107" t="e">
        <f>VLOOKUP(A653,[1]Hoja3!$C$3:$D$14,2,FALSE)</f>
        <v>#N/A</v>
      </c>
      <c r="C653" s="108"/>
      <c r="D653" s="108"/>
      <c r="E653" s="109"/>
      <c r="F653" s="109"/>
      <c r="G653" s="110" t="e">
        <f t="shared" si="139"/>
        <v>#N/A</v>
      </c>
      <c r="H653" s="252"/>
      <c r="I653" s="102" t="e">
        <f t="shared" si="140"/>
        <v>#N/A</v>
      </c>
      <c r="J653">
        <f t="shared" si="138"/>
        <v>0</v>
      </c>
      <c r="K653" t="e">
        <f t="shared" si="134"/>
        <v>#N/A</v>
      </c>
      <c r="L653" s="111">
        <f t="shared" si="135"/>
        <v>0</v>
      </c>
      <c r="M653" s="112">
        <f t="shared" si="136"/>
        <v>0</v>
      </c>
      <c r="N653" s="112">
        <f t="shared" si="137"/>
        <v>0</v>
      </c>
    </row>
    <row r="654" spans="1:14" x14ac:dyDescent="0.35">
      <c r="A654" s="106">
        <f t="shared" si="133"/>
        <v>0</v>
      </c>
      <c r="B654" s="107" t="e">
        <f>VLOOKUP(A654,[1]Hoja3!$C$3:$D$14,2,FALSE)</f>
        <v>#N/A</v>
      </c>
      <c r="C654" s="108"/>
      <c r="D654" s="108"/>
      <c r="E654" s="109"/>
      <c r="F654" s="109"/>
      <c r="G654" s="110" t="e">
        <f t="shared" si="139"/>
        <v>#N/A</v>
      </c>
      <c r="H654" s="252"/>
      <c r="I654" s="102" t="e">
        <f t="shared" si="140"/>
        <v>#N/A</v>
      </c>
      <c r="J654">
        <f t="shared" si="138"/>
        <v>0</v>
      </c>
      <c r="K654" t="e">
        <f t="shared" si="134"/>
        <v>#N/A</v>
      </c>
      <c r="L654" s="111">
        <f t="shared" si="135"/>
        <v>0</v>
      </c>
      <c r="M654" s="112">
        <f t="shared" si="136"/>
        <v>0</v>
      </c>
      <c r="N654" s="112">
        <f t="shared" si="137"/>
        <v>0</v>
      </c>
    </row>
    <row r="655" spans="1:14" x14ac:dyDescent="0.35">
      <c r="A655" s="106">
        <f t="shared" si="133"/>
        <v>0</v>
      </c>
      <c r="B655" s="107" t="e">
        <f>VLOOKUP(A655,[1]Hoja3!$C$3:$D$14,2,FALSE)</f>
        <v>#N/A</v>
      </c>
      <c r="C655" s="108"/>
      <c r="D655" s="108"/>
      <c r="E655" s="109"/>
      <c r="F655" s="109"/>
      <c r="G655" s="110" t="e">
        <f t="shared" si="139"/>
        <v>#N/A</v>
      </c>
      <c r="H655" s="252"/>
      <c r="I655" s="102" t="e">
        <f t="shared" si="140"/>
        <v>#N/A</v>
      </c>
      <c r="J655">
        <f t="shared" si="138"/>
        <v>0</v>
      </c>
      <c r="K655" t="e">
        <f t="shared" si="134"/>
        <v>#N/A</v>
      </c>
      <c r="L655" s="111">
        <f t="shared" si="135"/>
        <v>0</v>
      </c>
      <c r="M655" s="112">
        <f t="shared" si="136"/>
        <v>0</v>
      </c>
      <c r="N655" s="112">
        <f t="shared" si="137"/>
        <v>0</v>
      </c>
    </row>
    <row r="656" spans="1:14" x14ac:dyDescent="0.35">
      <c r="A656" s="106">
        <f t="shared" si="133"/>
        <v>0</v>
      </c>
      <c r="B656" s="107" t="e">
        <f>VLOOKUP(A656,[1]Hoja3!$C$3:$D$14,2,FALSE)</f>
        <v>#N/A</v>
      </c>
      <c r="C656" s="108"/>
      <c r="D656" s="108"/>
      <c r="E656" s="109"/>
      <c r="F656" s="109"/>
      <c r="G656" s="110" t="e">
        <f t="shared" si="139"/>
        <v>#N/A</v>
      </c>
      <c r="H656" s="252"/>
      <c r="I656" s="102" t="e">
        <f t="shared" si="140"/>
        <v>#N/A</v>
      </c>
      <c r="J656">
        <f t="shared" si="138"/>
        <v>0</v>
      </c>
      <c r="K656" t="e">
        <f t="shared" si="134"/>
        <v>#N/A</v>
      </c>
      <c r="L656" s="111">
        <f t="shared" si="135"/>
        <v>0</v>
      </c>
      <c r="M656" s="112">
        <f t="shared" si="136"/>
        <v>0</v>
      </c>
      <c r="N656" s="112">
        <f t="shared" si="137"/>
        <v>0</v>
      </c>
    </row>
    <row r="657" spans="1:14" x14ac:dyDescent="0.35">
      <c r="A657" s="106">
        <f t="shared" si="133"/>
        <v>0</v>
      </c>
      <c r="B657" s="107" t="e">
        <f>VLOOKUP(A657,[1]Hoja3!$C$3:$D$14,2,FALSE)</f>
        <v>#N/A</v>
      </c>
      <c r="C657" s="108"/>
      <c r="D657" s="108"/>
      <c r="E657" s="109"/>
      <c r="F657" s="109"/>
      <c r="G657" s="110" t="e">
        <f t="shared" si="139"/>
        <v>#N/A</v>
      </c>
      <c r="H657" s="252"/>
      <c r="I657" s="102" t="e">
        <f t="shared" si="140"/>
        <v>#N/A</v>
      </c>
      <c r="J657">
        <f t="shared" si="138"/>
        <v>0</v>
      </c>
      <c r="K657" t="e">
        <f t="shared" si="134"/>
        <v>#N/A</v>
      </c>
      <c r="L657" s="111">
        <f t="shared" si="135"/>
        <v>0</v>
      </c>
      <c r="M657" s="112">
        <f t="shared" si="136"/>
        <v>0</v>
      </c>
      <c r="N657" s="112">
        <f t="shared" si="137"/>
        <v>0</v>
      </c>
    </row>
    <row r="658" spans="1:14" x14ac:dyDescent="0.35">
      <c r="A658" s="106">
        <f t="shared" si="133"/>
        <v>0</v>
      </c>
      <c r="B658" s="107" t="e">
        <f>VLOOKUP(A658,[1]Hoja3!$C$3:$D$14,2,FALSE)</f>
        <v>#N/A</v>
      </c>
      <c r="C658" s="108"/>
      <c r="D658" s="108"/>
      <c r="E658" s="109"/>
      <c r="F658" s="109"/>
      <c r="G658" s="110" t="e">
        <f t="shared" si="139"/>
        <v>#N/A</v>
      </c>
      <c r="H658" s="252"/>
      <c r="I658" s="102" t="e">
        <f t="shared" si="140"/>
        <v>#N/A</v>
      </c>
      <c r="J658">
        <f t="shared" si="138"/>
        <v>0</v>
      </c>
      <c r="K658" t="e">
        <f t="shared" si="134"/>
        <v>#N/A</v>
      </c>
      <c r="L658" s="111">
        <f t="shared" si="135"/>
        <v>0</v>
      </c>
      <c r="M658" s="112">
        <f t="shared" si="136"/>
        <v>0</v>
      </c>
      <c r="N658" s="112">
        <f t="shared" si="137"/>
        <v>0</v>
      </c>
    </row>
    <row r="659" spans="1:14" x14ac:dyDescent="0.35">
      <c r="A659" s="106">
        <f t="shared" si="133"/>
        <v>0</v>
      </c>
      <c r="B659" s="107" t="e">
        <f>VLOOKUP(A659,[1]Hoja3!$C$3:$D$14,2,FALSE)</f>
        <v>#N/A</v>
      </c>
      <c r="C659" s="108"/>
      <c r="D659" s="108"/>
      <c r="E659" s="109"/>
      <c r="F659" s="109"/>
      <c r="G659" s="110" t="e">
        <f t="shared" si="139"/>
        <v>#N/A</v>
      </c>
      <c r="H659" s="252"/>
      <c r="I659" s="102" t="e">
        <f t="shared" si="140"/>
        <v>#N/A</v>
      </c>
      <c r="J659">
        <f t="shared" si="138"/>
        <v>0</v>
      </c>
      <c r="K659" t="e">
        <f t="shared" si="134"/>
        <v>#N/A</v>
      </c>
      <c r="L659" s="111">
        <f t="shared" si="135"/>
        <v>0</v>
      </c>
      <c r="M659" s="112">
        <f t="shared" si="136"/>
        <v>0</v>
      </c>
      <c r="N659" s="112">
        <f t="shared" si="137"/>
        <v>0</v>
      </c>
    </row>
    <row r="660" spans="1:14" x14ac:dyDescent="0.35">
      <c r="A660" s="106">
        <f t="shared" si="133"/>
        <v>0</v>
      </c>
      <c r="B660" s="107" t="e">
        <f>VLOOKUP(A660,[1]Hoja3!$C$3:$D$14,2,FALSE)</f>
        <v>#N/A</v>
      </c>
      <c r="C660" s="108"/>
      <c r="D660" s="108"/>
      <c r="E660" s="109"/>
      <c r="F660" s="109"/>
      <c r="G660" s="110" t="e">
        <f t="shared" si="139"/>
        <v>#N/A</v>
      </c>
      <c r="H660" s="252"/>
      <c r="I660" s="102" t="e">
        <f t="shared" si="140"/>
        <v>#N/A</v>
      </c>
      <c r="J660">
        <f t="shared" si="138"/>
        <v>0</v>
      </c>
      <c r="K660" t="e">
        <f t="shared" si="134"/>
        <v>#N/A</v>
      </c>
      <c r="L660" s="111">
        <f t="shared" si="135"/>
        <v>0</v>
      </c>
      <c r="M660" s="112">
        <f t="shared" si="136"/>
        <v>0</v>
      </c>
      <c r="N660" s="112">
        <f t="shared" si="137"/>
        <v>0</v>
      </c>
    </row>
    <row r="661" spans="1:14" x14ac:dyDescent="0.35">
      <c r="A661" s="106">
        <f t="shared" si="133"/>
        <v>0</v>
      </c>
      <c r="B661" s="107" t="e">
        <f>VLOOKUP(A661,[1]Hoja3!$C$3:$D$14,2,FALSE)</f>
        <v>#N/A</v>
      </c>
      <c r="C661" s="108"/>
      <c r="D661" s="108"/>
      <c r="E661" s="109"/>
      <c r="F661" s="109"/>
      <c r="G661" s="110" t="e">
        <f t="shared" si="139"/>
        <v>#N/A</v>
      </c>
      <c r="H661" s="252"/>
      <c r="I661" s="102" t="e">
        <f t="shared" si="140"/>
        <v>#N/A</v>
      </c>
      <c r="J661">
        <f t="shared" si="138"/>
        <v>0</v>
      </c>
      <c r="K661" t="e">
        <f t="shared" si="134"/>
        <v>#N/A</v>
      </c>
      <c r="L661" s="111">
        <f t="shared" si="135"/>
        <v>0</v>
      </c>
      <c r="M661" s="112">
        <f t="shared" si="136"/>
        <v>0</v>
      </c>
      <c r="N661" s="112">
        <f t="shared" si="137"/>
        <v>0</v>
      </c>
    </row>
    <row r="662" spans="1:14" x14ac:dyDescent="0.35">
      <c r="A662" s="106">
        <f t="shared" si="133"/>
        <v>0</v>
      </c>
      <c r="B662" s="107" t="e">
        <f>VLOOKUP(A662,[1]Hoja3!$C$3:$D$14,2,FALSE)</f>
        <v>#N/A</v>
      </c>
      <c r="C662" s="108"/>
      <c r="D662" s="108"/>
      <c r="E662" s="109"/>
      <c r="F662" s="109"/>
      <c r="G662" s="110" t="e">
        <f t="shared" si="139"/>
        <v>#N/A</v>
      </c>
      <c r="H662" s="252"/>
      <c r="I662" s="102" t="e">
        <f t="shared" si="140"/>
        <v>#N/A</v>
      </c>
      <c r="J662">
        <f t="shared" si="138"/>
        <v>0</v>
      </c>
      <c r="K662" t="e">
        <f t="shared" si="134"/>
        <v>#N/A</v>
      </c>
      <c r="L662" s="111">
        <f t="shared" si="135"/>
        <v>0</v>
      </c>
      <c r="M662" s="112">
        <f t="shared" si="136"/>
        <v>0</v>
      </c>
      <c r="N662" s="112">
        <f t="shared" si="137"/>
        <v>0</v>
      </c>
    </row>
    <row r="663" spans="1:14" x14ac:dyDescent="0.35">
      <c r="A663" s="106">
        <f t="shared" si="133"/>
        <v>0</v>
      </c>
      <c r="B663" s="107" t="e">
        <f>VLOOKUP(A663,[1]Hoja3!$C$3:$D$14,2,FALSE)</f>
        <v>#N/A</v>
      </c>
      <c r="C663" s="108"/>
      <c r="D663" s="108"/>
      <c r="E663" s="109"/>
      <c r="F663" s="109"/>
      <c r="G663" s="110" t="e">
        <f t="shared" si="139"/>
        <v>#N/A</v>
      </c>
      <c r="H663" s="252"/>
      <c r="I663" s="102" t="e">
        <f t="shared" si="140"/>
        <v>#N/A</v>
      </c>
      <c r="J663">
        <f t="shared" si="138"/>
        <v>0</v>
      </c>
      <c r="K663" t="e">
        <f t="shared" si="134"/>
        <v>#N/A</v>
      </c>
      <c r="L663" s="111">
        <f t="shared" si="135"/>
        <v>0</v>
      </c>
      <c r="M663" s="112">
        <f t="shared" si="136"/>
        <v>0</v>
      </c>
      <c r="N663" s="112">
        <f t="shared" si="137"/>
        <v>0</v>
      </c>
    </row>
    <row r="664" spans="1:14" x14ac:dyDescent="0.35">
      <c r="A664" s="106">
        <f t="shared" si="133"/>
        <v>0</v>
      </c>
      <c r="B664" s="107" t="e">
        <f>VLOOKUP(A664,[1]Hoja3!$C$3:$D$14,2,FALSE)</f>
        <v>#N/A</v>
      </c>
      <c r="C664" s="108"/>
      <c r="D664" s="108"/>
      <c r="E664" s="109"/>
      <c r="F664" s="109"/>
      <c r="G664" s="110" t="e">
        <f t="shared" si="139"/>
        <v>#N/A</v>
      </c>
      <c r="H664" s="252"/>
      <c r="I664" s="102" t="e">
        <f t="shared" si="140"/>
        <v>#N/A</v>
      </c>
      <c r="J664">
        <f t="shared" si="138"/>
        <v>0</v>
      </c>
      <c r="K664" t="e">
        <f t="shared" si="134"/>
        <v>#N/A</v>
      </c>
      <c r="L664" s="111">
        <f t="shared" si="135"/>
        <v>0</v>
      </c>
      <c r="M664" s="112">
        <f t="shared" si="136"/>
        <v>0</v>
      </c>
      <c r="N664" s="112">
        <f t="shared" si="137"/>
        <v>0</v>
      </c>
    </row>
    <row r="665" spans="1:14" x14ac:dyDescent="0.35">
      <c r="A665" s="106">
        <f t="shared" si="133"/>
        <v>0</v>
      </c>
      <c r="B665" s="107" t="e">
        <f>VLOOKUP(A665,[1]Hoja3!$C$3:$D$14,2,FALSE)</f>
        <v>#N/A</v>
      </c>
      <c r="C665" s="108"/>
      <c r="D665" s="108"/>
      <c r="E665" s="109"/>
      <c r="F665" s="109"/>
      <c r="G665" s="110" t="e">
        <f t="shared" si="139"/>
        <v>#N/A</v>
      </c>
      <c r="H665" s="252"/>
      <c r="I665" s="102" t="e">
        <f t="shared" si="140"/>
        <v>#N/A</v>
      </c>
      <c r="J665">
        <f t="shared" si="138"/>
        <v>0</v>
      </c>
      <c r="K665" t="e">
        <f t="shared" si="134"/>
        <v>#N/A</v>
      </c>
      <c r="L665" s="111">
        <f t="shared" si="135"/>
        <v>0</v>
      </c>
      <c r="M665" s="112">
        <f t="shared" si="136"/>
        <v>0</v>
      </c>
      <c r="N665" s="112">
        <f t="shared" si="137"/>
        <v>0</v>
      </c>
    </row>
    <row r="666" spans="1:14" x14ac:dyDescent="0.35">
      <c r="A666" s="106">
        <f t="shared" si="133"/>
        <v>0</v>
      </c>
      <c r="B666" s="107" t="e">
        <f>VLOOKUP(A666,[1]Hoja3!$C$3:$D$14,2,FALSE)</f>
        <v>#N/A</v>
      </c>
      <c r="C666" s="108"/>
      <c r="D666" s="108"/>
      <c r="E666" s="109"/>
      <c r="F666" s="109"/>
      <c r="G666" s="110" t="e">
        <f t="shared" si="139"/>
        <v>#N/A</v>
      </c>
      <c r="H666" s="252"/>
      <c r="I666" s="102" t="e">
        <f t="shared" si="140"/>
        <v>#N/A</v>
      </c>
      <c r="J666">
        <f t="shared" si="138"/>
        <v>0</v>
      </c>
      <c r="K666" t="e">
        <f t="shared" si="134"/>
        <v>#N/A</v>
      </c>
      <c r="L666" s="111">
        <f t="shared" si="135"/>
        <v>0</v>
      </c>
      <c r="M666" s="112">
        <f t="shared" si="136"/>
        <v>0</v>
      </c>
      <c r="N666" s="112">
        <f t="shared" si="137"/>
        <v>0</v>
      </c>
    </row>
    <row r="667" spans="1:14" x14ac:dyDescent="0.35">
      <c r="A667" s="106">
        <f t="shared" si="133"/>
        <v>0</v>
      </c>
      <c r="B667" s="107" t="e">
        <f>VLOOKUP(A667,[1]Hoja3!$C$3:$D$14,2,FALSE)</f>
        <v>#N/A</v>
      </c>
      <c r="C667" s="108"/>
      <c r="D667" s="108"/>
      <c r="E667" s="109"/>
      <c r="F667" s="109"/>
      <c r="G667" s="110" t="e">
        <f t="shared" si="139"/>
        <v>#N/A</v>
      </c>
      <c r="H667" s="252"/>
      <c r="I667" s="102" t="e">
        <f t="shared" si="140"/>
        <v>#N/A</v>
      </c>
      <c r="J667">
        <f t="shared" si="138"/>
        <v>0</v>
      </c>
      <c r="K667" t="e">
        <f t="shared" si="134"/>
        <v>#N/A</v>
      </c>
      <c r="L667" s="111">
        <f t="shared" si="135"/>
        <v>0</v>
      </c>
      <c r="M667" s="112">
        <f t="shared" si="136"/>
        <v>0</v>
      </c>
      <c r="N667" s="112">
        <f t="shared" si="137"/>
        <v>0</v>
      </c>
    </row>
    <row r="668" spans="1:14" x14ac:dyDescent="0.35">
      <c r="A668" s="106">
        <f t="shared" si="133"/>
        <v>0</v>
      </c>
      <c r="B668" s="107" t="e">
        <f>VLOOKUP(A668,[1]Hoja3!$C$3:$D$14,2,FALSE)</f>
        <v>#N/A</v>
      </c>
      <c r="C668" s="108"/>
      <c r="D668" s="108"/>
      <c r="E668" s="109"/>
      <c r="F668" s="109"/>
      <c r="G668" s="110" t="e">
        <f t="shared" si="139"/>
        <v>#N/A</v>
      </c>
      <c r="H668" s="252"/>
      <c r="I668" s="102" t="e">
        <f t="shared" si="140"/>
        <v>#N/A</v>
      </c>
      <c r="J668">
        <f t="shared" si="138"/>
        <v>0</v>
      </c>
      <c r="K668" t="e">
        <f t="shared" si="134"/>
        <v>#N/A</v>
      </c>
      <c r="L668" s="111">
        <f t="shared" si="135"/>
        <v>0</v>
      </c>
      <c r="M668" s="112">
        <f t="shared" si="136"/>
        <v>0</v>
      </c>
      <c r="N668" s="112">
        <f t="shared" si="137"/>
        <v>0</v>
      </c>
    </row>
    <row r="669" spans="1:14" x14ac:dyDescent="0.35">
      <c r="A669" s="106">
        <f t="shared" si="133"/>
        <v>0</v>
      </c>
      <c r="B669" s="107" t="e">
        <f>VLOOKUP(A669,[1]Hoja3!$C$3:$D$14,2,FALSE)</f>
        <v>#N/A</v>
      </c>
      <c r="C669" s="108"/>
      <c r="D669" s="108"/>
      <c r="E669" s="109"/>
      <c r="F669" s="109"/>
      <c r="G669" s="110" t="e">
        <f t="shared" si="139"/>
        <v>#N/A</v>
      </c>
      <c r="H669" s="252"/>
      <c r="I669" s="102" t="e">
        <f t="shared" si="140"/>
        <v>#N/A</v>
      </c>
      <c r="J669">
        <f t="shared" si="138"/>
        <v>0</v>
      </c>
      <c r="K669" t="e">
        <f t="shared" si="134"/>
        <v>#N/A</v>
      </c>
      <c r="L669" s="111">
        <f t="shared" si="135"/>
        <v>0</v>
      </c>
      <c r="M669" s="112">
        <f t="shared" si="136"/>
        <v>0</v>
      </c>
      <c r="N669" s="112">
        <f t="shared" si="137"/>
        <v>0</v>
      </c>
    </row>
    <row r="670" spans="1:14" x14ac:dyDescent="0.35">
      <c r="A670" s="106">
        <f t="shared" si="133"/>
        <v>0</v>
      </c>
      <c r="B670" s="107" t="e">
        <f>VLOOKUP(A670,[1]Hoja3!$C$3:$D$14,2,FALSE)</f>
        <v>#N/A</v>
      </c>
      <c r="C670" s="108"/>
      <c r="D670" s="108"/>
      <c r="E670" s="109"/>
      <c r="F670" s="109"/>
      <c r="G670" s="110" t="e">
        <f t="shared" si="139"/>
        <v>#N/A</v>
      </c>
      <c r="H670" s="252"/>
      <c r="I670" s="102" t="e">
        <f t="shared" si="140"/>
        <v>#N/A</v>
      </c>
      <c r="J670">
        <f t="shared" si="138"/>
        <v>0</v>
      </c>
      <c r="K670" t="e">
        <f t="shared" si="134"/>
        <v>#N/A</v>
      </c>
      <c r="L670" s="111">
        <f t="shared" si="135"/>
        <v>0</v>
      </c>
      <c r="M670" s="112">
        <f t="shared" si="136"/>
        <v>0</v>
      </c>
      <c r="N670" s="112">
        <f t="shared" si="137"/>
        <v>0</v>
      </c>
    </row>
    <row r="671" spans="1:14" x14ac:dyDescent="0.35">
      <c r="A671" s="106">
        <f t="shared" si="133"/>
        <v>0</v>
      </c>
      <c r="B671" s="107" t="e">
        <f>VLOOKUP(A671,[1]Hoja3!$C$3:$D$14,2,FALSE)</f>
        <v>#N/A</v>
      </c>
      <c r="C671" s="108"/>
      <c r="D671" s="108"/>
      <c r="E671" s="109"/>
      <c r="F671" s="109"/>
      <c r="G671" s="110" t="e">
        <f t="shared" si="139"/>
        <v>#N/A</v>
      </c>
      <c r="H671" s="252"/>
      <c r="I671" s="102" t="e">
        <f t="shared" si="140"/>
        <v>#N/A</v>
      </c>
      <c r="J671">
        <f t="shared" si="138"/>
        <v>0</v>
      </c>
      <c r="K671" t="e">
        <f t="shared" si="134"/>
        <v>#N/A</v>
      </c>
      <c r="L671" s="111">
        <f t="shared" si="135"/>
        <v>0</v>
      </c>
      <c r="M671" s="112">
        <f t="shared" si="136"/>
        <v>0</v>
      </c>
      <c r="N671" s="112">
        <f t="shared" si="137"/>
        <v>0</v>
      </c>
    </row>
    <row r="672" spans="1:14" x14ac:dyDescent="0.35">
      <c r="A672" s="106">
        <f t="shared" si="133"/>
        <v>0</v>
      </c>
      <c r="B672" s="107" t="e">
        <f>VLOOKUP(A672,[1]Hoja3!$C$3:$D$14,2,FALSE)</f>
        <v>#N/A</v>
      </c>
      <c r="C672" s="108"/>
      <c r="D672" s="108"/>
      <c r="E672" s="109"/>
      <c r="F672" s="109"/>
      <c r="G672" s="110" t="e">
        <f t="shared" si="139"/>
        <v>#N/A</v>
      </c>
      <c r="H672" s="252"/>
      <c r="I672" s="102" t="e">
        <f t="shared" si="140"/>
        <v>#N/A</v>
      </c>
      <c r="J672">
        <f t="shared" si="138"/>
        <v>0</v>
      </c>
      <c r="K672" t="e">
        <f t="shared" si="134"/>
        <v>#N/A</v>
      </c>
      <c r="L672" s="111">
        <f t="shared" si="135"/>
        <v>0</v>
      </c>
      <c r="M672" s="112">
        <f t="shared" si="136"/>
        <v>0</v>
      </c>
      <c r="N672" s="112">
        <f t="shared" si="137"/>
        <v>0</v>
      </c>
    </row>
    <row r="673" spans="1:14" x14ac:dyDescent="0.35">
      <c r="A673" s="106">
        <f t="shared" ref="A673:A736" si="141">IF(C673&gt;0,MONTH(C673),0)</f>
        <v>0</v>
      </c>
      <c r="B673" s="107" t="e">
        <f>VLOOKUP(A673,[1]Hoja3!$C$3:$D$14,2,FALSE)</f>
        <v>#N/A</v>
      </c>
      <c r="C673" s="108"/>
      <c r="D673" s="108"/>
      <c r="E673" s="109"/>
      <c r="F673" s="109"/>
      <c r="G673" s="110" t="e">
        <f t="shared" si="139"/>
        <v>#N/A</v>
      </c>
      <c r="H673" s="252"/>
      <c r="I673" s="102" t="e">
        <f t="shared" si="140"/>
        <v>#N/A</v>
      </c>
      <c r="J673">
        <f t="shared" si="138"/>
        <v>0</v>
      </c>
      <c r="K673" t="e">
        <f t="shared" ref="K673:K736" si="142">+B673</f>
        <v>#N/A</v>
      </c>
      <c r="L673" s="111">
        <f t="shared" ref="L673:L736" si="143">+J673/0.16</f>
        <v>0</v>
      </c>
      <c r="M673" s="112">
        <f t="shared" ref="M673:M736" si="144">+H673-L673</f>
        <v>0</v>
      </c>
      <c r="N673" s="112">
        <f t="shared" ref="N673:N736" si="145">+H673+J673</f>
        <v>0</v>
      </c>
    </row>
    <row r="674" spans="1:14" x14ac:dyDescent="0.35">
      <c r="A674" s="106">
        <f t="shared" si="141"/>
        <v>0</v>
      </c>
      <c r="B674" s="107" t="e">
        <f>VLOOKUP(A674,[1]Hoja3!$C$3:$D$14,2,FALSE)</f>
        <v>#N/A</v>
      </c>
      <c r="C674" s="108"/>
      <c r="D674" s="108"/>
      <c r="E674" s="109"/>
      <c r="F674" s="109"/>
      <c r="G674" s="110" t="e">
        <f t="shared" si="139"/>
        <v>#N/A</v>
      </c>
      <c r="H674" s="252"/>
      <c r="I674" s="102" t="e">
        <f t="shared" si="140"/>
        <v>#N/A</v>
      </c>
      <c r="J674">
        <f t="shared" si="138"/>
        <v>0</v>
      </c>
      <c r="K674" t="e">
        <f t="shared" si="142"/>
        <v>#N/A</v>
      </c>
      <c r="L674" s="111">
        <f t="shared" si="143"/>
        <v>0</v>
      </c>
      <c r="M674" s="112">
        <f t="shared" si="144"/>
        <v>0</v>
      </c>
      <c r="N674" s="112">
        <f t="shared" si="145"/>
        <v>0</v>
      </c>
    </row>
    <row r="675" spans="1:14" x14ac:dyDescent="0.35">
      <c r="A675" s="106">
        <f t="shared" si="141"/>
        <v>0</v>
      </c>
      <c r="B675" s="107" t="e">
        <f>VLOOKUP(A675,[1]Hoja3!$C$3:$D$14,2,FALSE)</f>
        <v>#N/A</v>
      </c>
      <c r="C675" s="108"/>
      <c r="D675" s="108"/>
      <c r="E675" s="109"/>
      <c r="F675" s="109"/>
      <c r="G675" s="110" t="e">
        <f t="shared" si="139"/>
        <v>#N/A</v>
      </c>
      <c r="H675" s="252"/>
      <c r="I675" s="102" t="e">
        <f t="shared" si="140"/>
        <v>#N/A</v>
      </c>
      <c r="J675">
        <f t="shared" si="138"/>
        <v>0</v>
      </c>
      <c r="K675" t="e">
        <f t="shared" si="142"/>
        <v>#N/A</v>
      </c>
      <c r="L675" s="111">
        <f t="shared" si="143"/>
        <v>0</v>
      </c>
      <c r="M675" s="112">
        <f t="shared" si="144"/>
        <v>0</v>
      </c>
      <c r="N675" s="112">
        <f t="shared" si="145"/>
        <v>0</v>
      </c>
    </row>
    <row r="676" spans="1:14" x14ac:dyDescent="0.35">
      <c r="A676" s="106">
        <f t="shared" si="141"/>
        <v>0</v>
      </c>
      <c r="B676" s="107" t="e">
        <f>VLOOKUP(A676,[1]Hoja3!$C$3:$D$14,2,FALSE)</f>
        <v>#N/A</v>
      </c>
      <c r="C676" s="108"/>
      <c r="D676" s="108"/>
      <c r="E676" s="109"/>
      <c r="F676" s="109"/>
      <c r="G676" s="110" t="e">
        <f t="shared" si="139"/>
        <v>#N/A</v>
      </c>
      <c r="H676" s="252"/>
      <c r="I676" s="102" t="e">
        <f t="shared" si="140"/>
        <v>#N/A</v>
      </c>
      <c r="J676">
        <f t="shared" si="138"/>
        <v>0</v>
      </c>
      <c r="K676" t="e">
        <f t="shared" si="142"/>
        <v>#N/A</v>
      </c>
      <c r="L676" s="111">
        <f t="shared" si="143"/>
        <v>0</v>
      </c>
      <c r="M676" s="112">
        <f t="shared" si="144"/>
        <v>0</v>
      </c>
      <c r="N676" s="112">
        <f t="shared" si="145"/>
        <v>0</v>
      </c>
    </row>
    <row r="677" spans="1:14" x14ac:dyDescent="0.35">
      <c r="A677" s="106">
        <f t="shared" si="141"/>
        <v>0</v>
      </c>
      <c r="B677" s="107" t="e">
        <f>VLOOKUP(A677,[1]Hoja3!$C$3:$D$14,2,FALSE)</f>
        <v>#N/A</v>
      </c>
      <c r="C677" s="108"/>
      <c r="D677" s="108"/>
      <c r="E677" s="109"/>
      <c r="F677" s="109"/>
      <c r="G677" s="110" t="e">
        <f t="shared" si="139"/>
        <v>#N/A</v>
      </c>
      <c r="H677" s="252"/>
      <c r="I677" s="102" t="e">
        <f t="shared" si="140"/>
        <v>#N/A</v>
      </c>
      <c r="J677">
        <f t="shared" si="138"/>
        <v>0</v>
      </c>
      <c r="K677" t="e">
        <f t="shared" si="142"/>
        <v>#N/A</v>
      </c>
      <c r="L677" s="111">
        <f t="shared" si="143"/>
        <v>0</v>
      </c>
      <c r="M677" s="112">
        <f t="shared" si="144"/>
        <v>0</v>
      </c>
      <c r="N677" s="112">
        <f t="shared" si="145"/>
        <v>0</v>
      </c>
    </row>
    <row r="678" spans="1:14" x14ac:dyDescent="0.35">
      <c r="A678" s="106">
        <f t="shared" si="141"/>
        <v>0</v>
      </c>
      <c r="B678" s="107" t="e">
        <f>VLOOKUP(A678,[1]Hoja3!$C$3:$D$14,2,FALSE)</f>
        <v>#N/A</v>
      </c>
      <c r="C678" s="108"/>
      <c r="D678" s="108"/>
      <c r="E678" s="109"/>
      <c r="F678" s="109"/>
      <c r="G678" s="110" t="e">
        <f t="shared" si="139"/>
        <v>#N/A</v>
      </c>
      <c r="H678" s="252"/>
      <c r="I678" s="102" t="e">
        <f t="shared" si="140"/>
        <v>#N/A</v>
      </c>
      <c r="J678">
        <f t="shared" si="138"/>
        <v>0</v>
      </c>
      <c r="K678" t="e">
        <f t="shared" si="142"/>
        <v>#N/A</v>
      </c>
      <c r="L678" s="111">
        <f t="shared" si="143"/>
        <v>0</v>
      </c>
      <c r="M678" s="112">
        <f t="shared" si="144"/>
        <v>0</v>
      </c>
      <c r="N678" s="112">
        <f t="shared" si="145"/>
        <v>0</v>
      </c>
    </row>
    <row r="679" spans="1:14" x14ac:dyDescent="0.35">
      <c r="A679" s="106">
        <f t="shared" si="141"/>
        <v>0</v>
      </c>
      <c r="B679" s="107" t="e">
        <f>VLOOKUP(A679,[1]Hoja3!$C$3:$D$14,2,FALSE)</f>
        <v>#N/A</v>
      </c>
      <c r="C679" s="108"/>
      <c r="D679" s="108"/>
      <c r="E679" s="109"/>
      <c r="F679" s="109"/>
      <c r="G679" s="110" t="e">
        <f t="shared" si="139"/>
        <v>#N/A</v>
      </c>
      <c r="H679" s="252"/>
      <c r="I679" s="102" t="e">
        <f t="shared" si="140"/>
        <v>#N/A</v>
      </c>
      <c r="J679">
        <f t="shared" si="138"/>
        <v>0</v>
      </c>
      <c r="K679" t="e">
        <f t="shared" si="142"/>
        <v>#N/A</v>
      </c>
      <c r="L679" s="111">
        <f t="shared" si="143"/>
        <v>0</v>
      </c>
      <c r="M679" s="112">
        <f t="shared" si="144"/>
        <v>0</v>
      </c>
      <c r="N679" s="112">
        <f t="shared" si="145"/>
        <v>0</v>
      </c>
    </row>
    <row r="680" spans="1:14" x14ac:dyDescent="0.35">
      <c r="A680" s="106">
        <f t="shared" si="141"/>
        <v>0</v>
      </c>
      <c r="B680" s="107" t="e">
        <f>VLOOKUP(A680,[1]Hoja3!$C$3:$D$14,2,FALSE)</f>
        <v>#N/A</v>
      </c>
      <c r="C680" s="108"/>
      <c r="D680" s="108"/>
      <c r="E680" s="109"/>
      <c r="F680" s="109"/>
      <c r="G680" s="110" t="e">
        <f t="shared" si="139"/>
        <v>#N/A</v>
      </c>
      <c r="H680" s="252"/>
      <c r="I680" s="102" t="e">
        <f t="shared" si="140"/>
        <v>#N/A</v>
      </c>
      <c r="J680">
        <f t="shared" si="138"/>
        <v>0</v>
      </c>
      <c r="K680" t="e">
        <f t="shared" si="142"/>
        <v>#N/A</v>
      </c>
      <c r="L680" s="111">
        <f t="shared" si="143"/>
        <v>0</v>
      </c>
      <c r="M680" s="112">
        <f t="shared" si="144"/>
        <v>0</v>
      </c>
      <c r="N680" s="112">
        <f t="shared" si="145"/>
        <v>0</v>
      </c>
    </row>
    <row r="681" spans="1:14" x14ac:dyDescent="0.35">
      <c r="A681" s="106">
        <f t="shared" si="141"/>
        <v>0</v>
      </c>
      <c r="B681" s="107" t="e">
        <f>VLOOKUP(A681,[1]Hoja3!$C$3:$D$14,2,FALSE)</f>
        <v>#N/A</v>
      </c>
      <c r="C681" s="108"/>
      <c r="D681" s="108"/>
      <c r="E681" s="109"/>
      <c r="F681" s="109"/>
      <c r="G681" s="110" t="e">
        <f t="shared" si="139"/>
        <v>#N/A</v>
      </c>
      <c r="H681" s="252"/>
      <c r="I681" s="102" t="e">
        <f t="shared" si="140"/>
        <v>#N/A</v>
      </c>
      <c r="J681">
        <f t="shared" si="138"/>
        <v>0</v>
      </c>
      <c r="K681" t="e">
        <f t="shared" si="142"/>
        <v>#N/A</v>
      </c>
      <c r="L681" s="111">
        <f t="shared" si="143"/>
        <v>0</v>
      </c>
      <c r="M681" s="112">
        <f t="shared" si="144"/>
        <v>0</v>
      </c>
      <c r="N681" s="112">
        <f t="shared" si="145"/>
        <v>0</v>
      </c>
    </row>
    <row r="682" spans="1:14" x14ac:dyDescent="0.35">
      <c r="A682" s="106">
        <f t="shared" si="141"/>
        <v>0</v>
      </c>
      <c r="B682" s="107" t="e">
        <f>VLOOKUP(A682,[1]Hoja3!$C$3:$D$14,2,FALSE)</f>
        <v>#N/A</v>
      </c>
      <c r="C682" s="108"/>
      <c r="D682" s="108"/>
      <c r="E682" s="109"/>
      <c r="F682" s="109"/>
      <c r="G682" s="110" t="e">
        <f t="shared" si="139"/>
        <v>#N/A</v>
      </c>
      <c r="H682" s="252"/>
      <c r="I682" s="102" t="e">
        <f t="shared" si="140"/>
        <v>#N/A</v>
      </c>
      <c r="J682">
        <f t="shared" si="138"/>
        <v>0</v>
      </c>
      <c r="K682" t="e">
        <f t="shared" si="142"/>
        <v>#N/A</v>
      </c>
      <c r="L682" s="111">
        <f t="shared" si="143"/>
        <v>0</v>
      </c>
      <c r="M682" s="112">
        <f t="shared" si="144"/>
        <v>0</v>
      </c>
      <c r="N682" s="112">
        <f t="shared" si="145"/>
        <v>0</v>
      </c>
    </row>
    <row r="683" spans="1:14" x14ac:dyDescent="0.35">
      <c r="A683" s="106">
        <f t="shared" si="141"/>
        <v>0</v>
      </c>
      <c r="B683" s="107" t="e">
        <f>VLOOKUP(A683,[1]Hoja3!$C$3:$D$14,2,FALSE)</f>
        <v>#N/A</v>
      </c>
      <c r="C683" s="108"/>
      <c r="D683" s="108"/>
      <c r="E683" s="109"/>
      <c r="F683" s="109"/>
      <c r="G683" s="110" t="e">
        <f t="shared" si="139"/>
        <v>#N/A</v>
      </c>
      <c r="H683" s="252"/>
      <c r="I683" s="102" t="e">
        <f t="shared" si="140"/>
        <v>#N/A</v>
      </c>
      <c r="J683">
        <f t="shared" si="138"/>
        <v>0</v>
      </c>
      <c r="K683" t="e">
        <f t="shared" si="142"/>
        <v>#N/A</v>
      </c>
      <c r="L683" s="111">
        <f t="shared" si="143"/>
        <v>0</v>
      </c>
      <c r="M683" s="112">
        <f t="shared" si="144"/>
        <v>0</v>
      </c>
      <c r="N683" s="112">
        <f t="shared" si="145"/>
        <v>0</v>
      </c>
    </row>
    <row r="684" spans="1:14" x14ac:dyDescent="0.35">
      <c r="A684" s="106">
        <f t="shared" si="141"/>
        <v>0</v>
      </c>
      <c r="B684" s="107" t="e">
        <f>VLOOKUP(A684,[1]Hoja3!$C$3:$D$14,2,FALSE)</f>
        <v>#N/A</v>
      </c>
      <c r="C684" s="108"/>
      <c r="D684" s="108"/>
      <c r="E684" s="109"/>
      <c r="F684" s="109"/>
      <c r="G684" s="110" t="e">
        <f t="shared" si="139"/>
        <v>#N/A</v>
      </c>
      <c r="H684" s="252"/>
      <c r="I684" s="102" t="e">
        <f t="shared" si="140"/>
        <v>#N/A</v>
      </c>
      <c r="J684">
        <f t="shared" si="138"/>
        <v>0</v>
      </c>
      <c r="K684" t="e">
        <f t="shared" si="142"/>
        <v>#N/A</v>
      </c>
      <c r="L684" s="111">
        <f t="shared" si="143"/>
        <v>0</v>
      </c>
      <c r="M684" s="112">
        <f t="shared" si="144"/>
        <v>0</v>
      </c>
      <c r="N684" s="112">
        <f t="shared" si="145"/>
        <v>0</v>
      </c>
    </row>
    <row r="685" spans="1:14" x14ac:dyDescent="0.35">
      <c r="A685" s="106">
        <f t="shared" si="141"/>
        <v>0</v>
      </c>
      <c r="B685" s="107" t="e">
        <f>VLOOKUP(A685,[1]Hoja3!$C$3:$D$14,2,FALSE)</f>
        <v>#N/A</v>
      </c>
      <c r="C685" s="108"/>
      <c r="D685" s="108"/>
      <c r="E685" s="109"/>
      <c r="F685" s="109"/>
      <c r="G685" s="110" t="e">
        <f t="shared" si="139"/>
        <v>#N/A</v>
      </c>
      <c r="H685" s="252"/>
      <c r="I685" s="102" t="e">
        <f t="shared" si="140"/>
        <v>#N/A</v>
      </c>
      <c r="J685">
        <f t="shared" si="138"/>
        <v>0</v>
      </c>
      <c r="K685" t="e">
        <f t="shared" si="142"/>
        <v>#N/A</v>
      </c>
      <c r="L685" s="111">
        <f t="shared" si="143"/>
        <v>0</v>
      </c>
      <c r="M685" s="112">
        <f t="shared" si="144"/>
        <v>0</v>
      </c>
      <c r="N685" s="112">
        <f t="shared" si="145"/>
        <v>0</v>
      </c>
    </row>
    <row r="686" spans="1:14" x14ac:dyDescent="0.35">
      <c r="A686" s="106">
        <f t="shared" si="141"/>
        <v>0</v>
      </c>
      <c r="B686" s="107" t="e">
        <f>VLOOKUP(A686,[1]Hoja3!$C$3:$D$14,2,FALSE)</f>
        <v>#N/A</v>
      </c>
      <c r="C686" s="108"/>
      <c r="D686" s="108"/>
      <c r="E686" s="109"/>
      <c r="F686" s="109"/>
      <c r="G686" s="110" t="e">
        <f t="shared" si="139"/>
        <v>#N/A</v>
      </c>
      <c r="H686" s="252"/>
      <c r="I686" s="102" t="e">
        <f t="shared" si="140"/>
        <v>#N/A</v>
      </c>
      <c r="J686">
        <f t="shared" si="138"/>
        <v>0</v>
      </c>
      <c r="K686" t="e">
        <f t="shared" si="142"/>
        <v>#N/A</v>
      </c>
      <c r="L686" s="111">
        <f t="shared" si="143"/>
        <v>0</v>
      </c>
      <c r="M686" s="112">
        <f t="shared" si="144"/>
        <v>0</v>
      </c>
      <c r="N686" s="112">
        <f t="shared" si="145"/>
        <v>0</v>
      </c>
    </row>
    <row r="687" spans="1:14" x14ac:dyDescent="0.35">
      <c r="A687" s="106">
        <f t="shared" si="141"/>
        <v>0</v>
      </c>
      <c r="B687" s="107" t="e">
        <f>VLOOKUP(A687,[1]Hoja3!$C$3:$D$14,2,FALSE)</f>
        <v>#N/A</v>
      </c>
      <c r="C687" s="108"/>
      <c r="D687" s="108"/>
      <c r="E687" s="109"/>
      <c r="F687" s="109"/>
      <c r="G687" s="110" t="e">
        <f t="shared" si="139"/>
        <v>#N/A</v>
      </c>
      <c r="H687" s="252"/>
      <c r="I687" s="102" t="e">
        <f t="shared" si="140"/>
        <v>#N/A</v>
      </c>
      <c r="J687">
        <f t="shared" si="138"/>
        <v>0</v>
      </c>
      <c r="K687" t="e">
        <f t="shared" si="142"/>
        <v>#N/A</v>
      </c>
      <c r="L687" s="111">
        <f t="shared" si="143"/>
        <v>0</v>
      </c>
      <c r="M687" s="112">
        <f t="shared" si="144"/>
        <v>0</v>
      </c>
      <c r="N687" s="112">
        <f t="shared" si="145"/>
        <v>0</v>
      </c>
    </row>
    <row r="688" spans="1:14" x14ac:dyDescent="0.35">
      <c r="A688" s="106">
        <f t="shared" si="141"/>
        <v>0</v>
      </c>
      <c r="B688" s="107" t="e">
        <f>VLOOKUP(A688,[1]Hoja3!$C$3:$D$14,2,FALSE)</f>
        <v>#N/A</v>
      </c>
      <c r="C688" s="108"/>
      <c r="D688" s="108"/>
      <c r="E688" s="109"/>
      <c r="F688" s="109"/>
      <c r="G688" s="110" t="e">
        <f t="shared" si="139"/>
        <v>#N/A</v>
      </c>
      <c r="H688" s="252"/>
      <c r="I688" s="102" t="e">
        <f t="shared" si="140"/>
        <v>#N/A</v>
      </c>
      <c r="J688">
        <f t="shared" si="138"/>
        <v>0</v>
      </c>
      <c r="K688" t="e">
        <f t="shared" si="142"/>
        <v>#N/A</v>
      </c>
      <c r="L688" s="111">
        <f t="shared" si="143"/>
        <v>0</v>
      </c>
      <c r="M688" s="112">
        <f t="shared" si="144"/>
        <v>0</v>
      </c>
      <c r="N688" s="112">
        <f t="shared" si="145"/>
        <v>0</v>
      </c>
    </row>
    <row r="689" spans="1:14" x14ac:dyDescent="0.35">
      <c r="A689" s="106">
        <f t="shared" si="141"/>
        <v>0</v>
      </c>
      <c r="B689" s="107" t="e">
        <f>VLOOKUP(A689,[1]Hoja3!$C$3:$D$14,2,FALSE)</f>
        <v>#N/A</v>
      </c>
      <c r="C689" s="108"/>
      <c r="D689" s="108"/>
      <c r="E689" s="109"/>
      <c r="F689" s="109"/>
      <c r="G689" s="110" t="e">
        <f t="shared" si="139"/>
        <v>#N/A</v>
      </c>
      <c r="H689" s="252"/>
      <c r="I689" s="102" t="e">
        <f t="shared" si="140"/>
        <v>#N/A</v>
      </c>
      <c r="J689">
        <f t="shared" si="138"/>
        <v>0</v>
      </c>
      <c r="K689" t="e">
        <f t="shared" si="142"/>
        <v>#N/A</v>
      </c>
      <c r="L689" s="111">
        <f t="shared" si="143"/>
        <v>0</v>
      </c>
      <c r="M689" s="112">
        <f t="shared" si="144"/>
        <v>0</v>
      </c>
      <c r="N689" s="112">
        <f t="shared" si="145"/>
        <v>0</v>
      </c>
    </row>
    <row r="690" spans="1:14" x14ac:dyDescent="0.35">
      <c r="A690" s="106">
        <f t="shared" si="141"/>
        <v>0</v>
      </c>
      <c r="B690" s="107" t="e">
        <f>VLOOKUP(A690,[1]Hoja3!$C$3:$D$14,2,FALSE)</f>
        <v>#N/A</v>
      </c>
      <c r="C690" s="108"/>
      <c r="D690" s="108"/>
      <c r="E690" s="109"/>
      <c r="F690" s="109"/>
      <c r="G690" s="110" t="e">
        <f t="shared" si="139"/>
        <v>#N/A</v>
      </c>
      <c r="H690" s="252"/>
      <c r="I690" s="102" t="e">
        <f t="shared" si="140"/>
        <v>#N/A</v>
      </c>
      <c r="J690">
        <f t="shared" si="138"/>
        <v>0</v>
      </c>
      <c r="K690" t="e">
        <f t="shared" si="142"/>
        <v>#N/A</v>
      </c>
      <c r="L690" s="111">
        <f t="shared" si="143"/>
        <v>0</v>
      </c>
      <c r="M690" s="112">
        <f t="shared" si="144"/>
        <v>0</v>
      </c>
      <c r="N690" s="112">
        <f t="shared" si="145"/>
        <v>0</v>
      </c>
    </row>
    <row r="691" spans="1:14" x14ac:dyDescent="0.35">
      <c r="A691" s="106">
        <f t="shared" si="141"/>
        <v>0</v>
      </c>
      <c r="B691" s="107" t="e">
        <f>VLOOKUP(A691,[1]Hoja3!$C$3:$D$14,2,FALSE)</f>
        <v>#N/A</v>
      </c>
      <c r="C691" s="108"/>
      <c r="D691" s="108"/>
      <c r="E691" s="109"/>
      <c r="F691" s="109"/>
      <c r="G691" s="110" t="e">
        <f t="shared" si="139"/>
        <v>#N/A</v>
      </c>
      <c r="H691" s="252"/>
      <c r="I691" s="102" t="e">
        <f t="shared" si="140"/>
        <v>#N/A</v>
      </c>
      <c r="J691">
        <f t="shared" si="138"/>
        <v>0</v>
      </c>
      <c r="K691" t="e">
        <f t="shared" si="142"/>
        <v>#N/A</v>
      </c>
      <c r="L691" s="111">
        <f t="shared" si="143"/>
        <v>0</v>
      </c>
      <c r="M691" s="112">
        <f t="shared" si="144"/>
        <v>0</v>
      </c>
      <c r="N691" s="112">
        <f t="shared" si="145"/>
        <v>0</v>
      </c>
    </row>
    <row r="692" spans="1:14" x14ac:dyDescent="0.35">
      <c r="A692" s="106">
        <f t="shared" si="141"/>
        <v>0</v>
      </c>
      <c r="B692" s="107" t="e">
        <f>VLOOKUP(A692,[1]Hoja3!$C$3:$D$14,2,FALSE)</f>
        <v>#N/A</v>
      </c>
      <c r="C692" s="108"/>
      <c r="D692" s="108"/>
      <c r="E692" s="109"/>
      <c r="F692" s="109"/>
      <c r="G692" s="110" t="e">
        <f t="shared" si="139"/>
        <v>#N/A</v>
      </c>
      <c r="H692" s="252"/>
      <c r="I692" s="102" t="e">
        <f t="shared" si="140"/>
        <v>#N/A</v>
      </c>
      <c r="J692">
        <f t="shared" si="138"/>
        <v>0</v>
      </c>
      <c r="K692" t="e">
        <f t="shared" si="142"/>
        <v>#N/A</v>
      </c>
      <c r="L692" s="111">
        <f t="shared" si="143"/>
        <v>0</v>
      </c>
      <c r="M692" s="112">
        <f t="shared" si="144"/>
        <v>0</v>
      </c>
      <c r="N692" s="112">
        <f t="shared" si="145"/>
        <v>0</v>
      </c>
    </row>
    <row r="693" spans="1:14" x14ac:dyDescent="0.35">
      <c r="A693" s="106">
        <f t="shared" si="141"/>
        <v>0</v>
      </c>
      <c r="B693" s="107" t="e">
        <f>VLOOKUP(A693,[1]Hoja3!$C$3:$D$14,2,FALSE)</f>
        <v>#N/A</v>
      </c>
      <c r="C693" s="108"/>
      <c r="D693" s="108"/>
      <c r="E693" s="109"/>
      <c r="F693" s="109"/>
      <c r="G693" s="110" t="e">
        <f t="shared" si="139"/>
        <v>#N/A</v>
      </c>
      <c r="H693" s="252"/>
      <c r="I693" s="102" t="e">
        <f t="shared" si="140"/>
        <v>#N/A</v>
      </c>
      <c r="J693">
        <f t="shared" si="138"/>
        <v>0</v>
      </c>
      <c r="K693" t="e">
        <f t="shared" si="142"/>
        <v>#N/A</v>
      </c>
      <c r="L693" s="111">
        <f t="shared" si="143"/>
        <v>0</v>
      </c>
      <c r="M693" s="112">
        <f t="shared" si="144"/>
        <v>0</v>
      </c>
      <c r="N693" s="112">
        <f t="shared" si="145"/>
        <v>0</v>
      </c>
    </row>
    <row r="694" spans="1:14" x14ac:dyDescent="0.35">
      <c r="A694" s="106">
        <f t="shared" si="141"/>
        <v>0</v>
      </c>
      <c r="B694" s="107" t="e">
        <f>VLOOKUP(A694,[1]Hoja3!$C$3:$D$14,2,FALSE)</f>
        <v>#N/A</v>
      </c>
      <c r="C694" s="108"/>
      <c r="D694" s="108"/>
      <c r="E694" s="109"/>
      <c r="F694" s="109"/>
      <c r="G694" s="110" t="e">
        <f t="shared" si="139"/>
        <v>#N/A</v>
      </c>
      <c r="H694" s="252"/>
      <c r="I694" s="102" t="e">
        <f t="shared" si="140"/>
        <v>#N/A</v>
      </c>
      <c r="J694">
        <f t="shared" si="138"/>
        <v>0</v>
      </c>
      <c r="K694" t="e">
        <f t="shared" si="142"/>
        <v>#N/A</v>
      </c>
      <c r="L694" s="111">
        <f t="shared" si="143"/>
        <v>0</v>
      </c>
      <c r="M694" s="112">
        <f t="shared" si="144"/>
        <v>0</v>
      </c>
      <c r="N694" s="112">
        <f t="shared" si="145"/>
        <v>0</v>
      </c>
    </row>
    <row r="695" spans="1:14" x14ac:dyDescent="0.35">
      <c r="A695" s="106">
        <f t="shared" si="141"/>
        <v>0</v>
      </c>
      <c r="B695" s="107" t="e">
        <f>VLOOKUP(A695,[1]Hoja3!$C$3:$D$14,2,FALSE)</f>
        <v>#N/A</v>
      </c>
      <c r="C695" s="108"/>
      <c r="D695" s="108"/>
      <c r="E695" s="109"/>
      <c r="F695" s="109"/>
      <c r="G695" s="110" t="e">
        <f t="shared" si="139"/>
        <v>#N/A</v>
      </c>
      <c r="H695" s="252"/>
      <c r="I695" s="102" t="e">
        <f t="shared" si="140"/>
        <v>#N/A</v>
      </c>
      <c r="J695">
        <f t="shared" si="138"/>
        <v>0</v>
      </c>
      <c r="K695" t="e">
        <f t="shared" si="142"/>
        <v>#N/A</v>
      </c>
      <c r="L695" s="111">
        <f t="shared" si="143"/>
        <v>0</v>
      </c>
      <c r="M695" s="112">
        <f t="shared" si="144"/>
        <v>0</v>
      </c>
      <c r="N695" s="112">
        <f t="shared" si="145"/>
        <v>0</v>
      </c>
    </row>
    <row r="696" spans="1:14" x14ac:dyDescent="0.35">
      <c r="A696" s="106">
        <f t="shared" si="141"/>
        <v>0</v>
      </c>
      <c r="B696" s="107" t="e">
        <f>VLOOKUP(A696,[1]Hoja3!$C$3:$D$14,2,FALSE)</f>
        <v>#N/A</v>
      </c>
      <c r="C696" s="108"/>
      <c r="D696" s="108"/>
      <c r="E696" s="109"/>
      <c r="F696" s="109"/>
      <c r="G696" s="110" t="e">
        <f t="shared" si="139"/>
        <v>#N/A</v>
      </c>
      <c r="H696" s="252"/>
      <c r="I696" s="102" t="e">
        <f t="shared" si="140"/>
        <v>#N/A</v>
      </c>
      <c r="J696">
        <f t="shared" si="138"/>
        <v>0</v>
      </c>
      <c r="K696" t="e">
        <f t="shared" si="142"/>
        <v>#N/A</v>
      </c>
      <c r="L696" s="111">
        <f t="shared" si="143"/>
        <v>0</v>
      </c>
      <c r="M696" s="112">
        <f t="shared" si="144"/>
        <v>0</v>
      </c>
      <c r="N696" s="112">
        <f t="shared" si="145"/>
        <v>0</v>
      </c>
    </row>
    <row r="697" spans="1:14" x14ac:dyDescent="0.35">
      <c r="A697" s="106">
        <f t="shared" si="141"/>
        <v>0</v>
      </c>
      <c r="B697" s="107" t="e">
        <f>VLOOKUP(A697,[1]Hoja3!$C$3:$D$14,2,FALSE)</f>
        <v>#N/A</v>
      </c>
      <c r="C697" s="108"/>
      <c r="D697" s="108"/>
      <c r="E697" s="109"/>
      <c r="F697" s="109"/>
      <c r="G697" s="110" t="e">
        <f t="shared" si="139"/>
        <v>#N/A</v>
      </c>
      <c r="H697" s="252"/>
      <c r="I697" s="102" t="e">
        <f t="shared" si="140"/>
        <v>#N/A</v>
      </c>
      <c r="J697">
        <f t="shared" si="138"/>
        <v>0</v>
      </c>
      <c r="K697" t="e">
        <f t="shared" si="142"/>
        <v>#N/A</v>
      </c>
      <c r="L697" s="111">
        <f t="shared" si="143"/>
        <v>0</v>
      </c>
      <c r="M697" s="112">
        <f t="shared" si="144"/>
        <v>0</v>
      </c>
      <c r="N697" s="112">
        <f t="shared" si="145"/>
        <v>0</v>
      </c>
    </row>
    <row r="698" spans="1:14" x14ac:dyDescent="0.35">
      <c r="A698" s="106">
        <f t="shared" si="141"/>
        <v>0</v>
      </c>
      <c r="B698" s="107" t="e">
        <f>VLOOKUP(A698,[1]Hoja3!$C$3:$D$14,2,FALSE)</f>
        <v>#N/A</v>
      </c>
      <c r="C698" s="108"/>
      <c r="D698" s="108"/>
      <c r="E698" s="109"/>
      <c r="F698" s="109"/>
      <c r="G698" s="110" t="e">
        <f t="shared" si="139"/>
        <v>#N/A</v>
      </c>
      <c r="H698" s="252"/>
      <c r="I698" s="102" t="e">
        <f t="shared" si="140"/>
        <v>#N/A</v>
      </c>
      <c r="J698">
        <f t="shared" si="138"/>
        <v>0</v>
      </c>
      <c r="K698" t="e">
        <f t="shared" si="142"/>
        <v>#N/A</v>
      </c>
      <c r="L698" s="111">
        <f t="shared" si="143"/>
        <v>0</v>
      </c>
      <c r="M698" s="112">
        <f t="shared" si="144"/>
        <v>0</v>
      </c>
      <c r="N698" s="112">
        <f t="shared" si="145"/>
        <v>0</v>
      </c>
    </row>
    <row r="699" spans="1:14" x14ac:dyDescent="0.35">
      <c r="A699" s="106">
        <f t="shared" si="141"/>
        <v>0</v>
      </c>
      <c r="B699" s="107" t="e">
        <f>VLOOKUP(A699,[1]Hoja3!$C$3:$D$14,2,FALSE)</f>
        <v>#N/A</v>
      </c>
      <c r="C699" s="108"/>
      <c r="D699" s="108"/>
      <c r="E699" s="109"/>
      <c r="F699" s="109"/>
      <c r="G699" s="110" t="e">
        <f t="shared" si="139"/>
        <v>#N/A</v>
      </c>
      <c r="H699" s="252"/>
      <c r="I699" s="102" t="e">
        <f t="shared" si="140"/>
        <v>#N/A</v>
      </c>
      <c r="J699">
        <f t="shared" si="138"/>
        <v>0</v>
      </c>
      <c r="K699" t="e">
        <f t="shared" si="142"/>
        <v>#N/A</v>
      </c>
      <c r="L699" s="111">
        <f t="shared" si="143"/>
        <v>0</v>
      </c>
      <c r="M699" s="112">
        <f t="shared" si="144"/>
        <v>0</v>
      </c>
      <c r="N699" s="112">
        <f t="shared" si="145"/>
        <v>0</v>
      </c>
    </row>
    <row r="700" spans="1:14" x14ac:dyDescent="0.35">
      <c r="A700" s="106">
        <f t="shared" si="141"/>
        <v>0</v>
      </c>
      <c r="B700" s="107" t="e">
        <f>VLOOKUP(A700,[1]Hoja3!$C$3:$D$14,2,FALSE)</f>
        <v>#N/A</v>
      </c>
      <c r="C700" s="108"/>
      <c r="D700" s="108"/>
      <c r="E700" s="109"/>
      <c r="F700" s="109"/>
      <c r="G700" s="110" t="e">
        <f t="shared" si="139"/>
        <v>#N/A</v>
      </c>
      <c r="H700" s="252"/>
      <c r="I700" s="102" t="e">
        <f t="shared" si="140"/>
        <v>#N/A</v>
      </c>
      <c r="J700">
        <f t="shared" si="138"/>
        <v>0</v>
      </c>
      <c r="K700" t="e">
        <f t="shared" si="142"/>
        <v>#N/A</v>
      </c>
      <c r="L700" s="111">
        <f t="shared" si="143"/>
        <v>0</v>
      </c>
      <c r="M700" s="112">
        <f t="shared" si="144"/>
        <v>0</v>
      </c>
      <c r="N700" s="112">
        <f t="shared" si="145"/>
        <v>0</v>
      </c>
    </row>
    <row r="701" spans="1:14" x14ac:dyDescent="0.35">
      <c r="A701" s="106">
        <f t="shared" si="141"/>
        <v>0</v>
      </c>
      <c r="B701" s="107" t="e">
        <f>VLOOKUP(A701,[1]Hoja3!$C$3:$D$14,2,FALSE)</f>
        <v>#N/A</v>
      </c>
      <c r="C701" s="108"/>
      <c r="D701" s="108"/>
      <c r="E701" s="109"/>
      <c r="F701" s="109"/>
      <c r="G701" s="110" t="e">
        <f t="shared" si="139"/>
        <v>#N/A</v>
      </c>
      <c r="H701" s="252"/>
      <c r="I701" s="102" t="e">
        <f t="shared" si="140"/>
        <v>#N/A</v>
      </c>
      <c r="J701">
        <f t="shared" si="138"/>
        <v>0</v>
      </c>
      <c r="K701" t="e">
        <f t="shared" si="142"/>
        <v>#N/A</v>
      </c>
      <c r="L701" s="111">
        <f t="shared" si="143"/>
        <v>0</v>
      </c>
      <c r="M701" s="112">
        <f t="shared" si="144"/>
        <v>0</v>
      </c>
      <c r="N701" s="112">
        <f t="shared" si="145"/>
        <v>0</v>
      </c>
    </row>
    <row r="702" spans="1:14" x14ac:dyDescent="0.35">
      <c r="A702" s="106">
        <f t="shared" si="141"/>
        <v>0</v>
      </c>
      <c r="B702" s="107" t="e">
        <f>VLOOKUP(A702,[1]Hoja3!$C$3:$D$14,2,FALSE)</f>
        <v>#N/A</v>
      </c>
      <c r="C702" s="108"/>
      <c r="D702" s="108"/>
      <c r="E702" s="109"/>
      <c r="F702" s="109"/>
      <c r="G702" s="110" t="e">
        <f t="shared" si="139"/>
        <v>#N/A</v>
      </c>
      <c r="H702" s="252"/>
      <c r="I702" s="102" t="e">
        <f t="shared" si="140"/>
        <v>#N/A</v>
      </c>
      <c r="J702">
        <f t="shared" si="138"/>
        <v>0</v>
      </c>
      <c r="K702" t="e">
        <f t="shared" si="142"/>
        <v>#N/A</v>
      </c>
      <c r="L702" s="111">
        <f t="shared" si="143"/>
        <v>0</v>
      </c>
      <c r="M702" s="112">
        <f t="shared" si="144"/>
        <v>0</v>
      </c>
      <c r="N702" s="112">
        <f t="shared" si="145"/>
        <v>0</v>
      </c>
    </row>
    <row r="703" spans="1:14" x14ac:dyDescent="0.35">
      <c r="A703" s="106">
        <f t="shared" si="141"/>
        <v>0</v>
      </c>
      <c r="B703" s="107" t="e">
        <f>VLOOKUP(A703,[1]Hoja3!$C$3:$D$14,2,FALSE)</f>
        <v>#N/A</v>
      </c>
      <c r="C703" s="108"/>
      <c r="D703" s="108"/>
      <c r="E703" s="109"/>
      <c r="F703" s="109"/>
      <c r="G703" s="110" t="e">
        <f t="shared" si="139"/>
        <v>#N/A</v>
      </c>
      <c r="H703" s="252"/>
      <c r="I703" s="102" t="e">
        <f t="shared" si="140"/>
        <v>#N/A</v>
      </c>
      <c r="J703">
        <f t="shared" si="138"/>
        <v>0</v>
      </c>
      <c r="K703" t="e">
        <f t="shared" si="142"/>
        <v>#N/A</v>
      </c>
      <c r="L703" s="111">
        <f t="shared" si="143"/>
        <v>0</v>
      </c>
      <c r="M703" s="112">
        <f t="shared" si="144"/>
        <v>0</v>
      </c>
      <c r="N703" s="112">
        <f t="shared" si="145"/>
        <v>0</v>
      </c>
    </row>
    <row r="704" spans="1:14" x14ac:dyDescent="0.35">
      <c r="A704" s="106">
        <f t="shared" si="141"/>
        <v>0</v>
      </c>
      <c r="B704" s="107" t="e">
        <f>VLOOKUP(A704,[1]Hoja3!$C$3:$D$14,2,FALSE)</f>
        <v>#N/A</v>
      </c>
      <c r="C704" s="108"/>
      <c r="D704" s="108"/>
      <c r="E704" s="109"/>
      <c r="F704" s="109"/>
      <c r="G704" s="110" t="e">
        <f t="shared" si="139"/>
        <v>#N/A</v>
      </c>
      <c r="H704" s="252"/>
      <c r="I704" s="102" t="e">
        <f t="shared" si="140"/>
        <v>#N/A</v>
      </c>
      <c r="J704">
        <f t="shared" si="138"/>
        <v>0</v>
      </c>
      <c r="K704" t="e">
        <f t="shared" si="142"/>
        <v>#N/A</v>
      </c>
      <c r="L704" s="111">
        <f t="shared" si="143"/>
        <v>0</v>
      </c>
      <c r="M704" s="112">
        <f t="shared" si="144"/>
        <v>0</v>
      </c>
      <c r="N704" s="112">
        <f t="shared" si="145"/>
        <v>0</v>
      </c>
    </row>
    <row r="705" spans="1:14" x14ac:dyDescent="0.35">
      <c r="A705" s="106">
        <f t="shared" si="141"/>
        <v>0</v>
      </c>
      <c r="B705" s="107" t="e">
        <f>VLOOKUP(A705,[1]Hoja3!$C$3:$D$14,2,FALSE)</f>
        <v>#N/A</v>
      </c>
      <c r="C705" s="108"/>
      <c r="D705" s="108"/>
      <c r="E705" s="109"/>
      <c r="F705" s="109"/>
      <c r="G705" s="110" t="e">
        <f t="shared" si="139"/>
        <v>#N/A</v>
      </c>
      <c r="H705" s="252"/>
      <c r="I705" s="102" t="e">
        <f t="shared" si="140"/>
        <v>#N/A</v>
      </c>
      <c r="J705">
        <f t="shared" si="138"/>
        <v>0</v>
      </c>
      <c r="K705" t="e">
        <f t="shared" si="142"/>
        <v>#N/A</v>
      </c>
      <c r="L705" s="111">
        <f t="shared" si="143"/>
        <v>0</v>
      </c>
      <c r="M705" s="112">
        <f t="shared" si="144"/>
        <v>0</v>
      </c>
      <c r="N705" s="112">
        <f t="shared" si="145"/>
        <v>0</v>
      </c>
    </row>
    <row r="706" spans="1:14" x14ac:dyDescent="0.35">
      <c r="A706" s="106">
        <f t="shared" si="141"/>
        <v>0</v>
      </c>
      <c r="B706" s="107" t="e">
        <f>VLOOKUP(A706,[1]Hoja3!$C$3:$D$14,2,FALSE)</f>
        <v>#N/A</v>
      </c>
      <c r="C706" s="108"/>
      <c r="D706" s="108"/>
      <c r="E706" s="109"/>
      <c r="F706" s="109"/>
      <c r="G706" s="110" t="e">
        <f t="shared" si="139"/>
        <v>#N/A</v>
      </c>
      <c r="H706" s="252"/>
      <c r="I706" s="102" t="e">
        <f t="shared" si="140"/>
        <v>#N/A</v>
      </c>
      <c r="J706">
        <f t="shared" si="138"/>
        <v>0</v>
      </c>
      <c r="K706" t="e">
        <f t="shared" si="142"/>
        <v>#N/A</v>
      </c>
      <c r="L706" s="111">
        <f t="shared" si="143"/>
        <v>0</v>
      </c>
      <c r="M706" s="112">
        <f t="shared" si="144"/>
        <v>0</v>
      </c>
      <c r="N706" s="112">
        <f t="shared" si="145"/>
        <v>0</v>
      </c>
    </row>
    <row r="707" spans="1:14" x14ac:dyDescent="0.35">
      <c r="A707" s="106">
        <f t="shared" si="141"/>
        <v>0</v>
      </c>
      <c r="B707" s="107" t="e">
        <f>VLOOKUP(A707,[1]Hoja3!$C$3:$D$14,2,FALSE)</f>
        <v>#N/A</v>
      </c>
      <c r="C707" s="108"/>
      <c r="D707" s="108"/>
      <c r="E707" s="109"/>
      <c r="F707" s="109"/>
      <c r="G707" s="110" t="e">
        <f t="shared" si="139"/>
        <v>#N/A</v>
      </c>
      <c r="H707" s="252"/>
      <c r="I707" s="102" t="e">
        <f t="shared" si="140"/>
        <v>#N/A</v>
      </c>
      <c r="J707">
        <f t="shared" si="138"/>
        <v>0</v>
      </c>
      <c r="K707" t="e">
        <f t="shared" si="142"/>
        <v>#N/A</v>
      </c>
      <c r="L707" s="111">
        <f t="shared" si="143"/>
        <v>0</v>
      </c>
      <c r="M707" s="112">
        <f t="shared" si="144"/>
        <v>0</v>
      </c>
      <c r="N707" s="112">
        <f t="shared" si="145"/>
        <v>0</v>
      </c>
    </row>
    <row r="708" spans="1:14" x14ac:dyDescent="0.35">
      <c r="A708" s="106">
        <f t="shared" si="141"/>
        <v>0</v>
      </c>
      <c r="B708" s="107" t="e">
        <f>VLOOKUP(A708,[1]Hoja3!$C$3:$D$14,2,FALSE)</f>
        <v>#N/A</v>
      </c>
      <c r="C708" s="108"/>
      <c r="D708" s="108"/>
      <c r="E708" s="109"/>
      <c r="F708" s="109"/>
      <c r="G708" s="110" t="e">
        <f t="shared" si="139"/>
        <v>#N/A</v>
      </c>
      <c r="H708" s="252"/>
      <c r="I708" s="102" t="e">
        <f t="shared" si="140"/>
        <v>#N/A</v>
      </c>
      <c r="J708">
        <f t="shared" si="138"/>
        <v>0</v>
      </c>
      <c r="K708" t="e">
        <f t="shared" si="142"/>
        <v>#N/A</v>
      </c>
      <c r="L708" s="111">
        <f t="shared" si="143"/>
        <v>0</v>
      </c>
      <c r="M708" s="112">
        <f t="shared" si="144"/>
        <v>0</v>
      </c>
      <c r="N708" s="112">
        <f t="shared" si="145"/>
        <v>0</v>
      </c>
    </row>
    <row r="709" spans="1:14" x14ac:dyDescent="0.35">
      <c r="A709" s="106">
        <f t="shared" si="141"/>
        <v>0</v>
      </c>
      <c r="B709" s="107" t="e">
        <f>VLOOKUP(A709,[1]Hoja3!$C$3:$D$14,2,FALSE)</f>
        <v>#N/A</v>
      </c>
      <c r="C709" s="108"/>
      <c r="D709" s="108"/>
      <c r="E709" s="109"/>
      <c r="F709" s="109"/>
      <c r="G709" s="110" t="e">
        <f t="shared" si="139"/>
        <v>#N/A</v>
      </c>
      <c r="H709" s="252"/>
      <c r="I709" s="102" t="e">
        <f t="shared" si="140"/>
        <v>#N/A</v>
      </c>
      <c r="J709">
        <f t="shared" si="138"/>
        <v>0</v>
      </c>
      <c r="K709" t="e">
        <f t="shared" si="142"/>
        <v>#N/A</v>
      </c>
      <c r="L709" s="111">
        <f t="shared" si="143"/>
        <v>0</v>
      </c>
      <c r="M709" s="112">
        <f t="shared" si="144"/>
        <v>0</v>
      </c>
      <c r="N709" s="112">
        <f t="shared" si="145"/>
        <v>0</v>
      </c>
    </row>
    <row r="710" spans="1:14" x14ac:dyDescent="0.35">
      <c r="A710" s="106">
        <f t="shared" si="141"/>
        <v>0</v>
      </c>
      <c r="B710" s="107" t="e">
        <f>VLOOKUP(A710,[1]Hoja3!$C$3:$D$14,2,FALSE)</f>
        <v>#N/A</v>
      </c>
      <c r="C710" s="108"/>
      <c r="D710" s="108"/>
      <c r="E710" s="109"/>
      <c r="F710" s="109"/>
      <c r="G710" s="110" t="e">
        <f t="shared" si="139"/>
        <v>#N/A</v>
      </c>
      <c r="H710" s="252"/>
      <c r="I710" s="102" t="e">
        <f t="shared" si="140"/>
        <v>#N/A</v>
      </c>
      <c r="J710">
        <f t="shared" si="138"/>
        <v>0</v>
      </c>
      <c r="K710" t="e">
        <f t="shared" si="142"/>
        <v>#N/A</v>
      </c>
      <c r="L710" s="111">
        <f t="shared" si="143"/>
        <v>0</v>
      </c>
      <c r="M710" s="112">
        <f t="shared" si="144"/>
        <v>0</v>
      </c>
      <c r="N710" s="112">
        <f t="shared" si="145"/>
        <v>0</v>
      </c>
    </row>
    <row r="711" spans="1:14" x14ac:dyDescent="0.35">
      <c r="A711" s="106">
        <f t="shared" si="141"/>
        <v>0</v>
      </c>
      <c r="B711" s="107" t="e">
        <f>VLOOKUP(A711,[1]Hoja3!$C$3:$D$14,2,FALSE)</f>
        <v>#N/A</v>
      </c>
      <c r="C711" s="108"/>
      <c r="D711" s="108"/>
      <c r="E711" s="109"/>
      <c r="F711" s="109"/>
      <c r="G711" s="110" t="e">
        <f t="shared" si="139"/>
        <v>#N/A</v>
      </c>
      <c r="H711" s="252"/>
      <c r="I711" s="102" t="e">
        <f t="shared" si="140"/>
        <v>#N/A</v>
      </c>
      <c r="J711">
        <f t="shared" si="138"/>
        <v>0</v>
      </c>
      <c r="K711" t="e">
        <f t="shared" si="142"/>
        <v>#N/A</v>
      </c>
      <c r="L711" s="111">
        <f t="shared" si="143"/>
        <v>0</v>
      </c>
      <c r="M711" s="112">
        <f t="shared" si="144"/>
        <v>0</v>
      </c>
      <c r="N711" s="112">
        <f t="shared" si="145"/>
        <v>0</v>
      </c>
    </row>
    <row r="712" spans="1:14" x14ac:dyDescent="0.35">
      <c r="A712" s="106">
        <f t="shared" si="141"/>
        <v>0</v>
      </c>
      <c r="B712" s="107" t="e">
        <f>VLOOKUP(A712,[1]Hoja3!$C$3:$D$14,2,FALSE)</f>
        <v>#N/A</v>
      </c>
      <c r="C712" s="108"/>
      <c r="D712" s="108"/>
      <c r="E712" s="109"/>
      <c r="F712" s="109"/>
      <c r="G712" s="110" t="e">
        <f t="shared" si="139"/>
        <v>#N/A</v>
      </c>
      <c r="H712" s="252"/>
      <c r="I712" s="102" t="e">
        <f t="shared" si="140"/>
        <v>#N/A</v>
      </c>
      <c r="J712">
        <f t="shared" ref="J712:J775" si="146">+H712*0.16</f>
        <v>0</v>
      </c>
      <c r="K712" t="e">
        <f t="shared" si="142"/>
        <v>#N/A</v>
      </c>
      <c r="L712" s="111">
        <f t="shared" si="143"/>
        <v>0</v>
      </c>
      <c r="M712" s="112">
        <f t="shared" si="144"/>
        <v>0</v>
      </c>
      <c r="N712" s="112">
        <f t="shared" si="145"/>
        <v>0</v>
      </c>
    </row>
    <row r="713" spans="1:14" x14ac:dyDescent="0.35">
      <c r="A713" s="106">
        <f t="shared" si="141"/>
        <v>0</v>
      </c>
      <c r="B713" s="107" t="e">
        <f>VLOOKUP(A713,[1]Hoja3!$C$3:$D$14,2,FALSE)</f>
        <v>#N/A</v>
      </c>
      <c r="C713" s="108"/>
      <c r="D713" s="108"/>
      <c r="E713" s="109"/>
      <c r="F713" s="109"/>
      <c r="G713" s="110" t="e">
        <f t="shared" si="139"/>
        <v>#N/A</v>
      </c>
      <c r="H713" s="252"/>
      <c r="I713" s="102" t="e">
        <f t="shared" si="140"/>
        <v>#N/A</v>
      </c>
      <c r="J713">
        <f t="shared" si="146"/>
        <v>0</v>
      </c>
      <c r="K713" t="e">
        <f t="shared" si="142"/>
        <v>#N/A</v>
      </c>
      <c r="L713" s="111">
        <f t="shared" si="143"/>
        <v>0</v>
      </c>
      <c r="M713" s="112">
        <f t="shared" si="144"/>
        <v>0</v>
      </c>
      <c r="N713" s="112">
        <f t="shared" si="145"/>
        <v>0</v>
      </c>
    </row>
    <row r="714" spans="1:14" x14ac:dyDescent="0.35">
      <c r="A714" s="106">
        <f t="shared" si="141"/>
        <v>0</v>
      </c>
      <c r="B714" s="107" t="e">
        <f>VLOOKUP(A714,[1]Hoja3!$C$3:$D$14,2,FALSE)</f>
        <v>#N/A</v>
      </c>
      <c r="C714" s="108"/>
      <c r="D714" s="108"/>
      <c r="E714" s="109"/>
      <c r="F714" s="109"/>
      <c r="G714" s="110" t="e">
        <f t="shared" si="139"/>
        <v>#N/A</v>
      </c>
      <c r="H714" s="252"/>
      <c r="I714" s="102" t="e">
        <f t="shared" si="140"/>
        <v>#N/A</v>
      </c>
      <c r="J714">
        <f t="shared" si="146"/>
        <v>0</v>
      </c>
      <c r="K714" t="e">
        <f t="shared" si="142"/>
        <v>#N/A</v>
      </c>
      <c r="L714" s="111">
        <f t="shared" si="143"/>
        <v>0</v>
      </c>
      <c r="M714" s="112">
        <f t="shared" si="144"/>
        <v>0</v>
      </c>
      <c r="N714" s="112">
        <f t="shared" si="145"/>
        <v>0</v>
      </c>
    </row>
    <row r="715" spans="1:14" x14ac:dyDescent="0.35">
      <c r="A715" s="106">
        <f t="shared" si="141"/>
        <v>0</v>
      </c>
      <c r="B715" s="107" t="e">
        <f>VLOOKUP(A715,[1]Hoja3!$C$3:$D$14,2,FALSE)</f>
        <v>#N/A</v>
      </c>
      <c r="C715" s="108"/>
      <c r="D715" s="108"/>
      <c r="E715" s="109"/>
      <c r="F715" s="109"/>
      <c r="G715" s="110" t="e">
        <f t="shared" si="139"/>
        <v>#N/A</v>
      </c>
      <c r="H715" s="252"/>
      <c r="I715" s="102" t="e">
        <f t="shared" si="140"/>
        <v>#N/A</v>
      </c>
      <c r="J715">
        <f t="shared" si="146"/>
        <v>0</v>
      </c>
      <c r="K715" t="e">
        <f t="shared" si="142"/>
        <v>#N/A</v>
      </c>
      <c r="L715" s="111">
        <f t="shared" si="143"/>
        <v>0</v>
      </c>
      <c r="M715" s="112">
        <f t="shared" si="144"/>
        <v>0</v>
      </c>
      <c r="N715" s="112">
        <f t="shared" si="145"/>
        <v>0</v>
      </c>
    </row>
    <row r="716" spans="1:14" x14ac:dyDescent="0.35">
      <c r="A716" s="106">
        <f t="shared" si="141"/>
        <v>0</v>
      </c>
      <c r="B716" s="107" t="e">
        <f>VLOOKUP(A716,[1]Hoja3!$C$3:$D$14,2,FALSE)</f>
        <v>#N/A</v>
      </c>
      <c r="C716" s="108"/>
      <c r="D716" s="108"/>
      <c r="E716" s="109"/>
      <c r="F716" s="109"/>
      <c r="G716" s="110" t="e">
        <f t="shared" ref="G716:G779" si="147">+B716</f>
        <v>#N/A</v>
      </c>
      <c r="H716" s="252"/>
      <c r="I716" s="102" t="e">
        <f t="shared" ref="I716:I779" si="148">+B716</f>
        <v>#N/A</v>
      </c>
      <c r="J716">
        <f t="shared" si="146"/>
        <v>0</v>
      </c>
      <c r="K716" t="e">
        <f t="shared" si="142"/>
        <v>#N/A</v>
      </c>
      <c r="L716" s="111">
        <f t="shared" si="143"/>
        <v>0</v>
      </c>
      <c r="M716" s="112">
        <f t="shared" si="144"/>
        <v>0</v>
      </c>
      <c r="N716" s="112">
        <f t="shared" si="145"/>
        <v>0</v>
      </c>
    </row>
    <row r="717" spans="1:14" x14ac:dyDescent="0.35">
      <c r="A717" s="106">
        <f t="shared" si="141"/>
        <v>0</v>
      </c>
      <c r="B717" s="107" t="e">
        <f>VLOOKUP(A717,[1]Hoja3!$C$3:$D$14,2,FALSE)</f>
        <v>#N/A</v>
      </c>
      <c r="C717" s="108"/>
      <c r="D717" s="108"/>
      <c r="E717" s="109"/>
      <c r="F717" s="109"/>
      <c r="G717" s="110" t="e">
        <f t="shared" si="147"/>
        <v>#N/A</v>
      </c>
      <c r="H717" s="252"/>
      <c r="I717" s="102" t="e">
        <f t="shared" si="148"/>
        <v>#N/A</v>
      </c>
      <c r="J717">
        <f t="shared" si="146"/>
        <v>0</v>
      </c>
      <c r="K717" t="e">
        <f t="shared" si="142"/>
        <v>#N/A</v>
      </c>
      <c r="L717" s="111">
        <f t="shared" si="143"/>
        <v>0</v>
      </c>
      <c r="M717" s="112">
        <f t="shared" si="144"/>
        <v>0</v>
      </c>
      <c r="N717" s="112">
        <f t="shared" si="145"/>
        <v>0</v>
      </c>
    </row>
    <row r="718" spans="1:14" x14ac:dyDescent="0.35">
      <c r="A718" s="106">
        <f t="shared" si="141"/>
        <v>0</v>
      </c>
      <c r="B718" s="107" t="e">
        <f>VLOOKUP(A718,[1]Hoja3!$C$3:$D$14,2,FALSE)</f>
        <v>#N/A</v>
      </c>
      <c r="C718" s="108"/>
      <c r="D718" s="108"/>
      <c r="E718" s="109"/>
      <c r="F718" s="109"/>
      <c r="G718" s="110" t="e">
        <f t="shared" si="147"/>
        <v>#N/A</v>
      </c>
      <c r="H718" s="252"/>
      <c r="I718" s="102" t="e">
        <f t="shared" si="148"/>
        <v>#N/A</v>
      </c>
      <c r="J718">
        <f t="shared" si="146"/>
        <v>0</v>
      </c>
      <c r="K718" t="e">
        <f t="shared" si="142"/>
        <v>#N/A</v>
      </c>
      <c r="L718" s="111">
        <f t="shared" si="143"/>
        <v>0</v>
      </c>
      <c r="M718" s="112">
        <f t="shared" si="144"/>
        <v>0</v>
      </c>
      <c r="N718" s="112">
        <f t="shared" si="145"/>
        <v>0</v>
      </c>
    </row>
    <row r="719" spans="1:14" x14ac:dyDescent="0.35">
      <c r="A719" s="106">
        <f t="shared" si="141"/>
        <v>0</v>
      </c>
      <c r="B719" s="107" t="e">
        <f>VLOOKUP(A719,[1]Hoja3!$C$3:$D$14,2,FALSE)</f>
        <v>#N/A</v>
      </c>
      <c r="C719" s="108"/>
      <c r="D719" s="108"/>
      <c r="E719" s="109"/>
      <c r="F719" s="109"/>
      <c r="G719" s="110" t="e">
        <f t="shared" si="147"/>
        <v>#N/A</v>
      </c>
      <c r="H719" s="252"/>
      <c r="I719" s="102" t="e">
        <f t="shared" si="148"/>
        <v>#N/A</v>
      </c>
      <c r="J719">
        <f t="shared" si="146"/>
        <v>0</v>
      </c>
      <c r="K719" t="e">
        <f t="shared" si="142"/>
        <v>#N/A</v>
      </c>
      <c r="L719" s="111">
        <f t="shared" si="143"/>
        <v>0</v>
      </c>
      <c r="M719" s="112">
        <f t="shared" si="144"/>
        <v>0</v>
      </c>
      <c r="N719" s="112">
        <f t="shared" si="145"/>
        <v>0</v>
      </c>
    </row>
    <row r="720" spans="1:14" x14ac:dyDescent="0.35">
      <c r="A720" s="106">
        <f t="shared" si="141"/>
        <v>0</v>
      </c>
      <c r="B720" s="107" t="e">
        <f>VLOOKUP(A720,[1]Hoja3!$C$3:$D$14,2,FALSE)</f>
        <v>#N/A</v>
      </c>
      <c r="C720" s="108"/>
      <c r="D720" s="108"/>
      <c r="E720" s="109"/>
      <c r="F720" s="109"/>
      <c r="G720" s="110" t="e">
        <f t="shared" si="147"/>
        <v>#N/A</v>
      </c>
      <c r="H720" s="252"/>
      <c r="I720" s="102" t="e">
        <f t="shared" si="148"/>
        <v>#N/A</v>
      </c>
      <c r="J720">
        <f t="shared" si="146"/>
        <v>0</v>
      </c>
      <c r="K720" t="e">
        <f t="shared" si="142"/>
        <v>#N/A</v>
      </c>
      <c r="L720" s="111">
        <f t="shared" si="143"/>
        <v>0</v>
      </c>
      <c r="M720" s="112">
        <f t="shared" si="144"/>
        <v>0</v>
      </c>
      <c r="N720" s="112">
        <f t="shared" si="145"/>
        <v>0</v>
      </c>
    </row>
    <row r="721" spans="1:14" x14ac:dyDescent="0.35">
      <c r="A721" s="106">
        <f t="shared" si="141"/>
        <v>0</v>
      </c>
      <c r="B721" s="107" t="e">
        <f>VLOOKUP(A721,[1]Hoja3!$C$3:$D$14,2,FALSE)</f>
        <v>#N/A</v>
      </c>
      <c r="C721" s="108"/>
      <c r="D721" s="108"/>
      <c r="E721" s="109"/>
      <c r="F721" s="109"/>
      <c r="G721" s="110" t="e">
        <f t="shared" si="147"/>
        <v>#N/A</v>
      </c>
      <c r="H721" s="252"/>
      <c r="I721" s="102" t="e">
        <f t="shared" si="148"/>
        <v>#N/A</v>
      </c>
      <c r="J721">
        <f t="shared" si="146"/>
        <v>0</v>
      </c>
      <c r="K721" t="e">
        <f t="shared" si="142"/>
        <v>#N/A</v>
      </c>
      <c r="L721" s="111">
        <f t="shared" si="143"/>
        <v>0</v>
      </c>
      <c r="M721" s="112">
        <f t="shared" si="144"/>
        <v>0</v>
      </c>
      <c r="N721" s="112">
        <f t="shared" si="145"/>
        <v>0</v>
      </c>
    </row>
    <row r="722" spans="1:14" x14ac:dyDescent="0.35">
      <c r="A722" s="106">
        <f t="shared" si="141"/>
        <v>0</v>
      </c>
      <c r="B722" s="107" t="e">
        <f>VLOOKUP(A722,[1]Hoja3!$C$3:$D$14,2,FALSE)</f>
        <v>#N/A</v>
      </c>
      <c r="C722" s="108"/>
      <c r="D722" s="108"/>
      <c r="E722" s="109"/>
      <c r="F722" s="109"/>
      <c r="G722" s="110" t="e">
        <f t="shared" si="147"/>
        <v>#N/A</v>
      </c>
      <c r="H722" s="252"/>
      <c r="I722" s="102" t="e">
        <f t="shared" si="148"/>
        <v>#N/A</v>
      </c>
      <c r="J722">
        <f t="shared" si="146"/>
        <v>0</v>
      </c>
      <c r="K722" t="e">
        <f t="shared" si="142"/>
        <v>#N/A</v>
      </c>
      <c r="L722" s="111">
        <f t="shared" si="143"/>
        <v>0</v>
      </c>
      <c r="M722" s="112">
        <f t="shared" si="144"/>
        <v>0</v>
      </c>
      <c r="N722" s="112">
        <f t="shared" si="145"/>
        <v>0</v>
      </c>
    </row>
    <row r="723" spans="1:14" x14ac:dyDescent="0.35">
      <c r="A723" s="106">
        <f t="shared" si="141"/>
        <v>0</v>
      </c>
      <c r="B723" s="107" t="e">
        <f>VLOOKUP(A723,[1]Hoja3!$C$3:$D$14,2,FALSE)</f>
        <v>#N/A</v>
      </c>
      <c r="C723" s="108"/>
      <c r="D723" s="108"/>
      <c r="E723" s="109"/>
      <c r="F723" s="109"/>
      <c r="G723" s="110" t="e">
        <f t="shared" si="147"/>
        <v>#N/A</v>
      </c>
      <c r="H723" s="252"/>
      <c r="I723" s="102" t="e">
        <f t="shared" si="148"/>
        <v>#N/A</v>
      </c>
      <c r="J723">
        <f t="shared" si="146"/>
        <v>0</v>
      </c>
      <c r="K723" t="e">
        <f t="shared" si="142"/>
        <v>#N/A</v>
      </c>
      <c r="L723" s="111">
        <f t="shared" si="143"/>
        <v>0</v>
      </c>
      <c r="M723" s="112">
        <f t="shared" si="144"/>
        <v>0</v>
      </c>
      <c r="N723" s="112">
        <f t="shared" si="145"/>
        <v>0</v>
      </c>
    </row>
    <row r="724" spans="1:14" x14ac:dyDescent="0.35">
      <c r="A724" s="106">
        <f t="shared" si="141"/>
        <v>0</v>
      </c>
      <c r="B724" s="107" t="e">
        <f>VLOOKUP(A724,[1]Hoja3!$C$3:$D$14,2,FALSE)</f>
        <v>#N/A</v>
      </c>
      <c r="C724" s="108"/>
      <c r="D724" s="108"/>
      <c r="E724" s="109"/>
      <c r="F724" s="109"/>
      <c r="G724" s="110" t="e">
        <f t="shared" si="147"/>
        <v>#N/A</v>
      </c>
      <c r="H724" s="252"/>
      <c r="I724" s="102" t="e">
        <f t="shared" si="148"/>
        <v>#N/A</v>
      </c>
      <c r="J724">
        <f t="shared" si="146"/>
        <v>0</v>
      </c>
      <c r="K724" t="e">
        <f t="shared" si="142"/>
        <v>#N/A</v>
      </c>
      <c r="L724" s="111">
        <f t="shared" si="143"/>
        <v>0</v>
      </c>
      <c r="M724" s="112">
        <f t="shared" si="144"/>
        <v>0</v>
      </c>
      <c r="N724" s="112">
        <f t="shared" si="145"/>
        <v>0</v>
      </c>
    </row>
    <row r="725" spans="1:14" x14ac:dyDescent="0.35">
      <c r="A725" s="106">
        <f t="shared" si="141"/>
        <v>0</v>
      </c>
      <c r="B725" s="107" t="e">
        <f>VLOOKUP(A725,[1]Hoja3!$C$3:$D$14,2,FALSE)</f>
        <v>#N/A</v>
      </c>
      <c r="C725" s="108"/>
      <c r="D725" s="108"/>
      <c r="E725" s="109"/>
      <c r="F725" s="109"/>
      <c r="G725" s="110" t="e">
        <f t="shared" si="147"/>
        <v>#N/A</v>
      </c>
      <c r="H725" s="252"/>
      <c r="I725" s="102" t="e">
        <f t="shared" si="148"/>
        <v>#N/A</v>
      </c>
      <c r="J725">
        <f t="shared" si="146"/>
        <v>0</v>
      </c>
      <c r="K725" t="e">
        <f t="shared" si="142"/>
        <v>#N/A</v>
      </c>
      <c r="L725" s="111">
        <f t="shared" si="143"/>
        <v>0</v>
      </c>
      <c r="M725" s="112">
        <f t="shared" si="144"/>
        <v>0</v>
      </c>
      <c r="N725" s="112">
        <f t="shared" si="145"/>
        <v>0</v>
      </c>
    </row>
    <row r="726" spans="1:14" x14ac:dyDescent="0.35">
      <c r="A726" s="106">
        <f t="shared" si="141"/>
        <v>0</v>
      </c>
      <c r="B726" s="107" t="e">
        <f>VLOOKUP(A726,[1]Hoja3!$C$3:$D$14,2,FALSE)</f>
        <v>#N/A</v>
      </c>
      <c r="C726" s="108"/>
      <c r="D726" s="108"/>
      <c r="E726" s="109"/>
      <c r="F726" s="109"/>
      <c r="G726" s="110" t="e">
        <f t="shared" si="147"/>
        <v>#N/A</v>
      </c>
      <c r="H726" s="252"/>
      <c r="I726" s="102" t="e">
        <f t="shared" si="148"/>
        <v>#N/A</v>
      </c>
      <c r="J726">
        <f t="shared" si="146"/>
        <v>0</v>
      </c>
      <c r="K726" t="e">
        <f t="shared" si="142"/>
        <v>#N/A</v>
      </c>
      <c r="L726" s="111">
        <f t="shared" si="143"/>
        <v>0</v>
      </c>
      <c r="M726" s="112">
        <f t="shared" si="144"/>
        <v>0</v>
      </c>
      <c r="N726" s="112">
        <f t="shared" si="145"/>
        <v>0</v>
      </c>
    </row>
    <row r="727" spans="1:14" x14ac:dyDescent="0.35">
      <c r="A727" s="106">
        <f t="shared" si="141"/>
        <v>0</v>
      </c>
      <c r="B727" s="107" t="e">
        <f>VLOOKUP(A727,[1]Hoja3!$C$3:$D$14,2,FALSE)</f>
        <v>#N/A</v>
      </c>
      <c r="C727" s="108"/>
      <c r="D727" s="108"/>
      <c r="E727" s="109"/>
      <c r="F727" s="109"/>
      <c r="G727" s="110" t="e">
        <f t="shared" si="147"/>
        <v>#N/A</v>
      </c>
      <c r="H727" s="252"/>
      <c r="I727" s="102" t="e">
        <f t="shared" si="148"/>
        <v>#N/A</v>
      </c>
      <c r="J727">
        <f t="shared" si="146"/>
        <v>0</v>
      </c>
      <c r="K727" t="e">
        <f t="shared" si="142"/>
        <v>#N/A</v>
      </c>
      <c r="L727" s="111">
        <f t="shared" si="143"/>
        <v>0</v>
      </c>
      <c r="M727" s="112">
        <f t="shared" si="144"/>
        <v>0</v>
      </c>
      <c r="N727" s="112">
        <f t="shared" si="145"/>
        <v>0</v>
      </c>
    </row>
    <row r="728" spans="1:14" x14ac:dyDescent="0.35">
      <c r="A728" s="106">
        <f t="shared" si="141"/>
        <v>0</v>
      </c>
      <c r="B728" s="107" t="e">
        <f>VLOOKUP(A728,[1]Hoja3!$C$3:$D$14,2,FALSE)</f>
        <v>#N/A</v>
      </c>
      <c r="C728" s="108"/>
      <c r="D728" s="108"/>
      <c r="E728" s="109"/>
      <c r="F728" s="109"/>
      <c r="G728" s="110" t="e">
        <f t="shared" si="147"/>
        <v>#N/A</v>
      </c>
      <c r="H728" s="252"/>
      <c r="I728" s="102" t="e">
        <f t="shared" si="148"/>
        <v>#N/A</v>
      </c>
      <c r="J728">
        <f t="shared" si="146"/>
        <v>0</v>
      </c>
      <c r="K728" t="e">
        <f t="shared" si="142"/>
        <v>#N/A</v>
      </c>
      <c r="L728" s="111">
        <f t="shared" si="143"/>
        <v>0</v>
      </c>
      <c r="M728" s="112">
        <f t="shared" si="144"/>
        <v>0</v>
      </c>
      <c r="N728" s="112">
        <f t="shared" si="145"/>
        <v>0</v>
      </c>
    </row>
    <row r="729" spans="1:14" x14ac:dyDescent="0.35">
      <c r="A729" s="106">
        <f t="shared" si="141"/>
        <v>0</v>
      </c>
      <c r="B729" s="107" t="e">
        <f>VLOOKUP(A729,[1]Hoja3!$C$3:$D$14,2,FALSE)</f>
        <v>#N/A</v>
      </c>
      <c r="C729" s="108"/>
      <c r="D729" s="108"/>
      <c r="E729" s="109"/>
      <c r="F729" s="109"/>
      <c r="G729" s="110" t="e">
        <f t="shared" si="147"/>
        <v>#N/A</v>
      </c>
      <c r="H729" s="252"/>
      <c r="I729" s="102" t="e">
        <f t="shared" si="148"/>
        <v>#N/A</v>
      </c>
      <c r="J729">
        <f t="shared" si="146"/>
        <v>0</v>
      </c>
      <c r="K729" t="e">
        <f t="shared" si="142"/>
        <v>#N/A</v>
      </c>
      <c r="L729" s="111">
        <f t="shared" si="143"/>
        <v>0</v>
      </c>
      <c r="M729" s="112">
        <f t="shared" si="144"/>
        <v>0</v>
      </c>
      <c r="N729" s="112">
        <f t="shared" si="145"/>
        <v>0</v>
      </c>
    </row>
    <row r="730" spans="1:14" x14ac:dyDescent="0.35">
      <c r="A730" s="106">
        <f t="shared" si="141"/>
        <v>0</v>
      </c>
      <c r="B730" s="107" t="e">
        <f>VLOOKUP(A730,[1]Hoja3!$C$3:$D$14,2,FALSE)</f>
        <v>#N/A</v>
      </c>
      <c r="C730" s="108"/>
      <c r="D730" s="108"/>
      <c r="E730" s="109"/>
      <c r="F730" s="109"/>
      <c r="G730" s="110" t="e">
        <f t="shared" si="147"/>
        <v>#N/A</v>
      </c>
      <c r="H730" s="252"/>
      <c r="I730" s="102" t="e">
        <f t="shared" si="148"/>
        <v>#N/A</v>
      </c>
      <c r="J730">
        <f t="shared" si="146"/>
        <v>0</v>
      </c>
      <c r="K730" t="e">
        <f t="shared" si="142"/>
        <v>#N/A</v>
      </c>
      <c r="L730" s="111">
        <f t="shared" si="143"/>
        <v>0</v>
      </c>
      <c r="M730" s="112">
        <f t="shared" si="144"/>
        <v>0</v>
      </c>
      <c r="N730" s="112">
        <f t="shared" si="145"/>
        <v>0</v>
      </c>
    </row>
    <row r="731" spans="1:14" x14ac:dyDescent="0.35">
      <c r="A731" s="106">
        <f t="shared" si="141"/>
        <v>0</v>
      </c>
      <c r="B731" s="107" t="e">
        <f>VLOOKUP(A731,[1]Hoja3!$C$3:$D$14,2,FALSE)</f>
        <v>#N/A</v>
      </c>
      <c r="C731" s="108"/>
      <c r="D731" s="108"/>
      <c r="E731" s="109"/>
      <c r="F731" s="109"/>
      <c r="G731" s="110" t="e">
        <f t="shared" si="147"/>
        <v>#N/A</v>
      </c>
      <c r="H731" s="252"/>
      <c r="I731" s="102" t="e">
        <f t="shared" si="148"/>
        <v>#N/A</v>
      </c>
      <c r="J731">
        <f t="shared" si="146"/>
        <v>0</v>
      </c>
      <c r="K731" t="e">
        <f t="shared" si="142"/>
        <v>#N/A</v>
      </c>
      <c r="L731" s="111">
        <f t="shared" si="143"/>
        <v>0</v>
      </c>
      <c r="M731" s="112">
        <f t="shared" si="144"/>
        <v>0</v>
      </c>
      <c r="N731" s="112">
        <f t="shared" si="145"/>
        <v>0</v>
      </c>
    </row>
    <row r="732" spans="1:14" x14ac:dyDescent="0.35">
      <c r="A732" s="106">
        <f t="shared" si="141"/>
        <v>0</v>
      </c>
      <c r="B732" s="107" t="e">
        <f>VLOOKUP(A732,[1]Hoja3!$C$3:$D$14,2,FALSE)</f>
        <v>#N/A</v>
      </c>
      <c r="C732" s="108"/>
      <c r="D732" s="108"/>
      <c r="E732" s="109"/>
      <c r="F732" s="109"/>
      <c r="G732" s="110" t="e">
        <f t="shared" si="147"/>
        <v>#N/A</v>
      </c>
      <c r="H732" s="252"/>
      <c r="I732" s="102" t="e">
        <f t="shared" si="148"/>
        <v>#N/A</v>
      </c>
      <c r="J732">
        <f t="shared" si="146"/>
        <v>0</v>
      </c>
      <c r="K732" t="e">
        <f t="shared" si="142"/>
        <v>#N/A</v>
      </c>
      <c r="L732" s="111">
        <f t="shared" si="143"/>
        <v>0</v>
      </c>
      <c r="M732" s="112">
        <f t="shared" si="144"/>
        <v>0</v>
      </c>
      <c r="N732" s="112">
        <f t="shared" si="145"/>
        <v>0</v>
      </c>
    </row>
    <row r="733" spans="1:14" x14ac:dyDescent="0.35">
      <c r="A733" s="106">
        <f t="shared" si="141"/>
        <v>0</v>
      </c>
      <c r="B733" s="107" t="e">
        <f>VLOOKUP(A733,[1]Hoja3!$C$3:$D$14,2,FALSE)</f>
        <v>#N/A</v>
      </c>
      <c r="C733" s="108"/>
      <c r="D733" s="108"/>
      <c r="E733" s="109"/>
      <c r="F733" s="109"/>
      <c r="G733" s="110" t="e">
        <f t="shared" si="147"/>
        <v>#N/A</v>
      </c>
      <c r="H733" s="252"/>
      <c r="I733" s="102" t="e">
        <f t="shared" si="148"/>
        <v>#N/A</v>
      </c>
      <c r="J733">
        <f t="shared" si="146"/>
        <v>0</v>
      </c>
      <c r="K733" t="e">
        <f t="shared" si="142"/>
        <v>#N/A</v>
      </c>
      <c r="L733" s="111">
        <f t="shared" si="143"/>
        <v>0</v>
      </c>
      <c r="M733" s="112">
        <f t="shared" si="144"/>
        <v>0</v>
      </c>
      <c r="N733" s="112">
        <f t="shared" si="145"/>
        <v>0</v>
      </c>
    </row>
    <row r="734" spans="1:14" x14ac:dyDescent="0.35">
      <c r="A734" s="106">
        <f t="shared" si="141"/>
        <v>0</v>
      </c>
      <c r="B734" s="107" t="e">
        <f>VLOOKUP(A734,[1]Hoja3!$C$3:$D$14,2,FALSE)</f>
        <v>#N/A</v>
      </c>
      <c r="C734" s="108"/>
      <c r="D734" s="108"/>
      <c r="E734" s="109"/>
      <c r="F734" s="109"/>
      <c r="G734" s="110" t="e">
        <f t="shared" si="147"/>
        <v>#N/A</v>
      </c>
      <c r="H734" s="252"/>
      <c r="I734" s="102" t="e">
        <f t="shared" si="148"/>
        <v>#N/A</v>
      </c>
      <c r="J734">
        <f t="shared" si="146"/>
        <v>0</v>
      </c>
      <c r="K734" t="e">
        <f t="shared" si="142"/>
        <v>#N/A</v>
      </c>
      <c r="L734" s="111">
        <f t="shared" si="143"/>
        <v>0</v>
      </c>
      <c r="M734" s="112">
        <f t="shared" si="144"/>
        <v>0</v>
      </c>
      <c r="N734" s="112">
        <f t="shared" si="145"/>
        <v>0</v>
      </c>
    </row>
    <row r="735" spans="1:14" x14ac:dyDescent="0.35">
      <c r="A735" s="106">
        <f t="shared" si="141"/>
        <v>0</v>
      </c>
      <c r="B735" s="107" t="e">
        <f>VLOOKUP(A735,[1]Hoja3!$C$3:$D$14,2,FALSE)</f>
        <v>#N/A</v>
      </c>
      <c r="C735" s="108"/>
      <c r="D735" s="108"/>
      <c r="E735" s="109"/>
      <c r="F735" s="109"/>
      <c r="G735" s="110" t="e">
        <f t="shared" si="147"/>
        <v>#N/A</v>
      </c>
      <c r="H735" s="252"/>
      <c r="I735" s="102" t="e">
        <f t="shared" si="148"/>
        <v>#N/A</v>
      </c>
      <c r="J735">
        <f t="shared" si="146"/>
        <v>0</v>
      </c>
      <c r="K735" t="e">
        <f t="shared" si="142"/>
        <v>#N/A</v>
      </c>
      <c r="L735" s="111">
        <f t="shared" si="143"/>
        <v>0</v>
      </c>
      <c r="M735" s="112">
        <f t="shared" si="144"/>
        <v>0</v>
      </c>
      <c r="N735" s="112">
        <f t="shared" si="145"/>
        <v>0</v>
      </c>
    </row>
    <row r="736" spans="1:14" x14ac:dyDescent="0.35">
      <c r="A736" s="106">
        <f t="shared" si="141"/>
        <v>0</v>
      </c>
      <c r="B736" s="107" t="e">
        <f>VLOOKUP(A736,[1]Hoja3!$C$3:$D$14,2,FALSE)</f>
        <v>#N/A</v>
      </c>
      <c r="C736" s="108"/>
      <c r="D736" s="108"/>
      <c r="E736" s="109"/>
      <c r="F736" s="109"/>
      <c r="G736" s="110" t="e">
        <f t="shared" si="147"/>
        <v>#N/A</v>
      </c>
      <c r="H736" s="252"/>
      <c r="I736" s="102" t="e">
        <f t="shared" si="148"/>
        <v>#N/A</v>
      </c>
      <c r="J736">
        <f t="shared" si="146"/>
        <v>0</v>
      </c>
      <c r="K736" t="e">
        <f t="shared" si="142"/>
        <v>#N/A</v>
      </c>
      <c r="L736" s="111">
        <f t="shared" si="143"/>
        <v>0</v>
      </c>
      <c r="M736" s="112">
        <f t="shared" si="144"/>
        <v>0</v>
      </c>
      <c r="N736" s="112">
        <f t="shared" si="145"/>
        <v>0</v>
      </c>
    </row>
    <row r="737" spans="1:14" x14ac:dyDescent="0.35">
      <c r="A737" s="106">
        <f t="shared" ref="A737:A800" si="149">IF(C737&gt;0,MONTH(C737),0)</f>
        <v>0</v>
      </c>
      <c r="B737" s="107" t="e">
        <f>VLOOKUP(A737,[1]Hoja3!$C$3:$D$14,2,FALSE)</f>
        <v>#N/A</v>
      </c>
      <c r="C737" s="108"/>
      <c r="D737" s="108"/>
      <c r="E737" s="109"/>
      <c r="F737" s="109"/>
      <c r="G737" s="110" t="e">
        <f t="shared" si="147"/>
        <v>#N/A</v>
      </c>
      <c r="H737" s="252"/>
      <c r="I737" s="102" t="e">
        <f t="shared" si="148"/>
        <v>#N/A</v>
      </c>
      <c r="J737">
        <f t="shared" si="146"/>
        <v>0</v>
      </c>
      <c r="K737" t="e">
        <f t="shared" ref="K737:K800" si="150">+B737</f>
        <v>#N/A</v>
      </c>
      <c r="L737" s="111">
        <f t="shared" ref="L737:L800" si="151">+J737/0.16</f>
        <v>0</v>
      </c>
      <c r="M737" s="112">
        <f t="shared" ref="M737:M800" si="152">+H737-L737</f>
        <v>0</v>
      </c>
      <c r="N737" s="112">
        <f t="shared" ref="N737:N800" si="153">+H737+J737</f>
        <v>0</v>
      </c>
    </row>
    <row r="738" spans="1:14" x14ac:dyDescent="0.35">
      <c r="A738" s="106">
        <f t="shared" si="149"/>
        <v>0</v>
      </c>
      <c r="B738" s="107" t="e">
        <f>VLOOKUP(A738,[1]Hoja3!$C$3:$D$14,2,FALSE)</f>
        <v>#N/A</v>
      </c>
      <c r="C738" s="108"/>
      <c r="D738" s="108"/>
      <c r="E738" s="109"/>
      <c r="F738" s="109"/>
      <c r="G738" s="110" t="e">
        <f t="shared" si="147"/>
        <v>#N/A</v>
      </c>
      <c r="H738" s="252"/>
      <c r="I738" s="102" t="e">
        <f t="shared" si="148"/>
        <v>#N/A</v>
      </c>
      <c r="J738">
        <f t="shared" si="146"/>
        <v>0</v>
      </c>
      <c r="K738" t="e">
        <f t="shared" si="150"/>
        <v>#N/A</v>
      </c>
      <c r="L738" s="111">
        <f t="shared" si="151"/>
        <v>0</v>
      </c>
      <c r="M738" s="112">
        <f t="shared" si="152"/>
        <v>0</v>
      </c>
      <c r="N738" s="112">
        <f t="shared" si="153"/>
        <v>0</v>
      </c>
    </row>
    <row r="739" spans="1:14" x14ac:dyDescent="0.35">
      <c r="A739" s="106">
        <f t="shared" si="149"/>
        <v>0</v>
      </c>
      <c r="B739" s="107" t="e">
        <f>VLOOKUP(A739,[1]Hoja3!$C$3:$D$14,2,FALSE)</f>
        <v>#N/A</v>
      </c>
      <c r="C739" s="108"/>
      <c r="D739" s="108"/>
      <c r="E739" s="109"/>
      <c r="F739" s="109"/>
      <c r="G739" s="110" t="e">
        <f t="shared" si="147"/>
        <v>#N/A</v>
      </c>
      <c r="H739" s="252"/>
      <c r="I739" s="102" t="e">
        <f t="shared" si="148"/>
        <v>#N/A</v>
      </c>
      <c r="J739">
        <f t="shared" si="146"/>
        <v>0</v>
      </c>
      <c r="K739" t="e">
        <f t="shared" si="150"/>
        <v>#N/A</v>
      </c>
      <c r="L739" s="111">
        <f t="shared" si="151"/>
        <v>0</v>
      </c>
      <c r="M739" s="112">
        <f t="shared" si="152"/>
        <v>0</v>
      </c>
      <c r="N739" s="112">
        <f t="shared" si="153"/>
        <v>0</v>
      </c>
    </row>
    <row r="740" spans="1:14" x14ac:dyDescent="0.35">
      <c r="A740" s="106">
        <f t="shared" si="149"/>
        <v>0</v>
      </c>
      <c r="B740" s="107" t="e">
        <f>VLOOKUP(A740,[1]Hoja3!$C$3:$D$14,2,FALSE)</f>
        <v>#N/A</v>
      </c>
      <c r="C740" s="108"/>
      <c r="D740" s="108"/>
      <c r="E740" s="109"/>
      <c r="F740" s="109"/>
      <c r="G740" s="110" t="e">
        <f t="shared" si="147"/>
        <v>#N/A</v>
      </c>
      <c r="H740" s="252"/>
      <c r="I740" s="102" t="e">
        <f t="shared" si="148"/>
        <v>#N/A</v>
      </c>
      <c r="J740">
        <f t="shared" si="146"/>
        <v>0</v>
      </c>
      <c r="K740" t="e">
        <f t="shared" si="150"/>
        <v>#N/A</v>
      </c>
      <c r="L740" s="111">
        <f t="shared" si="151"/>
        <v>0</v>
      </c>
      <c r="M740" s="112">
        <f t="shared" si="152"/>
        <v>0</v>
      </c>
      <c r="N740" s="112">
        <f t="shared" si="153"/>
        <v>0</v>
      </c>
    </row>
    <row r="741" spans="1:14" x14ac:dyDescent="0.35">
      <c r="A741" s="106">
        <f t="shared" si="149"/>
        <v>0</v>
      </c>
      <c r="B741" s="107" t="e">
        <f>VLOOKUP(A741,[1]Hoja3!$C$3:$D$14,2,FALSE)</f>
        <v>#N/A</v>
      </c>
      <c r="C741" s="108"/>
      <c r="D741" s="108"/>
      <c r="E741" s="109"/>
      <c r="F741" s="109"/>
      <c r="G741" s="110" t="e">
        <f t="shared" si="147"/>
        <v>#N/A</v>
      </c>
      <c r="H741" s="252"/>
      <c r="I741" s="102" t="e">
        <f t="shared" si="148"/>
        <v>#N/A</v>
      </c>
      <c r="J741">
        <f t="shared" si="146"/>
        <v>0</v>
      </c>
      <c r="K741" t="e">
        <f t="shared" si="150"/>
        <v>#N/A</v>
      </c>
      <c r="L741" s="111">
        <f t="shared" si="151"/>
        <v>0</v>
      </c>
      <c r="M741" s="112">
        <f t="shared" si="152"/>
        <v>0</v>
      </c>
      <c r="N741" s="112">
        <f t="shared" si="153"/>
        <v>0</v>
      </c>
    </row>
    <row r="742" spans="1:14" x14ac:dyDescent="0.35">
      <c r="A742" s="106">
        <f t="shared" si="149"/>
        <v>0</v>
      </c>
      <c r="B742" s="107" t="e">
        <f>VLOOKUP(A742,[1]Hoja3!$C$3:$D$14,2,FALSE)</f>
        <v>#N/A</v>
      </c>
      <c r="C742" s="108"/>
      <c r="D742" s="108"/>
      <c r="E742" s="109"/>
      <c r="F742" s="109"/>
      <c r="G742" s="110" t="e">
        <f t="shared" si="147"/>
        <v>#N/A</v>
      </c>
      <c r="H742" s="252"/>
      <c r="I742" s="102" t="e">
        <f t="shared" si="148"/>
        <v>#N/A</v>
      </c>
      <c r="J742">
        <f t="shared" si="146"/>
        <v>0</v>
      </c>
      <c r="K742" t="e">
        <f t="shared" si="150"/>
        <v>#N/A</v>
      </c>
      <c r="L742" s="111">
        <f t="shared" si="151"/>
        <v>0</v>
      </c>
      <c r="M742" s="112">
        <f t="shared" si="152"/>
        <v>0</v>
      </c>
      <c r="N742" s="112">
        <f t="shared" si="153"/>
        <v>0</v>
      </c>
    </row>
    <row r="743" spans="1:14" x14ac:dyDescent="0.35">
      <c r="A743" s="106">
        <f t="shared" si="149"/>
        <v>0</v>
      </c>
      <c r="B743" s="107" t="e">
        <f>VLOOKUP(A743,[1]Hoja3!$C$3:$D$14,2,FALSE)</f>
        <v>#N/A</v>
      </c>
      <c r="C743" s="108"/>
      <c r="D743" s="108"/>
      <c r="E743" s="109"/>
      <c r="F743" s="109"/>
      <c r="G743" s="110" t="e">
        <f t="shared" si="147"/>
        <v>#N/A</v>
      </c>
      <c r="H743" s="252"/>
      <c r="I743" s="102" t="e">
        <f t="shared" si="148"/>
        <v>#N/A</v>
      </c>
      <c r="J743">
        <f t="shared" si="146"/>
        <v>0</v>
      </c>
      <c r="K743" t="e">
        <f t="shared" si="150"/>
        <v>#N/A</v>
      </c>
      <c r="L743" s="111">
        <f t="shared" si="151"/>
        <v>0</v>
      </c>
      <c r="M743" s="112">
        <f t="shared" si="152"/>
        <v>0</v>
      </c>
      <c r="N743" s="112">
        <f t="shared" si="153"/>
        <v>0</v>
      </c>
    </row>
    <row r="744" spans="1:14" x14ac:dyDescent="0.35">
      <c r="A744" s="106">
        <f t="shared" si="149"/>
        <v>0</v>
      </c>
      <c r="B744" s="107" t="e">
        <f>VLOOKUP(A744,[1]Hoja3!$C$3:$D$14,2,FALSE)</f>
        <v>#N/A</v>
      </c>
      <c r="C744" s="108"/>
      <c r="D744" s="108"/>
      <c r="E744" s="109"/>
      <c r="F744" s="109"/>
      <c r="G744" s="110" t="e">
        <f t="shared" si="147"/>
        <v>#N/A</v>
      </c>
      <c r="H744" s="252"/>
      <c r="I744" s="102" t="e">
        <f t="shared" si="148"/>
        <v>#N/A</v>
      </c>
      <c r="J744">
        <f t="shared" si="146"/>
        <v>0</v>
      </c>
      <c r="K744" t="e">
        <f t="shared" si="150"/>
        <v>#N/A</v>
      </c>
      <c r="L744" s="111">
        <f t="shared" si="151"/>
        <v>0</v>
      </c>
      <c r="M744" s="112">
        <f t="shared" si="152"/>
        <v>0</v>
      </c>
      <c r="N744" s="112">
        <f t="shared" si="153"/>
        <v>0</v>
      </c>
    </row>
    <row r="745" spans="1:14" x14ac:dyDescent="0.35">
      <c r="A745" s="106">
        <f t="shared" si="149"/>
        <v>0</v>
      </c>
      <c r="B745" s="107" t="e">
        <f>VLOOKUP(A745,[1]Hoja3!$C$3:$D$14,2,FALSE)</f>
        <v>#N/A</v>
      </c>
      <c r="C745" s="108"/>
      <c r="D745" s="108"/>
      <c r="E745" s="109"/>
      <c r="F745" s="109"/>
      <c r="G745" s="110" t="e">
        <f t="shared" si="147"/>
        <v>#N/A</v>
      </c>
      <c r="H745" s="252"/>
      <c r="I745" s="102" t="e">
        <f t="shared" si="148"/>
        <v>#N/A</v>
      </c>
      <c r="J745">
        <f t="shared" si="146"/>
        <v>0</v>
      </c>
      <c r="K745" t="e">
        <f t="shared" si="150"/>
        <v>#N/A</v>
      </c>
      <c r="L745" s="111">
        <f t="shared" si="151"/>
        <v>0</v>
      </c>
      <c r="M745" s="112">
        <f t="shared" si="152"/>
        <v>0</v>
      </c>
      <c r="N745" s="112">
        <f t="shared" si="153"/>
        <v>0</v>
      </c>
    </row>
    <row r="746" spans="1:14" x14ac:dyDescent="0.35">
      <c r="A746" s="106">
        <f t="shared" si="149"/>
        <v>0</v>
      </c>
      <c r="B746" s="107" t="e">
        <f>VLOOKUP(A746,[1]Hoja3!$C$3:$D$14,2,FALSE)</f>
        <v>#N/A</v>
      </c>
      <c r="C746" s="108"/>
      <c r="D746" s="108"/>
      <c r="E746" s="109"/>
      <c r="F746" s="109"/>
      <c r="G746" s="110" t="e">
        <f t="shared" si="147"/>
        <v>#N/A</v>
      </c>
      <c r="H746" s="252"/>
      <c r="I746" s="102" t="e">
        <f t="shared" si="148"/>
        <v>#N/A</v>
      </c>
      <c r="J746">
        <f t="shared" si="146"/>
        <v>0</v>
      </c>
      <c r="K746" t="e">
        <f t="shared" si="150"/>
        <v>#N/A</v>
      </c>
      <c r="L746" s="111">
        <f t="shared" si="151"/>
        <v>0</v>
      </c>
      <c r="M746" s="112">
        <f t="shared" si="152"/>
        <v>0</v>
      </c>
      <c r="N746" s="112">
        <f t="shared" si="153"/>
        <v>0</v>
      </c>
    </row>
    <row r="747" spans="1:14" x14ac:dyDescent="0.35">
      <c r="A747" s="106">
        <f t="shared" si="149"/>
        <v>0</v>
      </c>
      <c r="B747" s="107" t="e">
        <f>VLOOKUP(A747,[1]Hoja3!$C$3:$D$14,2,FALSE)</f>
        <v>#N/A</v>
      </c>
      <c r="C747" s="108"/>
      <c r="D747" s="108"/>
      <c r="E747" s="109"/>
      <c r="F747" s="109"/>
      <c r="G747" s="110" t="e">
        <f t="shared" si="147"/>
        <v>#N/A</v>
      </c>
      <c r="H747" s="252"/>
      <c r="I747" s="102" t="e">
        <f t="shared" si="148"/>
        <v>#N/A</v>
      </c>
      <c r="J747">
        <f t="shared" si="146"/>
        <v>0</v>
      </c>
      <c r="K747" t="e">
        <f t="shared" si="150"/>
        <v>#N/A</v>
      </c>
      <c r="L747" s="111">
        <f t="shared" si="151"/>
        <v>0</v>
      </c>
      <c r="M747" s="112">
        <f t="shared" si="152"/>
        <v>0</v>
      </c>
      <c r="N747" s="112">
        <f t="shared" si="153"/>
        <v>0</v>
      </c>
    </row>
    <row r="748" spans="1:14" x14ac:dyDescent="0.35">
      <c r="A748" s="106">
        <f t="shared" si="149"/>
        <v>0</v>
      </c>
      <c r="B748" s="107" t="e">
        <f>VLOOKUP(A748,[1]Hoja3!$C$3:$D$14,2,FALSE)</f>
        <v>#N/A</v>
      </c>
      <c r="C748" s="108"/>
      <c r="D748" s="108"/>
      <c r="E748" s="109"/>
      <c r="F748" s="109"/>
      <c r="G748" s="110" t="e">
        <f t="shared" si="147"/>
        <v>#N/A</v>
      </c>
      <c r="H748" s="252"/>
      <c r="I748" s="102" t="e">
        <f t="shared" si="148"/>
        <v>#N/A</v>
      </c>
      <c r="J748">
        <f t="shared" si="146"/>
        <v>0</v>
      </c>
      <c r="K748" t="e">
        <f t="shared" si="150"/>
        <v>#N/A</v>
      </c>
      <c r="L748" s="111">
        <f t="shared" si="151"/>
        <v>0</v>
      </c>
      <c r="M748" s="112">
        <f t="shared" si="152"/>
        <v>0</v>
      </c>
      <c r="N748" s="112">
        <f t="shared" si="153"/>
        <v>0</v>
      </c>
    </row>
    <row r="749" spans="1:14" x14ac:dyDescent="0.35">
      <c r="A749" s="106">
        <f t="shared" si="149"/>
        <v>0</v>
      </c>
      <c r="B749" s="107" t="e">
        <f>VLOOKUP(A749,[1]Hoja3!$C$3:$D$14,2,FALSE)</f>
        <v>#N/A</v>
      </c>
      <c r="C749" s="108"/>
      <c r="D749" s="108"/>
      <c r="E749" s="109"/>
      <c r="F749" s="109"/>
      <c r="G749" s="110" t="e">
        <f t="shared" si="147"/>
        <v>#N/A</v>
      </c>
      <c r="H749" s="252"/>
      <c r="I749" s="102" t="e">
        <f t="shared" si="148"/>
        <v>#N/A</v>
      </c>
      <c r="J749">
        <f t="shared" si="146"/>
        <v>0</v>
      </c>
      <c r="K749" t="e">
        <f t="shared" si="150"/>
        <v>#N/A</v>
      </c>
      <c r="L749" s="111">
        <f t="shared" si="151"/>
        <v>0</v>
      </c>
      <c r="M749" s="112">
        <f t="shared" si="152"/>
        <v>0</v>
      </c>
      <c r="N749" s="112">
        <f t="shared" si="153"/>
        <v>0</v>
      </c>
    </row>
    <row r="750" spans="1:14" x14ac:dyDescent="0.35">
      <c r="A750" s="106">
        <f t="shared" si="149"/>
        <v>0</v>
      </c>
      <c r="B750" s="107" t="e">
        <f>VLOOKUP(A750,[1]Hoja3!$C$3:$D$14,2,FALSE)</f>
        <v>#N/A</v>
      </c>
      <c r="C750" s="108"/>
      <c r="D750" s="108"/>
      <c r="E750" s="109"/>
      <c r="F750" s="109"/>
      <c r="G750" s="110" t="e">
        <f t="shared" si="147"/>
        <v>#N/A</v>
      </c>
      <c r="H750" s="252"/>
      <c r="I750" s="102" t="e">
        <f t="shared" si="148"/>
        <v>#N/A</v>
      </c>
      <c r="J750">
        <f t="shared" si="146"/>
        <v>0</v>
      </c>
      <c r="K750" t="e">
        <f t="shared" si="150"/>
        <v>#N/A</v>
      </c>
      <c r="L750" s="111">
        <f t="shared" si="151"/>
        <v>0</v>
      </c>
      <c r="M750" s="112">
        <f t="shared" si="152"/>
        <v>0</v>
      </c>
      <c r="N750" s="112">
        <f t="shared" si="153"/>
        <v>0</v>
      </c>
    </row>
    <row r="751" spans="1:14" x14ac:dyDescent="0.35">
      <c r="A751" s="106">
        <f t="shared" si="149"/>
        <v>0</v>
      </c>
      <c r="B751" s="107" t="e">
        <f>VLOOKUP(A751,[1]Hoja3!$C$3:$D$14,2,FALSE)</f>
        <v>#N/A</v>
      </c>
      <c r="C751" s="108"/>
      <c r="D751" s="108"/>
      <c r="E751" s="109"/>
      <c r="F751" s="109"/>
      <c r="G751" s="110" t="e">
        <f t="shared" si="147"/>
        <v>#N/A</v>
      </c>
      <c r="H751" s="252"/>
      <c r="I751" s="102" t="e">
        <f t="shared" si="148"/>
        <v>#N/A</v>
      </c>
      <c r="J751">
        <f t="shared" si="146"/>
        <v>0</v>
      </c>
      <c r="K751" t="e">
        <f t="shared" si="150"/>
        <v>#N/A</v>
      </c>
      <c r="L751" s="111">
        <f t="shared" si="151"/>
        <v>0</v>
      </c>
      <c r="M751" s="112">
        <f t="shared" si="152"/>
        <v>0</v>
      </c>
      <c r="N751" s="112">
        <f t="shared" si="153"/>
        <v>0</v>
      </c>
    </row>
    <row r="752" spans="1:14" x14ac:dyDescent="0.35">
      <c r="A752" s="106">
        <f t="shared" si="149"/>
        <v>0</v>
      </c>
      <c r="B752" s="107" t="e">
        <f>VLOOKUP(A752,[1]Hoja3!$C$3:$D$14,2,FALSE)</f>
        <v>#N/A</v>
      </c>
      <c r="C752" s="108"/>
      <c r="D752" s="108"/>
      <c r="E752" s="109"/>
      <c r="F752" s="109"/>
      <c r="G752" s="110" t="e">
        <f t="shared" si="147"/>
        <v>#N/A</v>
      </c>
      <c r="H752" s="252"/>
      <c r="I752" s="102" t="e">
        <f t="shared" si="148"/>
        <v>#N/A</v>
      </c>
      <c r="J752">
        <f t="shared" si="146"/>
        <v>0</v>
      </c>
      <c r="K752" t="e">
        <f t="shared" si="150"/>
        <v>#N/A</v>
      </c>
      <c r="L752" s="111">
        <f t="shared" si="151"/>
        <v>0</v>
      </c>
      <c r="M752" s="112">
        <f t="shared" si="152"/>
        <v>0</v>
      </c>
      <c r="N752" s="112">
        <f t="shared" si="153"/>
        <v>0</v>
      </c>
    </row>
    <row r="753" spans="1:14" x14ac:dyDescent="0.35">
      <c r="A753" s="106">
        <f t="shared" si="149"/>
        <v>0</v>
      </c>
      <c r="B753" s="107" t="e">
        <f>VLOOKUP(A753,[1]Hoja3!$C$3:$D$14,2,FALSE)</f>
        <v>#N/A</v>
      </c>
      <c r="C753" s="108"/>
      <c r="D753" s="108"/>
      <c r="E753" s="109"/>
      <c r="F753" s="109"/>
      <c r="G753" s="110" t="e">
        <f t="shared" si="147"/>
        <v>#N/A</v>
      </c>
      <c r="H753" s="252"/>
      <c r="I753" s="102" t="e">
        <f t="shared" si="148"/>
        <v>#N/A</v>
      </c>
      <c r="J753">
        <f t="shared" si="146"/>
        <v>0</v>
      </c>
      <c r="K753" t="e">
        <f t="shared" si="150"/>
        <v>#N/A</v>
      </c>
      <c r="L753" s="111">
        <f t="shared" si="151"/>
        <v>0</v>
      </c>
      <c r="M753" s="112">
        <f t="shared" si="152"/>
        <v>0</v>
      </c>
      <c r="N753" s="112">
        <f t="shared" si="153"/>
        <v>0</v>
      </c>
    </row>
    <row r="754" spans="1:14" x14ac:dyDescent="0.35">
      <c r="A754" s="106">
        <f t="shared" si="149"/>
        <v>0</v>
      </c>
      <c r="B754" s="107" t="e">
        <f>VLOOKUP(A754,[1]Hoja3!$C$3:$D$14,2,FALSE)</f>
        <v>#N/A</v>
      </c>
      <c r="C754" s="108"/>
      <c r="D754" s="108"/>
      <c r="E754" s="109"/>
      <c r="F754" s="109"/>
      <c r="G754" s="110" t="e">
        <f t="shared" si="147"/>
        <v>#N/A</v>
      </c>
      <c r="H754" s="252"/>
      <c r="I754" s="102" t="e">
        <f t="shared" si="148"/>
        <v>#N/A</v>
      </c>
      <c r="J754">
        <f t="shared" si="146"/>
        <v>0</v>
      </c>
      <c r="K754" t="e">
        <f t="shared" si="150"/>
        <v>#N/A</v>
      </c>
      <c r="L754" s="111">
        <f t="shared" si="151"/>
        <v>0</v>
      </c>
      <c r="M754" s="112">
        <f t="shared" si="152"/>
        <v>0</v>
      </c>
      <c r="N754" s="112">
        <f t="shared" si="153"/>
        <v>0</v>
      </c>
    </row>
    <row r="755" spans="1:14" x14ac:dyDescent="0.35">
      <c r="A755" s="106">
        <f t="shared" si="149"/>
        <v>0</v>
      </c>
      <c r="B755" s="107" t="e">
        <f>VLOOKUP(A755,[1]Hoja3!$C$3:$D$14,2,FALSE)</f>
        <v>#N/A</v>
      </c>
      <c r="C755" s="108"/>
      <c r="D755" s="108"/>
      <c r="E755" s="109"/>
      <c r="F755" s="109"/>
      <c r="G755" s="110" t="e">
        <f t="shared" si="147"/>
        <v>#N/A</v>
      </c>
      <c r="H755" s="252"/>
      <c r="I755" s="102" t="e">
        <f t="shared" si="148"/>
        <v>#N/A</v>
      </c>
      <c r="J755">
        <f t="shared" si="146"/>
        <v>0</v>
      </c>
      <c r="K755" t="e">
        <f t="shared" si="150"/>
        <v>#N/A</v>
      </c>
      <c r="L755" s="111">
        <f t="shared" si="151"/>
        <v>0</v>
      </c>
      <c r="M755" s="112">
        <f t="shared" si="152"/>
        <v>0</v>
      </c>
      <c r="N755" s="112">
        <f t="shared" si="153"/>
        <v>0</v>
      </c>
    </row>
    <row r="756" spans="1:14" x14ac:dyDescent="0.35">
      <c r="A756" s="106">
        <f t="shared" si="149"/>
        <v>0</v>
      </c>
      <c r="B756" s="107" t="e">
        <f>VLOOKUP(A756,[1]Hoja3!$C$3:$D$14,2,FALSE)</f>
        <v>#N/A</v>
      </c>
      <c r="C756" s="108"/>
      <c r="D756" s="108"/>
      <c r="E756" s="109"/>
      <c r="F756" s="109"/>
      <c r="G756" s="110" t="e">
        <f t="shared" si="147"/>
        <v>#N/A</v>
      </c>
      <c r="H756" s="252"/>
      <c r="I756" s="102" t="e">
        <f t="shared" si="148"/>
        <v>#N/A</v>
      </c>
      <c r="J756">
        <f t="shared" si="146"/>
        <v>0</v>
      </c>
      <c r="K756" t="e">
        <f t="shared" si="150"/>
        <v>#N/A</v>
      </c>
      <c r="L756" s="111">
        <f t="shared" si="151"/>
        <v>0</v>
      </c>
      <c r="M756" s="112">
        <f t="shared" si="152"/>
        <v>0</v>
      </c>
      <c r="N756" s="112">
        <f t="shared" si="153"/>
        <v>0</v>
      </c>
    </row>
    <row r="757" spans="1:14" x14ac:dyDescent="0.35">
      <c r="A757" s="106">
        <f t="shared" si="149"/>
        <v>0</v>
      </c>
      <c r="B757" s="107" t="e">
        <f>VLOOKUP(A757,[1]Hoja3!$C$3:$D$14,2,FALSE)</f>
        <v>#N/A</v>
      </c>
      <c r="C757" s="108"/>
      <c r="D757" s="108"/>
      <c r="E757" s="109"/>
      <c r="F757" s="109"/>
      <c r="G757" s="110" t="e">
        <f t="shared" si="147"/>
        <v>#N/A</v>
      </c>
      <c r="H757" s="252"/>
      <c r="I757" s="102" t="e">
        <f t="shared" si="148"/>
        <v>#N/A</v>
      </c>
      <c r="J757">
        <f t="shared" si="146"/>
        <v>0</v>
      </c>
      <c r="K757" t="e">
        <f t="shared" si="150"/>
        <v>#N/A</v>
      </c>
      <c r="L757" s="111">
        <f t="shared" si="151"/>
        <v>0</v>
      </c>
      <c r="M757" s="112">
        <f t="shared" si="152"/>
        <v>0</v>
      </c>
      <c r="N757" s="112">
        <f t="shared" si="153"/>
        <v>0</v>
      </c>
    </row>
    <row r="758" spans="1:14" x14ac:dyDescent="0.35">
      <c r="A758" s="106">
        <f t="shared" si="149"/>
        <v>0</v>
      </c>
      <c r="B758" s="107" t="e">
        <f>VLOOKUP(A758,[1]Hoja3!$C$3:$D$14,2,FALSE)</f>
        <v>#N/A</v>
      </c>
      <c r="C758" s="108"/>
      <c r="D758" s="108"/>
      <c r="E758" s="109"/>
      <c r="F758" s="109"/>
      <c r="G758" s="110" t="e">
        <f t="shared" si="147"/>
        <v>#N/A</v>
      </c>
      <c r="H758" s="252"/>
      <c r="I758" s="102" t="e">
        <f t="shared" si="148"/>
        <v>#N/A</v>
      </c>
      <c r="J758">
        <f t="shared" si="146"/>
        <v>0</v>
      </c>
      <c r="K758" t="e">
        <f t="shared" si="150"/>
        <v>#N/A</v>
      </c>
      <c r="L758" s="111">
        <f t="shared" si="151"/>
        <v>0</v>
      </c>
      <c r="M758" s="112">
        <f t="shared" si="152"/>
        <v>0</v>
      </c>
      <c r="N758" s="112">
        <f t="shared" si="153"/>
        <v>0</v>
      </c>
    </row>
    <row r="759" spans="1:14" x14ac:dyDescent="0.35">
      <c r="A759" s="106">
        <f t="shared" si="149"/>
        <v>0</v>
      </c>
      <c r="B759" s="107" t="e">
        <f>VLOOKUP(A759,[1]Hoja3!$C$3:$D$14,2,FALSE)</f>
        <v>#N/A</v>
      </c>
      <c r="C759" s="108"/>
      <c r="D759" s="108"/>
      <c r="E759" s="109"/>
      <c r="F759" s="109"/>
      <c r="G759" s="110" t="e">
        <f t="shared" si="147"/>
        <v>#N/A</v>
      </c>
      <c r="H759" s="252"/>
      <c r="I759" s="102" t="e">
        <f t="shared" si="148"/>
        <v>#N/A</v>
      </c>
      <c r="J759">
        <f t="shared" si="146"/>
        <v>0</v>
      </c>
      <c r="K759" t="e">
        <f t="shared" si="150"/>
        <v>#N/A</v>
      </c>
      <c r="L759" s="111">
        <f t="shared" si="151"/>
        <v>0</v>
      </c>
      <c r="M759" s="112">
        <f t="shared" si="152"/>
        <v>0</v>
      </c>
      <c r="N759" s="112">
        <f t="shared" si="153"/>
        <v>0</v>
      </c>
    </row>
    <row r="760" spans="1:14" x14ac:dyDescent="0.35">
      <c r="A760" s="106">
        <f t="shared" si="149"/>
        <v>0</v>
      </c>
      <c r="B760" s="107" t="e">
        <f>VLOOKUP(A760,[1]Hoja3!$C$3:$D$14,2,FALSE)</f>
        <v>#N/A</v>
      </c>
      <c r="C760" s="108"/>
      <c r="D760" s="108"/>
      <c r="E760" s="109"/>
      <c r="F760" s="109"/>
      <c r="G760" s="110" t="e">
        <f t="shared" si="147"/>
        <v>#N/A</v>
      </c>
      <c r="H760" s="252"/>
      <c r="I760" s="102" t="e">
        <f t="shared" si="148"/>
        <v>#N/A</v>
      </c>
      <c r="J760">
        <f t="shared" si="146"/>
        <v>0</v>
      </c>
      <c r="K760" t="e">
        <f t="shared" si="150"/>
        <v>#N/A</v>
      </c>
      <c r="L760" s="111">
        <f t="shared" si="151"/>
        <v>0</v>
      </c>
      <c r="M760" s="112">
        <f t="shared" si="152"/>
        <v>0</v>
      </c>
      <c r="N760" s="112">
        <f t="shared" si="153"/>
        <v>0</v>
      </c>
    </row>
    <row r="761" spans="1:14" x14ac:dyDescent="0.35">
      <c r="A761" s="106">
        <f t="shared" si="149"/>
        <v>0</v>
      </c>
      <c r="B761" s="107" t="e">
        <f>VLOOKUP(A761,[1]Hoja3!$C$3:$D$14,2,FALSE)</f>
        <v>#N/A</v>
      </c>
      <c r="C761" s="108"/>
      <c r="D761" s="108"/>
      <c r="E761" s="109"/>
      <c r="F761" s="109"/>
      <c r="G761" s="110" t="e">
        <f t="shared" si="147"/>
        <v>#N/A</v>
      </c>
      <c r="H761" s="252"/>
      <c r="I761" s="102" t="e">
        <f t="shared" si="148"/>
        <v>#N/A</v>
      </c>
      <c r="J761">
        <f t="shared" si="146"/>
        <v>0</v>
      </c>
      <c r="K761" t="e">
        <f t="shared" si="150"/>
        <v>#N/A</v>
      </c>
      <c r="L761" s="111">
        <f t="shared" si="151"/>
        <v>0</v>
      </c>
      <c r="M761" s="112">
        <f t="shared" si="152"/>
        <v>0</v>
      </c>
      <c r="N761" s="112">
        <f t="shared" si="153"/>
        <v>0</v>
      </c>
    </row>
    <row r="762" spans="1:14" x14ac:dyDescent="0.35">
      <c r="A762" s="106">
        <f t="shared" si="149"/>
        <v>0</v>
      </c>
      <c r="B762" s="107" t="e">
        <f>VLOOKUP(A762,[1]Hoja3!$C$3:$D$14,2,FALSE)</f>
        <v>#N/A</v>
      </c>
      <c r="C762" s="108"/>
      <c r="D762" s="108"/>
      <c r="E762" s="109"/>
      <c r="F762" s="109"/>
      <c r="G762" s="110" t="e">
        <f t="shared" si="147"/>
        <v>#N/A</v>
      </c>
      <c r="H762" s="252"/>
      <c r="I762" s="102" t="e">
        <f t="shared" si="148"/>
        <v>#N/A</v>
      </c>
      <c r="J762">
        <f t="shared" si="146"/>
        <v>0</v>
      </c>
      <c r="K762" t="e">
        <f t="shared" si="150"/>
        <v>#N/A</v>
      </c>
      <c r="L762" s="111">
        <f t="shared" si="151"/>
        <v>0</v>
      </c>
      <c r="M762" s="112">
        <f t="shared" si="152"/>
        <v>0</v>
      </c>
      <c r="N762" s="112">
        <f t="shared" si="153"/>
        <v>0</v>
      </c>
    </row>
    <row r="763" spans="1:14" x14ac:dyDescent="0.35">
      <c r="A763" s="106">
        <f t="shared" si="149"/>
        <v>0</v>
      </c>
      <c r="B763" s="107" t="e">
        <f>VLOOKUP(A763,[1]Hoja3!$C$3:$D$14,2,FALSE)</f>
        <v>#N/A</v>
      </c>
      <c r="C763" s="108"/>
      <c r="D763" s="108"/>
      <c r="E763" s="109"/>
      <c r="F763" s="109"/>
      <c r="G763" s="110" t="e">
        <f t="shared" si="147"/>
        <v>#N/A</v>
      </c>
      <c r="H763" s="252"/>
      <c r="I763" s="102" t="e">
        <f t="shared" si="148"/>
        <v>#N/A</v>
      </c>
      <c r="J763">
        <f t="shared" si="146"/>
        <v>0</v>
      </c>
      <c r="K763" t="e">
        <f t="shared" si="150"/>
        <v>#N/A</v>
      </c>
      <c r="L763" s="111">
        <f t="shared" si="151"/>
        <v>0</v>
      </c>
      <c r="M763" s="112">
        <f t="shared" si="152"/>
        <v>0</v>
      </c>
      <c r="N763" s="112">
        <f t="shared" si="153"/>
        <v>0</v>
      </c>
    </row>
    <row r="764" spans="1:14" x14ac:dyDescent="0.35">
      <c r="A764" s="106">
        <f t="shared" si="149"/>
        <v>0</v>
      </c>
      <c r="B764" s="107" t="e">
        <f>VLOOKUP(A764,[1]Hoja3!$C$3:$D$14,2,FALSE)</f>
        <v>#N/A</v>
      </c>
      <c r="C764" s="108"/>
      <c r="D764" s="108"/>
      <c r="E764" s="109"/>
      <c r="F764" s="109"/>
      <c r="G764" s="110" t="e">
        <f t="shared" si="147"/>
        <v>#N/A</v>
      </c>
      <c r="H764" s="252"/>
      <c r="I764" s="102" t="e">
        <f t="shared" si="148"/>
        <v>#N/A</v>
      </c>
      <c r="J764">
        <f t="shared" si="146"/>
        <v>0</v>
      </c>
      <c r="K764" t="e">
        <f t="shared" si="150"/>
        <v>#N/A</v>
      </c>
      <c r="L764" s="111">
        <f t="shared" si="151"/>
        <v>0</v>
      </c>
      <c r="M764" s="112">
        <f t="shared" si="152"/>
        <v>0</v>
      </c>
      <c r="N764" s="112">
        <f t="shared" si="153"/>
        <v>0</v>
      </c>
    </row>
    <row r="765" spans="1:14" x14ac:dyDescent="0.35">
      <c r="A765" s="106">
        <f t="shared" si="149"/>
        <v>0</v>
      </c>
      <c r="B765" s="107" t="e">
        <f>VLOOKUP(A765,[1]Hoja3!$C$3:$D$14,2,FALSE)</f>
        <v>#N/A</v>
      </c>
      <c r="C765" s="108"/>
      <c r="D765" s="108"/>
      <c r="E765" s="109"/>
      <c r="F765" s="109"/>
      <c r="G765" s="110" t="e">
        <f t="shared" si="147"/>
        <v>#N/A</v>
      </c>
      <c r="H765" s="252"/>
      <c r="I765" s="102" t="e">
        <f t="shared" si="148"/>
        <v>#N/A</v>
      </c>
      <c r="J765">
        <f t="shared" si="146"/>
        <v>0</v>
      </c>
      <c r="K765" t="e">
        <f t="shared" si="150"/>
        <v>#N/A</v>
      </c>
      <c r="L765" s="111">
        <f t="shared" si="151"/>
        <v>0</v>
      </c>
      <c r="M765" s="112">
        <f t="shared" si="152"/>
        <v>0</v>
      </c>
      <c r="N765" s="112">
        <f t="shared" si="153"/>
        <v>0</v>
      </c>
    </row>
    <row r="766" spans="1:14" x14ac:dyDescent="0.35">
      <c r="A766" s="106">
        <f t="shared" si="149"/>
        <v>0</v>
      </c>
      <c r="B766" s="107" t="e">
        <f>VLOOKUP(A766,[1]Hoja3!$C$3:$D$14,2,FALSE)</f>
        <v>#N/A</v>
      </c>
      <c r="C766" s="108"/>
      <c r="D766" s="108"/>
      <c r="E766" s="109"/>
      <c r="F766" s="109"/>
      <c r="G766" s="110" t="e">
        <f t="shared" si="147"/>
        <v>#N/A</v>
      </c>
      <c r="H766" s="252"/>
      <c r="I766" s="102" t="e">
        <f t="shared" si="148"/>
        <v>#N/A</v>
      </c>
      <c r="J766">
        <f t="shared" si="146"/>
        <v>0</v>
      </c>
      <c r="K766" t="e">
        <f t="shared" si="150"/>
        <v>#N/A</v>
      </c>
      <c r="L766" s="111">
        <f t="shared" si="151"/>
        <v>0</v>
      </c>
      <c r="M766" s="112">
        <f t="shared" si="152"/>
        <v>0</v>
      </c>
      <c r="N766" s="112">
        <f t="shared" si="153"/>
        <v>0</v>
      </c>
    </row>
    <row r="767" spans="1:14" x14ac:dyDescent="0.35">
      <c r="A767" s="106">
        <f t="shared" si="149"/>
        <v>0</v>
      </c>
      <c r="B767" s="107" t="e">
        <f>VLOOKUP(A767,[1]Hoja3!$C$3:$D$14,2,FALSE)</f>
        <v>#N/A</v>
      </c>
      <c r="C767" s="108"/>
      <c r="D767" s="108"/>
      <c r="E767" s="109"/>
      <c r="F767" s="109"/>
      <c r="G767" s="110" t="e">
        <f t="shared" si="147"/>
        <v>#N/A</v>
      </c>
      <c r="H767" s="252"/>
      <c r="I767" s="102" t="e">
        <f t="shared" si="148"/>
        <v>#N/A</v>
      </c>
      <c r="J767">
        <f t="shared" si="146"/>
        <v>0</v>
      </c>
      <c r="K767" t="e">
        <f t="shared" si="150"/>
        <v>#N/A</v>
      </c>
      <c r="L767" s="111">
        <f t="shared" si="151"/>
        <v>0</v>
      </c>
      <c r="M767" s="112">
        <f t="shared" si="152"/>
        <v>0</v>
      </c>
      <c r="N767" s="112">
        <f t="shared" si="153"/>
        <v>0</v>
      </c>
    </row>
    <row r="768" spans="1:14" x14ac:dyDescent="0.35">
      <c r="A768" s="106">
        <f t="shared" si="149"/>
        <v>0</v>
      </c>
      <c r="B768" s="107" t="e">
        <f>VLOOKUP(A768,[1]Hoja3!$C$3:$D$14,2,FALSE)</f>
        <v>#N/A</v>
      </c>
      <c r="C768" s="108"/>
      <c r="D768" s="108"/>
      <c r="E768" s="109"/>
      <c r="F768" s="109"/>
      <c r="G768" s="110" t="e">
        <f t="shared" si="147"/>
        <v>#N/A</v>
      </c>
      <c r="H768" s="252"/>
      <c r="I768" s="102" t="e">
        <f t="shared" si="148"/>
        <v>#N/A</v>
      </c>
      <c r="J768">
        <f t="shared" si="146"/>
        <v>0</v>
      </c>
      <c r="K768" t="e">
        <f t="shared" si="150"/>
        <v>#N/A</v>
      </c>
      <c r="L768" s="111">
        <f t="shared" si="151"/>
        <v>0</v>
      </c>
      <c r="M768" s="112">
        <f t="shared" si="152"/>
        <v>0</v>
      </c>
      <c r="N768" s="112">
        <f t="shared" si="153"/>
        <v>0</v>
      </c>
    </row>
    <row r="769" spans="1:14" x14ac:dyDescent="0.35">
      <c r="A769" s="106">
        <f t="shared" si="149"/>
        <v>0</v>
      </c>
      <c r="B769" s="107" t="e">
        <f>VLOOKUP(A769,[1]Hoja3!$C$3:$D$14,2,FALSE)</f>
        <v>#N/A</v>
      </c>
      <c r="C769" s="108"/>
      <c r="D769" s="108"/>
      <c r="E769" s="109"/>
      <c r="F769" s="109"/>
      <c r="G769" s="110" t="e">
        <f t="shared" si="147"/>
        <v>#N/A</v>
      </c>
      <c r="H769" s="252"/>
      <c r="I769" s="102" t="e">
        <f t="shared" si="148"/>
        <v>#N/A</v>
      </c>
      <c r="J769">
        <f t="shared" si="146"/>
        <v>0</v>
      </c>
      <c r="K769" t="e">
        <f t="shared" si="150"/>
        <v>#N/A</v>
      </c>
      <c r="L769" s="111">
        <f t="shared" si="151"/>
        <v>0</v>
      </c>
      <c r="M769" s="112">
        <f t="shared" si="152"/>
        <v>0</v>
      </c>
      <c r="N769" s="112">
        <f t="shared" si="153"/>
        <v>0</v>
      </c>
    </row>
    <row r="770" spans="1:14" x14ac:dyDescent="0.35">
      <c r="A770" s="106">
        <f t="shared" si="149"/>
        <v>0</v>
      </c>
      <c r="B770" s="107" t="e">
        <f>VLOOKUP(A770,[1]Hoja3!$C$3:$D$14,2,FALSE)</f>
        <v>#N/A</v>
      </c>
      <c r="C770" s="108"/>
      <c r="D770" s="108"/>
      <c r="E770" s="109"/>
      <c r="F770" s="109"/>
      <c r="G770" s="110" t="e">
        <f t="shared" si="147"/>
        <v>#N/A</v>
      </c>
      <c r="H770" s="252"/>
      <c r="I770" s="102" t="e">
        <f t="shared" si="148"/>
        <v>#N/A</v>
      </c>
      <c r="J770">
        <f t="shared" si="146"/>
        <v>0</v>
      </c>
      <c r="K770" t="e">
        <f t="shared" si="150"/>
        <v>#N/A</v>
      </c>
      <c r="L770" s="111">
        <f t="shared" si="151"/>
        <v>0</v>
      </c>
      <c r="M770" s="112">
        <f t="shared" si="152"/>
        <v>0</v>
      </c>
      <c r="N770" s="112">
        <f t="shared" si="153"/>
        <v>0</v>
      </c>
    </row>
    <row r="771" spans="1:14" x14ac:dyDescent="0.35">
      <c r="A771" s="106">
        <f t="shared" si="149"/>
        <v>0</v>
      </c>
      <c r="B771" s="107" t="e">
        <f>VLOOKUP(A771,[1]Hoja3!$C$3:$D$14,2,FALSE)</f>
        <v>#N/A</v>
      </c>
      <c r="C771" s="108"/>
      <c r="D771" s="108"/>
      <c r="E771" s="109"/>
      <c r="F771" s="109"/>
      <c r="G771" s="110" t="e">
        <f t="shared" si="147"/>
        <v>#N/A</v>
      </c>
      <c r="H771" s="252"/>
      <c r="I771" s="102" t="e">
        <f t="shared" si="148"/>
        <v>#N/A</v>
      </c>
      <c r="J771">
        <f t="shared" si="146"/>
        <v>0</v>
      </c>
      <c r="K771" t="e">
        <f t="shared" si="150"/>
        <v>#N/A</v>
      </c>
      <c r="L771" s="111">
        <f t="shared" si="151"/>
        <v>0</v>
      </c>
      <c r="M771" s="112">
        <f t="shared" si="152"/>
        <v>0</v>
      </c>
      <c r="N771" s="112">
        <f t="shared" si="153"/>
        <v>0</v>
      </c>
    </row>
    <row r="772" spans="1:14" x14ac:dyDescent="0.35">
      <c r="A772" s="106">
        <f t="shared" si="149"/>
        <v>0</v>
      </c>
      <c r="B772" s="107" t="e">
        <f>VLOOKUP(A772,[1]Hoja3!$C$3:$D$14,2,FALSE)</f>
        <v>#N/A</v>
      </c>
      <c r="C772" s="108"/>
      <c r="D772" s="108"/>
      <c r="E772" s="109"/>
      <c r="F772" s="109"/>
      <c r="G772" s="110" t="e">
        <f t="shared" si="147"/>
        <v>#N/A</v>
      </c>
      <c r="H772" s="252"/>
      <c r="I772" s="102" t="e">
        <f t="shared" si="148"/>
        <v>#N/A</v>
      </c>
      <c r="J772">
        <f t="shared" si="146"/>
        <v>0</v>
      </c>
      <c r="K772" t="e">
        <f t="shared" si="150"/>
        <v>#N/A</v>
      </c>
      <c r="L772" s="111">
        <f t="shared" si="151"/>
        <v>0</v>
      </c>
      <c r="M772" s="112">
        <f t="shared" si="152"/>
        <v>0</v>
      </c>
      <c r="N772" s="112">
        <f t="shared" si="153"/>
        <v>0</v>
      </c>
    </row>
    <row r="773" spans="1:14" x14ac:dyDescent="0.35">
      <c r="A773" s="106">
        <f t="shared" si="149"/>
        <v>0</v>
      </c>
      <c r="B773" s="107" t="e">
        <f>VLOOKUP(A773,[1]Hoja3!$C$3:$D$14,2,FALSE)</f>
        <v>#N/A</v>
      </c>
      <c r="C773" s="108"/>
      <c r="D773" s="108"/>
      <c r="E773" s="109"/>
      <c r="F773" s="109"/>
      <c r="G773" s="110" t="e">
        <f t="shared" si="147"/>
        <v>#N/A</v>
      </c>
      <c r="H773" s="252"/>
      <c r="I773" s="102" t="e">
        <f t="shared" si="148"/>
        <v>#N/A</v>
      </c>
      <c r="J773">
        <f t="shared" si="146"/>
        <v>0</v>
      </c>
      <c r="K773" t="e">
        <f t="shared" si="150"/>
        <v>#N/A</v>
      </c>
      <c r="L773" s="111">
        <f t="shared" si="151"/>
        <v>0</v>
      </c>
      <c r="M773" s="112">
        <f t="shared" si="152"/>
        <v>0</v>
      </c>
      <c r="N773" s="112">
        <f t="shared" si="153"/>
        <v>0</v>
      </c>
    </row>
    <row r="774" spans="1:14" x14ac:dyDescent="0.35">
      <c r="A774" s="106">
        <f t="shared" si="149"/>
        <v>0</v>
      </c>
      <c r="B774" s="107" t="e">
        <f>VLOOKUP(A774,[1]Hoja3!$C$3:$D$14,2,FALSE)</f>
        <v>#N/A</v>
      </c>
      <c r="C774" s="108"/>
      <c r="D774" s="108"/>
      <c r="E774" s="109"/>
      <c r="F774" s="109"/>
      <c r="G774" s="110" t="e">
        <f t="shared" si="147"/>
        <v>#N/A</v>
      </c>
      <c r="H774" s="252"/>
      <c r="I774" s="102" t="e">
        <f t="shared" si="148"/>
        <v>#N/A</v>
      </c>
      <c r="J774">
        <f t="shared" si="146"/>
        <v>0</v>
      </c>
      <c r="K774" t="e">
        <f t="shared" si="150"/>
        <v>#N/A</v>
      </c>
      <c r="L774" s="111">
        <f t="shared" si="151"/>
        <v>0</v>
      </c>
      <c r="M774" s="112">
        <f t="shared" si="152"/>
        <v>0</v>
      </c>
      <c r="N774" s="112">
        <f t="shared" si="153"/>
        <v>0</v>
      </c>
    </row>
    <row r="775" spans="1:14" x14ac:dyDescent="0.35">
      <c r="A775" s="106">
        <f t="shared" si="149"/>
        <v>0</v>
      </c>
      <c r="B775" s="107" t="e">
        <f>VLOOKUP(A775,[1]Hoja3!$C$3:$D$14,2,FALSE)</f>
        <v>#N/A</v>
      </c>
      <c r="C775" s="108"/>
      <c r="D775" s="108"/>
      <c r="E775" s="109"/>
      <c r="F775" s="109"/>
      <c r="G775" s="110" t="e">
        <f t="shared" si="147"/>
        <v>#N/A</v>
      </c>
      <c r="H775" s="252"/>
      <c r="I775" s="102" t="e">
        <f t="shared" si="148"/>
        <v>#N/A</v>
      </c>
      <c r="J775">
        <f t="shared" si="146"/>
        <v>0</v>
      </c>
      <c r="K775" t="e">
        <f t="shared" si="150"/>
        <v>#N/A</v>
      </c>
      <c r="L775" s="111">
        <f t="shared" si="151"/>
        <v>0</v>
      </c>
      <c r="M775" s="112">
        <f t="shared" si="152"/>
        <v>0</v>
      </c>
      <c r="N775" s="112">
        <f t="shared" si="153"/>
        <v>0</v>
      </c>
    </row>
    <row r="776" spans="1:14" x14ac:dyDescent="0.35">
      <c r="A776" s="106">
        <f t="shared" si="149"/>
        <v>0</v>
      </c>
      <c r="B776" s="107" t="e">
        <f>VLOOKUP(A776,[1]Hoja3!$C$3:$D$14,2,FALSE)</f>
        <v>#N/A</v>
      </c>
      <c r="C776" s="108"/>
      <c r="D776" s="108"/>
      <c r="E776" s="109"/>
      <c r="F776" s="109"/>
      <c r="G776" s="110" t="e">
        <f t="shared" si="147"/>
        <v>#N/A</v>
      </c>
      <c r="H776" s="252"/>
      <c r="I776" s="102" t="e">
        <f t="shared" si="148"/>
        <v>#N/A</v>
      </c>
      <c r="J776">
        <f t="shared" ref="J776:J839" si="154">+H776*0.16</f>
        <v>0</v>
      </c>
      <c r="K776" t="e">
        <f t="shared" si="150"/>
        <v>#N/A</v>
      </c>
      <c r="L776" s="111">
        <f t="shared" si="151"/>
        <v>0</v>
      </c>
      <c r="M776" s="112">
        <f t="shared" si="152"/>
        <v>0</v>
      </c>
      <c r="N776" s="112">
        <f t="shared" si="153"/>
        <v>0</v>
      </c>
    </row>
    <row r="777" spans="1:14" x14ac:dyDescent="0.35">
      <c r="A777" s="106">
        <f t="shared" si="149"/>
        <v>0</v>
      </c>
      <c r="B777" s="107" t="e">
        <f>VLOOKUP(A777,[1]Hoja3!$C$3:$D$14,2,FALSE)</f>
        <v>#N/A</v>
      </c>
      <c r="C777" s="108"/>
      <c r="D777" s="108"/>
      <c r="E777" s="109"/>
      <c r="F777" s="109"/>
      <c r="G777" s="110" t="e">
        <f t="shared" si="147"/>
        <v>#N/A</v>
      </c>
      <c r="H777" s="252"/>
      <c r="I777" s="102" t="e">
        <f t="shared" si="148"/>
        <v>#N/A</v>
      </c>
      <c r="J777">
        <f t="shared" si="154"/>
        <v>0</v>
      </c>
      <c r="K777" t="e">
        <f t="shared" si="150"/>
        <v>#N/A</v>
      </c>
      <c r="L777" s="111">
        <f t="shared" si="151"/>
        <v>0</v>
      </c>
      <c r="M777" s="112">
        <f t="shared" si="152"/>
        <v>0</v>
      </c>
      <c r="N777" s="112">
        <f t="shared" si="153"/>
        <v>0</v>
      </c>
    </row>
    <row r="778" spans="1:14" x14ac:dyDescent="0.35">
      <c r="A778" s="106">
        <f t="shared" si="149"/>
        <v>0</v>
      </c>
      <c r="B778" s="107" t="e">
        <f>VLOOKUP(A778,[1]Hoja3!$C$3:$D$14,2,FALSE)</f>
        <v>#N/A</v>
      </c>
      <c r="C778" s="108"/>
      <c r="D778" s="108"/>
      <c r="E778" s="109"/>
      <c r="F778" s="109"/>
      <c r="G778" s="110" t="e">
        <f t="shared" si="147"/>
        <v>#N/A</v>
      </c>
      <c r="H778" s="252"/>
      <c r="I778" s="102" t="e">
        <f t="shared" si="148"/>
        <v>#N/A</v>
      </c>
      <c r="J778">
        <f t="shared" si="154"/>
        <v>0</v>
      </c>
      <c r="K778" t="e">
        <f t="shared" si="150"/>
        <v>#N/A</v>
      </c>
      <c r="L778" s="111">
        <f t="shared" si="151"/>
        <v>0</v>
      </c>
      <c r="M778" s="112">
        <f t="shared" si="152"/>
        <v>0</v>
      </c>
      <c r="N778" s="112">
        <f t="shared" si="153"/>
        <v>0</v>
      </c>
    </row>
    <row r="779" spans="1:14" x14ac:dyDescent="0.35">
      <c r="A779" s="106">
        <f t="shared" si="149"/>
        <v>0</v>
      </c>
      <c r="B779" s="107" t="e">
        <f>VLOOKUP(A779,[1]Hoja3!$C$3:$D$14,2,FALSE)</f>
        <v>#N/A</v>
      </c>
      <c r="C779" s="108"/>
      <c r="D779" s="108"/>
      <c r="E779" s="109"/>
      <c r="F779" s="109"/>
      <c r="G779" s="110" t="e">
        <f t="shared" si="147"/>
        <v>#N/A</v>
      </c>
      <c r="H779" s="252"/>
      <c r="I779" s="102" t="e">
        <f t="shared" si="148"/>
        <v>#N/A</v>
      </c>
      <c r="J779">
        <f t="shared" si="154"/>
        <v>0</v>
      </c>
      <c r="K779" t="e">
        <f t="shared" si="150"/>
        <v>#N/A</v>
      </c>
      <c r="L779" s="111">
        <f t="shared" si="151"/>
        <v>0</v>
      </c>
      <c r="M779" s="112">
        <f t="shared" si="152"/>
        <v>0</v>
      </c>
      <c r="N779" s="112">
        <f t="shared" si="153"/>
        <v>0</v>
      </c>
    </row>
    <row r="780" spans="1:14" x14ac:dyDescent="0.35">
      <c r="A780" s="106">
        <f t="shared" si="149"/>
        <v>0</v>
      </c>
      <c r="B780" s="107" t="e">
        <f>VLOOKUP(A780,[1]Hoja3!$C$3:$D$14,2,FALSE)</f>
        <v>#N/A</v>
      </c>
      <c r="C780" s="108"/>
      <c r="D780" s="108"/>
      <c r="E780" s="109"/>
      <c r="F780" s="109"/>
      <c r="G780" s="110" t="e">
        <f t="shared" ref="G780:G843" si="155">+B780</f>
        <v>#N/A</v>
      </c>
      <c r="H780" s="252"/>
      <c r="I780" s="102" t="e">
        <f t="shared" ref="I780:I843" si="156">+B780</f>
        <v>#N/A</v>
      </c>
      <c r="J780">
        <f t="shared" si="154"/>
        <v>0</v>
      </c>
      <c r="K780" t="e">
        <f t="shared" si="150"/>
        <v>#N/A</v>
      </c>
      <c r="L780" s="111">
        <f t="shared" si="151"/>
        <v>0</v>
      </c>
      <c r="M780" s="112">
        <f t="shared" si="152"/>
        <v>0</v>
      </c>
      <c r="N780" s="112">
        <f t="shared" si="153"/>
        <v>0</v>
      </c>
    </row>
    <row r="781" spans="1:14" x14ac:dyDescent="0.35">
      <c r="A781" s="106">
        <f t="shared" si="149"/>
        <v>0</v>
      </c>
      <c r="B781" s="107" t="e">
        <f>VLOOKUP(A781,[1]Hoja3!$C$3:$D$14,2,FALSE)</f>
        <v>#N/A</v>
      </c>
      <c r="C781" s="108"/>
      <c r="D781" s="108"/>
      <c r="E781" s="109"/>
      <c r="F781" s="109"/>
      <c r="G781" s="110" t="e">
        <f t="shared" si="155"/>
        <v>#N/A</v>
      </c>
      <c r="H781" s="252"/>
      <c r="I781" s="102" t="e">
        <f t="shared" si="156"/>
        <v>#N/A</v>
      </c>
      <c r="J781">
        <f t="shared" si="154"/>
        <v>0</v>
      </c>
      <c r="K781" t="e">
        <f t="shared" si="150"/>
        <v>#N/A</v>
      </c>
      <c r="L781" s="111">
        <f t="shared" si="151"/>
        <v>0</v>
      </c>
      <c r="M781" s="112">
        <f t="shared" si="152"/>
        <v>0</v>
      </c>
      <c r="N781" s="112">
        <f t="shared" si="153"/>
        <v>0</v>
      </c>
    </row>
    <row r="782" spans="1:14" x14ac:dyDescent="0.35">
      <c r="A782" s="106">
        <f t="shared" si="149"/>
        <v>0</v>
      </c>
      <c r="B782" s="107" t="e">
        <f>VLOOKUP(A782,[1]Hoja3!$C$3:$D$14,2,FALSE)</f>
        <v>#N/A</v>
      </c>
      <c r="C782" s="108"/>
      <c r="D782" s="108"/>
      <c r="E782" s="109"/>
      <c r="F782" s="109"/>
      <c r="G782" s="110" t="e">
        <f t="shared" si="155"/>
        <v>#N/A</v>
      </c>
      <c r="H782" s="252"/>
      <c r="I782" s="102" t="e">
        <f t="shared" si="156"/>
        <v>#N/A</v>
      </c>
      <c r="J782">
        <f t="shared" si="154"/>
        <v>0</v>
      </c>
      <c r="K782" t="e">
        <f t="shared" si="150"/>
        <v>#N/A</v>
      </c>
      <c r="L782" s="111">
        <f t="shared" si="151"/>
        <v>0</v>
      </c>
      <c r="M782" s="112">
        <f t="shared" si="152"/>
        <v>0</v>
      </c>
      <c r="N782" s="112">
        <f t="shared" si="153"/>
        <v>0</v>
      </c>
    </row>
    <row r="783" spans="1:14" x14ac:dyDescent="0.35">
      <c r="A783" s="106">
        <f t="shared" si="149"/>
        <v>0</v>
      </c>
      <c r="B783" s="107" t="e">
        <f>VLOOKUP(A783,[1]Hoja3!$C$3:$D$14,2,FALSE)</f>
        <v>#N/A</v>
      </c>
      <c r="C783" s="108"/>
      <c r="D783" s="108"/>
      <c r="E783" s="109"/>
      <c r="F783" s="109"/>
      <c r="G783" s="110" t="e">
        <f t="shared" si="155"/>
        <v>#N/A</v>
      </c>
      <c r="H783" s="252"/>
      <c r="I783" s="102" t="e">
        <f t="shared" si="156"/>
        <v>#N/A</v>
      </c>
      <c r="J783">
        <f t="shared" si="154"/>
        <v>0</v>
      </c>
      <c r="K783" t="e">
        <f t="shared" si="150"/>
        <v>#N/A</v>
      </c>
      <c r="L783" s="111">
        <f t="shared" si="151"/>
        <v>0</v>
      </c>
      <c r="M783" s="112">
        <f t="shared" si="152"/>
        <v>0</v>
      </c>
      <c r="N783" s="112">
        <f t="shared" si="153"/>
        <v>0</v>
      </c>
    </row>
    <row r="784" spans="1:14" x14ac:dyDescent="0.35">
      <c r="A784" s="106">
        <f t="shared" si="149"/>
        <v>0</v>
      </c>
      <c r="B784" s="107" t="e">
        <f>VLOOKUP(A784,[1]Hoja3!$C$3:$D$14,2,FALSE)</f>
        <v>#N/A</v>
      </c>
      <c r="C784" s="108"/>
      <c r="D784" s="108"/>
      <c r="E784" s="109"/>
      <c r="F784" s="109"/>
      <c r="G784" s="110" t="e">
        <f t="shared" si="155"/>
        <v>#N/A</v>
      </c>
      <c r="H784" s="252"/>
      <c r="I784" s="102" t="e">
        <f t="shared" si="156"/>
        <v>#N/A</v>
      </c>
      <c r="J784">
        <f t="shared" si="154"/>
        <v>0</v>
      </c>
      <c r="K784" t="e">
        <f t="shared" si="150"/>
        <v>#N/A</v>
      </c>
      <c r="L784" s="111">
        <f t="shared" si="151"/>
        <v>0</v>
      </c>
      <c r="M784" s="112">
        <f t="shared" si="152"/>
        <v>0</v>
      </c>
      <c r="N784" s="112">
        <f t="shared" si="153"/>
        <v>0</v>
      </c>
    </row>
    <row r="785" spans="1:14" x14ac:dyDescent="0.35">
      <c r="A785" s="106">
        <f t="shared" si="149"/>
        <v>0</v>
      </c>
      <c r="B785" s="107" t="e">
        <f>VLOOKUP(A785,[1]Hoja3!$C$3:$D$14,2,FALSE)</f>
        <v>#N/A</v>
      </c>
      <c r="C785" s="108"/>
      <c r="D785" s="108"/>
      <c r="E785" s="109"/>
      <c r="F785" s="109"/>
      <c r="G785" s="110" t="e">
        <f t="shared" si="155"/>
        <v>#N/A</v>
      </c>
      <c r="H785" s="252"/>
      <c r="I785" s="102" t="e">
        <f t="shared" si="156"/>
        <v>#N/A</v>
      </c>
      <c r="J785">
        <f t="shared" si="154"/>
        <v>0</v>
      </c>
      <c r="K785" t="e">
        <f t="shared" si="150"/>
        <v>#N/A</v>
      </c>
      <c r="L785" s="111">
        <f t="shared" si="151"/>
        <v>0</v>
      </c>
      <c r="M785" s="112">
        <f t="shared" si="152"/>
        <v>0</v>
      </c>
      <c r="N785" s="112">
        <f t="shared" si="153"/>
        <v>0</v>
      </c>
    </row>
    <row r="786" spans="1:14" x14ac:dyDescent="0.35">
      <c r="A786" s="106">
        <f t="shared" si="149"/>
        <v>0</v>
      </c>
      <c r="B786" s="107" t="e">
        <f>VLOOKUP(A786,[1]Hoja3!$C$3:$D$14,2,FALSE)</f>
        <v>#N/A</v>
      </c>
      <c r="C786" s="108"/>
      <c r="D786" s="108"/>
      <c r="E786" s="109"/>
      <c r="F786" s="109"/>
      <c r="G786" s="110" t="e">
        <f t="shared" si="155"/>
        <v>#N/A</v>
      </c>
      <c r="H786" s="252"/>
      <c r="I786" s="102" t="e">
        <f t="shared" si="156"/>
        <v>#N/A</v>
      </c>
      <c r="J786">
        <f t="shared" si="154"/>
        <v>0</v>
      </c>
      <c r="K786" t="e">
        <f t="shared" si="150"/>
        <v>#N/A</v>
      </c>
      <c r="L786" s="111">
        <f t="shared" si="151"/>
        <v>0</v>
      </c>
      <c r="M786" s="112">
        <f t="shared" si="152"/>
        <v>0</v>
      </c>
      <c r="N786" s="112">
        <f t="shared" si="153"/>
        <v>0</v>
      </c>
    </row>
    <row r="787" spans="1:14" x14ac:dyDescent="0.35">
      <c r="A787" s="106">
        <f t="shared" si="149"/>
        <v>0</v>
      </c>
      <c r="B787" s="107" t="e">
        <f>VLOOKUP(A787,[1]Hoja3!$C$3:$D$14,2,FALSE)</f>
        <v>#N/A</v>
      </c>
      <c r="C787" s="108"/>
      <c r="D787" s="108"/>
      <c r="E787" s="109"/>
      <c r="F787" s="109"/>
      <c r="G787" s="110" t="e">
        <f t="shared" si="155"/>
        <v>#N/A</v>
      </c>
      <c r="H787" s="252"/>
      <c r="I787" s="102" t="e">
        <f t="shared" si="156"/>
        <v>#N/A</v>
      </c>
      <c r="J787">
        <f t="shared" si="154"/>
        <v>0</v>
      </c>
      <c r="K787" t="e">
        <f t="shared" si="150"/>
        <v>#N/A</v>
      </c>
      <c r="L787" s="111">
        <f t="shared" si="151"/>
        <v>0</v>
      </c>
      <c r="M787" s="112">
        <f t="shared" si="152"/>
        <v>0</v>
      </c>
      <c r="N787" s="112">
        <f t="shared" si="153"/>
        <v>0</v>
      </c>
    </row>
    <row r="788" spans="1:14" x14ac:dyDescent="0.35">
      <c r="A788" s="106">
        <f t="shared" si="149"/>
        <v>0</v>
      </c>
      <c r="B788" s="107" t="e">
        <f>VLOOKUP(A788,[1]Hoja3!$C$3:$D$14,2,FALSE)</f>
        <v>#N/A</v>
      </c>
      <c r="C788" s="108"/>
      <c r="D788" s="108"/>
      <c r="E788" s="109"/>
      <c r="F788" s="109"/>
      <c r="G788" s="110" t="e">
        <f t="shared" si="155"/>
        <v>#N/A</v>
      </c>
      <c r="H788" s="252"/>
      <c r="I788" s="102" t="e">
        <f t="shared" si="156"/>
        <v>#N/A</v>
      </c>
      <c r="J788">
        <f t="shared" si="154"/>
        <v>0</v>
      </c>
      <c r="K788" t="e">
        <f t="shared" si="150"/>
        <v>#N/A</v>
      </c>
      <c r="L788" s="111">
        <f t="shared" si="151"/>
        <v>0</v>
      </c>
      <c r="M788" s="112">
        <f t="shared" si="152"/>
        <v>0</v>
      </c>
      <c r="N788" s="112">
        <f t="shared" si="153"/>
        <v>0</v>
      </c>
    </row>
    <row r="789" spans="1:14" x14ac:dyDescent="0.35">
      <c r="A789" s="106">
        <f t="shared" si="149"/>
        <v>0</v>
      </c>
      <c r="B789" s="107" t="e">
        <f>VLOOKUP(A789,[1]Hoja3!$C$3:$D$14,2,FALSE)</f>
        <v>#N/A</v>
      </c>
      <c r="C789" s="108"/>
      <c r="D789" s="108"/>
      <c r="E789" s="109"/>
      <c r="F789" s="109"/>
      <c r="G789" s="110" t="e">
        <f t="shared" si="155"/>
        <v>#N/A</v>
      </c>
      <c r="H789" s="252"/>
      <c r="I789" s="102" t="e">
        <f t="shared" si="156"/>
        <v>#N/A</v>
      </c>
      <c r="J789">
        <f t="shared" si="154"/>
        <v>0</v>
      </c>
      <c r="K789" t="e">
        <f t="shared" si="150"/>
        <v>#N/A</v>
      </c>
      <c r="L789" s="111">
        <f t="shared" si="151"/>
        <v>0</v>
      </c>
      <c r="M789" s="112">
        <f t="shared" si="152"/>
        <v>0</v>
      </c>
      <c r="N789" s="112">
        <f t="shared" si="153"/>
        <v>0</v>
      </c>
    </row>
    <row r="790" spans="1:14" x14ac:dyDescent="0.35">
      <c r="A790" s="106">
        <f t="shared" si="149"/>
        <v>0</v>
      </c>
      <c r="B790" s="107" t="e">
        <f>VLOOKUP(A790,[1]Hoja3!$C$3:$D$14,2,FALSE)</f>
        <v>#N/A</v>
      </c>
      <c r="C790" s="108"/>
      <c r="D790" s="108"/>
      <c r="E790" s="109"/>
      <c r="F790" s="109"/>
      <c r="G790" s="110" t="e">
        <f t="shared" si="155"/>
        <v>#N/A</v>
      </c>
      <c r="H790" s="252"/>
      <c r="I790" s="102" t="e">
        <f t="shared" si="156"/>
        <v>#N/A</v>
      </c>
      <c r="J790">
        <f t="shared" si="154"/>
        <v>0</v>
      </c>
      <c r="K790" t="e">
        <f t="shared" si="150"/>
        <v>#N/A</v>
      </c>
      <c r="L790" s="111">
        <f t="shared" si="151"/>
        <v>0</v>
      </c>
      <c r="M790" s="112">
        <f t="shared" si="152"/>
        <v>0</v>
      </c>
      <c r="N790" s="112">
        <f t="shared" si="153"/>
        <v>0</v>
      </c>
    </row>
    <row r="791" spans="1:14" x14ac:dyDescent="0.35">
      <c r="A791" s="106">
        <f t="shared" si="149"/>
        <v>0</v>
      </c>
      <c r="B791" s="107" t="e">
        <f>VLOOKUP(A791,[1]Hoja3!$C$3:$D$14,2,FALSE)</f>
        <v>#N/A</v>
      </c>
      <c r="C791" s="108"/>
      <c r="D791" s="108"/>
      <c r="E791" s="109"/>
      <c r="F791" s="109"/>
      <c r="G791" s="110" t="e">
        <f t="shared" si="155"/>
        <v>#N/A</v>
      </c>
      <c r="H791" s="252"/>
      <c r="I791" s="102" t="e">
        <f t="shared" si="156"/>
        <v>#N/A</v>
      </c>
      <c r="J791">
        <f t="shared" si="154"/>
        <v>0</v>
      </c>
      <c r="K791" t="e">
        <f t="shared" si="150"/>
        <v>#N/A</v>
      </c>
      <c r="L791" s="111">
        <f t="shared" si="151"/>
        <v>0</v>
      </c>
      <c r="M791" s="112">
        <f t="shared" si="152"/>
        <v>0</v>
      </c>
      <c r="N791" s="112">
        <f t="shared" si="153"/>
        <v>0</v>
      </c>
    </row>
    <row r="792" spans="1:14" x14ac:dyDescent="0.35">
      <c r="A792" s="106">
        <f t="shared" si="149"/>
        <v>0</v>
      </c>
      <c r="B792" s="107" t="e">
        <f>VLOOKUP(A792,[1]Hoja3!$C$3:$D$14,2,FALSE)</f>
        <v>#N/A</v>
      </c>
      <c r="C792" s="108"/>
      <c r="D792" s="108"/>
      <c r="E792" s="109"/>
      <c r="F792" s="109"/>
      <c r="G792" s="110" t="e">
        <f t="shared" si="155"/>
        <v>#N/A</v>
      </c>
      <c r="H792" s="252"/>
      <c r="I792" s="102" t="e">
        <f t="shared" si="156"/>
        <v>#N/A</v>
      </c>
      <c r="J792">
        <f t="shared" si="154"/>
        <v>0</v>
      </c>
      <c r="K792" t="e">
        <f t="shared" si="150"/>
        <v>#N/A</v>
      </c>
      <c r="L792" s="111">
        <f t="shared" si="151"/>
        <v>0</v>
      </c>
      <c r="M792" s="112">
        <f t="shared" si="152"/>
        <v>0</v>
      </c>
      <c r="N792" s="112">
        <f t="shared" si="153"/>
        <v>0</v>
      </c>
    </row>
    <row r="793" spans="1:14" x14ac:dyDescent="0.35">
      <c r="A793" s="106">
        <f t="shared" si="149"/>
        <v>0</v>
      </c>
      <c r="B793" s="107" t="e">
        <f>VLOOKUP(A793,[1]Hoja3!$C$3:$D$14,2,FALSE)</f>
        <v>#N/A</v>
      </c>
      <c r="C793" s="108"/>
      <c r="D793" s="108"/>
      <c r="E793" s="109"/>
      <c r="F793" s="109"/>
      <c r="G793" s="110" t="e">
        <f t="shared" si="155"/>
        <v>#N/A</v>
      </c>
      <c r="H793" s="252"/>
      <c r="I793" s="102" t="e">
        <f t="shared" si="156"/>
        <v>#N/A</v>
      </c>
      <c r="J793">
        <f t="shared" si="154"/>
        <v>0</v>
      </c>
      <c r="K793" t="e">
        <f t="shared" si="150"/>
        <v>#N/A</v>
      </c>
      <c r="L793" s="111">
        <f t="shared" si="151"/>
        <v>0</v>
      </c>
      <c r="M793" s="112">
        <f t="shared" si="152"/>
        <v>0</v>
      </c>
      <c r="N793" s="112">
        <f t="shared" si="153"/>
        <v>0</v>
      </c>
    </row>
    <row r="794" spans="1:14" x14ac:dyDescent="0.35">
      <c r="A794" s="106">
        <f t="shared" si="149"/>
        <v>0</v>
      </c>
      <c r="B794" s="107" t="e">
        <f>VLOOKUP(A794,[1]Hoja3!$C$3:$D$14,2,FALSE)</f>
        <v>#N/A</v>
      </c>
      <c r="C794" s="108"/>
      <c r="D794" s="108"/>
      <c r="E794" s="109"/>
      <c r="F794" s="109"/>
      <c r="G794" s="110" t="e">
        <f t="shared" si="155"/>
        <v>#N/A</v>
      </c>
      <c r="H794" s="252"/>
      <c r="I794" s="102" t="e">
        <f t="shared" si="156"/>
        <v>#N/A</v>
      </c>
      <c r="J794">
        <f t="shared" si="154"/>
        <v>0</v>
      </c>
      <c r="K794" t="e">
        <f t="shared" si="150"/>
        <v>#N/A</v>
      </c>
      <c r="L794" s="111">
        <f t="shared" si="151"/>
        <v>0</v>
      </c>
      <c r="M794" s="112">
        <f t="shared" si="152"/>
        <v>0</v>
      </c>
      <c r="N794" s="112">
        <f t="shared" si="153"/>
        <v>0</v>
      </c>
    </row>
    <row r="795" spans="1:14" x14ac:dyDescent="0.35">
      <c r="A795" s="106">
        <f t="shared" si="149"/>
        <v>0</v>
      </c>
      <c r="B795" s="107" t="e">
        <f>VLOOKUP(A795,[1]Hoja3!$C$3:$D$14,2,FALSE)</f>
        <v>#N/A</v>
      </c>
      <c r="C795" s="108"/>
      <c r="D795" s="108"/>
      <c r="E795" s="109"/>
      <c r="F795" s="109"/>
      <c r="G795" s="110" t="e">
        <f t="shared" si="155"/>
        <v>#N/A</v>
      </c>
      <c r="H795" s="252"/>
      <c r="I795" s="102" t="e">
        <f t="shared" si="156"/>
        <v>#N/A</v>
      </c>
      <c r="J795">
        <f t="shared" si="154"/>
        <v>0</v>
      </c>
      <c r="K795" t="e">
        <f t="shared" si="150"/>
        <v>#N/A</v>
      </c>
      <c r="L795" s="111">
        <f t="shared" si="151"/>
        <v>0</v>
      </c>
      <c r="M795" s="112">
        <f t="shared" si="152"/>
        <v>0</v>
      </c>
      <c r="N795" s="112">
        <f t="shared" si="153"/>
        <v>0</v>
      </c>
    </row>
    <row r="796" spans="1:14" x14ac:dyDescent="0.35">
      <c r="A796" s="106">
        <f t="shared" si="149"/>
        <v>0</v>
      </c>
      <c r="B796" s="107" t="e">
        <f>VLOOKUP(A796,[1]Hoja3!$C$3:$D$14,2,FALSE)</f>
        <v>#N/A</v>
      </c>
      <c r="C796" s="108"/>
      <c r="D796" s="108"/>
      <c r="E796" s="109"/>
      <c r="F796" s="109"/>
      <c r="G796" s="110" t="e">
        <f t="shared" si="155"/>
        <v>#N/A</v>
      </c>
      <c r="H796" s="252"/>
      <c r="I796" s="102" t="e">
        <f t="shared" si="156"/>
        <v>#N/A</v>
      </c>
      <c r="J796">
        <f t="shared" si="154"/>
        <v>0</v>
      </c>
      <c r="K796" t="e">
        <f t="shared" si="150"/>
        <v>#N/A</v>
      </c>
      <c r="L796" s="111">
        <f t="shared" si="151"/>
        <v>0</v>
      </c>
      <c r="M796" s="112">
        <f t="shared" si="152"/>
        <v>0</v>
      </c>
      <c r="N796" s="112">
        <f t="shared" si="153"/>
        <v>0</v>
      </c>
    </row>
    <row r="797" spans="1:14" x14ac:dyDescent="0.35">
      <c r="A797" s="106">
        <f t="shared" si="149"/>
        <v>0</v>
      </c>
      <c r="B797" s="107" t="e">
        <f>VLOOKUP(A797,[1]Hoja3!$C$3:$D$14,2,FALSE)</f>
        <v>#N/A</v>
      </c>
      <c r="C797" s="108"/>
      <c r="D797" s="108"/>
      <c r="E797" s="109"/>
      <c r="F797" s="109"/>
      <c r="G797" s="110" t="e">
        <f t="shared" si="155"/>
        <v>#N/A</v>
      </c>
      <c r="H797" s="252"/>
      <c r="I797" s="102" t="e">
        <f t="shared" si="156"/>
        <v>#N/A</v>
      </c>
      <c r="J797">
        <f t="shared" si="154"/>
        <v>0</v>
      </c>
      <c r="K797" t="e">
        <f t="shared" si="150"/>
        <v>#N/A</v>
      </c>
      <c r="L797" s="111">
        <f t="shared" si="151"/>
        <v>0</v>
      </c>
      <c r="M797" s="112">
        <f t="shared" si="152"/>
        <v>0</v>
      </c>
      <c r="N797" s="112">
        <f t="shared" si="153"/>
        <v>0</v>
      </c>
    </row>
    <row r="798" spans="1:14" x14ac:dyDescent="0.35">
      <c r="A798" s="106">
        <f t="shared" si="149"/>
        <v>0</v>
      </c>
      <c r="B798" s="107" t="e">
        <f>VLOOKUP(A798,[1]Hoja3!$C$3:$D$14,2,FALSE)</f>
        <v>#N/A</v>
      </c>
      <c r="C798" s="108"/>
      <c r="D798" s="108"/>
      <c r="E798" s="109"/>
      <c r="F798" s="109"/>
      <c r="G798" s="110" t="e">
        <f t="shared" si="155"/>
        <v>#N/A</v>
      </c>
      <c r="H798" s="252"/>
      <c r="I798" s="102" t="e">
        <f t="shared" si="156"/>
        <v>#N/A</v>
      </c>
      <c r="J798">
        <f t="shared" si="154"/>
        <v>0</v>
      </c>
      <c r="K798" t="e">
        <f t="shared" si="150"/>
        <v>#N/A</v>
      </c>
      <c r="L798" s="111">
        <f t="shared" si="151"/>
        <v>0</v>
      </c>
      <c r="M798" s="112">
        <f t="shared" si="152"/>
        <v>0</v>
      </c>
      <c r="N798" s="112">
        <f t="shared" si="153"/>
        <v>0</v>
      </c>
    </row>
    <row r="799" spans="1:14" x14ac:dyDescent="0.35">
      <c r="A799" s="106">
        <f t="shared" si="149"/>
        <v>0</v>
      </c>
      <c r="B799" s="107" t="e">
        <f>VLOOKUP(A799,[1]Hoja3!$C$3:$D$14,2,FALSE)</f>
        <v>#N/A</v>
      </c>
      <c r="C799" s="108"/>
      <c r="D799" s="108"/>
      <c r="E799" s="109"/>
      <c r="F799" s="109"/>
      <c r="G799" s="110" t="e">
        <f t="shared" si="155"/>
        <v>#N/A</v>
      </c>
      <c r="H799" s="252"/>
      <c r="I799" s="102" t="e">
        <f t="shared" si="156"/>
        <v>#N/A</v>
      </c>
      <c r="J799">
        <f t="shared" si="154"/>
        <v>0</v>
      </c>
      <c r="K799" t="e">
        <f t="shared" si="150"/>
        <v>#N/A</v>
      </c>
      <c r="L799" s="111">
        <f t="shared" si="151"/>
        <v>0</v>
      </c>
      <c r="M799" s="112">
        <f t="shared" si="152"/>
        <v>0</v>
      </c>
      <c r="N799" s="112">
        <f t="shared" si="153"/>
        <v>0</v>
      </c>
    </row>
    <row r="800" spans="1:14" x14ac:dyDescent="0.35">
      <c r="A800" s="106">
        <f t="shared" si="149"/>
        <v>0</v>
      </c>
      <c r="B800" s="107" t="e">
        <f>VLOOKUP(A800,[1]Hoja3!$C$3:$D$14,2,FALSE)</f>
        <v>#N/A</v>
      </c>
      <c r="C800" s="108"/>
      <c r="D800" s="108"/>
      <c r="E800" s="109"/>
      <c r="F800" s="109"/>
      <c r="G800" s="110" t="e">
        <f t="shared" si="155"/>
        <v>#N/A</v>
      </c>
      <c r="H800" s="252"/>
      <c r="I800" s="102" t="e">
        <f t="shared" si="156"/>
        <v>#N/A</v>
      </c>
      <c r="J800">
        <f t="shared" si="154"/>
        <v>0</v>
      </c>
      <c r="K800" t="e">
        <f t="shared" si="150"/>
        <v>#N/A</v>
      </c>
      <c r="L800" s="111">
        <f t="shared" si="151"/>
        <v>0</v>
      </c>
      <c r="M800" s="112">
        <f t="shared" si="152"/>
        <v>0</v>
      </c>
      <c r="N800" s="112">
        <f t="shared" si="153"/>
        <v>0</v>
      </c>
    </row>
    <row r="801" spans="1:14" x14ac:dyDescent="0.35">
      <c r="A801" s="106">
        <f t="shared" ref="A801:A864" si="157">IF(C801&gt;0,MONTH(C801),0)</f>
        <v>0</v>
      </c>
      <c r="B801" s="107" t="e">
        <f>VLOOKUP(A801,[1]Hoja3!$C$3:$D$14,2,FALSE)</f>
        <v>#N/A</v>
      </c>
      <c r="C801" s="108"/>
      <c r="D801" s="108"/>
      <c r="E801" s="109"/>
      <c r="F801" s="109"/>
      <c r="G801" s="110" t="e">
        <f t="shared" si="155"/>
        <v>#N/A</v>
      </c>
      <c r="H801" s="252"/>
      <c r="I801" s="102" t="e">
        <f t="shared" si="156"/>
        <v>#N/A</v>
      </c>
      <c r="J801">
        <f t="shared" si="154"/>
        <v>0</v>
      </c>
      <c r="K801" t="e">
        <f t="shared" ref="K801:K864" si="158">+B801</f>
        <v>#N/A</v>
      </c>
      <c r="L801" s="111">
        <f t="shared" ref="L801:L864" si="159">+J801/0.16</f>
        <v>0</v>
      </c>
      <c r="M801" s="112">
        <f t="shared" ref="M801:M864" si="160">+H801-L801</f>
        <v>0</v>
      </c>
      <c r="N801" s="112">
        <f t="shared" ref="N801:N864" si="161">+H801+J801</f>
        <v>0</v>
      </c>
    </row>
    <row r="802" spans="1:14" x14ac:dyDescent="0.35">
      <c r="A802" s="106">
        <f t="shared" si="157"/>
        <v>0</v>
      </c>
      <c r="B802" s="107" t="e">
        <f>VLOOKUP(A802,[1]Hoja3!$C$3:$D$14,2,FALSE)</f>
        <v>#N/A</v>
      </c>
      <c r="C802" s="108"/>
      <c r="D802" s="108"/>
      <c r="E802" s="109"/>
      <c r="F802" s="109"/>
      <c r="G802" s="110" t="e">
        <f t="shared" si="155"/>
        <v>#N/A</v>
      </c>
      <c r="H802" s="252"/>
      <c r="I802" s="102" t="e">
        <f t="shared" si="156"/>
        <v>#N/A</v>
      </c>
      <c r="J802">
        <f t="shared" si="154"/>
        <v>0</v>
      </c>
      <c r="K802" t="e">
        <f t="shared" si="158"/>
        <v>#N/A</v>
      </c>
      <c r="L802" s="111">
        <f t="shared" si="159"/>
        <v>0</v>
      </c>
      <c r="M802" s="112">
        <f t="shared" si="160"/>
        <v>0</v>
      </c>
      <c r="N802" s="112">
        <f t="shared" si="161"/>
        <v>0</v>
      </c>
    </row>
    <row r="803" spans="1:14" x14ac:dyDescent="0.35">
      <c r="A803" s="106">
        <f t="shared" si="157"/>
        <v>0</v>
      </c>
      <c r="B803" s="107" t="e">
        <f>VLOOKUP(A803,[1]Hoja3!$C$3:$D$14,2,FALSE)</f>
        <v>#N/A</v>
      </c>
      <c r="C803" s="108"/>
      <c r="D803" s="108"/>
      <c r="E803" s="109"/>
      <c r="F803" s="109"/>
      <c r="G803" s="110" t="e">
        <f t="shared" si="155"/>
        <v>#N/A</v>
      </c>
      <c r="H803" s="252"/>
      <c r="I803" s="102" t="e">
        <f t="shared" si="156"/>
        <v>#N/A</v>
      </c>
      <c r="J803">
        <f t="shared" si="154"/>
        <v>0</v>
      </c>
      <c r="K803" t="e">
        <f t="shared" si="158"/>
        <v>#N/A</v>
      </c>
      <c r="L803" s="111">
        <f t="shared" si="159"/>
        <v>0</v>
      </c>
      <c r="M803" s="112">
        <f t="shared" si="160"/>
        <v>0</v>
      </c>
      <c r="N803" s="112">
        <f t="shared" si="161"/>
        <v>0</v>
      </c>
    </row>
    <row r="804" spans="1:14" x14ac:dyDescent="0.35">
      <c r="A804" s="106">
        <f t="shared" si="157"/>
        <v>0</v>
      </c>
      <c r="B804" s="107" t="e">
        <f>VLOOKUP(A804,[1]Hoja3!$C$3:$D$14,2,FALSE)</f>
        <v>#N/A</v>
      </c>
      <c r="C804" s="108"/>
      <c r="D804" s="108"/>
      <c r="E804" s="109"/>
      <c r="F804" s="109"/>
      <c r="G804" s="110" t="e">
        <f t="shared" si="155"/>
        <v>#N/A</v>
      </c>
      <c r="H804" s="252"/>
      <c r="I804" s="102" t="e">
        <f t="shared" si="156"/>
        <v>#N/A</v>
      </c>
      <c r="J804">
        <f t="shared" si="154"/>
        <v>0</v>
      </c>
      <c r="K804" t="e">
        <f t="shared" si="158"/>
        <v>#N/A</v>
      </c>
      <c r="L804" s="111">
        <f t="shared" si="159"/>
        <v>0</v>
      </c>
      <c r="M804" s="112">
        <f t="shared" si="160"/>
        <v>0</v>
      </c>
      <c r="N804" s="112">
        <f t="shared" si="161"/>
        <v>0</v>
      </c>
    </row>
    <row r="805" spans="1:14" x14ac:dyDescent="0.35">
      <c r="A805" s="106">
        <f t="shared" si="157"/>
        <v>0</v>
      </c>
      <c r="B805" s="107" t="e">
        <f>VLOOKUP(A805,[1]Hoja3!$C$3:$D$14,2,FALSE)</f>
        <v>#N/A</v>
      </c>
      <c r="C805" s="108"/>
      <c r="D805" s="108"/>
      <c r="E805" s="109"/>
      <c r="F805" s="109"/>
      <c r="G805" s="110" t="e">
        <f t="shared" si="155"/>
        <v>#N/A</v>
      </c>
      <c r="H805" s="252"/>
      <c r="I805" s="102" t="e">
        <f t="shared" si="156"/>
        <v>#N/A</v>
      </c>
      <c r="J805">
        <f t="shared" si="154"/>
        <v>0</v>
      </c>
      <c r="K805" t="e">
        <f t="shared" si="158"/>
        <v>#N/A</v>
      </c>
      <c r="L805" s="111">
        <f t="shared" si="159"/>
        <v>0</v>
      </c>
      <c r="M805" s="112">
        <f t="shared" si="160"/>
        <v>0</v>
      </c>
      <c r="N805" s="112">
        <f t="shared" si="161"/>
        <v>0</v>
      </c>
    </row>
    <row r="806" spans="1:14" x14ac:dyDescent="0.35">
      <c r="A806" s="106">
        <f t="shared" si="157"/>
        <v>0</v>
      </c>
      <c r="B806" s="107" t="e">
        <f>VLOOKUP(A806,[1]Hoja3!$C$3:$D$14,2,FALSE)</f>
        <v>#N/A</v>
      </c>
      <c r="C806" s="108"/>
      <c r="D806" s="108"/>
      <c r="E806" s="109"/>
      <c r="F806" s="109"/>
      <c r="G806" s="110" t="e">
        <f t="shared" si="155"/>
        <v>#N/A</v>
      </c>
      <c r="H806" s="252"/>
      <c r="I806" s="102" t="e">
        <f t="shared" si="156"/>
        <v>#N/A</v>
      </c>
      <c r="J806">
        <f t="shared" si="154"/>
        <v>0</v>
      </c>
      <c r="K806" t="e">
        <f t="shared" si="158"/>
        <v>#N/A</v>
      </c>
      <c r="L806" s="111">
        <f t="shared" si="159"/>
        <v>0</v>
      </c>
      <c r="M806" s="112">
        <f t="shared" si="160"/>
        <v>0</v>
      </c>
      <c r="N806" s="112">
        <f t="shared" si="161"/>
        <v>0</v>
      </c>
    </row>
    <row r="807" spans="1:14" x14ac:dyDescent="0.35">
      <c r="A807" s="106">
        <f t="shared" si="157"/>
        <v>0</v>
      </c>
      <c r="B807" s="107" t="e">
        <f>VLOOKUP(A807,[1]Hoja3!$C$3:$D$14,2,FALSE)</f>
        <v>#N/A</v>
      </c>
      <c r="C807" s="108"/>
      <c r="D807" s="108"/>
      <c r="E807" s="109"/>
      <c r="F807" s="109"/>
      <c r="G807" s="110" t="e">
        <f t="shared" si="155"/>
        <v>#N/A</v>
      </c>
      <c r="H807" s="252"/>
      <c r="I807" s="102" t="e">
        <f t="shared" si="156"/>
        <v>#N/A</v>
      </c>
      <c r="J807">
        <f t="shared" si="154"/>
        <v>0</v>
      </c>
      <c r="K807" t="e">
        <f t="shared" si="158"/>
        <v>#N/A</v>
      </c>
      <c r="L807" s="111">
        <f t="shared" si="159"/>
        <v>0</v>
      </c>
      <c r="M807" s="112">
        <f t="shared" si="160"/>
        <v>0</v>
      </c>
      <c r="N807" s="112">
        <f t="shared" si="161"/>
        <v>0</v>
      </c>
    </row>
    <row r="808" spans="1:14" x14ac:dyDescent="0.35">
      <c r="A808" s="106">
        <f t="shared" si="157"/>
        <v>0</v>
      </c>
      <c r="B808" s="107" t="e">
        <f>VLOOKUP(A808,[1]Hoja3!$C$3:$D$14,2,FALSE)</f>
        <v>#N/A</v>
      </c>
      <c r="C808" s="108"/>
      <c r="D808" s="108"/>
      <c r="E808" s="109"/>
      <c r="F808" s="109"/>
      <c r="G808" s="110" t="e">
        <f t="shared" si="155"/>
        <v>#N/A</v>
      </c>
      <c r="H808" s="252"/>
      <c r="I808" s="102" t="e">
        <f t="shared" si="156"/>
        <v>#N/A</v>
      </c>
      <c r="J808">
        <f t="shared" si="154"/>
        <v>0</v>
      </c>
      <c r="K808" t="e">
        <f t="shared" si="158"/>
        <v>#N/A</v>
      </c>
      <c r="L808" s="111">
        <f t="shared" si="159"/>
        <v>0</v>
      </c>
      <c r="M808" s="112">
        <f t="shared" si="160"/>
        <v>0</v>
      </c>
      <c r="N808" s="112">
        <f t="shared" si="161"/>
        <v>0</v>
      </c>
    </row>
    <row r="809" spans="1:14" x14ac:dyDescent="0.35">
      <c r="A809" s="106">
        <f t="shared" si="157"/>
        <v>0</v>
      </c>
      <c r="B809" s="107" t="e">
        <f>VLOOKUP(A809,[1]Hoja3!$C$3:$D$14,2,FALSE)</f>
        <v>#N/A</v>
      </c>
      <c r="C809" s="108"/>
      <c r="D809" s="108"/>
      <c r="E809" s="109"/>
      <c r="F809" s="109"/>
      <c r="G809" s="110" t="e">
        <f t="shared" si="155"/>
        <v>#N/A</v>
      </c>
      <c r="H809" s="252"/>
      <c r="I809" s="102" t="e">
        <f t="shared" si="156"/>
        <v>#N/A</v>
      </c>
      <c r="J809">
        <f t="shared" si="154"/>
        <v>0</v>
      </c>
      <c r="K809" t="e">
        <f t="shared" si="158"/>
        <v>#N/A</v>
      </c>
      <c r="L809" s="111">
        <f t="shared" si="159"/>
        <v>0</v>
      </c>
      <c r="M809" s="112">
        <f t="shared" si="160"/>
        <v>0</v>
      </c>
      <c r="N809" s="112">
        <f t="shared" si="161"/>
        <v>0</v>
      </c>
    </row>
    <row r="810" spans="1:14" x14ac:dyDescent="0.35">
      <c r="A810" s="106">
        <f t="shared" si="157"/>
        <v>0</v>
      </c>
      <c r="B810" s="107" t="e">
        <f>VLOOKUP(A810,[1]Hoja3!$C$3:$D$14,2,FALSE)</f>
        <v>#N/A</v>
      </c>
      <c r="C810" s="108"/>
      <c r="D810" s="108"/>
      <c r="E810" s="109"/>
      <c r="F810" s="109"/>
      <c r="G810" s="110" t="e">
        <f t="shared" si="155"/>
        <v>#N/A</v>
      </c>
      <c r="H810" s="252"/>
      <c r="I810" s="102" t="e">
        <f t="shared" si="156"/>
        <v>#N/A</v>
      </c>
      <c r="J810">
        <f t="shared" si="154"/>
        <v>0</v>
      </c>
      <c r="K810" t="e">
        <f t="shared" si="158"/>
        <v>#N/A</v>
      </c>
      <c r="L810" s="111">
        <f t="shared" si="159"/>
        <v>0</v>
      </c>
      <c r="M810" s="112">
        <f t="shared" si="160"/>
        <v>0</v>
      </c>
      <c r="N810" s="112">
        <f t="shared" si="161"/>
        <v>0</v>
      </c>
    </row>
    <row r="811" spans="1:14" x14ac:dyDescent="0.35">
      <c r="A811" s="106">
        <f t="shared" si="157"/>
        <v>0</v>
      </c>
      <c r="B811" s="107" t="e">
        <f>VLOOKUP(A811,[1]Hoja3!$C$3:$D$14,2,FALSE)</f>
        <v>#N/A</v>
      </c>
      <c r="C811" s="108"/>
      <c r="D811" s="108"/>
      <c r="E811" s="109"/>
      <c r="F811" s="109"/>
      <c r="G811" s="110" t="e">
        <f t="shared" si="155"/>
        <v>#N/A</v>
      </c>
      <c r="H811" s="252"/>
      <c r="I811" s="102" t="e">
        <f t="shared" si="156"/>
        <v>#N/A</v>
      </c>
      <c r="J811">
        <f t="shared" si="154"/>
        <v>0</v>
      </c>
      <c r="K811" t="e">
        <f t="shared" si="158"/>
        <v>#N/A</v>
      </c>
      <c r="L811" s="111">
        <f t="shared" si="159"/>
        <v>0</v>
      </c>
      <c r="M811" s="112">
        <f t="shared" si="160"/>
        <v>0</v>
      </c>
      <c r="N811" s="112">
        <f t="shared" si="161"/>
        <v>0</v>
      </c>
    </row>
    <row r="812" spans="1:14" x14ac:dyDescent="0.35">
      <c r="A812" s="106">
        <f t="shared" si="157"/>
        <v>0</v>
      </c>
      <c r="B812" s="107" t="e">
        <f>VLOOKUP(A812,[1]Hoja3!$C$3:$D$14,2,FALSE)</f>
        <v>#N/A</v>
      </c>
      <c r="C812" s="108"/>
      <c r="D812" s="108"/>
      <c r="E812" s="109"/>
      <c r="F812" s="109"/>
      <c r="G812" s="110" t="e">
        <f t="shared" si="155"/>
        <v>#N/A</v>
      </c>
      <c r="H812" s="252"/>
      <c r="I812" s="102" t="e">
        <f t="shared" si="156"/>
        <v>#N/A</v>
      </c>
      <c r="J812">
        <f t="shared" si="154"/>
        <v>0</v>
      </c>
      <c r="K812" t="e">
        <f t="shared" si="158"/>
        <v>#N/A</v>
      </c>
      <c r="L812" s="111">
        <f t="shared" si="159"/>
        <v>0</v>
      </c>
      <c r="M812" s="112">
        <f t="shared" si="160"/>
        <v>0</v>
      </c>
      <c r="N812" s="112">
        <f t="shared" si="161"/>
        <v>0</v>
      </c>
    </row>
    <row r="813" spans="1:14" x14ac:dyDescent="0.35">
      <c r="A813" s="106">
        <f t="shared" si="157"/>
        <v>0</v>
      </c>
      <c r="B813" s="107" t="e">
        <f>VLOOKUP(A813,[1]Hoja3!$C$3:$D$14,2,FALSE)</f>
        <v>#N/A</v>
      </c>
      <c r="C813" s="108"/>
      <c r="D813" s="108"/>
      <c r="E813" s="109"/>
      <c r="F813" s="109"/>
      <c r="G813" s="110" t="e">
        <f t="shared" si="155"/>
        <v>#N/A</v>
      </c>
      <c r="H813" s="252"/>
      <c r="I813" s="102" t="e">
        <f t="shared" si="156"/>
        <v>#N/A</v>
      </c>
      <c r="J813">
        <f t="shared" si="154"/>
        <v>0</v>
      </c>
      <c r="K813" t="e">
        <f t="shared" si="158"/>
        <v>#N/A</v>
      </c>
      <c r="L813" s="111">
        <f t="shared" si="159"/>
        <v>0</v>
      </c>
      <c r="M813" s="112">
        <f t="shared" si="160"/>
        <v>0</v>
      </c>
      <c r="N813" s="112">
        <f t="shared" si="161"/>
        <v>0</v>
      </c>
    </row>
    <row r="814" spans="1:14" x14ac:dyDescent="0.35">
      <c r="A814" s="106">
        <f t="shared" si="157"/>
        <v>0</v>
      </c>
      <c r="B814" s="107" t="e">
        <f>VLOOKUP(A814,[1]Hoja3!$C$3:$D$14,2,FALSE)</f>
        <v>#N/A</v>
      </c>
      <c r="C814" s="108"/>
      <c r="D814" s="108"/>
      <c r="E814" s="109"/>
      <c r="F814" s="109"/>
      <c r="G814" s="110" t="e">
        <f t="shared" si="155"/>
        <v>#N/A</v>
      </c>
      <c r="H814" s="252"/>
      <c r="I814" s="102" t="e">
        <f t="shared" si="156"/>
        <v>#N/A</v>
      </c>
      <c r="J814">
        <f t="shared" si="154"/>
        <v>0</v>
      </c>
      <c r="K814" t="e">
        <f t="shared" si="158"/>
        <v>#N/A</v>
      </c>
      <c r="L814" s="111">
        <f t="shared" si="159"/>
        <v>0</v>
      </c>
      <c r="M814" s="112">
        <f t="shared" si="160"/>
        <v>0</v>
      </c>
      <c r="N814" s="112">
        <f t="shared" si="161"/>
        <v>0</v>
      </c>
    </row>
    <row r="815" spans="1:14" x14ac:dyDescent="0.35">
      <c r="A815" s="106">
        <f t="shared" si="157"/>
        <v>0</v>
      </c>
      <c r="B815" s="107" t="e">
        <f>VLOOKUP(A815,[1]Hoja3!$C$3:$D$14,2,FALSE)</f>
        <v>#N/A</v>
      </c>
      <c r="C815" s="108"/>
      <c r="D815" s="108"/>
      <c r="E815" s="109"/>
      <c r="F815" s="109"/>
      <c r="G815" s="110" t="e">
        <f t="shared" si="155"/>
        <v>#N/A</v>
      </c>
      <c r="H815" s="252"/>
      <c r="I815" s="102" t="e">
        <f t="shared" si="156"/>
        <v>#N/A</v>
      </c>
      <c r="J815">
        <f t="shared" si="154"/>
        <v>0</v>
      </c>
      <c r="K815" t="e">
        <f t="shared" si="158"/>
        <v>#N/A</v>
      </c>
      <c r="L815" s="111">
        <f t="shared" si="159"/>
        <v>0</v>
      </c>
      <c r="M815" s="112">
        <f t="shared" si="160"/>
        <v>0</v>
      </c>
      <c r="N815" s="112">
        <f t="shared" si="161"/>
        <v>0</v>
      </c>
    </row>
    <row r="816" spans="1:14" x14ac:dyDescent="0.35">
      <c r="A816" s="106">
        <f t="shared" si="157"/>
        <v>0</v>
      </c>
      <c r="B816" s="107" t="e">
        <f>VLOOKUP(A816,[1]Hoja3!$C$3:$D$14,2,FALSE)</f>
        <v>#N/A</v>
      </c>
      <c r="C816" s="108"/>
      <c r="D816" s="108"/>
      <c r="E816" s="109"/>
      <c r="F816" s="109"/>
      <c r="G816" s="110" t="e">
        <f t="shared" si="155"/>
        <v>#N/A</v>
      </c>
      <c r="H816" s="252"/>
      <c r="I816" s="102" t="e">
        <f t="shared" si="156"/>
        <v>#N/A</v>
      </c>
      <c r="J816">
        <f t="shared" si="154"/>
        <v>0</v>
      </c>
      <c r="K816" t="e">
        <f t="shared" si="158"/>
        <v>#N/A</v>
      </c>
      <c r="L816" s="111">
        <f t="shared" si="159"/>
        <v>0</v>
      </c>
      <c r="M816" s="112">
        <f t="shared" si="160"/>
        <v>0</v>
      </c>
      <c r="N816" s="112">
        <f t="shared" si="161"/>
        <v>0</v>
      </c>
    </row>
    <row r="817" spans="1:14" x14ac:dyDescent="0.35">
      <c r="A817" s="106">
        <f t="shared" si="157"/>
        <v>0</v>
      </c>
      <c r="B817" s="107" t="e">
        <f>VLOOKUP(A817,[1]Hoja3!$C$3:$D$14,2,FALSE)</f>
        <v>#N/A</v>
      </c>
      <c r="C817" s="108"/>
      <c r="D817" s="108"/>
      <c r="E817" s="109"/>
      <c r="F817" s="109"/>
      <c r="G817" s="110" t="e">
        <f t="shared" si="155"/>
        <v>#N/A</v>
      </c>
      <c r="H817" s="252"/>
      <c r="I817" s="102" t="e">
        <f t="shared" si="156"/>
        <v>#N/A</v>
      </c>
      <c r="J817">
        <f t="shared" si="154"/>
        <v>0</v>
      </c>
      <c r="K817" t="e">
        <f t="shared" si="158"/>
        <v>#N/A</v>
      </c>
      <c r="L817" s="111">
        <f t="shared" si="159"/>
        <v>0</v>
      </c>
      <c r="M817" s="112">
        <f t="shared" si="160"/>
        <v>0</v>
      </c>
      <c r="N817" s="112">
        <f t="shared" si="161"/>
        <v>0</v>
      </c>
    </row>
    <row r="818" spans="1:14" x14ac:dyDescent="0.35">
      <c r="A818" s="106">
        <f t="shared" si="157"/>
        <v>0</v>
      </c>
      <c r="B818" s="107" t="e">
        <f>VLOOKUP(A818,[1]Hoja3!$C$3:$D$14,2,FALSE)</f>
        <v>#N/A</v>
      </c>
      <c r="C818" s="108"/>
      <c r="D818" s="108"/>
      <c r="E818" s="109"/>
      <c r="F818" s="109"/>
      <c r="G818" s="110" t="e">
        <f t="shared" si="155"/>
        <v>#N/A</v>
      </c>
      <c r="H818" s="252"/>
      <c r="I818" s="102" t="e">
        <f t="shared" si="156"/>
        <v>#N/A</v>
      </c>
      <c r="J818">
        <f t="shared" si="154"/>
        <v>0</v>
      </c>
      <c r="K818" t="e">
        <f t="shared" si="158"/>
        <v>#N/A</v>
      </c>
      <c r="L818" s="111">
        <f t="shared" si="159"/>
        <v>0</v>
      </c>
      <c r="M818" s="112">
        <f t="shared" si="160"/>
        <v>0</v>
      </c>
      <c r="N818" s="112">
        <f t="shared" si="161"/>
        <v>0</v>
      </c>
    </row>
    <row r="819" spans="1:14" x14ac:dyDescent="0.35">
      <c r="A819" s="106">
        <f t="shared" si="157"/>
        <v>0</v>
      </c>
      <c r="B819" s="107" t="e">
        <f>VLOOKUP(A819,[1]Hoja3!$C$3:$D$14,2,FALSE)</f>
        <v>#N/A</v>
      </c>
      <c r="C819" s="108"/>
      <c r="D819" s="108"/>
      <c r="E819" s="109"/>
      <c r="F819" s="109"/>
      <c r="G819" s="110" t="e">
        <f t="shared" si="155"/>
        <v>#N/A</v>
      </c>
      <c r="H819" s="252"/>
      <c r="I819" s="102" t="e">
        <f t="shared" si="156"/>
        <v>#N/A</v>
      </c>
      <c r="J819">
        <f t="shared" si="154"/>
        <v>0</v>
      </c>
      <c r="K819" t="e">
        <f t="shared" si="158"/>
        <v>#N/A</v>
      </c>
      <c r="L819" s="111">
        <f t="shared" si="159"/>
        <v>0</v>
      </c>
      <c r="M819" s="112">
        <f t="shared" si="160"/>
        <v>0</v>
      </c>
      <c r="N819" s="112">
        <f t="shared" si="161"/>
        <v>0</v>
      </c>
    </row>
    <row r="820" spans="1:14" x14ac:dyDescent="0.35">
      <c r="A820" s="106">
        <f t="shared" si="157"/>
        <v>0</v>
      </c>
      <c r="B820" s="107" t="e">
        <f>VLOOKUP(A820,[1]Hoja3!$C$3:$D$14,2,FALSE)</f>
        <v>#N/A</v>
      </c>
      <c r="C820" s="108"/>
      <c r="D820" s="108"/>
      <c r="E820" s="109"/>
      <c r="F820" s="109"/>
      <c r="G820" s="110" t="e">
        <f t="shared" si="155"/>
        <v>#N/A</v>
      </c>
      <c r="H820" s="252"/>
      <c r="I820" s="102" t="e">
        <f t="shared" si="156"/>
        <v>#N/A</v>
      </c>
      <c r="J820">
        <f t="shared" si="154"/>
        <v>0</v>
      </c>
      <c r="K820" t="e">
        <f t="shared" si="158"/>
        <v>#N/A</v>
      </c>
      <c r="L820" s="111">
        <f t="shared" si="159"/>
        <v>0</v>
      </c>
      <c r="M820" s="112">
        <f t="shared" si="160"/>
        <v>0</v>
      </c>
      <c r="N820" s="112">
        <f t="shared" si="161"/>
        <v>0</v>
      </c>
    </row>
    <row r="821" spans="1:14" x14ac:dyDescent="0.35">
      <c r="A821" s="106">
        <f t="shared" si="157"/>
        <v>0</v>
      </c>
      <c r="B821" s="107" t="e">
        <f>VLOOKUP(A821,[1]Hoja3!$C$3:$D$14,2,FALSE)</f>
        <v>#N/A</v>
      </c>
      <c r="C821" s="108"/>
      <c r="D821" s="108"/>
      <c r="E821" s="109"/>
      <c r="F821" s="109"/>
      <c r="G821" s="110" t="e">
        <f t="shared" si="155"/>
        <v>#N/A</v>
      </c>
      <c r="H821" s="252"/>
      <c r="I821" s="102" t="e">
        <f t="shared" si="156"/>
        <v>#N/A</v>
      </c>
      <c r="J821">
        <f t="shared" si="154"/>
        <v>0</v>
      </c>
      <c r="K821" t="e">
        <f t="shared" si="158"/>
        <v>#N/A</v>
      </c>
      <c r="L821" s="111">
        <f t="shared" si="159"/>
        <v>0</v>
      </c>
      <c r="M821" s="112">
        <f t="shared" si="160"/>
        <v>0</v>
      </c>
      <c r="N821" s="112">
        <f t="shared" si="161"/>
        <v>0</v>
      </c>
    </row>
    <row r="822" spans="1:14" x14ac:dyDescent="0.35">
      <c r="A822" s="106">
        <f t="shared" si="157"/>
        <v>0</v>
      </c>
      <c r="B822" s="107" t="e">
        <f>VLOOKUP(A822,[1]Hoja3!$C$3:$D$14,2,FALSE)</f>
        <v>#N/A</v>
      </c>
      <c r="C822" s="108"/>
      <c r="D822" s="108"/>
      <c r="E822" s="109"/>
      <c r="F822" s="109"/>
      <c r="G822" s="110" t="e">
        <f t="shared" si="155"/>
        <v>#N/A</v>
      </c>
      <c r="H822" s="252"/>
      <c r="I822" s="102" t="e">
        <f t="shared" si="156"/>
        <v>#N/A</v>
      </c>
      <c r="J822">
        <f t="shared" si="154"/>
        <v>0</v>
      </c>
      <c r="K822" t="e">
        <f t="shared" si="158"/>
        <v>#N/A</v>
      </c>
      <c r="L822" s="111">
        <f t="shared" si="159"/>
        <v>0</v>
      </c>
      <c r="M822" s="112">
        <f t="shared" si="160"/>
        <v>0</v>
      </c>
      <c r="N822" s="112">
        <f t="shared" si="161"/>
        <v>0</v>
      </c>
    </row>
    <row r="823" spans="1:14" x14ac:dyDescent="0.35">
      <c r="A823" s="106">
        <f t="shared" si="157"/>
        <v>0</v>
      </c>
      <c r="B823" s="107" t="e">
        <f>VLOOKUP(A823,[1]Hoja3!$C$3:$D$14,2,FALSE)</f>
        <v>#N/A</v>
      </c>
      <c r="C823" s="108"/>
      <c r="D823" s="108"/>
      <c r="E823" s="109"/>
      <c r="F823" s="109"/>
      <c r="G823" s="110" t="e">
        <f t="shared" si="155"/>
        <v>#N/A</v>
      </c>
      <c r="H823" s="252"/>
      <c r="I823" s="102" t="e">
        <f t="shared" si="156"/>
        <v>#N/A</v>
      </c>
      <c r="J823">
        <f t="shared" si="154"/>
        <v>0</v>
      </c>
      <c r="K823" t="e">
        <f t="shared" si="158"/>
        <v>#N/A</v>
      </c>
      <c r="L823" s="111">
        <f t="shared" si="159"/>
        <v>0</v>
      </c>
      <c r="M823" s="112">
        <f t="shared" si="160"/>
        <v>0</v>
      </c>
      <c r="N823" s="112">
        <f t="shared" si="161"/>
        <v>0</v>
      </c>
    </row>
    <row r="824" spans="1:14" x14ac:dyDescent="0.35">
      <c r="A824" s="106">
        <f t="shared" si="157"/>
        <v>0</v>
      </c>
      <c r="B824" s="107" t="e">
        <f>VLOOKUP(A824,[1]Hoja3!$C$3:$D$14,2,FALSE)</f>
        <v>#N/A</v>
      </c>
      <c r="C824" s="108"/>
      <c r="D824" s="108"/>
      <c r="E824" s="109"/>
      <c r="F824" s="109"/>
      <c r="G824" s="110" t="e">
        <f t="shared" si="155"/>
        <v>#N/A</v>
      </c>
      <c r="H824" s="252"/>
      <c r="I824" s="102" t="e">
        <f t="shared" si="156"/>
        <v>#N/A</v>
      </c>
      <c r="J824">
        <f t="shared" si="154"/>
        <v>0</v>
      </c>
      <c r="K824" t="e">
        <f t="shared" si="158"/>
        <v>#N/A</v>
      </c>
      <c r="L824" s="111">
        <f t="shared" si="159"/>
        <v>0</v>
      </c>
      <c r="M824" s="112">
        <f t="shared" si="160"/>
        <v>0</v>
      </c>
      <c r="N824" s="112">
        <f t="shared" si="161"/>
        <v>0</v>
      </c>
    </row>
    <row r="825" spans="1:14" x14ac:dyDescent="0.35">
      <c r="A825" s="106">
        <f t="shared" si="157"/>
        <v>0</v>
      </c>
      <c r="B825" s="107" t="e">
        <f>VLOOKUP(A825,[1]Hoja3!$C$3:$D$14,2,FALSE)</f>
        <v>#N/A</v>
      </c>
      <c r="C825" s="108"/>
      <c r="D825" s="108"/>
      <c r="E825" s="109"/>
      <c r="F825" s="109"/>
      <c r="G825" s="110" t="e">
        <f t="shared" si="155"/>
        <v>#N/A</v>
      </c>
      <c r="H825" s="252"/>
      <c r="I825" s="102" t="e">
        <f t="shared" si="156"/>
        <v>#N/A</v>
      </c>
      <c r="J825">
        <f t="shared" si="154"/>
        <v>0</v>
      </c>
      <c r="K825" t="e">
        <f t="shared" si="158"/>
        <v>#N/A</v>
      </c>
      <c r="L825" s="111">
        <f t="shared" si="159"/>
        <v>0</v>
      </c>
      <c r="M825" s="112">
        <f t="shared" si="160"/>
        <v>0</v>
      </c>
      <c r="N825" s="112">
        <f t="shared" si="161"/>
        <v>0</v>
      </c>
    </row>
    <row r="826" spans="1:14" x14ac:dyDescent="0.35">
      <c r="A826" s="106">
        <f t="shared" si="157"/>
        <v>0</v>
      </c>
      <c r="B826" s="107" t="e">
        <f>VLOOKUP(A826,[1]Hoja3!$C$3:$D$14,2,FALSE)</f>
        <v>#N/A</v>
      </c>
      <c r="C826" s="108"/>
      <c r="D826" s="108"/>
      <c r="E826" s="109"/>
      <c r="F826" s="109"/>
      <c r="G826" s="110" t="e">
        <f t="shared" si="155"/>
        <v>#N/A</v>
      </c>
      <c r="H826" s="252"/>
      <c r="I826" s="102" t="e">
        <f t="shared" si="156"/>
        <v>#N/A</v>
      </c>
      <c r="J826">
        <f t="shared" si="154"/>
        <v>0</v>
      </c>
      <c r="K826" t="e">
        <f t="shared" si="158"/>
        <v>#N/A</v>
      </c>
      <c r="L826" s="111">
        <f t="shared" si="159"/>
        <v>0</v>
      </c>
      <c r="M826" s="112">
        <f t="shared" si="160"/>
        <v>0</v>
      </c>
      <c r="N826" s="112">
        <f t="shared" si="161"/>
        <v>0</v>
      </c>
    </row>
    <row r="827" spans="1:14" x14ac:dyDescent="0.35">
      <c r="A827" s="106">
        <f t="shared" si="157"/>
        <v>0</v>
      </c>
      <c r="B827" s="107" t="e">
        <f>VLOOKUP(A827,[1]Hoja3!$C$3:$D$14,2,FALSE)</f>
        <v>#N/A</v>
      </c>
      <c r="C827" s="108"/>
      <c r="D827" s="108"/>
      <c r="E827" s="109"/>
      <c r="F827" s="109"/>
      <c r="G827" s="110" t="e">
        <f t="shared" si="155"/>
        <v>#N/A</v>
      </c>
      <c r="H827" s="252"/>
      <c r="I827" s="102" t="e">
        <f t="shared" si="156"/>
        <v>#N/A</v>
      </c>
      <c r="J827">
        <f t="shared" si="154"/>
        <v>0</v>
      </c>
      <c r="K827" t="e">
        <f t="shared" si="158"/>
        <v>#N/A</v>
      </c>
      <c r="L827" s="111">
        <f t="shared" si="159"/>
        <v>0</v>
      </c>
      <c r="M827" s="112">
        <f t="shared" si="160"/>
        <v>0</v>
      </c>
      <c r="N827" s="112">
        <f t="shared" si="161"/>
        <v>0</v>
      </c>
    </row>
    <row r="828" spans="1:14" x14ac:dyDescent="0.35">
      <c r="A828" s="106">
        <f t="shared" si="157"/>
        <v>0</v>
      </c>
      <c r="B828" s="107" t="e">
        <f>VLOOKUP(A828,[1]Hoja3!$C$3:$D$14,2,FALSE)</f>
        <v>#N/A</v>
      </c>
      <c r="C828" s="108"/>
      <c r="D828" s="108"/>
      <c r="E828" s="109"/>
      <c r="F828" s="109"/>
      <c r="G828" s="110" t="e">
        <f t="shared" si="155"/>
        <v>#N/A</v>
      </c>
      <c r="H828" s="252"/>
      <c r="I828" s="102" t="e">
        <f t="shared" si="156"/>
        <v>#N/A</v>
      </c>
      <c r="J828">
        <f t="shared" si="154"/>
        <v>0</v>
      </c>
      <c r="K828" t="e">
        <f t="shared" si="158"/>
        <v>#N/A</v>
      </c>
      <c r="L828" s="111">
        <f t="shared" si="159"/>
        <v>0</v>
      </c>
      <c r="M828" s="112">
        <f t="shared" si="160"/>
        <v>0</v>
      </c>
      <c r="N828" s="112">
        <f t="shared" si="161"/>
        <v>0</v>
      </c>
    </row>
    <row r="829" spans="1:14" x14ac:dyDescent="0.35">
      <c r="A829" s="106">
        <f t="shared" si="157"/>
        <v>0</v>
      </c>
      <c r="B829" s="107" t="e">
        <f>VLOOKUP(A829,[1]Hoja3!$C$3:$D$14,2,FALSE)</f>
        <v>#N/A</v>
      </c>
      <c r="C829" s="108"/>
      <c r="D829" s="108"/>
      <c r="E829" s="109"/>
      <c r="F829" s="109"/>
      <c r="G829" s="110" t="e">
        <f t="shared" si="155"/>
        <v>#N/A</v>
      </c>
      <c r="H829" s="252"/>
      <c r="I829" s="102" t="e">
        <f t="shared" si="156"/>
        <v>#N/A</v>
      </c>
      <c r="J829">
        <f t="shared" si="154"/>
        <v>0</v>
      </c>
      <c r="K829" t="e">
        <f t="shared" si="158"/>
        <v>#N/A</v>
      </c>
      <c r="L829" s="111">
        <f t="shared" si="159"/>
        <v>0</v>
      </c>
      <c r="M829" s="112">
        <f t="shared" si="160"/>
        <v>0</v>
      </c>
      <c r="N829" s="112">
        <f t="shared" si="161"/>
        <v>0</v>
      </c>
    </row>
    <row r="830" spans="1:14" x14ac:dyDescent="0.35">
      <c r="A830" s="106">
        <f t="shared" si="157"/>
        <v>0</v>
      </c>
      <c r="B830" s="107" t="e">
        <f>VLOOKUP(A830,[1]Hoja3!$C$3:$D$14,2,FALSE)</f>
        <v>#N/A</v>
      </c>
      <c r="C830" s="108"/>
      <c r="D830" s="108"/>
      <c r="E830" s="109"/>
      <c r="F830" s="109"/>
      <c r="G830" s="110" t="e">
        <f t="shared" si="155"/>
        <v>#N/A</v>
      </c>
      <c r="H830" s="252"/>
      <c r="I830" s="102" t="e">
        <f t="shared" si="156"/>
        <v>#N/A</v>
      </c>
      <c r="J830">
        <f t="shared" si="154"/>
        <v>0</v>
      </c>
      <c r="K830" t="e">
        <f t="shared" si="158"/>
        <v>#N/A</v>
      </c>
      <c r="L830" s="111">
        <f t="shared" si="159"/>
        <v>0</v>
      </c>
      <c r="M830" s="112">
        <f t="shared" si="160"/>
        <v>0</v>
      </c>
      <c r="N830" s="112">
        <f t="shared" si="161"/>
        <v>0</v>
      </c>
    </row>
    <row r="831" spans="1:14" x14ac:dyDescent="0.35">
      <c r="A831" s="106">
        <f t="shared" si="157"/>
        <v>0</v>
      </c>
      <c r="B831" s="107" t="e">
        <f>VLOOKUP(A831,[1]Hoja3!$C$3:$D$14,2,FALSE)</f>
        <v>#N/A</v>
      </c>
      <c r="C831" s="108"/>
      <c r="D831" s="108"/>
      <c r="E831" s="109"/>
      <c r="F831" s="109"/>
      <c r="G831" s="110" t="e">
        <f t="shared" si="155"/>
        <v>#N/A</v>
      </c>
      <c r="H831" s="252"/>
      <c r="I831" s="102" t="e">
        <f t="shared" si="156"/>
        <v>#N/A</v>
      </c>
      <c r="J831">
        <f t="shared" si="154"/>
        <v>0</v>
      </c>
      <c r="K831" t="e">
        <f t="shared" si="158"/>
        <v>#N/A</v>
      </c>
      <c r="L831" s="111">
        <f t="shared" si="159"/>
        <v>0</v>
      </c>
      <c r="M831" s="112">
        <f t="shared" si="160"/>
        <v>0</v>
      </c>
      <c r="N831" s="112">
        <f t="shared" si="161"/>
        <v>0</v>
      </c>
    </row>
    <row r="832" spans="1:14" x14ac:dyDescent="0.35">
      <c r="A832" s="106">
        <f t="shared" si="157"/>
        <v>0</v>
      </c>
      <c r="B832" s="107" t="e">
        <f>VLOOKUP(A832,[1]Hoja3!$C$3:$D$14,2,FALSE)</f>
        <v>#N/A</v>
      </c>
      <c r="C832" s="108"/>
      <c r="D832" s="108"/>
      <c r="E832" s="109"/>
      <c r="F832" s="109"/>
      <c r="G832" s="110" t="e">
        <f t="shared" si="155"/>
        <v>#N/A</v>
      </c>
      <c r="H832" s="252"/>
      <c r="I832" s="102" t="e">
        <f t="shared" si="156"/>
        <v>#N/A</v>
      </c>
      <c r="J832">
        <f t="shared" si="154"/>
        <v>0</v>
      </c>
      <c r="K832" t="e">
        <f t="shared" si="158"/>
        <v>#N/A</v>
      </c>
      <c r="L832" s="111">
        <f t="shared" si="159"/>
        <v>0</v>
      </c>
      <c r="M832" s="112">
        <f t="shared" si="160"/>
        <v>0</v>
      </c>
      <c r="N832" s="112">
        <f t="shared" si="161"/>
        <v>0</v>
      </c>
    </row>
    <row r="833" spans="1:14" x14ac:dyDescent="0.35">
      <c r="A833" s="106">
        <f t="shared" si="157"/>
        <v>0</v>
      </c>
      <c r="B833" s="107" t="e">
        <f>VLOOKUP(A833,[1]Hoja3!$C$3:$D$14,2,FALSE)</f>
        <v>#N/A</v>
      </c>
      <c r="C833" s="108"/>
      <c r="D833" s="108"/>
      <c r="E833" s="109"/>
      <c r="F833" s="109"/>
      <c r="G833" s="110" t="e">
        <f t="shared" si="155"/>
        <v>#N/A</v>
      </c>
      <c r="H833" s="252"/>
      <c r="I833" s="102" t="e">
        <f t="shared" si="156"/>
        <v>#N/A</v>
      </c>
      <c r="J833">
        <f t="shared" si="154"/>
        <v>0</v>
      </c>
      <c r="K833" t="e">
        <f t="shared" si="158"/>
        <v>#N/A</v>
      </c>
      <c r="L833" s="111">
        <f t="shared" si="159"/>
        <v>0</v>
      </c>
      <c r="M833" s="112">
        <f t="shared" si="160"/>
        <v>0</v>
      </c>
      <c r="N833" s="112">
        <f t="shared" si="161"/>
        <v>0</v>
      </c>
    </row>
    <row r="834" spans="1:14" x14ac:dyDescent="0.35">
      <c r="A834" s="106">
        <f t="shared" si="157"/>
        <v>0</v>
      </c>
      <c r="B834" s="107" t="e">
        <f>VLOOKUP(A834,[1]Hoja3!$C$3:$D$14,2,FALSE)</f>
        <v>#N/A</v>
      </c>
      <c r="C834" s="108"/>
      <c r="D834" s="108"/>
      <c r="E834" s="109"/>
      <c r="F834" s="109"/>
      <c r="G834" s="110" t="e">
        <f t="shared" si="155"/>
        <v>#N/A</v>
      </c>
      <c r="H834" s="252"/>
      <c r="I834" s="102" t="e">
        <f t="shared" si="156"/>
        <v>#N/A</v>
      </c>
      <c r="J834">
        <f t="shared" si="154"/>
        <v>0</v>
      </c>
      <c r="K834" t="e">
        <f t="shared" si="158"/>
        <v>#N/A</v>
      </c>
      <c r="L834" s="111">
        <f t="shared" si="159"/>
        <v>0</v>
      </c>
      <c r="M834" s="112">
        <f t="shared" si="160"/>
        <v>0</v>
      </c>
      <c r="N834" s="112">
        <f t="shared" si="161"/>
        <v>0</v>
      </c>
    </row>
    <row r="835" spans="1:14" x14ac:dyDescent="0.35">
      <c r="A835" s="106">
        <f t="shared" si="157"/>
        <v>0</v>
      </c>
      <c r="B835" s="107" t="e">
        <f>VLOOKUP(A835,[1]Hoja3!$C$3:$D$14,2,FALSE)</f>
        <v>#N/A</v>
      </c>
      <c r="C835" s="108"/>
      <c r="D835" s="108"/>
      <c r="E835" s="109"/>
      <c r="F835" s="109"/>
      <c r="G835" s="110" t="e">
        <f t="shared" si="155"/>
        <v>#N/A</v>
      </c>
      <c r="H835" s="252"/>
      <c r="I835" s="102" t="e">
        <f t="shared" si="156"/>
        <v>#N/A</v>
      </c>
      <c r="J835">
        <f t="shared" si="154"/>
        <v>0</v>
      </c>
      <c r="K835" t="e">
        <f t="shared" si="158"/>
        <v>#N/A</v>
      </c>
      <c r="L835" s="111">
        <f t="shared" si="159"/>
        <v>0</v>
      </c>
      <c r="M835" s="112">
        <f t="shared" si="160"/>
        <v>0</v>
      </c>
      <c r="N835" s="112">
        <f t="shared" si="161"/>
        <v>0</v>
      </c>
    </row>
    <row r="836" spans="1:14" x14ac:dyDescent="0.35">
      <c r="A836" s="106">
        <f t="shared" si="157"/>
        <v>0</v>
      </c>
      <c r="B836" s="107" t="e">
        <f>VLOOKUP(A836,[1]Hoja3!$C$3:$D$14,2,FALSE)</f>
        <v>#N/A</v>
      </c>
      <c r="C836" s="108"/>
      <c r="D836" s="108"/>
      <c r="E836" s="109"/>
      <c r="F836" s="109"/>
      <c r="G836" s="110" t="e">
        <f t="shared" si="155"/>
        <v>#N/A</v>
      </c>
      <c r="H836" s="252"/>
      <c r="I836" s="102" t="e">
        <f t="shared" si="156"/>
        <v>#N/A</v>
      </c>
      <c r="J836">
        <f t="shared" si="154"/>
        <v>0</v>
      </c>
      <c r="K836" t="e">
        <f t="shared" si="158"/>
        <v>#N/A</v>
      </c>
      <c r="L836" s="111">
        <f t="shared" si="159"/>
        <v>0</v>
      </c>
      <c r="M836" s="112">
        <f t="shared" si="160"/>
        <v>0</v>
      </c>
      <c r="N836" s="112">
        <f t="shared" si="161"/>
        <v>0</v>
      </c>
    </row>
    <row r="837" spans="1:14" x14ac:dyDescent="0.35">
      <c r="A837" s="106">
        <f t="shared" si="157"/>
        <v>0</v>
      </c>
      <c r="B837" s="107" t="e">
        <f>VLOOKUP(A837,[1]Hoja3!$C$3:$D$14,2,FALSE)</f>
        <v>#N/A</v>
      </c>
      <c r="C837" s="108"/>
      <c r="D837" s="108"/>
      <c r="E837" s="109"/>
      <c r="F837" s="109"/>
      <c r="G837" s="110" t="e">
        <f t="shared" si="155"/>
        <v>#N/A</v>
      </c>
      <c r="H837" s="252"/>
      <c r="I837" s="102" t="e">
        <f t="shared" si="156"/>
        <v>#N/A</v>
      </c>
      <c r="J837">
        <f t="shared" si="154"/>
        <v>0</v>
      </c>
      <c r="K837" t="e">
        <f t="shared" si="158"/>
        <v>#N/A</v>
      </c>
      <c r="L837" s="111">
        <f t="shared" si="159"/>
        <v>0</v>
      </c>
      <c r="M837" s="112">
        <f t="shared" si="160"/>
        <v>0</v>
      </c>
      <c r="N837" s="112">
        <f t="shared" si="161"/>
        <v>0</v>
      </c>
    </row>
    <row r="838" spans="1:14" x14ac:dyDescent="0.35">
      <c r="A838" s="106">
        <f t="shared" si="157"/>
        <v>0</v>
      </c>
      <c r="B838" s="107" t="e">
        <f>VLOOKUP(A838,[1]Hoja3!$C$3:$D$14,2,FALSE)</f>
        <v>#N/A</v>
      </c>
      <c r="C838" s="108"/>
      <c r="D838" s="108"/>
      <c r="E838" s="109"/>
      <c r="F838" s="109"/>
      <c r="G838" s="110" t="e">
        <f t="shared" si="155"/>
        <v>#N/A</v>
      </c>
      <c r="H838" s="252"/>
      <c r="I838" s="102" t="e">
        <f t="shared" si="156"/>
        <v>#N/A</v>
      </c>
      <c r="J838">
        <f t="shared" si="154"/>
        <v>0</v>
      </c>
      <c r="K838" t="e">
        <f t="shared" si="158"/>
        <v>#N/A</v>
      </c>
      <c r="L838" s="111">
        <f t="shared" si="159"/>
        <v>0</v>
      </c>
      <c r="M838" s="112">
        <f t="shared" si="160"/>
        <v>0</v>
      </c>
      <c r="N838" s="112">
        <f t="shared" si="161"/>
        <v>0</v>
      </c>
    </row>
    <row r="839" spans="1:14" x14ac:dyDescent="0.35">
      <c r="A839" s="106">
        <f t="shared" si="157"/>
        <v>0</v>
      </c>
      <c r="B839" s="107" t="e">
        <f>VLOOKUP(A839,[1]Hoja3!$C$3:$D$14,2,FALSE)</f>
        <v>#N/A</v>
      </c>
      <c r="C839" s="108"/>
      <c r="D839" s="108"/>
      <c r="E839" s="109"/>
      <c r="F839" s="109"/>
      <c r="G839" s="110" t="e">
        <f t="shared" si="155"/>
        <v>#N/A</v>
      </c>
      <c r="H839" s="252"/>
      <c r="I839" s="102" t="e">
        <f t="shared" si="156"/>
        <v>#N/A</v>
      </c>
      <c r="J839">
        <f t="shared" si="154"/>
        <v>0</v>
      </c>
      <c r="K839" t="e">
        <f t="shared" si="158"/>
        <v>#N/A</v>
      </c>
      <c r="L839" s="111">
        <f t="shared" si="159"/>
        <v>0</v>
      </c>
      <c r="M839" s="112">
        <f t="shared" si="160"/>
        <v>0</v>
      </c>
      <c r="N839" s="112">
        <f t="shared" si="161"/>
        <v>0</v>
      </c>
    </row>
    <row r="840" spans="1:14" x14ac:dyDescent="0.35">
      <c r="A840" s="106">
        <f t="shared" si="157"/>
        <v>0</v>
      </c>
      <c r="B840" s="107" t="e">
        <f>VLOOKUP(A840,[1]Hoja3!$C$3:$D$14,2,FALSE)</f>
        <v>#N/A</v>
      </c>
      <c r="C840" s="108"/>
      <c r="D840" s="108"/>
      <c r="E840" s="109"/>
      <c r="F840" s="109"/>
      <c r="G840" s="110" t="e">
        <f t="shared" si="155"/>
        <v>#N/A</v>
      </c>
      <c r="H840" s="252"/>
      <c r="I840" s="102" t="e">
        <f t="shared" si="156"/>
        <v>#N/A</v>
      </c>
      <c r="J840">
        <f t="shared" ref="J840:J903" si="162">+H840*0.16</f>
        <v>0</v>
      </c>
      <c r="K840" t="e">
        <f t="shared" si="158"/>
        <v>#N/A</v>
      </c>
      <c r="L840" s="111">
        <f t="shared" si="159"/>
        <v>0</v>
      </c>
      <c r="M840" s="112">
        <f t="shared" si="160"/>
        <v>0</v>
      </c>
      <c r="N840" s="112">
        <f t="shared" si="161"/>
        <v>0</v>
      </c>
    </row>
    <row r="841" spans="1:14" x14ac:dyDescent="0.35">
      <c r="A841" s="106">
        <f t="shared" si="157"/>
        <v>0</v>
      </c>
      <c r="B841" s="107" t="e">
        <f>VLOOKUP(A841,[1]Hoja3!$C$3:$D$14,2,FALSE)</f>
        <v>#N/A</v>
      </c>
      <c r="C841" s="108"/>
      <c r="D841" s="108"/>
      <c r="E841" s="109"/>
      <c r="F841" s="109"/>
      <c r="G841" s="110" t="e">
        <f t="shared" si="155"/>
        <v>#N/A</v>
      </c>
      <c r="H841" s="252"/>
      <c r="I841" s="102" t="e">
        <f t="shared" si="156"/>
        <v>#N/A</v>
      </c>
      <c r="J841">
        <f t="shared" si="162"/>
        <v>0</v>
      </c>
      <c r="K841" t="e">
        <f t="shared" si="158"/>
        <v>#N/A</v>
      </c>
      <c r="L841" s="111">
        <f t="shared" si="159"/>
        <v>0</v>
      </c>
      <c r="M841" s="112">
        <f t="shared" si="160"/>
        <v>0</v>
      </c>
      <c r="N841" s="112">
        <f t="shared" si="161"/>
        <v>0</v>
      </c>
    </row>
    <row r="842" spans="1:14" x14ac:dyDescent="0.35">
      <c r="A842" s="106">
        <f t="shared" si="157"/>
        <v>0</v>
      </c>
      <c r="B842" s="107" t="e">
        <f>VLOOKUP(A842,[1]Hoja3!$C$3:$D$14,2,FALSE)</f>
        <v>#N/A</v>
      </c>
      <c r="C842" s="108"/>
      <c r="D842" s="108"/>
      <c r="E842" s="109"/>
      <c r="F842" s="109"/>
      <c r="G842" s="110" t="e">
        <f t="shared" si="155"/>
        <v>#N/A</v>
      </c>
      <c r="H842" s="252"/>
      <c r="I842" s="102" t="e">
        <f t="shared" si="156"/>
        <v>#N/A</v>
      </c>
      <c r="J842">
        <f t="shared" si="162"/>
        <v>0</v>
      </c>
      <c r="K842" t="e">
        <f t="shared" si="158"/>
        <v>#N/A</v>
      </c>
      <c r="L842" s="111">
        <f t="shared" si="159"/>
        <v>0</v>
      </c>
      <c r="M842" s="112">
        <f t="shared" si="160"/>
        <v>0</v>
      </c>
      <c r="N842" s="112">
        <f t="shared" si="161"/>
        <v>0</v>
      </c>
    </row>
    <row r="843" spans="1:14" x14ac:dyDescent="0.35">
      <c r="A843" s="106">
        <f t="shared" si="157"/>
        <v>0</v>
      </c>
      <c r="B843" s="107" t="e">
        <f>VLOOKUP(A843,[1]Hoja3!$C$3:$D$14,2,FALSE)</f>
        <v>#N/A</v>
      </c>
      <c r="C843" s="108"/>
      <c r="D843" s="108"/>
      <c r="E843" s="109"/>
      <c r="F843" s="109"/>
      <c r="G843" s="110" t="e">
        <f t="shared" si="155"/>
        <v>#N/A</v>
      </c>
      <c r="H843" s="252"/>
      <c r="I843" s="102" t="e">
        <f t="shared" si="156"/>
        <v>#N/A</v>
      </c>
      <c r="J843">
        <f t="shared" si="162"/>
        <v>0</v>
      </c>
      <c r="K843" t="e">
        <f t="shared" si="158"/>
        <v>#N/A</v>
      </c>
      <c r="L843" s="111">
        <f t="shared" si="159"/>
        <v>0</v>
      </c>
      <c r="M843" s="112">
        <f t="shared" si="160"/>
        <v>0</v>
      </c>
      <c r="N843" s="112">
        <f t="shared" si="161"/>
        <v>0</v>
      </c>
    </row>
    <row r="844" spans="1:14" x14ac:dyDescent="0.35">
      <c r="A844" s="106">
        <f t="shared" si="157"/>
        <v>0</v>
      </c>
      <c r="B844" s="107" t="e">
        <f>VLOOKUP(A844,[1]Hoja3!$C$3:$D$14,2,FALSE)</f>
        <v>#N/A</v>
      </c>
      <c r="C844" s="108"/>
      <c r="D844" s="108"/>
      <c r="E844" s="109"/>
      <c r="F844" s="109"/>
      <c r="G844" s="110" t="e">
        <f t="shared" ref="G844:G907" si="163">+B844</f>
        <v>#N/A</v>
      </c>
      <c r="H844" s="252"/>
      <c r="I844" s="102" t="e">
        <f t="shared" ref="I844:I907" si="164">+B844</f>
        <v>#N/A</v>
      </c>
      <c r="J844">
        <f t="shared" si="162"/>
        <v>0</v>
      </c>
      <c r="K844" t="e">
        <f t="shared" si="158"/>
        <v>#N/A</v>
      </c>
      <c r="L844" s="111">
        <f t="shared" si="159"/>
        <v>0</v>
      </c>
      <c r="M844" s="112">
        <f t="shared" si="160"/>
        <v>0</v>
      </c>
      <c r="N844" s="112">
        <f t="shared" si="161"/>
        <v>0</v>
      </c>
    </row>
    <row r="845" spans="1:14" x14ac:dyDescent="0.35">
      <c r="A845" s="106">
        <f t="shared" si="157"/>
        <v>0</v>
      </c>
      <c r="B845" s="107" t="e">
        <f>VLOOKUP(A845,[1]Hoja3!$C$3:$D$14,2,FALSE)</f>
        <v>#N/A</v>
      </c>
      <c r="C845" s="108"/>
      <c r="D845" s="108"/>
      <c r="E845" s="109"/>
      <c r="F845" s="109"/>
      <c r="G845" s="110" t="e">
        <f t="shared" si="163"/>
        <v>#N/A</v>
      </c>
      <c r="H845" s="252"/>
      <c r="I845" s="102" t="e">
        <f t="shared" si="164"/>
        <v>#N/A</v>
      </c>
      <c r="J845">
        <f t="shared" si="162"/>
        <v>0</v>
      </c>
      <c r="K845" t="e">
        <f t="shared" si="158"/>
        <v>#N/A</v>
      </c>
      <c r="L845" s="111">
        <f t="shared" si="159"/>
        <v>0</v>
      </c>
      <c r="M845" s="112">
        <f t="shared" si="160"/>
        <v>0</v>
      </c>
      <c r="N845" s="112">
        <f t="shared" si="161"/>
        <v>0</v>
      </c>
    </row>
    <row r="846" spans="1:14" x14ac:dyDescent="0.35">
      <c r="A846" s="106">
        <f t="shared" si="157"/>
        <v>0</v>
      </c>
      <c r="B846" s="107" t="e">
        <f>VLOOKUP(A846,[1]Hoja3!$C$3:$D$14,2,FALSE)</f>
        <v>#N/A</v>
      </c>
      <c r="C846" s="108"/>
      <c r="D846" s="108"/>
      <c r="E846" s="109"/>
      <c r="F846" s="109"/>
      <c r="G846" s="110" t="e">
        <f t="shared" si="163"/>
        <v>#N/A</v>
      </c>
      <c r="H846" s="252"/>
      <c r="I846" s="102" t="e">
        <f t="shared" si="164"/>
        <v>#N/A</v>
      </c>
      <c r="J846">
        <f t="shared" si="162"/>
        <v>0</v>
      </c>
      <c r="K846" t="e">
        <f t="shared" si="158"/>
        <v>#N/A</v>
      </c>
      <c r="L846" s="111">
        <f t="shared" si="159"/>
        <v>0</v>
      </c>
      <c r="M846" s="112">
        <f t="shared" si="160"/>
        <v>0</v>
      </c>
      <c r="N846" s="112">
        <f t="shared" si="161"/>
        <v>0</v>
      </c>
    </row>
    <row r="847" spans="1:14" x14ac:dyDescent="0.35">
      <c r="A847" s="106">
        <f t="shared" si="157"/>
        <v>0</v>
      </c>
      <c r="B847" s="107" t="e">
        <f>VLOOKUP(A847,[1]Hoja3!$C$3:$D$14,2,FALSE)</f>
        <v>#N/A</v>
      </c>
      <c r="C847" s="108"/>
      <c r="D847" s="108"/>
      <c r="E847" s="109"/>
      <c r="F847" s="109"/>
      <c r="G847" s="110" t="e">
        <f t="shared" si="163"/>
        <v>#N/A</v>
      </c>
      <c r="H847" s="252"/>
      <c r="I847" s="102" t="e">
        <f t="shared" si="164"/>
        <v>#N/A</v>
      </c>
      <c r="J847">
        <f t="shared" si="162"/>
        <v>0</v>
      </c>
      <c r="K847" t="e">
        <f t="shared" si="158"/>
        <v>#N/A</v>
      </c>
      <c r="L847" s="111">
        <f t="shared" si="159"/>
        <v>0</v>
      </c>
      <c r="M847" s="112">
        <f t="shared" si="160"/>
        <v>0</v>
      </c>
      <c r="N847" s="112">
        <f t="shared" si="161"/>
        <v>0</v>
      </c>
    </row>
    <row r="848" spans="1:14" x14ac:dyDescent="0.35">
      <c r="A848" s="106">
        <f t="shared" si="157"/>
        <v>0</v>
      </c>
      <c r="B848" s="107" t="e">
        <f>VLOOKUP(A848,[1]Hoja3!$C$3:$D$14,2,FALSE)</f>
        <v>#N/A</v>
      </c>
      <c r="C848" s="108"/>
      <c r="D848" s="108"/>
      <c r="E848" s="109"/>
      <c r="F848" s="109"/>
      <c r="G848" s="110" t="e">
        <f t="shared" si="163"/>
        <v>#N/A</v>
      </c>
      <c r="H848" s="252"/>
      <c r="I848" s="102" t="e">
        <f t="shared" si="164"/>
        <v>#N/A</v>
      </c>
      <c r="J848">
        <f t="shared" si="162"/>
        <v>0</v>
      </c>
      <c r="K848" t="e">
        <f t="shared" si="158"/>
        <v>#N/A</v>
      </c>
      <c r="L848" s="111">
        <f t="shared" si="159"/>
        <v>0</v>
      </c>
      <c r="M848" s="112">
        <f t="shared" si="160"/>
        <v>0</v>
      </c>
      <c r="N848" s="112">
        <f t="shared" si="161"/>
        <v>0</v>
      </c>
    </row>
    <row r="849" spans="1:14" x14ac:dyDescent="0.35">
      <c r="A849" s="106">
        <f t="shared" si="157"/>
        <v>0</v>
      </c>
      <c r="B849" s="107" t="e">
        <f>VLOOKUP(A849,[1]Hoja3!$C$3:$D$14,2,FALSE)</f>
        <v>#N/A</v>
      </c>
      <c r="C849" s="108"/>
      <c r="D849" s="108"/>
      <c r="E849" s="109"/>
      <c r="F849" s="109"/>
      <c r="G849" s="110" t="e">
        <f t="shared" si="163"/>
        <v>#N/A</v>
      </c>
      <c r="H849" s="252"/>
      <c r="I849" s="102" t="e">
        <f t="shared" si="164"/>
        <v>#N/A</v>
      </c>
      <c r="J849">
        <f t="shared" si="162"/>
        <v>0</v>
      </c>
      <c r="K849" t="e">
        <f t="shared" si="158"/>
        <v>#N/A</v>
      </c>
      <c r="L849" s="111">
        <f t="shared" si="159"/>
        <v>0</v>
      </c>
      <c r="M849" s="112">
        <f t="shared" si="160"/>
        <v>0</v>
      </c>
      <c r="N849" s="112">
        <f t="shared" si="161"/>
        <v>0</v>
      </c>
    </row>
    <row r="850" spans="1:14" x14ac:dyDescent="0.35">
      <c r="A850" s="106">
        <f t="shared" si="157"/>
        <v>0</v>
      </c>
      <c r="B850" s="107" t="e">
        <f>VLOOKUP(A850,[1]Hoja3!$C$3:$D$14,2,FALSE)</f>
        <v>#N/A</v>
      </c>
      <c r="C850" s="108"/>
      <c r="D850" s="108"/>
      <c r="E850" s="109"/>
      <c r="F850" s="109"/>
      <c r="G850" s="110" t="e">
        <f t="shared" si="163"/>
        <v>#N/A</v>
      </c>
      <c r="H850" s="252"/>
      <c r="I850" s="102" t="e">
        <f t="shared" si="164"/>
        <v>#N/A</v>
      </c>
      <c r="J850">
        <f t="shared" si="162"/>
        <v>0</v>
      </c>
      <c r="K850" t="e">
        <f t="shared" si="158"/>
        <v>#N/A</v>
      </c>
      <c r="L850" s="111">
        <f t="shared" si="159"/>
        <v>0</v>
      </c>
      <c r="M850" s="112">
        <f t="shared" si="160"/>
        <v>0</v>
      </c>
      <c r="N850" s="112">
        <f t="shared" si="161"/>
        <v>0</v>
      </c>
    </row>
    <row r="851" spans="1:14" x14ac:dyDescent="0.35">
      <c r="A851" s="106">
        <f t="shared" si="157"/>
        <v>0</v>
      </c>
      <c r="B851" s="107" t="e">
        <f>VLOOKUP(A851,[1]Hoja3!$C$3:$D$14,2,FALSE)</f>
        <v>#N/A</v>
      </c>
      <c r="C851" s="108"/>
      <c r="D851" s="108"/>
      <c r="E851" s="109"/>
      <c r="F851" s="109"/>
      <c r="G851" s="110" t="e">
        <f t="shared" si="163"/>
        <v>#N/A</v>
      </c>
      <c r="H851" s="252"/>
      <c r="I851" s="102" t="e">
        <f t="shared" si="164"/>
        <v>#N/A</v>
      </c>
      <c r="J851">
        <f t="shared" si="162"/>
        <v>0</v>
      </c>
      <c r="K851" t="e">
        <f t="shared" si="158"/>
        <v>#N/A</v>
      </c>
      <c r="L851" s="111">
        <f t="shared" si="159"/>
        <v>0</v>
      </c>
      <c r="M851" s="112">
        <f t="shared" si="160"/>
        <v>0</v>
      </c>
      <c r="N851" s="112">
        <f t="shared" si="161"/>
        <v>0</v>
      </c>
    </row>
    <row r="852" spans="1:14" x14ac:dyDescent="0.35">
      <c r="A852" s="106">
        <f t="shared" si="157"/>
        <v>0</v>
      </c>
      <c r="B852" s="107" t="e">
        <f>VLOOKUP(A852,[1]Hoja3!$C$3:$D$14,2,FALSE)</f>
        <v>#N/A</v>
      </c>
      <c r="C852" s="108"/>
      <c r="D852" s="108"/>
      <c r="E852" s="109"/>
      <c r="F852" s="109"/>
      <c r="G852" s="110" t="e">
        <f t="shared" si="163"/>
        <v>#N/A</v>
      </c>
      <c r="H852" s="252"/>
      <c r="I852" s="102" t="e">
        <f t="shared" si="164"/>
        <v>#N/A</v>
      </c>
      <c r="J852">
        <f t="shared" si="162"/>
        <v>0</v>
      </c>
      <c r="K852" t="e">
        <f t="shared" si="158"/>
        <v>#N/A</v>
      </c>
      <c r="L852" s="111">
        <f t="shared" si="159"/>
        <v>0</v>
      </c>
      <c r="M852" s="112">
        <f t="shared" si="160"/>
        <v>0</v>
      </c>
      <c r="N852" s="112">
        <f t="shared" si="161"/>
        <v>0</v>
      </c>
    </row>
    <row r="853" spans="1:14" x14ac:dyDescent="0.35">
      <c r="A853" s="106">
        <f t="shared" si="157"/>
        <v>0</v>
      </c>
      <c r="B853" s="107" t="e">
        <f>VLOOKUP(A853,[1]Hoja3!$C$3:$D$14,2,FALSE)</f>
        <v>#N/A</v>
      </c>
      <c r="C853" s="108"/>
      <c r="D853" s="108"/>
      <c r="E853" s="109"/>
      <c r="F853" s="109"/>
      <c r="G853" s="110" t="e">
        <f t="shared" si="163"/>
        <v>#N/A</v>
      </c>
      <c r="H853" s="252"/>
      <c r="I853" s="102" t="e">
        <f t="shared" si="164"/>
        <v>#N/A</v>
      </c>
      <c r="J853">
        <f t="shared" si="162"/>
        <v>0</v>
      </c>
      <c r="K853" t="e">
        <f t="shared" si="158"/>
        <v>#N/A</v>
      </c>
      <c r="L853" s="111">
        <f t="shared" si="159"/>
        <v>0</v>
      </c>
      <c r="M853" s="112">
        <f t="shared" si="160"/>
        <v>0</v>
      </c>
      <c r="N853" s="112">
        <f t="shared" si="161"/>
        <v>0</v>
      </c>
    </row>
    <row r="854" spans="1:14" x14ac:dyDescent="0.35">
      <c r="A854" s="106">
        <f t="shared" si="157"/>
        <v>0</v>
      </c>
      <c r="B854" s="107" t="e">
        <f>VLOOKUP(A854,[1]Hoja3!$C$3:$D$14,2,FALSE)</f>
        <v>#N/A</v>
      </c>
      <c r="C854" s="108"/>
      <c r="D854" s="108"/>
      <c r="E854" s="109"/>
      <c r="F854" s="109"/>
      <c r="G854" s="110" t="e">
        <f t="shared" si="163"/>
        <v>#N/A</v>
      </c>
      <c r="H854" s="252"/>
      <c r="I854" s="102" t="e">
        <f t="shared" si="164"/>
        <v>#N/A</v>
      </c>
      <c r="J854">
        <f t="shared" si="162"/>
        <v>0</v>
      </c>
      <c r="K854" t="e">
        <f t="shared" si="158"/>
        <v>#N/A</v>
      </c>
      <c r="L854" s="111">
        <f t="shared" si="159"/>
        <v>0</v>
      </c>
      <c r="M854" s="112">
        <f t="shared" si="160"/>
        <v>0</v>
      </c>
      <c r="N854" s="112">
        <f t="shared" si="161"/>
        <v>0</v>
      </c>
    </row>
    <row r="855" spans="1:14" x14ac:dyDescent="0.35">
      <c r="A855" s="106">
        <f t="shared" si="157"/>
        <v>0</v>
      </c>
      <c r="B855" s="107" t="e">
        <f>VLOOKUP(A855,[1]Hoja3!$C$3:$D$14,2,FALSE)</f>
        <v>#N/A</v>
      </c>
      <c r="C855" s="108"/>
      <c r="D855" s="108"/>
      <c r="E855" s="109"/>
      <c r="F855" s="109"/>
      <c r="G855" s="110" t="e">
        <f t="shared" si="163"/>
        <v>#N/A</v>
      </c>
      <c r="H855" s="252"/>
      <c r="I855" s="102" t="e">
        <f t="shared" si="164"/>
        <v>#N/A</v>
      </c>
      <c r="J855">
        <f t="shared" si="162"/>
        <v>0</v>
      </c>
      <c r="K855" t="e">
        <f t="shared" si="158"/>
        <v>#N/A</v>
      </c>
      <c r="L855" s="111">
        <f t="shared" si="159"/>
        <v>0</v>
      </c>
      <c r="M855" s="112">
        <f t="shared" si="160"/>
        <v>0</v>
      </c>
      <c r="N855" s="112">
        <f t="shared" si="161"/>
        <v>0</v>
      </c>
    </row>
    <row r="856" spans="1:14" x14ac:dyDescent="0.35">
      <c r="A856" s="106">
        <f t="shared" si="157"/>
        <v>0</v>
      </c>
      <c r="B856" s="107" t="e">
        <f>VLOOKUP(A856,[1]Hoja3!$C$3:$D$14,2,FALSE)</f>
        <v>#N/A</v>
      </c>
      <c r="C856" s="108"/>
      <c r="D856" s="108"/>
      <c r="E856" s="109"/>
      <c r="F856" s="109"/>
      <c r="G856" s="110" t="e">
        <f t="shared" si="163"/>
        <v>#N/A</v>
      </c>
      <c r="H856" s="252"/>
      <c r="I856" s="102" t="e">
        <f t="shared" si="164"/>
        <v>#N/A</v>
      </c>
      <c r="J856">
        <f t="shared" si="162"/>
        <v>0</v>
      </c>
      <c r="K856" t="e">
        <f t="shared" si="158"/>
        <v>#N/A</v>
      </c>
      <c r="L856" s="111">
        <f t="shared" si="159"/>
        <v>0</v>
      </c>
      <c r="M856" s="112">
        <f t="shared" si="160"/>
        <v>0</v>
      </c>
      <c r="N856" s="112">
        <f t="shared" si="161"/>
        <v>0</v>
      </c>
    </row>
    <row r="857" spans="1:14" x14ac:dyDescent="0.35">
      <c r="A857" s="106">
        <f t="shared" si="157"/>
        <v>0</v>
      </c>
      <c r="B857" s="107" t="e">
        <f>VLOOKUP(A857,[1]Hoja3!$C$3:$D$14,2,FALSE)</f>
        <v>#N/A</v>
      </c>
      <c r="C857" s="108"/>
      <c r="D857" s="108"/>
      <c r="E857" s="109"/>
      <c r="F857" s="109"/>
      <c r="G857" s="110" t="e">
        <f t="shared" si="163"/>
        <v>#N/A</v>
      </c>
      <c r="H857" s="252"/>
      <c r="I857" s="102" t="e">
        <f t="shared" si="164"/>
        <v>#N/A</v>
      </c>
      <c r="J857">
        <f t="shared" si="162"/>
        <v>0</v>
      </c>
      <c r="K857" t="e">
        <f t="shared" si="158"/>
        <v>#N/A</v>
      </c>
      <c r="L857" s="111">
        <f t="shared" si="159"/>
        <v>0</v>
      </c>
      <c r="M857" s="112">
        <f t="shared" si="160"/>
        <v>0</v>
      </c>
      <c r="N857" s="112">
        <f t="shared" si="161"/>
        <v>0</v>
      </c>
    </row>
    <row r="858" spans="1:14" x14ac:dyDescent="0.35">
      <c r="A858" s="106">
        <f t="shared" si="157"/>
        <v>0</v>
      </c>
      <c r="B858" s="107" t="e">
        <f>VLOOKUP(A858,[1]Hoja3!$C$3:$D$14,2,FALSE)</f>
        <v>#N/A</v>
      </c>
      <c r="C858" s="108"/>
      <c r="D858" s="108"/>
      <c r="E858" s="109"/>
      <c r="F858" s="109"/>
      <c r="G858" s="110" t="e">
        <f t="shared" si="163"/>
        <v>#N/A</v>
      </c>
      <c r="H858" s="252"/>
      <c r="I858" s="102" t="e">
        <f t="shared" si="164"/>
        <v>#N/A</v>
      </c>
      <c r="J858">
        <f t="shared" si="162"/>
        <v>0</v>
      </c>
      <c r="K858" t="e">
        <f t="shared" si="158"/>
        <v>#N/A</v>
      </c>
      <c r="L858" s="111">
        <f t="shared" si="159"/>
        <v>0</v>
      </c>
      <c r="M858" s="112">
        <f t="shared" si="160"/>
        <v>0</v>
      </c>
      <c r="N858" s="112">
        <f t="shared" si="161"/>
        <v>0</v>
      </c>
    </row>
    <row r="859" spans="1:14" x14ac:dyDescent="0.35">
      <c r="A859" s="106">
        <f t="shared" si="157"/>
        <v>0</v>
      </c>
      <c r="B859" s="107" t="e">
        <f>VLOOKUP(A859,[1]Hoja3!$C$3:$D$14,2,FALSE)</f>
        <v>#N/A</v>
      </c>
      <c r="C859" s="108"/>
      <c r="D859" s="108"/>
      <c r="E859" s="109"/>
      <c r="F859" s="109"/>
      <c r="G859" s="110" t="e">
        <f t="shared" si="163"/>
        <v>#N/A</v>
      </c>
      <c r="H859" s="252"/>
      <c r="I859" s="102" t="e">
        <f t="shared" si="164"/>
        <v>#N/A</v>
      </c>
      <c r="J859">
        <f t="shared" si="162"/>
        <v>0</v>
      </c>
      <c r="K859" t="e">
        <f t="shared" si="158"/>
        <v>#N/A</v>
      </c>
      <c r="L859" s="111">
        <f t="shared" si="159"/>
        <v>0</v>
      </c>
      <c r="M859" s="112">
        <f t="shared" si="160"/>
        <v>0</v>
      </c>
      <c r="N859" s="112">
        <f t="shared" si="161"/>
        <v>0</v>
      </c>
    </row>
    <row r="860" spans="1:14" x14ac:dyDescent="0.35">
      <c r="A860" s="106">
        <f t="shared" si="157"/>
        <v>0</v>
      </c>
      <c r="B860" s="107" t="e">
        <f>VLOOKUP(A860,[1]Hoja3!$C$3:$D$14,2,FALSE)</f>
        <v>#N/A</v>
      </c>
      <c r="C860" s="108"/>
      <c r="D860" s="108"/>
      <c r="E860" s="109"/>
      <c r="F860" s="109"/>
      <c r="G860" s="110" t="e">
        <f t="shared" si="163"/>
        <v>#N/A</v>
      </c>
      <c r="H860" s="252"/>
      <c r="I860" s="102" t="e">
        <f t="shared" si="164"/>
        <v>#N/A</v>
      </c>
      <c r="J860">
        <f t="shared" si="162"/>
        <v>0</v>
      </c>
      <c r="K860" t="e">
        <f t="shared" si="158"/>
        <v>#N/A</v>
      </c>
      <c r="L860" s="111">
        <f t="shared" si="159"/>
        <v>0</v>
      </c>
      <c r="M860" s="112">
        <f t="shared" si="160"/>
        <v>0</v>
      </c>
      <c r="N860" s="112">
        <f t="shared" si="161"/>
        <v>0</v>
      </c>
    </row>
    <row r="861" spans="1:14" x14ac:dyDescent="0.35">
      <c r="A861" s="106">
        <f t="shared" si="157"/>
        <v>0</v>
      </c>
      <c r="B861" s="107" t="e">
        <f>VLOOKUP(A861,[1]Hoja3!$C$3:$D$14,2,FALSE)</f>
        <v>#N/A</v>
      </c>
      <c r="C861" s="108"/>
      <c r="D861" s="108"/>
      <c r="E861" s="109"/>
      <c r="F861" s="109"/>
      <c r="G861" s="110" t="e">
        <f t="shared" si="163"/>
        <v>#N/A</v>
      </c>
      <c r="H861" s="252"/>
      <c r="I861" s="102" t="e">
        <f t="shared" si="164"/>
        <v>#N/A</v>
      </c>
      <c r="J861">
        <f t="shared" si="162"/>
        <v>0</v>
      </c>
      <c r="K861" t="e">
        <f t="shared" si="158"/>
        <v>#N/A</v>
      </c>
      <c r="L861" s="111">
        <f t="shared" si="159"/>
        <v>0</v>
      </c>
      <c r="M861" s="112">
        <f t="shared" si="160"/>
        <v>0</v>
      </c>
      <c r="N861" s="112">
        <f t="shared" si="161"/>
        <v>0</v>
      </c>
    </row>
    <row r="862" spans="1:14" x14ac:dyDescent="0.35">
      <c r="A862" s="106">
        <f t="shared" si="157"/>
        <v>0</v>
      </c>
      <c r="B862" s="107" t="e">
        <f>VLOOKUP(A862,[1]Hoja3!$C$3:$D$14,2,FALSE)</f>
        <v>#N/A</v>
      </c>
      <c r="C862" s="108"/>
      <c r="D862" s="108"/>
      <c r="E862" s="109"/>
      <c r="F862" s="109"/>
      <c r="G862" s="110" t="e">
        <f t="shared" si="163"/>
        <v>#N/A</v>
      </c>
      <c r="H862" s="252"/>
      <c r="I862" s="102" t="e">
        <f t="shared" si="164"/>
        <v>#N/A</v>
      </c>
      <c r="J862">
        <f t="shared" si="162"/>
        <v>0</v>
      </c>
      <c r="K862" t="e">
        <f t="shared" si="158"/>
        <v>#N/A</v>
      </c>
      <c r="L862" s="111">
        <f t="shared" si="159"/>
        <v>0</v>
      </c>
      <c r="M862" s="112">
        <f t="shared" si="160"/>
        <v>0</v>
      </c>
      <c r="N862" s="112">
        <f t="shared" si="161"/>
        <v>0</v>
      </c>
    </row>
    <row r="863" spans="1:14" x14ac:dyDescent="0.35">
      <c r="A863" s="106">
        <f t="shared" si="157"/>
        <v>0</v>
      </c>
      <c r="B863" s="107" t="e">
        <f>VLOOKUP(A863,[1]Hoja3!$C$3:$D$14,2,FALSE)</f>
        <v>#N/A</v>
      </c>
      <c r="C863" s="108"/>
      <c r="D863" s="108"/>
      <c r="E863" s="109"/>
      <c r="F863" s="109"/>
      <c r="G863" s="110" t="e">
        <f t="shared" si="163"/>
        <v>#N/A</v>
      </c>
      <c r="H863" s="252"/>
      <c r="I863" s="102" t="e">
        <f t="shared" si="164"/>
        <v>#N/A</v>
      </c>
      <c r="J863">
        <f t="shared" si="162"/>
        <v>0</v>
      </c>
      <c r="K863" t="e">
        <f t="shared" si="158"/>
        <v>#N/A</v>
      </c>
      <c r="L863" s="111">
        <f t="shared" si="159"/>
        <v>0</v>
      </c>
      <c r="M863" s="112">
        <f t="shared" si="160"/>
        <v>0</v>
      </c>
      <c r="N863" s="112">
        <f t="shared" si="161"/>
        <v>0</v>
      </c>
    </row>
    <row r="864" spans="1:14" x14ac:dyDescent="0.35">
      <c r="A864" s="106">
        <f t="shared" si="157"/>
        <v>0</v>
      </c>
      <c r="B864" s="107" t="e">
        <f>VLOOKUP(A864,[1]Hoja3!$C$3:$D$14,2,FALSE)</f>
        <v>#N/A</v>
      </c>
      <c r="C864" s="108"/>
      <c r="D864" s="108"/>
      <c r="E864" s="109"/>
      <c r="F864" s="109"/>
      <c r="G864" s="110" t="e">
        <f t="shared" si="163"/>
        <v>#N/A</v>
      </c>
      <c r="H864" s="252"/>
      <c r="I864" s="102" t="e">
        <f t="shared" si="164"/>
        <v>#N/A</v>
      </c>
      <c r="J864">
        <f t="shared" si="162"/>
        <v>0</v>
      </c>
      <c r="K864" t="e">
        <f t="shared" si="158"/>
        <v>#N/A</v>
      </c>
      <c r="L864" s="111">
        <f t="shared" si="159"/>
        <v>0</v>
      </c>
      <c r="M864" s="112">
        <f t="shared" si="160"/>
        <v>0</v>
      </c>
      <c r="N864" s="112">
        <f t="shared" si="161"/>
        <v>0</v>
      </c>
    </row>
    <row r="865" spans="1:14" x14ac:dyDescent="0.35">
      <c r="A865" s="106">
        <f t="shared" ref="A865:A928" si="165">IF(C865&gt;0,MONTH(C865),0)</f>
        <v>0</v>
      </c>
      <c r="B865" s="107" t="e">
        <f>VLOOKUP(A865,[1]Hoja3!$C$3:$D$14,2,FALSE)</f>
        <v>#N/A</v>
      </c>
      <c r="C865" s="108"/>
      <c r="D865" s="108"/>
      <c r="E865" s="109"/>
      <c r="F865" s="109"/>
      <c r="G865" s="110" t="e">
        <f t="shared" si="163"/>
        <v>#N/A</v>
      </c>
      <c r="H865" s="252"/>
      <c r="I865" s="102" t="e">
        <f t="shared" si="164"/>
        <v>#N/A</v>
      </c>
      <c r="J865">
        <f t="shared" si="162"/>
        <v>0</v>
      </c>
      <c r="K865" t="e">
        <f t="shared" ref="K865:K928" si="166">+B865</f>
        <v>#N/A</v>
      </c>
      <c r="L865" s="111">
        <f t="shared" ref="L865:L928" si="167">+J865/0.16</f>
        <v>0</v>
      </c>
      <c r="M865" s="112">
        <f t="shared" ref="M865:M928" si="168">+H865-L865</f>
        <v>0</v>
      </c>
      <c r="N865" s="112">
        <f t="shared" ref="N865:N928" si="169">+H865+J865</f>
        <v>0</v>
      </c>
    </row>
    <row r="866" spans="1:14" x14ac:dyDescent="0.35">
      <c r="A866" s="106">
        <f t="shared" si="165"/>
        <v>0</v>
      </c>
      <c r="B866" s="107" t="e">
        <f>VLOOKUP(A866,[1]Hoja3!$C$3:$D$14,2,FALSE)</f>
        <v>#N/A</v>
      </c>
      <c r="C866" s="108"/>
      <c r="D866" s="108"/>
      <c r="E866" s="109"/>
      <c r="F866" s="109"/>
      <c r="G866" s="110" t="e">
        <f t="shared" si="163"/>
        <v>#N/A</v>
      </c>
      <c r="H866" s="252"/>
      <c r="I866" s="102" t="e">
        <f t="shared" si="164"/>
        <v>#N/A</v>
      </c>
      <c r="J866">
        <f t="shared" si="162"/>
        <v>0</v>
      </c>
      <c r="K866" t="e">
        <f t="shared" si="166"/>
        <v>#N/A</v>
      </c>
      <c r="L866" s="111">
        <f t="shared" si="167"/>
        <v>0</v>
      </c>
      <c r="M866" s="112">
        <f t="shared" si="168"/>
        <v>0</v>
      </c>
      <c r="N866" s="112">
        <f t="shared" si="169"/>
        <v>0</v>
      </c>
    </row>
    <row r="867" spans="1:14" x14ac:dyDescent="0.35">
      <c r="A867" s="106">
        <f t="shared" si="165"/>
        <v>0</v>
      </c>
      <c r="B867" s="107" t="e">
        <f>VLOOKUP(A867,[1]Hoja3!$C$3:$D$14,2,FALSE)</f>
        <v>#N/A</v>
      </c>
      <c r="C867" s="108"/>
      <c r="D867" s="108"/>
      <c r="E867" s="109"/>
      <c r="F867" s="109"/>
      <c r="G867" s="110" t="e">
        <f t="shared" si="163"/>
        <v>#N/A</v>
      </c>
      <c r="H867" s="252"/>
      <c r="I867" s="102" t="e">
        <f t="shared" si="164"/>
        <v>#N/A</v>
      </c>
      <c r="J867">
        <f t="shared" si="162"/>
        <v>0</v>
      </c>
      <c r="K867" t="e">
        <f t="shared" si="166"/>
        <v>#N/A</v>
      </c>
      <c r="L867" s="111">
        <f t="shared" si="167"/>
        <v>0</v>
      </c>
      <c r="M867" s="112">
        <f t="shared" si="168"/>
        <v>0</v>
      </c>
      <c r="N867" s="112">
        <f t="shared" si="169"/>
        <v>0</v>
      </c>
    </row>
    <row r="868" spans="1:14" x14ac:dyDescent="0.35">
      <c r="A868" s="106">
        <f t="shared" si="165"/>
        <v>0</v>
      </c>
      <c r="B868" s="107" t="e">
        <f>VLOOKUP(A868,[1]Hoja3!$C$3:$D$14,2,FALSE)</f>
        <v>#N/A</v>
      </c>
      <c r="C868" s="108"/>
      <c r="D868" s="108"/>
      <c r="E868" s="109"/>
      <c r="F868" s="109"/>
      <c r="G868" s="110" t="e">
        <f t="shared" si="163"/>
        <v>#N/A</v>
      </c>
      <c r="H868" s="252"/>
      <c r="I868" s="102" t="e">
        <f t="shared" si="164"/>
        <v>#N/A</v>
      </c>
      <c r="J868">
        <f t="shared" si="162"/>
        <v>0</v>
      </c>
      <c r="K868" t="e">
        <f t="shared" si="166"/>
        <v>#N/A</v>
      </c>
      <c r="L868" s="111">
        <f t="shared" si="167"/>
        <v>0</v>
      </c>
      <c r="M868" s="112">
        <f t="shared" si="168"/>
        <v>0</v>
      </c>
      <c r="N868" s="112">
        <f t="shared" si="169"/>
        <v>0</v>
      </c>
    </row>
    <row r="869" spans="1:14" x14ac:dyDescent="0.35">
      <c r="A869" s="106">
        <f t="shared" si="165"/>
        <v>0</v>
      </c>
      <c r="B869" s="107" t="e">
        <f>VLOOKUP(A869,[1]Hoja3!$C$3:$D$14,2,FALSE)</f>
        <v>#N/A</v>
      </c>
      <c r="C869" s="108"/>
      <c r="D869" s="108"/>
      <c r="E869" s="109"/>
      <c r="F869" s="109"/>
      <c r="G869" s="110" t="e">
        <f t="shared" si="163"/>
        <v>#N/A</v>
      </c>
      <c r="H869" s="252"/>
      <c r="I869" s="102" t="e">
        <f t="shared" si="164"/>
        <v>#N/A</v>
      </c>
      <c r="J869">
        <f t="shared" si="162"/>
        <v>0</v>
      </c>
      <c r="K869" t="e">
        <f t="shared" si="166"/>
        <v>#N/A</v>
      </c>
      <c r="L869" s="111">
        <f t="shared" si="167"/>
        <v>0</v>
      </c>
      <c r="M869" s="112">
        <f t="shared" si="168"/>
        <v>0</v>
      </c>
      <c r="N869" s="112">
        <f t="shared" si="169"/>
        <v>0</v>
      </c>
    </row>
    <row r="870" spans="1:14" x14ac:dyDescent="0.35">
      <c r="A870" s="106">
        <f t="shared" si="165"/>
        <v>0</v>
      </c>
      <c r="B870" s="107" t="e">
        <f>VLOOKUP(A870,[1]Hoja3!$C$3:$D$14,2,FALSE)</f>
        <v>#N/A</v>
      </c>
      <c r="C870" s="108"/>
      <c r="D870" s="108"/>
      <c r="E870" s="109"/>
      <c r="F870" s="109"/>
      <c r="G870" s="110" t="e">
        <f t="shared" si="163"/>
        <v>#N/A</v>
      </c>
      <c r="H870" s="252"/>
      <c r="I870" s="102" t="e">
        <f t="shared" si="164"/>
        <v>#N/A</v>
      </c>
      <c r="J870">
        <f t="shared" si="162"/>
        <v>0</v>
      </c>
      <c r="K870" t="e">
        <f t="shared" si="166"/>
        <v>#N/A</v>
      </c>
      <c r="L870" s="111">
        <f t="shared" si="167"/>
        <v>0</v>
      </c>
      <c r="M870" s="112">
        <f t="shared" si="168"/>
        <v>0</v>
      </c>
      <c r="N870" s="112">
        <f t="shared" si="169"/>
        <v>0</v>
      </c>
    </row>
    <row r="871" spans="1:14" x14ac:dyDescent="0.35">
      <c r="A871" s="106">
        <f t="shared" si="165"/>
        <v>0</v>
      </c>
      <c r="B871" s="107" t="e">
        <f>VLOOKUP(A871,[1]Hoja3!$C$3:$D$14,2,FALSE)</f>
        <v>#N/A</v>
      </c>
      <c r="C871" s="108"/>
      <c r="D871" s="108"/>
      <c r="E871" s="109"/>
      <c r="F871" s="109"/>
      <c r="G871" s="110" t="e">
        <f t="shared" si="163"/>
        <v>#N/A</v>
      </c>
      <c r="H871" s="252"/>
      <c r="I871" s="102" t="e">
        <f t="shared" si="164"/>
        <v>#N/A</v>
      </c>
      <c r="J871">
        <f t="shared" si="162"/>
        <v>0</v>
      </c>
      <c r="K871" t="e">
        <f t="shared" si="166"/>
        <v>#N/A</v>
      </c>
      <c r="L871" s="111">
        <f t="shared" si="167"/>
        <v>0</v>
      </c>
      <c r="M871" s="112">
        <f t="shared" si="168"/>
        <v>0</v>
      </c>
      <c r="N871" s="112">
        <f t="shared" si="169"/>
        <v>0</v>
      </c>
    </row>
    <row r="872" spans="1:14" x14ac:dyDescent="0.35">
      <c r="A872" s="106">
        <f t="shared" si="165"/>
        <v>0</v>
      </c>
      <c r="B872" s="107" t="e">
        <f>VLOOKUP(A872,[1]Hoja3!$C$3:$D$14,2,FALSE)</f>
        <v>#N/A</v>
      </c>
      <c r="C872" s="108"/>
      <c r="D872" s="108"/>
      <c r="E872" s="109"/>
      <c r="F872" s="109"/>
      <c r="G872" s="110" t="e">
        <f t="shared" si="163"/>
        <v>#N/A</v>
      </c>
      <c r="H872" s="252"/>
      <c r="I872" s="102" t="e">
        <f t="shared" si="164"/>
        <v>#N/A</v>
      </c>
      <c r="J872">
        <f t="shared" si="162"/>
        <v>0</v>
      </c>
      <c r="K872" t="e">
        <f t="shared" si="166"/>
        <v>#N/A</v>
      </c>
      <c r="L872" s="111">
        <f t="shared" si="167"/>
        <v>0</v>
      </c>
      <c r="M872" s="112">
        <f t="shared" si="168"/>
        <v>0</v>
      </c>
      <c r="N872" s="112">
        <f t="shared" si="169"/>
        <v>0</v>
      </c>
    </row>
    <row r="873" spans="1:14" x14ac:dyDescent="0.35">
      <c r="A873" s="106">
        <f t="shared" si="165"/>
        <v>0</v>
      </c>
      <c r="B873" s="107" t="e">
        <f>VLOOKUP(A873,[1]Hoja3!$C$3:$D$14,2,FALSE)</f>
        <v>#N/A</v>
      </c>
      <c r="C873" s="108"/>
      <c r="D873" s="108"/>
      <c r="E873" s="109"/>
      <c r="F873" s="109"/>
      <c r="G873" s="110" t="e">
        <f t="shared" si="163"/>
        <v>#N/A</v>
      </c>
      <c r="H873" s="252"/>
      <c r="I873" s="102" t="e">
        <f t="shared" si="164"/>
        <v>#N/A</v>
      </c>
      <c r="J873">
        <f t="shared" si="162"/>
        <v>0</v>
      </c>
      <c r="K873" t="e">
        <f t="shared" si="166"/>
        <v>#N/A</v>
      </c>
      <c r="L873" s="111">
        <f t="shared" si="167"/>
        <v>0</v>
      </c>
      <c r="M873" s="112">
        <f t="shared" si="168"/>
        <v>0</v>
      </c>
      <c r="N873" s="112">
        <f t="shared" si="169"/>
        <v>0</v>
      </c>
    </row>
    <row r="874" spans="1:14" x14ac:dyDescent="0.35">
      <c r="A874" s="106">
        <f t="shared" si="165"/>
        <v>0</v>
      </c>
      <c r="B874" s="107" t="e">
        <f>VLOOKUP(A874,[1]Hoja3!$C$3:$D$14,2,FALSE)</f>
        <v>#N/A</v>
      </c>
      <c r="C874" s="108"/>
      <c r="D874" s="108"/>
      <c r="E874" s="109"/>
      <c r="F874" s="109"/>
      <c r="G874" s="110" t="e">
        <f t="shared" si="163"/>
        <v>#N/A</v>
      </c>
      <c r="H874" s="252"/>
      <c r="I874" s="102" t="e">
        <f t="shared" si="164"/>
        <v>#N/A</v>
      </c>
      <c r="J874">
        <f t="shared" si="162"/>
        <v>0</v>
      </c>
      <c r="K874" t="e">
        <f t="shared" si="166"/>
        <v>#N/A</v>
      </c>
      <c r="L874" s="111">
        <f t="shared" si="167"/>
        <v>0</v>
      </c>
      <c r="M874" s="112">
        <f t="shared" si="168"/>
        <v>0</v>
      </c>
      <c r="N874" s="112">
        <f t="shared" si="169"/>
        <v>0</v>
      </c>
    </row>
    <row r="875" spans="1:14" x14ac:dyDescent="0.35">
      <c r="A875" s="106">
        <f t="shared" si="165"/>
        <v>0</v>
      </c>
      <c r="B875" s="107" t="e">
        <f>VLOOKUP(A875,[1]Hoja3!$C$3:$D$14,2,FALSE)</f>
        <v>#N/A</v>
      </c>
      <c r="C875" s="108"/>
      <c r="D875" s="108"/>
      <c r="E875" s="109"/>
      <c r="F875" s="109"/>
      <c r="G875" s="110" t="e">
        <f t="shared" si="163"/>
        <v>#N/A</v>
      </c>
      <c r="H875" s="252"/>
      <c r="I875" s="102" t="e">
        <f t="shared" si="164"/>
        <v>#N/A</v>
      </c>
      <c r="J875">
        <f t="shared" si="162"/>
        <v>0</v>
      </c>
      <c r="K875" t="e">
        <f t="shared" si="166"/>
        <v>#N/A</v>
      </c>
      <c r="L875" s="111">
        <f t="shared" si="167"/>
        <v>0</v>
      </c>
      <c r="M875" s="112">
        <f t="shared" si="168"/>
        <v>0</v>
      </c>
      <c r="N875" s="112">
        <f t="shared" si="169"/>
        <v>0</v>
      </c>
    </row>
    <row r="876" spans="1:14" x14ac:dyDescent="0.35">
      <c r="A876" s="106">
        <f t="shared" si="165"/>
        <v>0</v>
      </c>
      <c r="B876" s="107" t="e">
        <f>VLOOKUP(A876,[1]Hoja3!$C$3:$D$14,2,FALSE)</f>
        <v>#N/A</v>
      </c>
      <c r="C876" s="108"/>
      <c r="D876" s="108"/>
      <c r="E876" s="109"/>
      <c r="F876" s="109"/>
      <c r="G876" s="110" t="e">
        <f t="shared" si="163"/>
        <v>#N/A</v>
      </c>
      <c r="H876" s="252"/>
      <c r="I876" s="102" t="e">
        <f t="shared" si="164"/>
        <v>#N/A</v>
      </c>
      <c r="J876">
        <f t="shared" si="162"/>
        <v>0</v>
      </c>
      <c r="K876" t="e">
        <f t="shared" si="166"/>
        <v>#N/A</v>
      </c>
      <c r="L876" s="111">
        <f t="shared" si="167"/>
        <v>0</v>
      </c>
      <c r="M876" s="112">
        <f t="shared" si="168"/>
        <v>0</v>
      </c>
      <c r="N876" s="112">
        <f t="shared" si="169"/>
        <v>0</v>
      </c>
    </row>
    <row r="877" spans="1:14" x14ac:dyDescent="0.35">
      <c r="A877" s="106">
        <f t="shared" si="165"/>
        <v>0</v>
      </c>
      <c r="B877" s="107" t="e">
        <f>VLOOKUP(A877,[1]Hoja3!$C$3:$D$14,2,FALSE)</f>
        <v>#N/A</v>
      </c>
      <c r="C877" s="108"/>
      <c r="D877" s="108"/>
      <c r="E877" s="109"/>
      <c r="F877" s="109"/>
      <c r="G877" s="110" t="e">
        <f t="shared" si="163"/>
        <v>#N/A</v>
      </c>
      <c r="H877" s="252"/>
      <c r="I877" s="102" t="e">
        <f t="shared" si="164"/>
        <v>#N/A</v>
      </c>
      <c r="J877">
        <f t="shared" si="162"/>
        <v>0</v>
      </c>
      <c r="K877" t="e">
        <f t="shared" si="166"/>
        <v>#N/A</v>
      </c>
      <c r="L877" s="111">
        <f t="shared" si="167"/>
        <v>0</v>
      </c>
      <c r="M877" s="112">
        <f t="shared" si="168"/>
        <v>0</v>
      </c>
      <c r="N877" s="112">
        <f t="shared" si="169"/>
        <v>0</v>
      </c>
    </row>
    <row r="878" spans="1:14" x14ac:dyDescent="0.35">
      <c r="A878" s="106">
        <f t="shared" si="165"/>
        <v>0</v>
      </c>
      <c r="B878" s="107" t="e">
        <f>VLOOKUP(A878,[1]Hoja3!$C$3:$D$14,2,FALSE)</f>
        <v>#N/A</v>
      </c>
      <c r="C878" s="108"/>
      <c r="D878" s="108"/>
      <c r="E878" s="109"/>
      <c r="F878" s="109"/>
      <c r="G878" s="110" t="e">
        <f t="shared" si="163"/>
        <v>#N/A</v>
      </c>
      <c r="H878" s="252"/>
      <c r="I878" s="102" t="e">
        <f t="shared" si="164"/>
        <v>#N/A</v>
      </c>
      <c r="J878">
        <f t="shared" si="162"/>
        <v>0</v>
      </c>
      <c r="K878" t="e">
        <f t="shared" si="166"/>
        <v>#N/A</v>
      </c>
      <c r="L878" s="111">
        <f t="shared" si="167"/>
        <v>0</v>
      </c>
      <c r="M878" s="112">
        <f t="shared" si="168"/>
        <v>0</v>
      </c>
      <c r="N878" s="112">
        <f t="shared" si="169"/>
        <v>0</v>
      </c>
    </row>
    <row r="879" spans="1:14" x14ac:dyDescent="0.35">
      <c r="A879" s="106">
        <f t="shared" si="165"/>
        <v>0</v>
      </c>
      <c r="B879" s="107" t="e">
        <f>VLOOKUP(A879,[1]Hoja3!$C$3:$D$14,2,FALSE)</f>
        <v>#N/A</v>
      </c>
      <c r="C879" s="108"/>
      <c r="D879" s="108"/>
      <c r="E879" s="109"/>
      <c r="F879" s="109"/>
      <c r="G879" s="110" t="e">
        <f t="shared" si="163"/>
        <v>#N/A</v>
      </c>
      <c r="H879" s="252"/>
      <c r="I879" s="102" t="e">
        <f t="shared" si="164"/>
        <v>#N/A</v>
      </c>
      <c r="J879">
        <f t="shared" si="162"/>
        <v>0</v>
      </c>
      <c r="K879" t="e">
        <f t="shared" si="166"/>
        <v>#N/A</v>
      </c>
      <c r="L879" s="111">
        <f t="shared" si="167"/>
        <v>0</v>
      </c>
      <c r="M879" s="112">
        <f t="shared" si="168"/>
        <v>0</v>
      </c>
      <c r="N879" s="112">
        <f t="shared" si="169"/>
        <v>0</v>
      </c>
    </row>
    <row r="880" spans="1:14" x14ac:dyDescent="0.35">
      <c r="A880" s="106">
        <f t="shared" si="165"/>
        <v>0</v>
      </c>
      <c r="B880" s="107" t="e">
        <f>VLOOKUP(A880,[1]Hoja3!$C$3:$D$14,2,FALSE)</f>
        <v>#N/A</v>
      </c>
      <c r="C880" s="108"/>
      <c r="D880" s="108"/>
      <c r="E880" s="109"/>
      <c r="F880" s="109"/>
      <c r="G880" s="110" t="e">
        <f t="shared" si="163"/>
        <v>#N/A</v>
      </c>
      <c r="H880" s="252"/>
      <c r="I880" s="102" t="e">
        <f t="shared" si="164"/>
        <v>#N/A</v>
      </c>
      <c r="J880">
        <f t="shared" si="162"/>
        <v>0</v>
      </c>
      <c r="K880" t="e">
        <f t="shared" si="166"/>
        <v>#N/A</v>
      </c>
      <c r="L880" s="111">
        <f t="shared" si="167"/>
        <v>0</v>
      </c>
      <c r="M880" s="112">
        <f t="shared" si="168"/>
        <v>0</v>
      </c>
      <c r="N880" s="112">
        <f t="shared" si="169"/>
        <v>0</v>
      </c>
    </row>
    <row r="881" spans="1:14" x14ac:dyDescent="0.35">
      <c r="A881" s="106">
        <f t="shared" si="165"/>
        <v>0</v>
      </c>
      <c r="B881" s="107" t="e">
        <f>VLOOKUP(A881,[1]Hoja3!$C$3:$D$14,2,FALSE)</f>
        <v>#N/A</v>
      </c>
      <c r="C881" s="108"/>
      <c r="D881" s="108"/>
      <c r="E881" s="109"/>
      <c r="F881" s="109"/>
      <c r="G881" s="110" t="e">
        <f t="shared" si="163"/>
        <v>#N/A</v>
      </c>
      <c r="H881" s="252"/>
      <c r="I881" s="102" t="e">
        <f t="shared" si="164"/>
        <v>#N/A</v>
      </c>
      <c r="J881">
        <f t="shared" si="162"/>
        <v>0</v>
      </c>
      <c r="K881" t="e">
        <f t="shared" si="166"/>
        <v>#N/A</v>
      </c>
      <c r="L881" s="111">
        <f t="shared" si="167"/>
        <v>0</v>
      </c>
      <c r="M881" s="112">
        <f t="shared" si="168"/>
        <v>0</v>
      </c>
      <c r="N881" s="112">
        <f t="shared" si="169"/>
        <v>0</v>
      </c>
    </row>
    <row r="882" spans="1:14" x14ac:dyDescent="0.35">
      <c r="A882" s="106">
        <f t="shared" si="165"/>
        <v>0</v>
      </c>
      <c r="B882" s="107" t="e">
        <f>VLOOKUP(A882,[1]Hoja3!$C$3:$D$14,2,FALSE)</f>
        <v>#N/A</v>
      </c>
      <c r="C882" s="108"/>
      <c r="D882" s="108"/>
      <c r="E882" s="109"/>
      <c r="F882" s="109"/>
      <c r="G882" s="110" t="e">
        <f t="shared" si="163"/>
        <v>#N/A</v>
      </c>
      <c r="H882" s="252"/>
      <c r="I882" s="102" t="e">
        <f t="shared" si="164"/>
        <v>#N/A</v>
      </c>
      <c r="J882">
        <f t="shared" si="162"/>
        <v>0</v>
      </c>
      <c r="K882" t="e">
        <f t="shared" si="166"/>
        <v>#N/A</v>
      </c>
      <c r="L882" s="111">
        <f t="shared" si="167"/>
        <v>0</v>
      </c>
      <c r="M882" s="112">
        <f t="shared" si="168"/>
        <v>0</v>
      </c>
      <c r="N882" s="112">
        <f t="shared" si="169"/>
        <v>0</v>
      </c>
    </row>
    <row r="883" spans="1:14" x14ac:dyDescent="0.35">
      <c r="A883" s="106">
        <f t="shared" si="165"/>
        <v>0</v>
      </c>
      <c r="B883" s="107" t="e">
        <f>VLOOKUP(A883,[1]Hoja3!$C$3:$D$14,2,FALSE)</f>
        <v>#N/A</v>
      </c>
      <c r="C883" s="108"/>
      <c r="D883" s="108"/>
      <c r="E883" s="109"/>
      <c r="F883" s="109"/>
      <c r="G883" s="110" t="e">
        <f t="shared" si="163"/>
        <v>#N/A</v>
      </c>
      <c r="H883" s="252"/>
      <c r="I883" s="102" t="e">
        <f t="shared" si="164"/>
        <v>#N/A</v>
      </c>
      <c r="J883">
        <f t="shared" si="162"/>
        <v>0</v>
      </c>
      <c r="K883" t="e">
        <f t="shared" si="166"/>
        <v>#N/A</v>
      </c>
      <c r="L883" s="111">
        <f t="shared" si="167"/>
        <v>0</v>
      </c>
      <c r="M883" s="112">
        <f t="shared" si="168"/>
        <v>0</v>
      </c>
      <c r="N883" s="112">
        <f t="shared" si="169"/>
        <v>0</v>
      </c>
    </row>
    <row r="884" spans="1:14" x14ac:dyDescent="0.35">
      <c r="A884" s="106">
        <f t="shared" si="165"/>
        <v>0</v>
      </c>
      <c r="B884" s="107" t="e">
        <f>VLOOKUP(A884,[1]Hoja3!$C$3:$D$14,2,FALSE)</f>
        <v>#N/A</v>
      </c>
      <c r="C884" s="108"/>
      <c r="D884" s="108"/>
      <c r="E884" s="109"/>
      <c r="F884" s="109"/>
      <c r="G884" s="110" t="e">
        <f t="shared" si="163"/>
        <v>#N/A</v>
      </c>
      <c r="H884" s="252"/>
      <c r="I884" s="102" t="e">
        <f t="shared" si="164"/>
        <v>#N/A</v>
      </c>
      <c r="J884">
        <f t="shared" si="162"/>
        <v>0</v>
      </c>
      <c r="K884" t="e">
        <f t="shared" si="166"/>
        <v>#N/A</v>
      </c>
      <c r="L884" s="111">
        <f t="shared" si="167"/>
        <v>0</v>
      </c>
      <c r="M884" s="112">
        <f t="shared" si="168"/>
        <v>0</v>
      </c>
      <c r="N884" s="112">
        <f t="shared" si="169"/>
        <v>0</v>
      </c>
    </row>
    <row r="885" spans="1:14" x14ac:dyDescent="0.35">
      <c r="A885" s="106">
        <f t="shared" si="165"/>
        <v>0</v>
      </c>
      <c r="B885" s="107" t="e">
        <f>VLOOKUP(A885,[1]Hoja3!$C$3:$D$14,2,FALSE)</f>
        <v>#N/A</v>
      </c>
      <c r="C885" s="108"/>
      <c r="D885" s="108"/>
      <c r="E885" s="109"/>
      <c r="F885" s="109"/>
      <c r="G885" s="110" t="e">
        <f t="shared" si="163"/>
        <v>#N/A</v>
      </c>
      <c r="H885" s="252"/>
      <c r="I885" s="102" t="e">
        <f t="shared" si="164"/>
        <v>#N/A</v>
      </c>
      <c r="J885">
        <f t="shared" si="162"/>
        <v>0</v>
      </c>
      <c r="K885" t="e">
        <f t="shared" si="166"/>
        <v>#N/A</v>
      </c>
      <c r="L885" s="111">
        <f t="shared" si="167"/>
        <v>0</v>
      </c>
      <c r="M885" s="112">
        <f t="shared" si="168"/>
        <v>0</v>
      </c>
      <c r="N885" s="112">
        <f t="shared" si="169"/>
        <v>0</v>
      </c>
    </row>
    <row r="886" spans="1:14" x14ac:dyDescent="0.35">
      <c r="A886" s="106">
        <f t="shared" si="165"/>
        <v>0</v>
      </c>
      <c r="B886" s="107" t="e">
        <f>VLOOKUP(A886,[1]Hoja3!$C$3:$D$14,2,FALSE)</f>
        <v>#N/A</v>
      </c>
      <c r="C886" s="108"/>
      <c r="D886" s="108"/>
      <c r="E886" s="109"/>
      <c r="F886" s="109"/>
      <c r="G886" s="110" t="e">
        <f t="shared" si="163"/>
        <v>#N/A</v>
      </c>
      <c r="H886" s="252"/>
      <c r="I886" s="102" t="e">
        <f t="shared" si="164"/>
        <v>#N/A</v>
      </c>
      <c r="J886">
        <f t="shared" si="162"/>
        <v>0</v>
      </c>
      <c r="K886" t="e">
        <f t="shared" si="166"/>
        <v>#N/A</v>
      </c>
      <c r="L886" s="111">
        <f t="shared" si="167"/>
        <v>0</v>
      </c>
      <c r="M886" s="112">
        <f t="shared" si="168"/>
        <v>0</v>
      </c>
      <c r="N886" s="112">
        <f t="shared" si="169"/>
        <v>0</v>
      </c>
    </row>
    <row r="887" spans="1:14" x14ac:dyDescent="0.35">
      <c r="A887" s="106">
        <f t="shared" si="165"/>
        <v>0</v>
      </c>
      <c r="B887" s="107" t="e">
        <f>VLOOKUP(A887,[1]Hoja3!$C$3:$D$14,2,FALSE)</f>
        <v>#N/A</v>
      </c>
      <c r="C887" s="108"/>
      <c r="D887" s="108"/>
      <c r="E887" s="109"/>
      <c r="F887" s="109"/>
      <c r="G887" s="110" t="e">
        <f t="shared" si="163"/>
        <v>#N/A</v>
      </c>
      <c r="H887" s="252"/>
      <c r="I887" s="102" t="e">
        <f t="shared" si="164"/>
        <v>#N/A</v>
      </c>
      <c r="J887">
        <f t="shared" si="162"/>
        <v>0</v>
      </c>
      <c r="K887" t="e">
        <f t="shared" si="166"/>
        <v>#N/A</v>
      </c>
      <c r="L887" s="111">
        <f t="shared" si="167"/>
        <v>0</v>
      </c>
      <c r="M887" s="112">
        <f t="shared" si="168"/>
        <v>0</v>
      </c>
      <c r="N887" s="112">
        <f t="shared" si="169"/>
        <v>0</v>
      </c>
    </row>
    <row r="888" spans="1:14" x14ac:dyDescent="0.35">
      <c r="A888" s="106">
        <f t="shared" si="165"/>
        <v>0</v>
      </c>
      <c r="B888" s="107" t="e">
        <f>VLOOKUP(A888,[1]Hoja3!$C$3:$D$14,2,FALSE)</f>
        <v>#N/A</v>
      </c>
      <c r="C888" s="108"/>
      <c r="D888" s="108"/>
      <c r="E888" s="109"/>
      <c r="F888" s="109"/>
      <c r="G888" s="110" t="e">
        <f t="shared" si="163"/>
        <v>#N/A</v>
      </c>
      <c r="H888" s="252"/>
      <c r="I888" s="102" t="e">
        <f t="shared" si="164"/>
        <v>#N/A</v>
      </c>
      <c r="J888">
        <f t="shared" si="162"/>
        <v>0</v>
      </c>
      <c r="K888" t="e">
        <f t="shared" si="166"/>
        <v>#N/A</v>
      </c>
      <c r="L888" s="111">
        <f t="shared" si="167"/>
        <v>0</v>
      </c>
      <c r="M888" s="112">
        <f t="shared" si="168"/>
        <v>0</v>
      </c>
      <c r="N888" s="112">
        <f t="shared" si="169"/>
        <v>0</v>
      </c>
    </row>
    <row r="889" spans="1:14" x14ac:dyDescent="0.35">
      <c r="A889" s="106">
        <f t="shared" si="165"/>
        <v>0</v>
      </c>
      <c r="B889" s="107" t="e">
        <f>VLOOKUP(A889,[1]Hoja3!$C$3:$D$14,2,FALSE)</f>
        <v>#N/A</v>
      </c>
      <c r="C889" s="108"/>
      <c r="D889" s="108"/>
      <c r="E889" s="109"/>
      <c r="F889" s="109"/>
      <c r="G889" s="110" t="e">
        <f t="shared" si="163"/>
        <v>#N/A</v>
      </c>
      <c r="H889" s="252"/>
      <c r="I889" s="102" t="e">
        <f t="shared" si="164"/>
        <v>#N/A</v>
      </c>
      <c r="J889">
        <f t="shared" si="162"/>
        <v>0</v>
      </c>
      <c r="K889" t="e">
        <f t="shared" si="166"/>
        <v>#N/A</v>
      </c>
      <c r="L889" s="111">
        <f t="shared" si="167"/>
        <v>0</v>
      </c>
      <c r="M889" s="112">
        <f t="shared" si="168"/>
        <v>0</v>
      </c>
      <c r="N889" s="112">
        <f t="shared" si="169"/>
        <v>0</v>
      </c>
    </row>
    <row r="890" spans="1:14" x14ac:dyDescent="0.35">
      <c r="A890" s="106">
        <f t="shared" si="165"/>
        <v>0</v>
      </c>
      <c r="B890" s="107" t="e">
        <f>VLOOKUP(A890,[1]Hoja3!$C$3:$D$14,2,FALSE)</f>
        <v>#N/A</v>
      </c>
      <c r="C890" s="108"/>
      <c r="D890" s="108"/>
      <c r="E890" s="109"/>
      <c r="F890" s="109"/>
      <c r="G890" s="110" t="e">
        <f t="shared" si="163"/>
        <v>#N/A</v>
      </c>
      <c r="H890" s="252"/>
      <c r="I890" s="102" t="e">
        <f t="shared" si="164"/>
        <v>#N/A</v>
      </c>
      <c r="J890">
        <f t="shared" si="162"/>
        <v>0</v>
      </c>
      <c r="K890" t="e">
        <f t="shared" si="166"/>
        <v>#N/A</v>
      </c>
      <c r="L890" s="111">
        <f t="shared" si="167"/>
        <v>0</v>
      </c>
      <c r="M890" s="112">
        <f t="shared" si="168"/>
        <v>0</v>
      </c>
      <c r="N890" s="112">
        <f t="shared" si="169"/>
        <v>0</v>
      </c>
    </row>
    <row r="891" spans="1:14" x14ac:dyDescent="0.35">
      <c r="A891" s="106">
        <f t="shared" si="165"/>
        <v>0</v>
      </c>
      <c r="B891" s="107" t="e">
        <f>VLOOKUP(A891,[1]Hoja3!$C$3:$D$14,2,FALSE)</f>
        <v>#N/A</v>
      </c>
      <c r="C891" s="108"/>
      <c r="D891" s="108"/>
      <c r="E891" s="109"/>
      <c r="F891" s="109"/>
      <c r="G891" s="110" t="e">
        <f t="shared" si="163"/>
        <v>#N/A</v>
      </c>
      <c r="H891" s="252"/>
      <c r="I891" s="102" t="e">
        <f t="shared" si="164"/>
        <v>#N/A</v>
      </c>
      <c r="J891">
        <f t="shared" si="162"/>
        <v>0</v>
      </c>
      <c r="K891" t="e">
        <f t="shared" si="166"/>
        <v>#N/A</v>
      </c>
      <c r="L891" s="111">
        <f t="shared" si="167"/>
        <v>0</v>
      </c>
      <c r="M891" s="112">
        <f t="shared" si="168"/>
        <v>0</v>
      </c>
      <c r="N891" s="112">
        <f t="shared" si="169"/>
        <v>0</v>
      </c>
    </row>
    <row r="892" spans="1:14" x14ac:dyDescent="0.35">
      <c r="A892" s="106">
        <f t="shared" si="165"/>
        <v>0</v>
      </c>
      <c r="B892" s="107" t="e">
        <f>VLOOKUP(A892,[1]Hoja3!$C$3:$D$14,2,FALSE)</f>
        <v>#N/A</v>
      </c>
      <c r="C892" s="108"/>
      <c r="D892" s="108"/>
      <c r="E892" s="109"/>
      <c r="F892" s="109"/>
      <c r="G892" s="110" t="e">
        <f t="shared" si="163"/>
        <v>#N/A</v>
      </c>
      <c r="H892" s="252"/>
      <c r="I892" s="102" t="e">
        <f t="shared" si="164"/>
        <v>#N/A</v>
      </c>
      <c r="J892">
        <f t="shared" si="162"/>
        <v>0</v>
      </c>
      <c r="K892" t="e">
        <f t="shared" si="166"/>
        <v>#N/A</v>
      </c>
      <c r="L892" s="111">
        <f t="shared" si="167"/>
        <v>0</v>
      </c>
      <c r="M892" s="112">
        <f t="shared" si="168"/>
        <v>0</v>
      </c>
      <c r="N892" s="112">
        <f t="shared" si="169"/>
        <v>0</v>
      </c>
    </row>
    <row r="893" spans="1:14" x14ac:dyDescent="0.35">
      <c r="A893" s="106">
        <f t="shared" si="165"/>
        <v>0</v>
      </c>
      <c r="B893" s="107" t="e">
        <f>VLOOKUP(A893,[1]Hoja3!$C$3:$D$14,2,FALSE)</f>
        <v>#N/A</v>
      </c>
      <c r="C893" s="108"/>
      <c r="D893" s="108"/>
      <c r="E893" s="109"/>
      <c r="F893" s="109"/>
      <c r="G893" s="110" t="e">
        <f t="shared" si="163"/>
        <v>#N/A</v>
      </c>
      <c r="H893" s="252"/>
      <c r="I893" s="102" t="e">
        <f t="shared" si="164"/>
        <v>#N/A</v>
      </c>
      <c r="J893">
        <f t="shared" si="162"/>
        <v>0</v>
      </c>
      <c r="K893" t="e">
        <f t="shared" si="166"/>
        <v>#N/A</v>
      </c>
      <c r="L893" s="111">
        <f t="shared" si="167"/>
        <v>0</v>
      </c>
      <c r="M893" s="112">
        <f t="shared" si="168"/>
        <v>0</v>
      </c>
      <c r="N893" s="112">
        <f t="shared" si="169"/>
        <v>0</v>
      </c>
    </row>
    <row r="894" spans="1:14" x14ac:dyDescent="0.35">
      <c r="A894" s="106">
        <f t="shared" si="165"/>
        <v>0</v>
      </c>
      <c r="B894" s="107" t="e">
        <f>VLOOKUP(A894,[1]Hoja3!$C$3:$D$14,2,FALSE)</f>
        <v>#N/A</v>
      </c>
      <c r="C894" s="108"/>
      <c r="D894" s="108"/>
      <c r="E894" s="109"/>
      <c r="F894" s="109"/>
      <c r="G894" s="110" t="e">
        <f t="shared" si="163"/>
        <v>#N/A</v>
      </c>
      <c r="H894" s="252"/>
      <c r="I894" s="102" t="e">
        <f t="shared" si="164"/>
        <v>#N/A</v>
      </c>
      <c r="J894">
        <f t="shared" si="162"/>
        <v>0</v>
      </c>
      <c r="K894" t="e">
        <f t="shared" si="166"/>
        <v>#N/A</v>
      </c>
      <c r="L894" s="111">
        <f t="shared" si="167"/>
        <v>0</v>
      </c>
      <c r="M894" s="112">
        <f t="shared" si="168"/>
        <v>0</v>
      </c>
      <c r="N894" s="112">
        <f t="shared" si="169"/>
        <v>0</v>
      </c>
    </row>
    <row r="895" spans="1:14" x14ac:dyDescent="0.35">
      <c r="A895" s="106">
        <f t="shared" si="165"/>
        <v>0</v>
      </c>
      <c r="B895" s="107" t="e">
        <f>VLOOKUP(A895,[1]Hoja3!$C$3:$D$14,2,FALSE)</f>
        <v>#N/A</v>
      </c>
      <c r="C895" s="108"/>
      <c r="D895" s="108"/>
      <c r="E895" s="109"/>
      <c r="F895" s="109"/>
      <c r="G895" s="110" t="e">
        <f t="shared" si="163"/>
        <v>#N/A</v>
      </c>
      <c r="H895" s="252"/>
      <c r="I895" s="102" t="e">
        <f t="shared" si="164"/>
        <v>#N/A</v>
      </c>
      <c r="J895">
        <f t="shared" si="162"/>
        <v>0</v>
      </c>
      <c r="K895" t="e">
        <f t="shared" si="166"/>
        <v>#N/A</v>
      </c>
      <c r="L895" s="111">
        <f t="shared" si="167"/>
        <v>0</v>
      </c>
      <c r="M895" s="112">
        <f t="shared" si="168"/>
        <v>0</v>
      </c>
      <c r="N895" s="112">
        <f t="shared" si="169"/>
        <v>0</v>
      </c>
    </row>
    <row r="896" spans="1:14" x14ac:dyDescent="0.35">
      <c r="A896" s="106">
        <f t="shared" si="165"/>
        <v>0</v>
      </c>
      <c r="B896" s="107" t="e">
        <f>VLOOKUP(A896,[1]Hoja3!$C$3:$D$14,2,FALSE)</f>
        <v>#N/A</v>
      </c>
      <c r="C896" s="108"/>
      <c r="D896" s="108"/>
      <c r="E896" s="109"/>
      <c r="F896" s="109"/>
      <c r="G896" s="110" t="e">
        <f t="shared" si="163"/>
        <v>#N/A</v>
      </c>
      <c r="H896" s="252"/>
      <c r="I896" s="102" t="e">
        <f t="shared" si="164"/>
        <v>#N/A</v>
      </c>
      <c r="J896">
        <f t="shared" si="162"/>
        <v>0</v>
      </c>
      <c r="K896" t="e">
        <f t="shared" si="166"/>
        <v>#N/A</v>
      </c>
      <c r="L896" s="111">
        <f t="shared" si="167"/>
        <v>0</v>
      </c>
      <c r="M896" s="112">
        <f t="shared" si="168"/>
        <v>0</v>
      </c>
      <c r="N896" s="112">
        <f t="shared" si="169"/>
        <v>0</v>
      </c>
    </row>
    <row r="897" spans="1:14" x14ac:dyDescent="0.35">
      <c r="A897" s="106">
        <f t="shared" si="165"/>
        <v>0</v>
      </c>
      <c r="B897" s="107" t="e">
        <f>VLOOKUP(A897,[1]Hoja3!$C$3:$D$14,2,FALSE)</f>
        <v>#N/A</v>
      </c>
      <c r="C897" s="108"/>
      <c r="D897" s="108"/>
      <c r="E897" s="109"/>
      <c r="F897" s="109"/>
      <c r="G897" s="110" t="e">
        <f t="shared" si="163"/>
        <v>#N/A</v>
      </c>
      <c r="H897" s="252"/>
      <c r="I897" s="102" t="e">
        <f t="shared" si="164"/>
        <v>#N/A</v>
      </c>
      <c r="J897">
        <f t="shared" si="162"/>
        <v>0</v>
      </c>
      <c r="K897" t="e">
        <f t="shared" si="166"/>
        <v>#N/A</v>
      </c>
      <c r="L897" s="111">
        <f t="shared" si="167"/>
        <v>0</v>
      </c>
      <c r="M897" s="112">
        <f t="shared" si="168"/>
        <v>0</v>
      </c>
      <c r="N897" s="112">
        <f t="shared" si="169"/>
        <v>0</v>
      </c>
    </row>
    <row r="898" spans="1:14" x14ac:dyDescent="0.35">
      <c r="A898" s="106">
        <f t="shared" si="165"/>
        <v>0</v>
      </c>
      <c r="B898" s="107" t="e">
        <f>VLOOKUP(A898,[1]Hoja3!$C$3:$D$14,2,FALSE)</f>
        <v>#N/A</v>
      </c>
      <c r="C898" s="108"/>
      <c r="D898" s="108"/>
      <c r="E898" s="109"/>
      <c r="F898" s="109"/>
      <c r="G898" s="110" t="e">
        <f t="shared" si="163"/>
        <v>#N/A</v>
      </c>
      <c r="H898" s="252"/>
      <c r="I898" s="102" t="e">
        <f t="shared" si="164"/>
        <v>#N/A</v>
      </c>
      <c r="J898">
        <f t="shared" si="162"/>
        <v>0</v>
      </c>
      <c r="K898" t="e">
        <f t="shared" si="166"/>
        <v>#N/A</v>
      </c>
      <c r="L898" s="111">
        <f t="shared" si="167"/>
        <v>0</v>
      </c>
      <c r="M898" s="112">
        <f t="shared" si="168"/>
        <v>0</v>
      </c>
      <c r="N898" s="112">
        <f t="shared" si="169"/>
        <v>0</v>
      </c>
    </row>
    <row r="899" spans="1:14" x14ac:dyDescent="0.35">
      <c r="A899" s="106">
        <f t="shared" si="165"/>
        <v>0</v>
      </c>
      <c r="B899" s="107" t="e">
        <f>VLOOKUP(A899,[1]Hoja3!$C$3:$D$14,2,FALSE)</f>
        <v>#N/A</v>
      </c>
      <c r="C899" s="108"/>
      <c r="D899" s="108"/>
      <c r="E899" s="109"/>
      <c r="F899" s="109"/>
      <c r="G899" s="110" t="e">
        <f t="shared" si="163"/>
        <v>#N/A</v>
      </c>
      <c r="H899" s="252"/>
      <c r="I899" s="102" t="e">
        <f t="shared" si="164"/>
        <v>#N/A</v>
      </c>
      <c r="J899">
        <f t="shared" si="162"/>
        <v>0</v>
      </c>
      <c r="K899" t="e">
        <f t="shared" si="166"/>
        <v>#N/A</v>
      </c>
      <c r="L899" s="111">
        <f t="shared" si="167"/>
        <v>0</v>
      </c>
      <c r="M899" s="112">
        <f t="shared" si="168"/>
        <v>0</v>
      </c>
      <c r="N899" s="112">
        <f t="shared" si="169"/>
        <v>0</v>
      </c>
    </row>
    <row r="900" spans="1:14" x14ac:dyDescent="0.35">
      <c r="A900" s="106">
        <f t="shared" si="165"/>
        <v>0</v>
      </c>
      <c r="B900" s="107" t="e">
        <f>VLOOKUP(A900,[1]Hoja3!$C$3:$D$14,2,FALSE)</f>
        <v>#N/A</v>
      </c>
      <c r="C900" s="108"/>
      <c r="D900" s="108"/>
      <c r="E900" s="109"/>
      <c r="F900" s="109"/>
      <c r="G900" s="110" t="e">
        <f t="shared" si="163"/>
        <v>#N/A</v>
      </c>
      <c r="H900" s="252"/>
      <c r="I900" s="102" t="e">
        <f t="shared" si="164"/>
        <v>#N/A</v>
      </c>
      <c r="J900">
        <f t="shared" si="162"/>
        <v>0</v>
      </c>
      <c r="K900" t="e">
        <f t="shared" si="166"/>
        <v>#N/A</v>
      </c>
      <c r="L900" s="111">
        <f t="shared" si="167"/>
        <v>0</v>
      </c>
      <c r="M900" s="112">
        <f t="shared" si="168"/>
        <v>0</v>
      </c>
      <c r="N900" s="112">
        <f t="shared" si="169"/>
        <v>0</v>
      </c>
    </row>
    <row r="901" spans="1:14" x14ac:dyDescent="0.35">
      <c r="A901" s="106">
        <f t="shared" si="165"/>
        <v>0</v>
      </c>
      <c r="B901" s="107" t="e">
        <f>VLOOKUP(A901,[1]Hoja3!$C$3:$D$14,2,FALSE)</f>
        <v>#N/A</v>
      </c>
      <c r="C901" s="108"/>
      <c r="D901" s="108"/>
      <c r="E901" s="109"/>
      <c r="F901" s="109"/>
      <c r="G901" s="110" t="e">
        <f t="shared" si="163"/>
        <v>#N/A</v>
      </c>
      <c r="H901" s="252"/>
      <c r="I901" s="102" t="e">
        <f t="shared" si="164"/>
        <v>#N/A</v>
      </c>
      <c r="J901">
        <f t="shared" si="162"/>
        <v>0</v>
      </c>
      <c r="K901" t="e">
        <f t="shared" si="166"/>
        <v>#N/A</v>
      </c>
      <c r="L901" s="111">
        <f t="shared" si="167"/>
        <v>0</v>
      </c>
      <c r="M901" s="112">
        <f t="shared" si="168"/>
        <v>0</v>
      </c>
      <c r="N901" s="112">
        <f t="shared" si="169"/>
        <v>0</v>
      </c>
    </row>
    <row r="902" spans="1:14" x14ac:dyDescent="0.35">
      <c r="A902" s="106">
        <f t="shared" si="165"/>
        <v>0</v>
      </c>
      <c r="B902" s="107" t="e">
        <f>VLOOKUP(A902,[1]Hoja3!$C$3:$D$14,2,FALSE)</f>
        <v>#N/A</v>
      </c>
      <c r="C902" s="108"/>
      <c r="D902" s="108"/>
      <c r="E902" s="109"/>
      <c r="F902" s="109"/>
      <c r="G902" s="110" t="e">
        <f t="shared" si="163"/>
        <v>#N/A</v>
      </c>
      <c r="H902" s="252"/>
      <c r="I902" s="102" t="e">
        <f t="shared" si="164"/>
        <v>#N/A</v>
      </c>
      <c r="J902">
        <f t="shared" si="162"/>
        <v>0</v>
      </c>
      <c r="K902" t="e">
        <f t="shared" si="166"/>
        <v>#N/A</v>
      </c>
      <c r="L902" s="111">
        <f t="shared" si="167"/>
        <v>0</v>
      </c>
      <c r="M902" s="112">
        <f t="shared" si="168"/>
        <v>0</v>
      </c>
      <c r="N902" s="112">
        <f t="shared" si="169"/>
        <v>0</v>
      </c>
    </row>
    <row r="903" spans="1:14" x14ac:dyDescent="0.35">
      <c r="A903" s="106">
        <f t="shared" si="165"/>
        <v>0</v>
      </c>
      <c r="B903" s="107" t="e">
        <f>VLOOKUP(A903,[1]Hoja3!$C$3:$D$14,2,FALSE)</f>
        <v>#N/A</v>
      </c>
      <c r="C903" s="108"/>
      <c r="D903" s="108"/>
      <c r="E903" s="109"/>
      <c r="F903" s="109"/>
      <c r="G903" s="110" t="e">
        <f t="shared" si="163"/>
        <v>#N/A</v>
      </c>
      <c r="H903" s="252"/>
      <c r="I903" s="102" t="e">
        <f t="shared" si="164"/>
        <v>#N/A</v>
      </c>
      <c r="J903">
        <f t="shared" si="162"/>
        <v>0</v>
      </c>
      <c r="K903" t="e">
        <f t="shared" si="166"/>
        <v>#N/A</v>
      </c>
      <c r="L903" s="111">
        <f t="shared" si="167"/>
        <v>0</v>
      </c>
      <c r="M903" s="112">
        <f t="shared" si="168"/>
        <v>0</v>
      </c>
      <c r="N903" s="112">
        <f t="shared" si="169"/>
        <v>0</v>
      </c>
    </row>
    <row r="904" spans="1:14" x14ac:dyDescent="0.35">
      <c r="A904" s="106">
        <f t="shared" si="165"/>
        <v>0</v>
      </c>
      <c r="B904" s="107" t="e">
        <f>VLOOKUP(A904,[1]Hoja3!$C$3:$D$14,2,FALSE)</f>
        <v>#N/A</v>
      </c>
      <c r="C904" s="108"/>
      <c r="D904" s="108"/>
      <c r="E904" s="109"/>
      <c r="F904" s="109"/>
      <c r="G904" s="110" t="e">
        <f t="shared" si="163"/>
        <v>#N/A</v>
      </c>
      <c r="H904" s="252"/>
      <c r="I904" s="102" t="e">
        <f t="shared" si="164"/>
        <v>#N/A</v>
      </c>
      <c r="J904">
        <f t="shared" ref="J904:J967" si="170">+H904*0.16</f>
        <v>0</v>
      </c>
      <c r="K904" t="e">
        <f t="shared" si="166"/>
        <v>#N/A</v>
      </c>
      <c r="L904" s="111">
        <f t="shared" si="167"/>
        <v>0</v>
      </c>
      <c r="M904" s="112">
        <f t="shared" si="168"/>
        <v>0</v>
      </c>
      <c r="N904" s="112">
        <f t="shared" si="169"/>
        <v>0</v>
      </c>
    </row>
    <row r="905" spans="1:14" x14ac:dyDescent="0.35">
      <c r="A905" s="106">
        <f t="shared" si="165"/>
        <v>0</v>
      </c>
      <c r="B905" s="107" t="e">
        <f>VLOOKUP(A905,[1]Hoja3!$C$3:$D$14,2,FALSE)</f>
        <v>#N/A</v>
      </c>
      <c r="C905" s="108"/>
      <c r="D905" s="108"/>
      <c r="E905" s="109"/>
      <c r="F905" s="109"/>
      <c r="G905" s="110" t="e">
        <f t="shared" si="163"/>
        <v>#N/A</v>
      </c>
      <c r="H905" s="252"/>
      <c r="I905" s="102" t="e">
        <f t="shared" si="164"/>
        <v>#N/A</v>
      </c>
      <c r="J905">
        <f t="shared" si="170"/>
        <v>0</v>
      </c>
      <c r="K905" t="e">
        <f t="shared" si="166"/>
        <v>#N/A</v>
      </c>
      <c r="L905" s="111">
        <f t="shared" si="167"/>
        <v>0</v>
      </c>
      <c r="M905" s="112">
        <f t="shared" si="168"/>
        <v>0</v>
      </c>
      <c r="N905" s="112">
        <f t="shared" si="169"/>
        <v>0</v>
      </c>
    </row>
    <row r="906" spans="1:14" x14ac:dyDescent="0.35">
      <c r="A906" s="106">
        <f t="shared" si="165"/>
        <v>0</v>
      </c>
      <c r="B906" s="107" t="e">
        <f>VLOOKUP(A906,[1]Hoja3!$C$3:$D$14,2,FALSE)</f>
        <v>#N/A</v>
      </c>
      <c r="C906" s="108"/>
      <c r="D906" s="108"/>
      <c r="E906" s="109"/>
      <c r="F906" s="109"/>
      <c r="G906" s="110" t="e">
        <f t="shared" si="163"/>
        <v>#N/A</v>
      </c>
      <c r="H906" s="252"/>
      <c r="I906" s="102" t="e">
        <f t="shared" si="164"/>
        <v>#N/A</v>
      </c>
      <c r="J906">
        <f t="shared" si="170"/>
        <v>0</v>
      </c>
      <c r="K906" t="e">
        <f t="shared" si="166"/>
        <v>#N/A</v>
      </c>
      <c r="L906" s="111">
        <f t="shared" si="167"/>
        <v>0</v>
      </c>
      <c r="M906" s="112">
        <f t="shared" si="168"/>
        <v>0</v>
      </c>
      <c r="N906" s="112">
        <f t="shared" si="169"/>
        <v>0</v>
      </c>
    </row>
    <row r="907" spans="1:14" x14ac:dyDescent="0.35">
      <c r="A907" s="106">
        <f t="shared" si="165"/>
        <v>0</v>
      </c>
      <c r="B907" s="107" t="e">
        <f>VLOOKUP(A907,[1]Hoja3!$C$3:$D$14,2,FALSE)</f>
        <v>#N/A</v>
      </c>
      <c r="C907" s="108"/>
      <c r="D907" s="108"/>
      <c r="E907" s="109"/>
      <c r="F907" s="109"/>
      <c r="G907" s="110" t="e">
        <f t="shared" si="163"/>
        <v>#N/A</v>
      </c>
      <c r="H907" s="252"/>
      <c r="I907" s="102" t="e">
        <f t="shared" si="164"/>
        <v>#N/A</v>
      </c>
      <c r="J907">
        <f t="shared" si="170"/>
        <v>0</v>
      </c>
      <c r="K907" t="e">
        <f t="shared" si="166"/>
        <v>#N/A</v>
      </c>
      <c r="L907" s="111">
        <f t="shared" si="167"/>
        <v>0</v>
      </c>
      <c r="M907" s="112">
        <f t="shared" si="168"/>
        <v>0</v>
      </c>
      <c r="N907" s="112">
        <f t="shared" si="169"/>
        <v>0</v>
      </c>
    </row>
    <row r="908" spans="1:14" x14ac:dyDescent="0.35">
      <c r="A908" s="106">
        <f t="shared" si="165"/>
        <v>0</v>
      </c>
      <c r="B908" s="107" t="e">
        <f>VLOOKUP(A908,[1]Hoja3!$C$3:$D$14,2,FALSE)</f>
        <v>#N/A</v>
      </c>
      <c r="C908" s="108"/>
      <c r="D908" s="108"/>
      <c r="E908" s="109"/>
      <c r="F908" s="109"/>
      <c r="G908" s="110" t="e">
        <f t="shared" ref="G908:G971" si="171">+B908</f>
        <v>#N/A</v>
      </c>
      <c r="H908" s="252"/>
      <c r="I908" s="102" t="e">
        <f t="shared" ref="I908:I971" si="172">+B908</f>
        <v>#N/A</v>
      </c>
      <c r="J908">
        <f t="shared" si="170"/>
        <v>0</v>
      </c>
      <c r="K908" t="e">
        <f t="shared" si="166"/>
        <v>#N/A</v>
      </c>
      <c r="L908" s="111">
        <f t="shared" si="167"/>
        <v>0</v>
      </c>
      <c r="M908" s="112">
        <f t="shared" si="168"/>
        <v>0</v>
      </c>
      <c r="N908" s="112">
        <f t="shared" si="169"/>
        <v>0</v>
      </c>
    </row>
    <row r="909" spans="1:14" x14ac:dyDescent="0.35">
      <c r="A909" s="106">
        <f t="shared" si="165"/>
        <v>0</v>
      </c>
      <c r="B909" s="107" t="e">
        <f>VLOOKUP(A909,[1]Hoja3!$C$3:$D$14,2,FALSE)</f>
        <v>#N/A</v>
      </c>
      <c r="C909" s="108"/>
      <c r="D909" s="108"/>
      <c r="E909" s="109"/>
      <c r="F909" s="109"/>
      <c r="G909" s="110" t="e">
        <f t="shared" si="171"/>
        <v>#N/A</v>
      </c>
      <c r="H909" s="252"/>
      <c r="I909" s="102" t="e">
        <f t="shared" si="172"/>
        <v>#N/A</v>
      </c>
      <c r="J909">
        <f t="shared" si="170"/>
        <v>0</v>
      </c>
      <c r="K909" t="e">
        <f t="shared" si="166"/>
        <v>#N/A</v>
      </c>
      <c r="L909" s="111">
        <f t="shared" si="167"/>
        <v>0</v>
      </c>
      <c r="M909" s="112">
        <f t="shared" si="168"/>
        <v>0</v>
      </c>
      <c r="N909" s="112">
        <f t="shared" si="169"/>
        <v>0</v>
      </c>
    </row>
    <row r="910" spans="1:14" x14ac:dyDescent="0.35">
      <c r="A910" s="106">
        <f t="shared" si="165"/>
        <v>0</v>
      </c>
      <c r="B910" s="107" t="e">
        <f>VLOOKUP(A910,[1]Hoja3!$C$3:$D$14,2,FALSE)</f>
        <v>#N/A</v>
      </c>
      <c r="C910" s="108"/>
      <c r="D910" s="108"/>
      <c r="E910" s="109"/>
      <c r="F910" s="109"/>
      <c r="G910" s="110" t="e">
        <f t="shared" si="171"/>
        <v>#N/A</v>
      </c>
      <c r="H910" s="252"/>
      <c r="I910" s="102" t="e">
        <f t="shared" si="172"/>
        <v>#N/A</v>
      </c>
      <c r="J910">
        <f t="shared" si="170"/>
        <v>0</v>
      </c>
      <c r="K910" t="e">
        <f t="shared" si="166"/>
        <v>#N/A</v>
      </c>
      <c r="L910" s="111">
        <f t="shared" si="167"/>
        <v>0</v>
      </c>
      <c r="M910" s="112">
        <f t="shared" si="168"/>
        <v>0</v>
      </c>
      <c r="N910" s="112">
        <f t="shared" si="169"/>
        <v>0</v>
      </c>
    </row>
    <row r="911" spans="1:14" x14ac:dyDescent="0.35">
      <c r="A911" s="106">
        <f t="shared" si="165"/>
        <v>0</v>
      </c>
      <c r="B911" s="107" t="e">
        <f>VLOOKUP(A911,[1]Hoja3!$C$3:$D$14,2,FALSE)</f>
        <v>#N/A</v>
      </c>
      <c r="C911" s="108"/>
      <c r="D911" s="108"/>
      <c r="E911" s="109"/>
      <c r="F911" s="109"/>
      <c r="G911" s="110" t="e">
        <f t="shared" si="171"/>
        <v>#N/A</v>
      </c>
      <c r="H911" s="252"/>
      <c r="I911" s="102" t="e">
        <f t="shared" si="172"/>
        <v>#N/A</v>
      </c>
      <c r="J911">
        <f t="shared" si="170"/>
        <v>0</v>
      </c>
      <c r="K911" t="e">
        <f t="shared" si="166"/>
        <v>#N/A</v>
      </c>
      <c r="L911" s="111">
        <f t="shared" si="167"/>
        <v>0</v>
      </c>
      <c r="M911" s="112">
        <f t="shared" si="168"/>
        <v>0</v>
      </c>
      <c r="N911" s="112">
        <f t="shared" si="169"/>
        <v>0</v>
      </c>
    </row>
    <row r="912" spans="1:14" x14ac:dyDescent="0.35">
      <c r="A912" s="106">
        <f t="shared" si="165"/>
        <v>0</v>
      </c>
      <c r="B912" s="107" t="e">
        <f>VLOOKUP(A912,[1]Hoja3!$C$3:$D$14,2,FALSE)</f>
        <v>#N/A</v>
      </c>
      <c r="C912" s="108"/>
      <c r="D912" s="108"/>
      <c r="E912" s="109"/>
      <c r="F912" s="109"/>
      <c r="G912" s="110" t="e">
        <f t="shared" si="171"/>
        <v>#N/A</v>
      </c>
      <c r="H912" s="252"/>
      <c r="I912" s="102" t="e">
        <f t="shared" si="172"/>
        <v>#N/A</v>
      </c>
      <c r="J912">
        <f t="shared" si="170"/>
        <v>0</v>
      </c>
      <c r="K912" t="e">
        <f t="shared" si="166"/>
        <v>#N/A</v>
      </c>
      <c r="L912" s="111">
        <f t="shared" si="167"/>
        <v>0</v>
      </c>
      <c r="M912" s="112">
        <f t="shared" si="168"/>
        <v>0</v>
      </c>
      <c r="N912" s="112">
        <f t="shared" si="169"/>
        <v>0</v>
      </c>
    </row>
    <row r="913" spans="1:14" x14ac:dyDescent="0.35">
      <c r="A913" s="106">
        <f t="shared" si="165"/>
        <v>0</v>
      </c>
      <c r="B913" s="107" t="e">
        <f>VLOOKUP(A913,[1]Hoja3!$C$3:$D$14,2,FALSE)</f>
        <v>#N/A</v>
      </c>
      <c r="C913" s="108"/>
      <c r="D913" s="108"/>
      <c r="E913" s="109"/>
      <c r="F913" s="109"/>
      <c r="G913" s="110" t="e">
        <f t="shared" si="171"/>
        <v>#N/A</v>
      </c>
      <c r="H913" s="252"/>
      <c r="I913" s="102" t="e">
        <f t="shared" si="172"/>
        <v>#N/A</v>
      </c>
      <c r="J913">
        <f t="shared" si="170"/>
        <v>0</v>
      </c>
      <c r="K913" t="e">
        <f t="shared" si="166"/>
        <v>#N/A</v>
      </c>
      <c r="L913" s="111">
        <f t="shared" si="167"/>
        <v>0</v>
      </c>
      <c r="M913" s="112">
        <f t="shared" si="168"/>
        <v>0</v>
      </c>
      <c r="N913" s="112">
        <f t="shared" si="169"/>
        <v>0</v>
      </c>
    </row>
    <row r="914" spans="1:14" x14ac:dyDescent="0.35">
      <c r="A914" s="106">
        <f t="shared" si="165"/>
        <v>0</v>
      </c>
      <c r="B914" s="107" t="e">
        <f>VLOOKUP(A914,[1]Hoja3!$C$3:$D$14,2,FALSE)</f>
        <v>#N/A</v>
      </c>
      <c r="C914" s="108"/>
      <c r="D914" s="108"/>
      <c r="E914" s="109"/>
      <c r="F914" s="109"/>
      <c r="G914" s="110" t="e">
        <f t="shared" si="171"/>
        <v>#N/A</v>
      </c>
      <c r="H914" s="252"/>
      <c r="I914" s="102" t="e">
        <f t="shared" si="172"/>
        <v>#N/A</v>
      </c>
      <c r="J914">
        <f t="shared" si="170"/>
        <v>0</v>
      </c>
      <c r="K914" t="e">
        <f t="shared" si="166"/>
        <v>#N/A</v>
      </c>
      <c r="L914" s="111">
        <f t="shared" si="167"/>
        <v>0</v>
      </c>
      <c r="M914" s="112">
        <f t="shared" si="168"/>
        <v>0</v>
      </c>
      <c r="N914" s="112">
        <f t="shared" si="169"/>
        <v>0</v>
      </c>
    </row>
    <row r="915" spans="1:14" x14ac:dyDescent="0.35">
      <c r="A915" s="106">
        <f t="shared" si="165"/>
        <v>0</v>
      </c>
      <c r="B915" s="107" t="e">
        <f>VLOOKUP(A915,[1]Hoja3!$C$3:$D$14,2,FALSE)</f>
        <v>#N/A</v>
      </c>
      <c r="C915" s="108"/>
      <c r="D915" s="108"/>
      <c r="E915" s="109"/>
      <c r="F915" s="109"/>
      <c r="G915" s="110" t="e">
        <f t="shared" si="171"/>
        <v>#N/A</v>
      </c>
      <c r="H915" s="252"/>
      <c r="I915" s="102" t="e">
        <f t="shared" si="172"/>
        <v>#N/A</v>
      </c>
      <c r="J915">
        <f t="shared" si="170"/>
        <v>0</v>
      </c>
      <c r="K915" t="e">
        <f t="shared" si="166"/>
        <v>#N/A</v>
      </c>
      <c r="L915" s="111">
        <f t="shared" si="167"/>
        <v>0</v>
      </c>
      <c r="M915" s="112">
        <f t="shared" si="168"/>
        <v>0</v>
      </c>
      <c r="N915" s="112">
        <f t="shared" si="169"/>
        <v>0</v>
      </c>
    </row>
    <row r="916" spans="1:14" x14ac:dyDescent="0.35">
      <c r="A916" s="106">
        <f t="shared" si="165"/>
        <v>0</v>
      </c>
      <c r="B916" s="107" t="e">
        <f>VLOOKUP(A916,[1]Hoja3!$C$3:$D$14,2,FALSE)</f>
        <v>#N/A</v>
      </c>
      <c r="C916" s="108"/>
      <c r="D916" s="108"/>
      <c r="E916" s="109"/>
      <c r="F916" s="109"/>
      <c r="G916" s="110" t="e">
        <f t="shared" si="171"/>
        <v>#N/A</v>
      </c>
      <c r="H916" s="252"/>
      <c r="I916" s="102" t="e">
        <f t="shared" si="172"/>
        <v>#N/A</v>
      </c>
      <c r="J916">
        <f t="shared" si="170"/>
        <v>0</v>
      </c>
      <c r="K916" t="e">
        <f t="shared" si="166"/>
        <v>#N/A</v>
      </c>
      <c r="L916" s="111">
        <f t="shared" si="167"/>
        <v>0</v>
      </c>
      <c r="M916" s="112">
        <f t="shared" si="168"/>
        <v>0</v>
      </c>
      <c r="N916" s="112">
        <f t="shared" si="169"/>
        <v>0</v>
      </c>
    </row>
    <row r="917" spans="1:14" x14ac:dyDescent="0.35">
      <c r="A917" s="106">
        <f t="shared" si="165"/>
        <v>0</v>
      </c>
      <c r="B917" s="107" t="e">
        <f>VLOOKUP(A917,[1]Hoja3!$C$3:$D$14,2,FALSE)</f>
        <v>#N/A</v>
      </c>
      <c r="C917" s="108"/>
      <c r="D917" s="108"/>
      <c r="E917" s="109"/>
      <c r="F917" s="109"/>
      <c r="G917" s="110" t="e">
        <f t="shared" si="171"/>
        <v>#N/A</v>
      </c>
      <c r="H917" s="252"/>
      <c r="I917" s="102" t="e">
        <f t="shared" si="172"/>
        <v>#N/A</v>
      </c>
      <c r="J917">
        <f t="shared" si="170"/>
        <v>0</v>
      </c>
      <c r="K917" t="e">
        <f t="shared" si="166"/>
        <v>#N/A</v>
      </c>
      <c r="L917" s="111">
        <f t="shared" si="167"/>
        <v>0</v>
      </c>
      <c r="M917" s="112">
        <f t="shared" si="168"/>
        <v>0</v>
      </c>
      <c r="N917" s="112">
        <f t="shared" si="169"/>
        <v>0</v>
      </c>
    </row>
    <row r="918" spans="1:14" x14ac:dyDescent="0.35">
      <c r="A918" s="106">
        <f t="shared" si="165"/>
        <v>0</v>
      </c>
      <c r="B918" s="107" t="e">
        <f>VLOOKUP(A918,[1]Hoja3!$C$3:$D$14,2,FALSE)</f>
        <v>#N/A</v>
      </c>
      <c r="C918" s="108"/>
      <c r="D918" s="108"/>
      <c r="E918" s="109"/>
      <c r="F918" s="109"/>
      <c r="G918" s="110" t="e">
        <f t="shared" si="171"/>
        <v>#N/A</v>
      </c>
      <c r="H918" s="252"/>
      <c r="I918" s="102" t="e">
        <f t="shared" si="172"/>
        <v>#N/A</v>
      </c>
      <c r="J918">
        <f t="shared" si="170"/>
        <v>0</v>
      </c>
      <c r="K918" t="e">
        <f t="shared" si="166"/>
        <v>#N/A</v>
      </c>
      <c r="L918" s="111">
        <f t="shared" si="167"/>
        <v>0</v>
      </c>
      <c r="M918" s="112">
        <f t="shared" si="168"/>
        <v>0</v>
      </c>
      <c r="N918" s="112">
        <f t="shared" si="169"/>
        <v>0</v>
      </c>
    </row>
    <row r="919" spans="1:14" x14ac:dyDescent="0.35">
      <c r="A919" s="106">
        <f t="shared" si="165"/>
        <v>0</v>
      </c>
      <c r="B919" s="107" t="e">
        <f>VLOOKUP(A919,[1]Hoja3!$C$3:$D$14,2,FALSE)</f>
        <v>#N/A</v>
      </c>
      <c r="C919" s="108"/>
      <c r="D919" s="108"/>
      <c r="E919" s="109"/>
      <c r="F919" s="109"/>
      <c r="G919" s="110" t="e">
        <f t="shared" si="171"/>
        <v>#N/A</v>
      </c>
      <c r="H919" s="252"/>
      <c r="I919" s="102" t="e">
        <f t="shared" si="172"/>
        <v>#N/A</v>
      </c>
      <c r="J919">
        <f t="shared" si="170"/>
        <v>0</v>
      </c>
      <c r="K919" t="e">
        <f t="shared" si="166"/>
        <v>#N/A</v>
      </c>
      <c r="L919" s="111">
        <f t="shared" si="167"/>
        <v>0</v>
      </c>
      <c r="M919" s="112">
        <f t="shared" si="168"/>
        <v>0</v>
      </c>
      <c r="N919" s="112">
        <f t="shared" si="169"/>
        <v>0</v>
      </c>
    </row>
    <row r="920" spans="1:14" x14ac:dyDescent="0.35">
      <c r="A920" s="106">
        <f t="shared" si="165"/>
        <v>0</v>
      </c>
      <c r="B920" s="107" t="e">
        <f>VLOOKUP(A920,[1]Hoja3!$C$3:$D$14,2,FALSE)</f>
        <v>#N/A</v>
      </c>
      <c r="C920" s="108"/>
      <c r="D920" s="108"/>
      <c r="E920" s="109"/>
      <c r="F920" s="109"/>
      <c r="G920" s="110" t="e">
        <f t="shared" si="171"/>
        <v>#N/A</v>
      </c>
      <c r="H920" s="252"/>
      <c r="I920" s="102" t="e">
        <f t="shared" si="172"/>
        <v>#N/A</v>
      </c>
      <c r="J920">
        <f t="shared" si="170"/>
        <v>0</v>
      </c>
      <c r="K920" t="e">
        <f t="shared" si="166"/>
        <v>#N/A</v>
      </c>
      <c r="L920" s="111">
        <f t="shared" si="167"/>
        <v>0</v>
      </c>
      <c r="M920" s="112">
        <f t="shared" si="168"/>
        <v>0</v>
      </c>
      <c r="N920" s="112">
        <f t="shared" si="169"/>
        <v>0</v>
      </c>
    </row>
    <row r="921" spans="1:14" x14ac:dyDescent="0.35">
      <c r="A921" s="106">
        <f t="shared" si="165"/>
        <v>0</v>
      </c>
      <c r="B921" s="107" t="e">
        <f>VLOOKUP(A921,[1]Hoja3!$C$3:$D$14,2,FALSE)</f>
        <v>#N/A</v>
      </c>
      <c r="C921" s="108"/>
      <c r="D921" s="108"/>
      <c r="E921" s="109"/>
      <c r="F921" s="109"/>
      <c r="G921" s="110" t="e">
        <f t="shared" si="171"/>
        <v>#N/A</v>
      </c>
      <c r="H921" s="252"/>
      <c r="I921" s="102" t="e">
        <f t="shared" si="172"/>
        <v>#N/A</v>
      </c>
      <c r="J921">
        <f t="shared" si="170"/>
        <v>0</v>
      </c>
      <c r="K921" t="e">
        <f t="shared" si="166"/>
        <v>#N/A</v>
      </c>
      <c r="L921" s="111">
        <f t="shared" si="167"/>
        <v>0</v>
      </c>
      <c r="M921" s="112">
        <f t="shared" si="168"/>
        <v>0</v>
      </c>
      <c r="N921" s="112">
        <f t="shared" si="169"/>
        <v>0</v>
      </c>
    </row>
    <row r="922" spans="1:14" x14ac:dyDescent="0.35">
      <c r="A922" s="106">
        <f t="shared" si="165"/>
        <v>0</v>
      </c>
      <c r="B922" s="107" t="e">
        <f>VLOOKUP(A922,[1]Hoja3!$C$3:$D$14,2,FALSE)</f>
        <v>#N/A</v>
      </c>
      <c r="C922" s="108"/>
      <c r="D922" s="108"/>
      <c r="E922" s="109"/>
      <c r="F922" s="109"/>
      <c r="G922" s="110" t="e">
        <f t="shared" si="171"/>
        <v>#N/A</v>
      </c>
      <c r="H922" s="252"/>
      <c r="I922" s="102" t="e">
        <f t="shared" si="172"/>
        <v>#N/A</v>
      </c>
      <c r="J922">
        <f t="shared" si="170"/>
        <v>0</v>
      </c>
      <c r="K922" t="e">
        <f t="shared" si="166"/>
        <v>#N/A</v>
      </c>
      <c r="L922" s="111">
        <f t="shared" si="167"/>
        <v>0</v>
      </c>
      <c r="M922" s="112">
        <f t="shared" si="168"/>
        <v>0</v>
      </c>
      <c r="N922" s="112">
        <f t="shared" si="169"/>
        <v>0</v>
      </c>
    </row>
    <row r="923" spans="1:14" x14ac:dyDescent="0.35">
      <c r="A923" s="106">
        <f t="shared" si="165"/>
        <v>0</v>
      </c>
      <c r="B923" s="107" t="e">
        <f>VLOOKUP(A923,[1]Hoja3!$C$3:$D$14,2,FALSE)</f>
        <v>#N/A</v>
      </c>
      <c r="C923" s="108"/>
      <c r="D923" s="108"/>
      <c r="E923" s="109"/>
      <c r="F923" s="109"/>
      <c r="G923" s="110" t="e">
        <f t="shared" si="171"/>
        <v>#N/A</v>
      </c>
      <c r="H923" s="252"/>
      <c r="I923" s="102" t="e">
        <f t="shared" si="172"/>
        <v>#N/A</v>
      </c>
      <c r="J923">
        <f t="shared" si="170"/>
        <v>0</v>
      </c>
      <c r="K923" t="e">
        <f t="shared" si="166"/>
        <v>#N/A</v>
      </c>
      <c r="L923" s="111">
        <f t="shared" si="167"/>
        <v>0</v>
      </c>
      <c r="M923" s="112">
        <f t="shared" si="168"/>
        <v>0</v>
      </c>
      <c r="N923" s="112">
        <f t="shared" si="169"/>
        <v>0</v>
      </c>
    </row>
    <row r="924" spans="1:14" x14ac:dyDescent="0.35">
      <c r="A924" s="106">
        <f t="shared" si="165"/>
        <v>0</v>
      </c>
      <c r="B924" s="107" t="e">
        <f>VLOOKUP(A924,[1]Hoja3!$C$3:$D$14,2,FALSE)</f>
        <v>#N/A</v>
      </c>
      <c r="C924" s="108"/>
      <c r="D924" s="108"/>
      <c r="E924" s="109"/>
      <c r="F924" s="109"/>
      <c r="G924" s="110" t="e">
        <f t="shared" si="171"/>
        <v>#N/A</v>
      </c>
      <c r="H924" s="252"/>
      <c r="I924" s="102" t="e">
        <f t="shared" si="172"/>
        <v>#N/A</v>
      </c>
      <c r="J924">
        <f t="shared" si="170"/>
        <v>0</v>
      </c>
      <c r="K924" t="e">
        <f t="shared" si="166"/>
        <v>#N/A</v>
      </c>
      <c r="L924" s="111">
        <f t="shared" si="167"/>
        <v>0</v>
      </c>
      <c r="M924" s="112">
        <f t="shared" si="168"/>
        <v>0</v>
      </c>
      <c r="N924" s="112">
        <f t="shared" si="169"/>
        <v>0</v>
      </c>
    </row>
    <row r="925" spans="1:14" x14ac:dyDescent="0.35">
      <c r="A925" s="106">
        <f t="shared" si="165"/>
        <v>0</v>
      </c>
      <c r="B925" s="107" t="e">
        <f>VLOOKUP(A925,[1]Hoja3!$C$3:$D$14,2,FALSE)</f>
        <v>#N/A</v>
      </c>
      <c r="C925" s="108"/>
      <c r="D925" s="108"/>
      <c r="E925" s="109"/>
      <c r="F925" s="109"/>
      <c r="G925" s="110" t="e">
        <f t="shared" si="171"/>
        <v>#N/A</v>
      </c>
      <c r="H925" s="252"/>
      <c r="I925" s="102" t="e">
        <f t="shared" si="172"/>
        <v>#N/A</v>
      </c>
      <c r="J925">
        <f t="shared" si="170"/>
        <v>0</v>
      </c>
      <c r="K925" t="e">
        <f t="shared" si="166"/>
        <v>#N/A</v>
      </c>
      <c r="L925" s="111">
        <f t="shared" si="167"/>
        <v>0</v>
      </c>
      <c r="M925" s="112">
        <f t="shared" si="168"/>
        <v>0</v>
      </c>
      <c r="N925" s="112">
        <f t="shared" si="169"/>
        <v>0</v>
      </c>
    </row>
    <row r="926" spans="1:14" x14ac:dyDescent="0.35">
      <c r="A926" s="106">
        <f t="shared" si="165"/>
        <v>0</v>
      </c>
      <c r="B926" s="107" t="e">
        <f>VLOOKUP(A926,[1]Hoja3!$C$3:$D$14,2,FALSE)</f>
        <v>#N/A</v>
      </c>
      <c r="C926" s="108"/>
      <c r="D926" s="108"/>
      <c r="E926" s="109"/>
      <c r="F926" s="109"/>
      <c r="G926" s="110" t="e">
        <f t="shared" si="171"/>
        <v>#N/A</v>
      </c>
      <c r="H926" s="252"/>
      <c r="I926" s="102" t="e">
        <f t="shared" si="172"/>
        <v>#N/A</v>
      </c>
      <c r="J926">
        <f t="shared" si="170"/>
        <v>0</v>
      </c>
      <c r="K926" t="e">
        <f t="shared" si="166"/>
        <v>#N/A</v>
      </c>
      <c r="L926" s="111">
        <f t="shared" si="167"/>
        <v>0</v>
      </c>
      <c r="M926" s="112">
        <f t="shared" si="168"/>
        <v>0</v>
      </c>
      <c r="N926" s="112">
        <f t="shared" si="169"/>
        <v>0</v>
      </c>
    </row>
    <row r="927" spans="1:14" x14ac:dyDescent="0.35">
      <c r="A927" s="106">
        <f t="shared" si="165"/>
        <v>0</v>
      </c>
      <c r="B927" s="107" t="e">
        <f>VLOOKUP(A927,[1]Hoja3!$C$3:$D$14,2,FALSE)</f>
        <v>#N/A</v>
      </c>
      <c r="C927" s="108"/>
      <c r="D927" s="108"/>
      <c r="E927" s="109"/>
      <c r="F927" s="109"/>
      <c r="G927" s="110" t="e">
        <f t="shared" si="171"/>
        <v>#N/A</v>
      </c>
      <c r="H927" s="252"/>
      <c r="I927" s="102" t="e">
        <f t="shared" si="172"/>
        <v>#N/A</v>
      </c>
      <c r="J927">
        <f t="shared" si="170"/>
        <v>0</v>
      </c>
      <c r="K927" t="e">
        <f t="shared" si="166"/>
        <v>#N/A</v>
      </c>
      <c r="L927" s="111">
        <f t="shared" si="167"/>
        <v>0</v>
      </c>
      <c r="M927" s="112">
        <f t="shared" si="168"/>
        <v>0</v>
      </c>
      <c r="N927" s="112">
        <f t="shared" si="169"/>
        <v>0</v>
      </c>
    </row>
    <row r="928" spans="1:14" x14ac:dyDescent="0.35">
      <c r="A928" s="106">
        <f t="shared" si="165"/>
        <v>0</v>
      </c>
      <c r="B928" s="107" t="e">
        <f>VLOOKUP(A928,[1]Hoja3!$C$3:$D$14,2,FALSE)</f>
        <v>#N/A</v>
      </c>
      <c r="C928" s="108"/>
      <c r="D928" s="108"/>
      <c r="E928" s="109"/>
      <c r="F928" s="109"/>
      <c r="G928" s="110" t="e">
        <f t="shared" si="171"/>
        <v>#N/A</v>
      </c>
      <c r="H928" s="252"/>
      <c r="I928" s="102" t="e">
        <f t="shared" si="172"/>
        <v>#N/A</v>
      </c>
      <c r="J928">
        <f t="shared" si="170"/>
        <v>0</v>
      </c>
      <c r="K928" t="e">
        <f t="shared" si="166"/>
        <v>#N/A</v>
      </c>
      <c r="L928" s="111">
        <f t="shared" si="167"/>
        <v>0</v>
      </c>
      <c r="M928" s="112">
        <f t="shared" si="168"/>
        <v>0</v>
      </c>
      <c r="N928" s="112">
        <f t="shared" si="169"/>
        <v>0</v>
      </c>
    </row>
    <row r="929" spans="1:14" x14ac:dyDescent="0.35">
      <c r="A929" s="106">
        <f t="shared" ref="A929:A982" si="173">IF(C929&gt;0,MONTH(C929),0)</f>
        <v>0</v>
      </c>
      <c r="B929" s="107" t="e">
        <f>VLOOKUP(A929,[1]Hoja3!$C$3:$D$14,2,FALSE)</f>
        <v>#N/A</v>
      </c>
      <c r="C929" s="108"/>
      <c r="D929" s="108"/>
      <c r="E929" s="109"/>
      <c r="F929" s="109"/>
      <c r="G929" s="110" t="e">
        <f t="shared" si="171"/>
        <v>#N/A</v>
      </c>
      <c r="H929" s="252"/>
      <c r="I929" s="102" t="e">
        <f t="shared" si="172"/>
        <v>#N/A</v>
      </c>
      <c r="J929">
        <f t="shared" si="170"/>
        <v>0</v>
      </c>
      <c r="K929" t="e">
        <f t="shared" ref="K929:K982" si="174">+B929</f>
        <v>#N/A</v>
      </c>
      <c r="L929" s="111">
        <f t="shared" ref="L929:L982" si="175">+J929/0.16</f>
        <v>0</v>
      </c>
      <c r="M929" s="112">
        <f t="shared" ref="M929:M982" si="176">+H929-L929</f>
        <v>0</v>
      </c>
      <c r="N929" s="112">
        <f t="shared" ref="N929:N982" si="177">+H929+J929</f>
        <v>0</v>
      </c>
    </row>
    <row r="930" spans="1:14" x14ac:dyDescent="0.35">
      <c r="A930" s="106">
        <f t="shared" si="173"/>
        <v>0</v>
      </c>
      <c r="B930" s="107" t="e">
        <f>VLOOKUP(A930,[1]Hoja3!$C$3:$D$14,2,FALSE)</f>
        <v>#N/A</v>
      </c>
      <c r="C930" s="108"/>
      <c r="D930" s="108"/>
      <c r="E930" s="109"/>
      <c r="F930" s="109"/>
      <c r="G930" s="110" t="e">
        <f t="shared" si="171"/>
        <v>#N/A</v>
      </c>
      <c r="H930" s="252"/>
      <c r="I930" s="102" t="e">
        <f t="shared" si="172"/>
        <v>#N/A</v>
      </c>
      <c r="J930">
        <f t="shared" si="170"/>
        <v>0</v>
      </c>
      <c r="K930" t="e">
        <f t="shared" si="174"/>
        <v>#N/A</v>
      </c>
      <c r="L930" s="111">
        <f t="shared" si="175"/>
        <v>0</v>
      </c>
      <c r="M930" s="112">
        <f t="shared" si="176"/>
        <v>0</v>
      </c>
      <c r="N930" s="112">
        <f t="shared" si="177"/>
        <v>0</v>
      </c>
    </row>
    <row r="931" spans="1:14" x14ac:dyDescent="0.35">
      <c r="A931" s="106">
        <f t="shared" si="173"/>
        <v>0</v>
      </c>
      <c r="B931" s="107" t="e">
        <f>VLOOKUP(A931,[1]Hoja3!$C$3:$D$14,2,FALSE)</f>
        <v>#N/A</v>
      </c>
      <c r="C931" s="108"/>
      <c r="D931" s="108"/>
      <c r="E931" s="109"/>
      <c r="F931" s="109"/>
      <c r="G931" s="110" t="e">
        <f t="shared" si="171"/>
        <v>#N/A</v>
      </c>
      <c r="H931" s="252"/>
      <c r="I931" s="102" t="e">
        <f t="shared" si="172"/>
        <v>#N/A</v>
      </c>
      <c r="J931">
        <f t="shared" si="170"/>
        <v>0</v>
      </c>
      <c r="K931" t="e">
        <f t="shared" si="174"/>
        <v>#N/A</v>
      </c>
      <c r="L931" s="111">
        <f t="shared" si="175"/>
        <v>0</v>
      </c>
      <c r="M931" s="112">
        <f t="shared" si="176"/>
        <v>0</v>
      </c>
      <c r="N931" s="112">
        <f t="shared" si="177"/>
        <v>0</v>
      </c>
    </row>
    <row r="932" spans="1:14" x14ac:dyDescent="0.35">
      <c r="A932" s="106">
        <f t="shared" si="173"/>
        <v>0</v>
      </c>
      <c r="B932" s="107" t="e">
        <f>VLOOKUP(A932,[1]Hoja3!$C$3:$D$14,2,FALSE)</f>
        <v>#N/A</v>
      </c>
      <c r="C932" s="108"/>
      <c r="D932" s="108"/>
      <c r="E932" s="109"/>
      <c r="F932" s="109"/>
      <c r="G932" s="110" t="e">
        <f t="shared" si="171"/>
        <v>#N/A</v>
      </c>
      <c r="H932" s="252"/>
      <c r="I932" s="102" t="e">
        <f t="shared" si="172"/>
        <v>#N/A</v>
      </c>
      <c r="J932">
        <f t="shared" si="170"/>
        <v>0</v>
      </c>
      <c r="K932" t="e">
        <f t="shared" si="174"/>
        <v>#N/A</v>
      </c>
      <c r="L932" s="111">
        <f t="shared" si="175"/>
        <v>0</v>
      </c>
      <c r="M932" s="112">
        <f t="shared" si="176"/>
        <v>0</v>
      </c>
      <c r="N932" s="112">
        <f t="shared" si="177"/>
        <v>0</v>
      </c>
    </row>
    <row r="933" spans="1:14" x14ac:dyDescent="0.35">
      <c r="A933" s="106">
        <f t="shared" si="173"/>
        <v>0</v>
      </c>
      <c r="B933" s="107" t="e">
        <f>VLOOKUP(A933,[1]Hoja3!$C$3:$D$14,2,FALSE)</f>
        <v>#N/A</v>
      </c>
      <c r="C933" s="108"/>
      <c r="D933" s="108"/>
      <c r="E933" s="109"/>
      <c r="F933" s="109"/>
      <c r="G933" s="110" t="e">
        <f t="shared" si="171"/>
        <v>#N/A</v>
      </c>
      <c r="H933" s="252"/>
      <c r="I933" s="102" t="e">
        <f t="shared" si="172"/>
        <v>#N/A</v>
      </c>
      <c r="J933">
        <f t="shared" si="170"/>
        <v>0</v>
      </c>
      <c r="K933" t="e">
        <f t="shared" si="174"/>
        <v>#N/A</v>
      </c>
      <c r="L933" s="111">
        <f t="shared" si="175"/>
        <v>0</v>
      </c>
      <c r="M933" s="112">
        <f t="shared" si="176"/>
        <v>0</v>
      </c>
      <c r="N933" s="112">
        <f t="shared" si="177"/>
        <v>0</v>
      </c>
    </row>
    <row r="934" spans="1:14" x14ac:dyDescent="0.35">
      <c r="A934" s="106">
        <f t="shared" si="173"/>
        <v>0</v>
      </c>
      <c r="B934" s="107" t="e">
        <f>VLOOKUP(A934,[1]Hoja3!$C$3:$D$14,2,FALSE)</f>
        <v>#N/A</v>
      </c>
      <c r="C934" s="108"/>
      <c r="D934" s="108"/>
      <c r="E934" s="109"/>
      <c r="F934" s="109"/>
      <c r="G934" s="110" t="e">
        <f t="shared" si="171"/>
        <v>#N/A</v>
      </c>
      <c r="H934" s="252"/>
      <c r="I934" s="102" t="e">
        <f t="shared" si="172"/>
        <v>#N/A</v>
      </c>
      <c r="J934">
        <f t="shared" si="170"/>
        <v>0</v>
      </c>
      <c r="K934" t="e">
        <f t="shared" si="174"/>
        <v>#N/A</v>
      </c>
      <c r="L934" s="111">
        <f t="shared" si="175"/>
        <v>0</v>
      </c>
      <c r="M934" s="112">
        <f t="shared" si="176"/>
        <v>0</v>
      </c>
      <c r="N934" s="112">
        <f t="shared" si="177"/>
        <v>0</v>
      </c>
    </row>
    <row r="935" spans="1:14" x14ac:dyDescent="0.35">
      <c r="A935" s="106">
        <f t="shared" si="173"/>
        <v>0</v>
      </c>
      <c r="B935" s="107" t="e">
        <f>VLOOKUP(A935,[1]Hoja3!$C$3:$D$14,2,FALSE)</f>
        <v>#N/A</v>
      </c>
      <c r="C935" s="108"/>
      <c r="D935" s="108"/>
      <c r="E935" s="109"/>
      <c r="F935" s="109"/>
      <c r="G935" s="110" t="e">
        <f t="shared" si="171"/>
        <v>#N/A</v>
      </c>
      <c r="H935" s="252"/>
      <c r="I935" s="102" t="e">
        <f t="shared" si="172"/>
        <v>#N/A</v>
      </c>
      <c r="J935">
        <f t="shared" si="170"/>
        <v>0</v>
      </c>
      <c r="K935" t="e">
        <f t="shared" si="174"/>
        <v>#N/A</v>
      </c>
      <c r="L935" s="111">
        <f t="shared" si="175"/>
        <v>0</v>
      </c>
      <c r="M935" s="112">
        <f t="shared" si="176"/>
        <v>0</v>
      </c>
      <c r="N935" s="112">
        <f t="shared" si="177"/>
        <v>0</v>
      </c>
    </row>
    <row r="936" spans="1:14" x14ac:dyDescent="0.35">
      <c r="A936" s="106">
        <f t="shared" si="173"/>
        <v>0</v>
      </c>
      <c r="B936" s="107" t="e">
        <f>VLOOKUP(A936,[1]Hoja3!$C$3:$D$14,2,FALSE)</f>
        <v>#N/A</v>
      </c>
      <c r="C936" s="108"/>
      <c r="D936" s="108"/>
      <c r="E936" s="109"/>
      <c r="F936" s="109"/>
      <c r="G936" s="110" t="e">
        <f t="shared" si="171"/>
        <v>#N/A</v>
      </c>
      <c r="H936" s="252"/>
      <c r="I936" s="102" t="e">
        <f t="shared" si="172"/>
        <v>#N/A</v>
      </c>
      <c r="J936">
        <f t="shared" si="170"/>
        <v>0</v>
      </c>
      <c r="K936" t="e">
        <f t="shared" si="174"/>
        <v>#N/A</v>
      </c>
      <c r="L936" s="111">
        <f t="shared" si="175"/>
        <v>0</v>
      </c>
      <c r="M936" s="112">
        <f t="shared" si="176"/>
        <v>0</v>
      </c>
      <c r="N936" s="112">
        <f t="shared" si="177"/>
        <v>0</v>
      </c>
    </row>
    <row r="937" spans="1:14" x14ac:dyDescent="0.35">
      <c r="A937" s="106">
        <f t="shared" si="173"/>
        <v>0</v>
      </c>
      <c r="B937" s="107" t="e">
        <f>VLOOKUP(A937,[1]Hoja3!$C$3:$D$14,2,FALSE)</f>
        <v>#N/A</v>
      </c>
      <c r="C937" s="108"/>
      <c r="D937" s="108"/>
      <c r="E937" s="109"/>
      <c r="F937" s="109"/>
      <c r="G937" s="110" t="e">
        <f t="shared" si="171"/>
        <v>#N/A</v>
      </c>
      <c r="H937" s="252"/>
      <c r="I937" s="102" t="e">
        <f t="shared" si="172"/>
        <v>#N/A</v>
      </c>
      <c r="J937">
        <f t="shared" si="170"/>
        <v>0</v>
      </c>
      <c r="K937" t="e">
        <f t="shared" si="174"/>
        <v>#N/A</v>
      </c>
      <c r="L937" s="111">
        <f t="shared" si="175"/>
        <v>0</v>
      </c>
      <c r="M937" s="112">
        <f t="shared" si="176"/>
        <v>0</v>
      </c>
      <c r="N937" s="112">
        <f t="shared" si="177"/>
        <v>0</v>
      </c>
    </row>
    <row r="938" spans="1:14" x14ac:dyDescent="0.35">
      <c r="A938" s="106">
        <f t="shared" si="173"/>
        <v>0</v>
      </c>
      <c r="B938" s="107" t="e">
        <f>VLOOKUP(A938,[1]Hoja3!$C$3:$D$14,2,FALSE)</f>
        <v>#N/A</v>
      </c>
      <c r="C938" s="108"/>
      <c r="D938" s="108"/>
      <c r="E938" s="109"/>
      <c r="F938" s="109"/>
      <c r="G938" s="110" t="e">
        <f t="shared" si="171"/>
        <v>#N/A</v>
      </c>
      <c r="H938" s="252"/>
      <c r="I938" s="102" t="e">
        <f t="shared" si="172"/>
        <v>#N/A</v>
      </c>
      <c r="J938">
        <f t="shared" si="170"/>
        <v>0</v>
      </c>
      <c r="K938" t="e">
        <f t="shared" si="174"/>
        <v>#N/A</v>
      </c>
      <c r="L938" s="111">
        <f t="shared" si="175"/>
        <v>0</v>
      </c>
      <c r="M938" s="112">
        <f t="shared" si="176"/>
        <v>0</v>
      </c>
      <c r="N938" s="112">
        <f t="shared" si="177"/>
        <v>0</v>
      </c>
    </row>
    <row r="939" spans="1:14" x14ac:dyDescent="0.35">
      <c r="A939" s="106">
        <f t="shared" si="173"/>
        <v>0</v>
      </c>
      <c r="B939" s="107" t="e">
        <f>VLOOKUP(A939,[1]Hoja3!$C$3:$D$14,2,FALSE)</f>
        <v>#N/A</v>
      </c>
      <c r="C939" s="108"/>
      <c r="D939" s="108"/>
      <c r="E939" s="109"/>
      <c r="F939" s="109"/>
      <c r="G939" s="110" t="e">
        <f t="shared" si="171"/>
        <v>#N/A</v>
      </c>
      <c r="H939" s="252"/>
      <c r="I939" s="102" t="e">
        <f t="shared" si="172"/>
        <v>#N/A</v>
      </c>
      <c r="J939">
        <f t="shared" si="170"/>
        <v>0</v>
      </c>
      <c r="K939" t="e">
        <f t="shared" si="174"/>
        <v>#N/A</v>
      </c>
      <c r="L939" s="111">
        <f t="shared" si="175"/>
        <v>0</v>
      </c>
      <c r="M939" s="112">
        <f t="shared" si="176"/>
        <v>0</v>
      </c>
      <c r="N939" s="112">
        <f t="shared" si="177"/>
        <v>0</v>
      </c>
    </row>
    <row r="940" spans="1:14" x14ac:dyDescent="0.35">
      <c r="A940" s="106">
        <f t="shared" si="173"/>
        <v>0</v>
      </c>
      <c r="B940" s="107" t="e">
        <f>VLOOKUP(A940,[1]Hoja3!$C$3:$D$14,2,FALSE)</f>
        <v>#N/A</v>
      </c>
      <c r="C940" s="108"/>
      <c r="D940" s="108"/>
      <c r="E940" s="109"/>
      <c r="F940" s="109"/>
      <c r="G940" s="110" t="e">
        <f t="shared" si="171"/>
        <v>#N/A</v>
      </c>
      <c r="H940" s="252"/>
      <c r="I940" s="102" t="e">
        <f t="shared" si="172"/>
        <v>#N/A</v>
      </c>
      <c r="J940">
        <f t="shared" si="170"/>
        <v>0</v>
      </c>
      <c r="K940" t="e">
        <f t="shared" si="174"/>
        <v>#N/A</v>
      </c>
      <c r="L940" s="111">
        <f t="shared" si="175"/>
        <v>0</v>
      </c>
      <c r="M940" s="112">
        <f t="shared" si="176"/>
        <v>0</v>
      </c>
      <c r="N940" s="112">
        <f t="shared" si="177"/>
        <v>0</v>
      </c>
    </row>
    <row r="941" spans="1:14" x14ac:dyDescent="0.35">
      <c r="A941" s="106">
        <f t="shared" si="173"/>
        <v>0</v>
      </c>
      <c r="B941" s="107" t="e">
        <f>VLOOKUP(A941,[1]Hoja3!$C$3:$D$14,2,FALSE)</f>
        <v>#N/A</v>
      </c>
      <c r="C941" s="108"/>
      <c r="D941" s="108"/>
      <c r="E941" s="109"/>
      <c r="F941" s="109"/>
      <c r="G941" s="110" t="e">
        <f t="shared" si="171"/>
        <v>#N/A</v>
      </c>
      <c r="H941" s="252"/>
      <c r="I941" s="102" t="e">
        <f t="shared" si="172"/>
        <v>#N/A</v>
      </c>
      <c r="J941">
        <f t="shared" si="170"/>
        <v>0</v>
      </c>
      <c r="K941" t="e">
        <f t="shared" si="174"/>
        <v>#N/A</v>
      </c>
      <c r="L941" s="111">
        <f t="shared" si="175"/>
        <v>0</v>
      </c>
      <c r="M941" s="112">
        <f t="shared" si="176"/>
        <v>0</v>
      </c>
      <c r="N941" s="112">
        <f t="shared" si="177"/>
        <v>0</v>
      </c>
    </row>
    <row r="942" spans="1:14" x14ac:dyDescent="0.35">
      <c r="A942" s="106">
        <f t="shared" si="173"/>
        <v>0</v>
      </c>
      <c r="B942" s="107" t="e">
        <f>VLOOKUP(A942,[1]Hoja3!$C$3:$D$14,2,FALSE)</f>
        <v>#N/A</v>
      </c>
      <c r="C942" s="108"/>
      <c r="D942" s="108"/>
      <c r="E942" s="109"/>
      <c r="F942" s="109"/>
      <c r="G942" s="110" t="e">
        <f t="shared" si="171"/>
        <v>#N/A</v>
      </c>
      <c r="H942" s="252"/>
      <c r="I942" s="102" t="e">
        <f t="shared" si="172"/>
        <v>#N/A</v>
      </c>
      <c r="J942">
        <f t="shared" si="170"/>
        <v>0</v>
      </c>
      <c r="K942" t="e">
        <f t="shared" si="174"/>
        <v>#N/A</v>
      </c>
      <c r="L942" s="111">
        <f t="shared" si="175"/>
        <v>0</v>
      </c>
      <c r="M942" s="112">
        <f t="shared" si="176"/>
        <v>0</v>
      </c>
      <c r="N942" s="112">
        <f t="shared" si="177"/>
        <v>0</v>
      </c>
    </row>
    <row r="943" spans="1:14" x14ac:dyDescent="0.35">
      <c r="A943" s="106">
        <f t="shared" si="173"/>
        <v>0</v>
      </c>
      <c r="B943" s="107" t="e">
        <f>VLOOKUP(A943,[1]Hoja3!$C$3:$D$14,2,FALSE)</f>
        <v>#N/A</v>
      </c>
      <c r="C943" s="108"/>
      <c r="D943" s="108"/>
      <c r="E943" s="109"/>
      <c r="F943" s="109"/>
      <c r="G943" s="110" t="e">
        <f t="shared" si="171"/>
        <v>#N/A</v>
      </c>
      <c r="H943" s="252"/>
      <c r="I943" s="102" t="e">
        <f t="shared" si="172"/>
        <v>#N/A</v>
      </c>
      <c r="J943">
        <f t="shared" si="170"/>
        <v>0</v>
      </c>
      <c r="K943" t="e">
        <f t="shared" si="174"/>
        <v>#N/A</v>
      </c>
      <c r="L943" s="111">
        <f t="shared" si="175"/>
        <v>0</v>
      </c>
      <c r="M943" s="112">
        <f t="shared" si="176"/>
        <v>0</v>
      </c>
      <c r="N943" s="112">
        <f t="shared" si="177"/>
        <v>0</v>
      </c>
    </row>
    <row r="944" spans="1:14" x14ac:dyDescent="0.35">
      <c r="A944" s="106">
        <f t="shared" si="173"/>
        <v>0</v>
      </c>
      <c r="B944" s="107" t="e">
        <f>VLOOKUP(A944,[1]Hoja3!$C$3:$D$14,2,FALSE)</f>
        <v>#N/A</v>
      </c>
      <c r="C944" s="108"/>
      <c r="D944" s="108"/>
      <c r="E944" s="109"/>
      <c r="F944" s="109"/>
      <c r="G944" s="110" t="e">
        <f t="shared" si="171"/>
        <v>#N/A</v>
      </c>
      <c r="H944" s="252"/>
      <c r="I944" s="102" t="e">
        <f t="shared" si="172"/>
        <v>#N/A</v>
      </c>
      <c r="J944">
        <f t="shared" si="170"/>
        <v>0</v>
      </c>
      <c r="K944" t="e">
        <f t="shared" si="174"/>
        <v>#N/A</v>
      </c>
      <c r="L944" s="111">
        <f t="shared" si="175"/>
        <v>0</v>
      </c>
      <c r="M944" s="112">
        <f t="shared" si="176"/>
        <v>0</v>
      </c>
      <c r="N944" s="112">
        <f t="shared" si="177"/>
        <v>0</v>
      </c>
    </row>
    <row r="945" spans="1:14" x14ac:dyDescent="0.35">
      <c r="A945" s="106">
        <f t="shared" si="173"/>
        <v>0</v>
      </c>
      <c r="B945" s="107" t="e">
        <f>VLOOKUP(A945,[1]Hoja3!$C$3:$D$14,2,FALSE)</f>
        <v>#N/A</v>
      </c>
      <c r="C945" s="108"/>
      <c r="D945" s="108"/>
      <c r="E945" s="109"/>
      <c r="F945" s="109"/>
      <c r="G945" s="110" t="e">
        <f t="shared" si="171"/>
        <v>#N/A</v>
      </c>
      <c r="H945" s="252"/>
      <c r="I945" s="102" t="e">
        <f t="shared" si="172"/>
        <v>#N/A</v>
      </c>
      <c r="J945">
        <f t="shared" si="170"/>
        <v>0</v>
      </c>
      <c r="K945" t="e">
        <f t="shared" si="174"/>
        <v>#N/A</v>
      </c>
      <c r="L945" s="111">
        <f t="shared" si="175"/>
        <v>0</v>
      </c>
      <c r="M945" s="112">
        <f t="shared" si="176"/>
        <v>0</v>
      </c>
      <c r="N945" s="112">
        <f t="shared" si="177"/>
        <v>0</v>
      </c>
    </row>
    <row r="946" spans="1:14" x14ac:dyDescent="0.35">
      <c r="A946" s="106">
        <f t="shared" si="173"/>
        <v>0</v>
      </c>
      <c r="B946" s="107" t="e">
        <f>VLOOKUP(A946,[1]Hoja3!$C$3:$D$14,2,FALSE)</f>
        <v>#N/A</v>
      </c>
      <c r="C946" s="108"/>
      <c r="D946" s="108"/>
      <c r="E946" s="109"/>
      <c r="F946" s="109"/>
      <c r="G946" s="110" t="e">
        <f t="shared" si="171"/>
        <v>#N/A</v>
      </c>
      <c r="H946" s="252"/>
      <c r="I946" s="102" t="e">
        <f t="shared" si="172"/>
        <v>#N/A</v>
      </c>
      <c r="J946">
        <f t="shared" si="170"/>
        <v>0</v>
      </c>
      <c r="K946" t="e">
        <f t="shared" si="174"/>
        <v>#N/A</v>
      </c>
      <c r="L946" s="111">
        <f t="shared" si="175"/>
        <v>0</v>
      </c>
      <c r="M946" s="112">
        <f t="shared" si="176"/>
        <v>0</v>
      </c>
      <c r="N946" s="112">
        <f t="shared" si="177"/>
        <v>0</v>
      </c>
    </row>
    <row r="947" spans="1:14" x14ac:dyDescent="0.35">
      <c r="A947" s="106">
        <f t="shared" si="173"/>
        <v>0</v>
      </c>
      <c r="B947" s="107" t="e">
        <f>VLOOKUP(A947,[1]Hoja3!$C$3:$D$14,2,FALSE)</f>
        <v>#N/A</v>
      </c>
      <c r="C947" s="108"/>
      <c r="D947" s="108"/>
      <c r="E947" s="109"/>
      <c r="F947" s="109"/>
      <c r="G947" s="110" t="e">
        <f t="shared" si="171"/>
        <v>#N/A</v>
      </c>
      <c r="H947" s="252"/>
      <c r="I947" s="102" t="e">
        <f t="shared" si="172"/>
        <v>#N/A</v>
      </c>
      <c r="J947">
        <f t="shared" si="170"/>
        <v>0</v>
      </c>
      <c r="K947" t="e">
        <f t="shared" si="174"/>
        <v>#N/A</v>
      </c>
      <c r="L947" s="111">
        <f t="shared" si="175"/>
        <v>0</v>
      </c>
      <c r="M947" s="112">
        <f t="shared" si="176"/>
        <v>0</v>
      </c>
      <c r="N947" s="112">
        <f t="shared" si="177"/>
        <v>0</v>
      </c>
    </row>
    <row r="948" spans="1:14" x14ac:dyDescent="0.35">
      <c r="A948" s="106">
        <f t="shared" si="173"/>
        <v>0</v>
      </c>
      <c r="B948" s="107" t="e">
        <f>VLOOKUP(A948,[1]Hoja3!$C$3:$D$14,2,FALSE)</f>
        <v>#N/A</v>
      </c>
      <c r="C948" s="108"/>
      <c r="D948" s="108"/>
      <c r="E948" s="109"/>
      <c r="F948" s="109"/>
      <c r="G948" s="110" t="e">
        <f t="shared" si="171"/>
        <v>#N/A</v>
      </c>
      <c r="H948" s="252"/>
      <c r="I948" s="102" t="e">
        <f t="shared" si="172"/>
        <v>#N/A</v>
      </c>
      <c r="J948">
        <f t="shared" si="170"/>
        <v>0</v>
      </c>
      <c r="K948" t="e">
        <f t="shared" si="174"/>
        <v>#N/A</v>
      </c>
      <c r="L948" s="111">
        <f t="shared" si="175"/>
        <v>0</v>
      </c>
      <c r="M948" s="112">
        <f t="shared" si="176"/>
        <v>0</v>
      </c>
      <c r="N948" s="112">
        <f t="shared" si="177"/>
        <v>0</v>
      </c>
    </row>
    <row r="949" spans="1:14" x14ac:dyDescent="0.35">
      <c r="A949" s="106">
        <f t="shared" si="173"/>
        <v>0</v>
      </c>
      <c r="B949" s="107" t="e">
        <f>VLOOKUP(A949,[1]Hoja3!$C$3:$D$14,2,FALSE)</f>
        <v>#N/A</v>
      </c>
      <c r="C949" s="108"/>
      <c r="D949" s="108"/>
      <c r="E949" s="109"/>
      <c r="F949" s="109"/>
      <c r="G949" s="110" t="e">
        <f t="shared" si="171"/>
        <v>#N/A</v>
      </c>
      <c r="H949" s="252"/>
      <c r="I949" s="102" t="e">
        <f t="shared" si="172"/>
        <v>#N/A</v>
      </c>
      <c r="J949">
        <f t="shared" si="170"/>
        <v>0</v>
      </c>
      <c r="K949" t="e">
        <f t="shared" si="174"/>
        <v>#N/A</v>
      </c>
      <c r="L949" s="111">
        <f t="shared" si="175"/>
        <v>0</v>
      </c>
      <c r="M949" s="112">
        <f t="shared" si="176"/>
        <v>0</v>
      </c>
      <c r="N949" s="112">
        <f t="shared" si="177"/>
        <v>0</v>
      </c>
    </row>
    <row r="950" spans="1:14" x14ac:dyDescent="0.35">
      <c r="A950" s="106">
        <f t="shared" si="173"/>
        <v>0</v>
      </c>
      <c r="B950" s="107" t="e">
        <f>VLOOKUP(A950,[1]Hoja3!$C$3:$D$14,2,FALSE)</f>
        <v>#N/A</v>
      </c>
      <c r="C950" s="108"/>
      <c r="D950" s="108"/>
      <c r="E950" s="109"/>
      <c r="F950" s="109"/>
      <c r="G950" s="110" t="e">
        <f t="shared" si="171"/>
        <v>#N/A</v>
      </c>
      <c r="H950" s="252"/>
      <c r="I950" s="102" t="e">
        <f t="shared" si="172"/>
        <v>#N/A</v>
      </c>
      <c r="J950">
        <f t="shared" si="170"/>
        <v>0</v>
      </c>
      <c r="K950" t="e">
        <f t="shared" si="174"/>
        <v>#N/A</v>
      </c>
      <c r="L950" s="111">
        <f t="shared" si="175"/>
        <v>0</v>
      </c>
      <c r="M950" s="112">
        <f t="shared" si="176"/>
        <v>0</v>
      </c>
      <c r="N950" s="112">
        <f t="shared" si="177"/>
        <v>0</v>
      </c>
    </row>
    <row r="951" spans="1:14" x14ac:dyDescent="0.35">
      <c r="A951" s="106">
        <f t="shared" si="173"/>
        <v>0</v>
      </c>
      <c r="B951" s="107" t="e">
        <f>VLOOKUP(A951,[1]Hoja3!$C$3:$D$14,2,FALSE)</f>
        <v>#N/A</v>
      </c>
      <c r="C951" s="108"/>
      <c r="D951" s="108"/>
      <c r="E951" s="109"/>
      <c r="F951" s="109"/>
      <c r="G951" s="110" t="e">
        <f t="shared" si="171"/>
        <v>#N/A</v>
      </c>
      <c r="H951" s="252"/>
      <c r="I951" s="102" t="e">
        <f t="shared" si="172"/>
        <v>#N/A</v>
      </c>
      <c r="J951">
        <f t="shared" si="170"/>
        <v>0</v>
      </c>
      <c r="K951" t="e">
        <f t="shared" si="174"/>
        <v>#N/A</v>
      </c>
      <c r="L951" s="111">
        <f t="shared" si="175"/>
        <v>0</v>
      </c>
      <c r="M951" s="112">
        <f t="shared" si="176"/>
        <v>0</v>
      </c>
      <c r="N951" s="112">
        <f t="shared" si="177"/>
        <v>0</v>
      </c>
    </row>
    <row r="952" spans="1:14" x14ac:dyDescent="0.35">
      <c r="A952" s="106">
        <f t="shared" si="173"/>
        <v>0</v>
      </c>
      <c r="B952" s="107" t="e">
        <f>VLOOKUP(A952,[1]Hoja3!$C$3:$D$14,2,FALSE)</f>
        <v>#N/A</v>
      </c>
      <c r="C952" s="108"/>
      <c r="D952" s="108"/>
      <c r="E952" s="109"/>
      <c r="F952" s="109"/>
      <c r="G952" s="110" t="e">
        <f t="shared" si="171"/>
        <v>#N/A</v>
      </c>
      <c r="H952" s="252"/>
      <c r="I952" s="102" t="e">
        <f t="shared" si="172"/>
        <v>#N/A</v>
      </c>
      <c r="J952">
        <f t="shared" si="170"/>
        <v>0</v>
      </c>
      <c r="K952" t="e">
        <f t="shared" si="174"/>
        <v>#N/A</v>
      </c>
      <c r="L952" s="111">
        <f t="shared" si="175"/>
        <v>0</v>
      </c>
      <c r="M952" s="112">
        <f t="shared" si="176"/>
        <v>0</v>
      </c>
      <c r="N952" s="112">
        <f t="shared" si="177"/>
        <v>0</v>
      </c>
    </row>
    <row r="953" spans="1:14" x14ac:dyDescent="0.35">
      <c r="A953" s="106">
        <f t="shared" si="173"/>
        <v>0</v>
      </c>
      <c r="B953" s="107" t="e">
        <f>VLOOKUP(A953,[1]Hoja3!$C$3:$D$14,2,FALSE)</f>
        <v>#N/A</v>
      </c>
      <c r="C953" s="108"/>
      <c r="D953" s="108"/>
      <c r="E953" s="109"/>
      <c r="F953" s="109"/>
      <c r="G953" s="110" t="e">
        <f t="shared" si="171"/>
        <v>#N/A</v>
      </c>
      <c r="H953" s="252"/>
      <c r="I953" s="102" t="e">
        <f t="shared" si="172"/>
        <v>#N/A</v>
      </c>
      <c r="J953">
        <f t="shared" si="170"/>
        <v>0</v>
      </c>
      <c r="K953" t="e">
        <f t="shared" si="174"/>
        <v>#N/A</v>
      </c>
      <c r="L953" s="111">
        <f t="shared" si="175"/>
        <v>0</v>
      </c>
      <c r="M953" s="112">
        <f t="shared" si="176"/>
        <v>0</v>
      </c>
      <c r="N953" s="112">
        <f t="shared" si="177"/>
        <v>0</v>
      </c>
    </row>
    <row r="954" spans="1:14" x14ac:dyDescent="0.35">
      <c r="A954" s="106">
        <f t="shared" si="173"/>
        <v>0</v>
      </c>
      <c r="B954" s="107" t="e">
        <f>VLOOKUP(A954,[1]Hoja3!$C$3:$D$14,2,FALSE)</f>
        <v>#N/A</v>
      </c>
      <c r="C954" s="108"/>
      <c r="D954" s="108"/>
      <c r="E954" s="109"/>
      <c r="F954" s="109"/>
      <c r="G954" s="110" t="e">
        <f t="shared" si="171"/>
        <v>#N/A</v>
      </c>
      <c r="H954" s="252"/>
      <c r="I954" s="102" t="e">
        <f t="shared" si="172"/>
        <v>#N/A</v>
      </c>
      <c r="J954">
        <f t="shared" si="170"/>
        <v>0</v>
      </c>
      <c r="K954" t="e">
        <f t="shared" si="174"/>
        <v>#N/A</v>
      </c>
      <c r="L954" s="111">
        <f t="shared" si="175"/>
        <v>0</v>
      </c>
      <c r="M954" s="112">
        <f t="shared" si="176"/>
        <v>0</v>
      </c>
      <c r="N954" s="112">
        <f t="shared" si="177"/>
        <v>0</v>
      </c>
    </row>
    <row r="955" spans="1:14" x14ac:dyDescent="0.35">
      <c r="A955" s="106">
        <f t="shared" si="173"/>
        <v>0</v>
      </c>
      <c r="B955" s="107" t="e">
        <f>VLOOKUP(A955,[1]Hoja3!$C$3:$D$14,2,FALSE)</f>
        <v>#N/A</v>
      </c>
      <c r="C955" s="108"/>
      <c r="D955" s="108"/>
      <c r="E955" s="109"/>
      <c r="F955" s="109"/>
      <c r="G955" s="110" t="e">
        <f t="shared" si="171"/>
        <v>#N/A</v>
      </c>
      <c r="H955" s="252"/>
      <c r="I955" s="102" t="e">
        <f t="shared" si="172"/>
        <v>#N/A</v>
      </c>
      <c r="J955">
        <f t="shared" si="170"/>
        <v>0</v>
      </c>
      <c r="K955" t="e">
        <f t="shared" si="174"/>
        <v>#N/A</v>
      </c>
      <c r="L955" s="111">
        <f t="shared" si="175"/>
        <v>0</v>
      </c>
      <c r="M955" s="112">
        <f t="shared" si="176"/>
        <v>0</v>
      </c>
      <c r="N955" s="112">
        <f t="shared" si="177"/>
        <v>0</v>
      </c>
    </row>
    <row r="956" spans="1:14" x14ac:dyDescent="0.35">
      <c r="A956" s="106">
        <f t="shared" si="173"/>
        <v>0</v>
      </c>
      <c r="B956" s="107" t="e">
        <f>VLOOKUP(A956,[1]Hoja3!$C$3:$D$14,2,FALSE)</f>
        <v>#N/A</v>
      </c>
      <c r="C956" s="108"/>
      <c r="D956" s="108"/>
      <c r="E956" s="109"/>
      <c r="F956" s="109"/>
      <c r="G956" s="110" t="e">
        <f t="shared" si="171"/>
        <v>#N/A</v>
      </c>
      <c r="H956" s="252"/>
      <c r="I956" s="102" t="e">
        <f t="shared" si="172"/>
        <v>#N/A</v>
      </c>
      <c r="J956">
        <f t="shared" si="170"/>
        <v>0</v>
      </c>
      <c r="K956" t="e">
        <f t="shared" si="174"/>
        <v>#N/A</v>
      </c>
      <c r="L956" s="111">
        <f t="shared" si="175"/>
        <v>0</v>
      </c>
      <c r="M956" s="112">
        <f t="shared" si="176"/>
        <v>0</v>
      </c>
      <c r="N956" s="112">
        <f t="shared" si="177"/>
        <v>0</v>
      </c>
    </row>
    <row r="957" spans="1:14" x14ac:dyDescent="0.35">
      <c r="A957" s="106">
        <f t="shared" si="173"/>
        <v>0</v>
      </c>
      <c r="B957" s="107" t="e">
        <f>VLOOKUP(A957,[1]Hoja3!$C$3:$D$14,2,FALSE)</f>
        <v>#N/A</v>
      </c>
      <c r="C957" s="108"/>
      <c r="D957" s="108"/>
      <c r="E957" s="109"/>
      <c r="F957" s="109"/>
      <c r="G957" s="110" t="e">
        <f t="shared" si="171"/>
        <v>#N/A</v>
      </c>
      <c r="H957" s="252"/>
      <c r="I957" s="102" t="e">
        <f t="shared" si="172"/>
        <v>#N/A</v>
      </c>
      <c r="J957">
        <f t="shared" si="170"/>
        <v>0</v>
      </c>
      <c r="K957" t="e">
        <f t="shared" si="174"/>
        <v>#N/A</v>
      </c>
      <c r="L957" s="111">
        <f t="shared" si="175"/>
        <v>0</v>
      </c>
      <c r="M957" s="112">
        <f t="shared" si="176"/>
        <v>0</v>
      </c>
      <c r="N957" s="112">
        <f t="shared" si="177"/>
        <v>0</v>
      </c>
    </row>
    <row r="958" spans="1:14" x14ac:dyDescent="0.35">
      <c r="A958" s="106">
        <f t="shared" si="173"/>
        <v>0</v>
      </c>
      <c r="B958" s="107" t="e">
        <f>VLOOKUP(A958,[1]Hoja3!$C$3:$D$14,2,FALSE)</f>
        <v>#N/A</v>
      </c>
      <c r="C958" s="108"/>
      <c r="D958" s="108"/>
      <c r="E958" s="109"/>
      <c r="F958" s="109"/>
      <c r="G958" s="110" t="e">
        <f t="shared" si="171"/>
        <v>#N/A</v>
      </c>
      <c r="H958" s="252"/>
      <c r="I958" s="102" t="e">
        <f t="shared" si="172"/>
        <v>#N/A</v>
      </c>
      <c r="J958">
        <f t="shared" si="170"/>
        <v>0</v>
      </c>
      <c r="K958" t="e">
        <f t="shared" si="174"/>
        <v>#N/A</v>
      </c>
      <c r="L958" s="111">
        <f t="shared" si="175"/>
        <v>0</v>
      </c>
      <c r="M958" s="112">
        <f t="shared" si="176"/>
        <v>0</v>
      </c>
      <c r="N958" s="112">
        <f t="shared" si="177"/>
        <v>0</v>
      </c>
    </row>
    <row r="959" spans="1:14" x14ac:dyDescent="0.35">
      <c r="A959" s="106">
        <f t="shared" si="173"/>
        <v>0</v>
      </c>
      <c r="B959" s="107" t="e">
        <f>VLOOKUP(A959,[1]Hoja3!$C$3:$D$14,2,FALSE)</f>
        <v>#N/A</v>
      </c>
      <c r="C959" s="108"/>
      <c r="D959" s="108"/>
      <c r="E959" s="109"/>
      <c r="F959" s="109"/>
      <c r="G959" s="110" t="e">
        <f t="shared" si="171"/>
        <v>#N/A</v>
      </c>
      <c r="H959" s="252"/>
      <c r="I959" s="102" t="e">
        <f t="shared" si="172"/>
        <v>#N/A</v>
      </c>
      <c r="J959">
        <f t="shared" si="170"/>
        <v>0</v>
      </c>
      <c r="K959" t="e">
        <f t="shared" si="174"/>
        <v>#N/A</v>
      </c>
      <c r="L959" s="111">
        <f t="shared" si="175"/>
        <v>0</v>
      </c>
      <c r="M959" s="112">
        <f t="shared" si="176"/>
        <v>0</v>
      </c>
      <c r="N959" s="112">
        <f t="shared" si="177"/>
        <v>0</v>
      </c>
    </row>
    <row r="960" spans="1:14" x14ac:dyDescent="0.35">
      <c r="A960" s="106">
        <f t="shared" si="173"/>
        <v>0</v>
      </c>
      <c r="B960" s="107" t="e">
        <f>VLOOKUP(A960,[1]Hoja3!$C$3:$D$14,2,FALSE)</f>
        <v>#N/A</v>
      </c>
      <c r="C960" s="108"/>
      <c r="D960" s="108"/>
      <c r="E960" s="109"/>
      <c r="F960" s="109"/>
      <c r="G960" s="110" t="e">
        <f t="shared" si="171"/>
        <v>#N/A</v>
      </c>
      <c r="H960" s="252"/>
      <c r="I960" s="102" t="e">
        <f t="shared" si="172"/>
        <v>#N/A</v>
      </c>
      <c r="J960">
        <f t="shared" si="170"/>
        <v>0</v>
      </c>
      <c r="K960" t="e">
        <f t="shared" si="174"/>
        <v>#N/A</v>
      </c>
      <c r="L960" s="111">
        <f t="shared" si="175"/>
        <v>0</v>
      </c>
      <c r="M960" s="112">
        <f t="shared" si="176"/>
        <v>0</v>
      </c>
      <c r="N960" s="112">
        <f t="shared" si="177"/>
        <v>0</v>
      </c>
    </row>
    <row r="961" spans="1:14" x14ac:dyDescent="0.35">
      <c r="A961" s="106">
        <f t="shared" si="173"/>
        <v>0</v>
      </c>
      <c r="B961" s="107" t="e">
        <f>VLOOKUP(A961,[1]Hoja3!$C$3:$D$14,2,FALSE)</f>
        <v>#N/A</v>
      </c>
      <c r="C961" s="108"/>
      <c r="D961" s="108"/>
      <c r="E961" s="109"/>
      <c r="F961" s="109"/>
      <c r="G961" s="110" t="e">
        <f t="shared" si="171"/>
        <v>#N/A</v>
      </c>
      <c r="H961" s="252"/>
      <c r="I961" s="102" t="e">
        <f t="shared" si="172"/>
        <v>#N/A</v>
      </c>
      <c r="J961">
        <f t="shared" si="170"/>
        <v>0</v>
      </c>
      <c r="K961" t="e">
        <f t="shared" si="174"/>
        <v>#N/A</v>
      </c>
      <c r="L961" s="111">
        <f t="shared" si="175"/>
        <v>0</v>
      </c>
      <c r="M961" s="112">
        <f t="shared" si="176"/>
        <v>0</v>
      </c>
      <c r="N961" s="112">
        <f t="shared" si="177"/>
        <v>0</v>
      </c>
    </row>
    <row r="962" spans="1:14" x14ac:dyDescent="0.35">
      <c r="A962" s="106">
        <f t="shared" si="173"/>
        <v>0</v>
      </c>
      <c r="B962" s="107" t="e">
        <f>VLOOKUP(A962,[1]Hoja3!$C$3:$D$14,2,FALSE)</f>
        <v>#N/A</v>
      </c>
      <c r="C962" s="108"/>
      <c r="D962" s="108"/>
      <c r="E962" s="109"/>
      <c r="F962" s="109"/>
      <c r="G962" s="110" t="e">
        <f t="shared" si="171"/>
        <v>#N/A</v>
      </c>
      <c r="H962" s="252"/>
      <c r="I962" s="102" t="e">
        <f t="shared" si="172"/>
        <v>#N/A</v>
      </c>
      <c r="J962">
        <f t="shared" si="170"/>
        <v>0</v>
      </c>
      <c r="K962" t="e">
        <f t="shared" si="174"/>
        <v>#N/A</v>
      </c>
      <c r="L962" s="111">
        <f t="shared" si="175"/>
        <v>0</v>
      </c>
      <c r="M962" s="112">
        <f t="shared" si="176"/>
        <v>0</v>
      </c>
      <c r="N962" s="112">
        <f t="shared" si="177"/>
        <v>0</v>
      </c>
    </row>
    <row r="963" spans="1:14" x14ac:dyDescent="0.35">
      <c r="A963" s="106">
        <f t="shared" si="173"/>
        <v>0</v>
      </c>
      <c r="B963" s="107" t="e">
        <f>VLOOKUP(A963,[1]Hoja3!$C$3:$D$14,2,FALSE)</f>
        <v>#N/A</v>
      </c>
      <c r="C963" s="108"/>
      <c r="D963" s="108"/>
      <c r="E963" s="109"/>
      <c r="F963" s="109"/>
      <c r="G963" s="110" t="e">
        <f t="shared" si="171"/>
        <v>#N/A</v>
      </c>
      <c r="H963" s="252"/>
      <c r="I963" s="102" t="e">
        <f t="shared" si="172"/>
        <v>#N/A</v>
      </c>
      <c r="J963">
        <f t="shared" si="170"/>
        <v>0</v>
      </c>
      <c r="K963" t="e">
        <f t="shared" si="174"/>
        <v>#N/A</v>
      </c>
      <c r="L963" s="111">
        <f t="shared" si="175"/>
        <v>0</v>
      </c>
      <c r="M963" s="112">
        <f t="shared" si="176"/>
        <v>0</v>
      </c>
      <c r="N963" s="112">
        <f t="shared" si="177"/>
        <v>0</v>
      </c>
    </row>
    <row r="964" spans="1:14" x14ac:dyDescent="0.35">
      <c r="A964" s="106">
        <f t="shared" si="173"/>
        <v>0</v>
      </c>
      <c r="B964" s="107" t="e">
        <f>VLOOKUP(A964,[1]Hoja3!$C$3:$D$14,2,FALSE)</f>
        <v>#N/A</v>
      </c>
      <c r="C964" s="108"/>
      <c r="D964" s="108"/>
      <c r="E964" s="109"/>
      <c r="F964" s="109"/>
      <c r="G964" s="110" t="e">
        <f t="shared" si="171"/>
        <v>#N/A</v>
      </c>
      <c r="H964" s="252"/>
      <c r="I964" s="102" t="e">
        <f t="shared" si="172"/>
        <v>#N/A</v>
      </c>
      <c r="J964">
        <f t="shared" si="170"/>
        <v>0</v>
      </c>
      <c r="K964" t="e">
        <f t="shared" si="174"/>
        <v>#N/A</v>
      </c>
      <c r="L964" s="111">
        <f t="shared" si="175"/>
        <v>0</v>
      </c>
      <c r="M964" s="112">
        <f t="shared" si="176"/>
        <v>0</v>
      </c>
      <c r="N964" s="112">
        <f t="shared" si="177"/>
        <v>0</v>
      </c>
    </row>
    <row r="965" spans="1:14" x14ac:dyDescent="0.35">
      <c r="A965" s="106">
        <f t="shared" si="173"/>
        <v>0</v>
      </c>
      <c r="B965" s="107" t="e">
        <f>VLOOKUP(A965,[1]Hoja3!$C$3:$D$14,2,FALSE)</f>
        <v>#N/A</v>
      </c>
      <c r="C965" s="108"/>
      <c r="D965" s="108"/>
      <c r="E965" s="109"/>
      <c r="F965" s="109"/>
      <c r="G965" s="110" t="e">
        <f t="shared" si="171"/>
        <v>#N/A</v>
      </c>
      <c r="H965" s="252"/>
      <c r="I965" s="102" t="e">
        <f t="shared" si="172"/>
        <v>#N/A</v>
      </c>
      <c r="J965">
        <f t="shared" si="170"/>
        <v>0</v>
      </c>
      <c r="K965" t="e">
        <f t="shared" si="174"/>
        <v>#N/A</v>
      </c>
      <c r="L965" s="111">
        <f t="shared" si="175"/>
        <v>0</v>
      </c>
      <c r="M965" s="112">
        <f t="shared" si="176"/>
        <v>0</v>
      </c>
      <c r="N965" s="112">
        <f t="shared" si="177"/>
        <v>0</v>
      </c>
    </row>
    <row r="966" spans="1:14" x14ac:dyDescent="0.35">
      <c r="A966" s="106">
        <f t="shared" si="173"/>
        <v>0</v>
      </c>
      <c r="B966" s="107" t="e">
        <f>VLOOKUP(A966,[1]Hoja3!$C$3:$D$14,2,FALSE)</f>
        <v>#N/A</v>
      </c>
      <c r="C966" s="108"/>
      <c r="D966" s="108"/>
      <c r="E966" s="109"/>
      <c r="F966" s="109"/>
      <c r="G966" s="110" t="e">
        <f t="shared" si="171"/>
        <v>#N/A</v>
      </c>
      <c r="H966" s="252"/>
      <c r="I966" s="102" t="e">
        <f t="shared" si="172"/>
        <v>#N/A</v>
      </c>
      <c r="J966">
        <f t="shared" si="170"/>
        <v>0</v>
      </c>
      <c r="K966" t="e">
        <f t="shared" si="174"/>
        <v>#N/A</v>
      </c>
      <c r="L966" s="111">
        <f t="shared" si="175"/>
        <v>0</v>
      </c>
      <c r="M966" s="112">
        <f t="shared" si="176"/>
        <v>0</v>
      </c>
      <c r="N966" s="112">
        <f t="shared" si="177"/>
        <v>0</v>
      </c>
    </row>
    <row r="967" spans="1:14" x14ac:dyDescent="0.35">
      <c r="A967" s="106">
        <f t="shared" si="173"/>
        <v>0</v>
      </c>
      <c r="B967" s="107" t="e">
        <f>VLOOKUP(A967,[1]Hoja3!$C$3:$D$14,2,FALSE)</f>
        <v>#N/A</v>
      </c>
      <c r="C967" s="108"/>
      <c r="D967" s="108"/>
      <c r="E967" s="109"/>
      <c r="F967" s="109"/>
      <c r="G967" s="110" t="e">
        <f t="shared" si="171"/>
        <v>#N/A</v>
      </c>
      <c r="H967" s="252"/>
      <c r="I967" s="102" t="e">
        <f t="shared" si="172"/>
        <v>#N/A</v>
      </c>
      <c r="J967">
        <f t="shared" si="170"/>
        <v>0</v>
      </c>
      <c r="K967" t="e">
        <f t="shared" si="174"/>
        <v>#N/A</v>
      </c>
      <c r="L967" s="111">
        <f t="shared" si="175"/>
        <v>0</v>
      </c>
      <c r="M967" s="112">
        <f t="shared" si="176"/>
        <v>0</v>
      </c>
      <c r="N967" s="112">
        <f t="shared" si="177"/>
        <v>0</v>
      </c>
    </row>
    <row r="968" spans="1:14" x14ac:dyDescent="0.35">
      <c r="A968" s="106">
        <f t="shared" si="173"/>
        <v>0</v>
      </c>
      <c r="B968" s="107" t="e">
        <f>VLOOKUP(A968,[1]Hoja3!$C$3:$D$14,2,FALSE)</f>
        <v>#N/A</v>
      </c>
      <c r="C968" s="108"/>
      <c r="D968" s="108"/>
      <c r="E968" s="109"/>
      <c r="F968" s="109"/>
      <c r="G968" s="110" t="e">
        <f t="shared" si="171"/>
        <v>#N/A</v>
      </c>
      <c r="H968" s="252"/>
      <c r="I968" s="102" t="e">
        <f t="shared" si="172"/>
        <v>#N/A</v>
      </c>
      <c r="J968">
        <f t="shared" ref="J968:J982" si="178">+H968*0.16</f>
        <v>0</v>
      </c>
      <c r="K968" t="e">
        <f t="shared" si="174"/>
        <v>#N/A</v>
      </c>
      <c r="L968" s="111">
        <f t="shared" si="175"/>
        <v>0</v>
      </c>
      <c r="M968" s="112">
        <f t="shared" si="176"/>
        <v>0</v>
      </c>
      <c r="N968" s="112">
        <f t="shared" si="177"/>
        <v>0</v>
      </c>
    </row>
    <row r="969" spans="1:14" x14ac:dyDescent="0.35">
      <c r="A969" s="106">
        <f t="shared" si="173"/>
        <v>0</v>
      </c>
      <c r="B969" s="107" t="e">
        <f>VLOOKUP(A969,[1]Hoja3!$C$3:$D$14,2,FALSE)</f>
        <v>#N/A</v>
      </c>
      <c r="C969" s="108"/>
      <c r="D969" s="108"/>
      <c r="E969" s="109"/>
      <c r="F969" s="109"/>
      <c r="G969" s="110" t="e">
        <f t="shared" si="171"/>
        <v>#N/A</v>
      </c>
      <c r="H969" s="252"/>
      <c r="I969" s="102" t="e">
        <f t="shared" si="172"/>
        <v>#N/A</v>
      </c>
      <c r="J969">
        <f t="shared" si="178"/>
        <v>0</v>
      </c>
      <c r="K969" t="e">
        <f t="shared" si="174"/>
        <v>#N/A</v>
      </c>
      <c r="L969" s="111">
        <f t="shared" si="175"/>
        <v>0</v>
      </c>
      <c r="M969" s="112">
        <f t="shared" si="176"/>
        <v>0</v>
      </c>
      <c r="N969" s="112">
        <f t="shared" si="177"/>
        <v>0</v>
      </c>
    </row>
    <row r="970" spans="1:14" x14ac:dyDescent="0.35">
      <c r="A970" s="106">
        <f t="shared" si="173"/>
        <v>0</v>
      </c>
      <c r="B970" s="107" t="e">
        <f>VLOOKUP(A970,[1]Hoja3!$C$3:$D$14,2,FALSE)</f>
        <v>#N/A</v>
      </c>
      <c r="C970" s="108"/>
      <c r="D970" s="108"/>
      <c r="E970" s="109"/>
      <c r="F970" s="109"/>
      <c r="G970" s="110" t="e">
        <f t="shared" si="171"/>
        <v>#N/A</v>
      </c>
      <c r="H970" s="252"/>
      <c r="I970" s="102" t="e">
        <f t="shared" si="172"/>
        <v>#N/A</v>
      </c>
      <c r="J970">
        <f t="shared" si="178"/>
        <v>0</v>
      </c>
      <c r="K970" t="e">
        <f t="shared" si="174"/>
        <v>#N/A</v>
      </c>
      <c r="L970" s="111">
        <f t="shared" si="175"/>
        <v>0</v>
      </c>
      <c r="M970" s="112">
        <f t="shared" si="176"/>
        <v>0</v>
      </c>
      <c r="N970" s="112">
        <f t="shared" si="177"/>
        <v>0</v>
      </c>
    </row>
    <row r="971" spans="1:14" x14ac:dyDescent="0.35">
      <c r="A971" s="106">
        <f t="shared" si="173"/>
        <v>0</v>
      </c>
      <c r="B971" s="107" t="e">
        <f>VLOOKUP(A971,[1]Hoja3!$C$3:$D$14,2,FALSE)</f>
        <v>#N/A</v>
      </c>
      <c r="C971" s="108"/>
      <c r="D971" s="108"/>
      <c r="E971" s="109"/>
      <c r="F971" s="109"/>
      <c r="G971" s="110" t="e">
        <f t="shared" si="171"/>
        <v>#N/A</v>
      </c>
      <c r="H971" s="252"/>
      <c r="I971" s="102" t="e">
        <f t="shared" si="172"/>
        <v>#N/A</v>
      </c>
      <c r="J971">
        <f t="shared" si="178"/>
        <v>0</v>
      </c>
      <c r="K971" t="e">
        <f t="shared" si="174"/>
        <v>#N/A</v>
      </c>
      <c r="L971" s="111">
        <f t="shared" si="175"/>
        <v>0</v>
      </c>
      <c r="M971" s="112">
        <f t="shared" si="176"/>
        <v>0</v>
      </c>
      <c r="N971" s="112">
        <f t="shared" si="177"/>
        <v>0</v>
      </c>
    </row>
    <row r="972" spans="1:14" x14ac:dyDescent="0.35">
      <c r="A972" s="106">
        <f t="shared" si="173"/>
        <v>0</v>
      </c>
      <c r="B972" s="107" t="e">
        <f>VLOOKUP(A972,[1]Hoja3!$C$3:$D$14,2,FALSE)</f>
        <v>#N/A</v>
      </c>
      <c r="C972" s="108"/>
      <c r="D972" s="108"/>
      <c r="E972" s="109"/>
      <c r="F972" s="109"/>
      <c r="G972" s="110" t="e">
        <f t="shared" ref="G972:G982" si="179">+B972</f>
        <v>#N/A</v>
      </c>
      <c r="H972" s="252"/>
      <c r="I972" s="102" t="e">
        <f t="shared" ref="I972:I982" si="180">+B972</f>
        <v>#N/A</v>
      </c>
      <c r="J972">
        <f t="shared" si="178"/>
        <v>0</v>
      </c>
      <c r="K972" t="e">
        <f t="shared" si="174"/>
        <v>#N/A</v>
      </c>
      <c r="L972" s="111">
        <f t="shared" si="175"/>
        <v>0</v>
      </c>
      <c r="M972" s="112">
        <f t="shared" si="176"/>
        <v>0</v>
      </c>
      <c r="N972" s="112">
        <f t="shared" si="177"/>
        <v>0</v>
      </c>
    </row>
    <row r="973" spans="1:14" x14ac:dyDescent="0.35">
      <c r="A973" s="106">
        <f t="shared" si="173"/>
        <v>0</v>
      </c>
      <c r="B973" s="107" t="e">
        <f>VLOOKUP(A973,[1]Hoja3!$C$3:$D$14,2,FALSE)</f>
        <v>#N/A</v>
      </c>
      <c r="C973" s="108"/>
      <c r="D973" s="108"/>
      <c r="E973" s="109"/>
      <c r="F973" s="109"/>
      <c r="G973" s="110" t="e">
        <f t="shared" si="179"/>
        <v>#N/A</v>
      </c>
      <c r="H973" s="252"/>
      <c r="I973" s="102" t="e">
        <f t="shared" si="180"/>
        <v>#N/A</v>
      </c>
      <c r="J973">
        <f t="shared" si="178"/>
        <v>0</v>
      </c>
      <c r="K973" t="e">
        <f t="shared" si="174"/>
        <v>#N/A</v>
      </c>
      <c r="L973" s="111">
        <f t="shared" si="175"/>
        <v>0</v>
      </c>
      <c r="M973" s="112">
        <f t="shared" si="176"/>
        <v>0</v>
      </c>
      <c r="N973" s="112">
        <f t="shared" si="177"/>
        <v>0</v>
      </c>
    </row>
    <row r="974" spans="1:14" x14ac:dyDescent="0.35">
      <c r="A974" s="106">
        <f t="shared" si="173"/>
        <v>0</v>
      </c>
      <c r="B974" s="107" t="e">
        <f>VLOOKUP(A974,[1]Hoja3!$C$3:$D$14,2,FALSE)</f>
        <v>#N/A</v>
      </c>
      <c r="C974" s="108"/>
      <c r="D974" s="108"/>
      <c r="E974" s="109"/>
      <c r="F974" s="109"/>
      <c r="G974" s="110" t="e">
        <f t="shared" si="179"/>
        <v>#N/A</v>
      </c>
      <c r="H974" s="252"/>
      <c r="I974" s="102" t="e">
        <f t="shared" si="180"/>
        <v>#N/A</v>
      </c>
      <c r="J974">
        <f t="shared" si="178"/>
        <v>0</v>
      </c>
      <c r="K974" t="e">
        <f t="shared" si="174"/>
        <v>#N/A</v>
      </c>
      <c r="L974" s="111">
        <f t="shared" si="175"/>
        <v>0</v>
      </c>
      <c r="M974" s="112">
        <f t="shared" si="176"/>
        <v>0</v>
      </c>
      <c r="N974" s="112">
        <f t="shared" si="177"/>
        <v>0</v>
      </c>
    </row>
    <row r="975" spans="1:14" x14ac:dyDescent="0.35">
      <c r="A975" s="106">
        <f t="shared" si="173"/>
        <v>0</v>
      </c>
      <c r="B975" s="107" t="e">
        <f>VLOOKUP(A975,[1]Hoja3!$C$3:$D$14,2,FALSE)</f>
        <v>#N/A</v>
      </c>
      <c r="C975" s="108"/>
      <c r="D975" s="108"/>
      <c r="E975" s="109"/>
      <c r="F975" s="109"/>
      <c r="G975" s="110" t="e">
        <f t="shared" si="179"/>
        <v>#N/A</v>
      </c>
      <c r="H975" s="252"/>
      <c r="I975" s="102" t="e">
        <f t="shared" si="180"/>
        <v>#N/A</v>
      </c>
      <c r="J975">
        <f t="shared" si="178"/>
        <v>0</v>
      </c>
      <c r="K975" t="e">
        <f t="shared" si="174"/>
        <v>#N/A</v>
      </c>
      <c r="L975" s="111">
        <f t="shared" si="175"/>
        <v>0</v>
      </c>
      <c r="M975" s="112">
        <f t="shared" si="176"/>
        <v>0</v>
      </c>
      <c r="N975" s="112">
        <f t="shared" si="177"/>
        <v>0</v>
      </c>
    </row>
    <row r="976" spans="1:14" x14ac:dyDescent="0.35">
      <c r="A976" s="106">
        <f t="shared" si="173"/>
        <v>0</v>
      </c>
      <c r="B976" s="107" t="e">
        <f>VLOOKUP(A976,[1]Hoja3!$C$3:$D$14,2,FALSE)</f>
        <v>#N/A</v>
      </c>
      <c r="C976" s="108"/>
      <c r="D976" s="108"/>
      <c r="E976" s="109"/>
      <c r="F976" s="109"/>
      <c r="G976" s="110" t="e">
        <f t="shared" si="179"/>
        <v>#N/A</v>
      </c>
      <c r="H976" s="252"/>
      <c r="I976" s="102" t="e">
        <f t="shared" si="180"/>
        <v>#N/A</v>
      </c>
      <c r="J976">
        <f t="shared" si="178"/>
        <v>0</v>
      </c>
      <c r="K976" t="e">
        <f t="shared" si="174"/>
        <v>#N/A</v>
      </c>
      <c r="L976" s="111">
        <f t="shared" si="175"/>
        <v>0</v>
      </c>
      <c r="M976" s="112">
        <f t="shared" si="176"/>
        <v>0</v>
      </c>
      <c r="N976" s="112">
        <f t="shared" si="177"/>
        <v>0</v>
      </c>
    </row>
    <row r="977" spans="1:14" x14ac:dyDescent="0.35">
      <c r="A977" s="106">
        <f t="shared" si="173"/>
        <v>0</v>
      </c>
      <c r="B977" s="107" t="e">
        <f>VLOOKUP(A977,[1]Hoja3!$C$3:$D$14,2,FALSE)</f>
        <v>#N/A</v>
      </c>
      <c r="C977" s="108"/>
      <c r="D977" s="108"/>
      <c r="E977" s="109"/>
      <c r="F977" s="109"/>
      <c r="G977" s="110" t="e">
        <f t="shared" si="179"/>
        <v>#N/A</v>
      </c>
      <c r="H977" s="252"/>
      <c r="I977" s="102" t="e">
        <f t="shared" si="180"/>
        <v>#N/A</v>
      </c>
      <c r="J977">
        <f t="shared" si="178"/>
        <v>0</v>
      </c>
      <c r="K977" t="e">
        <f t="shared" si="174"/>
        <v>#N/A</v>
      </c>
      <c r="L977" s="111">
        <f t="shared" si="175"/>
        <v>0</v>
      </c>
      <c r="M977" s="112">
        <f t="shared" si="176"/>
        <v>0</v>
      </c>
      <c r="N977" s="112">
        <f t="shared" si="177"/>
        <v>0</v>
      </c>
    </row>
    <row r="978" spans="1:14" x14ac:dyDescent="0.35">
      <c r="A978" s="106">
        <f t="shared" si="173"/>
        <v>0</v>
      </c>
      <c r="B978" s="107" t="e">
        <f>VLOOKUP(A978,[1]Hoja3!$C$3:$D$14,2,FALSE)</f>
        <v>#N/A</v>
      </c>
      <c r="C978" s="108"/>
      <c r="D978" s="108"/>
      <c r="E978" s="109"/>
      <c r="F978" s="109"/>
      <c r="G978" s="110" t="e">
        <f t="shared" si="179"/>
        <v>#N/A</v>
      </c>
      <c r="H978" s="252"/>
      <c r="I978" s="102" t="e">
        <f t="shared" si="180"/>
        <v>#N/A</v>
      </c>
      <c r="J978">
        <f t="shared" si="178"/>
        <v>0</v>
      </c>
      <c r="K978" t="e">
        <f t="shared" si="174"/>
        <v>#N/A</v>
      </c>
      <c r="L978" s="111">
        <f t="shared" si="175"/>
        <v>0</v>
      </c>
      <c r="M978" s="112">
        <f t="shared" si="176"/>
        <v>0</v>
      </c>
      <c r="N978" s="112">
        <f t="shared" si="177"/>
        <v>0</v>
      </c>
    </row>
    <row r="979" spans="1:14" x14ac:dyDescent="0.35">
      <c r="A979" s="106">
        <f t="shared" si="173"/>
        <v>0</v>
      </c>
      <c r="B979" s="107" t="e">
        <f>VLOOKUP(A979,[1]Hoja3!$C$3:$D$14,2,FALSE)</f>
        <v>#N/A</v>
      </c>
      <c r="C979" s="108"/>
      <c r="D979" s="108"/>
      <c r="E979" s="109"/>
      <c r="F979" s="109"/>
      <c r="G979" s="110" t="e">
        <f t="shared" si="179"/>
        <v>#N/A</v>
      </c>
      <c r="H979" s="252"/>
      <c r="I979" s="102" t="e">
        <f t="shared" si="180"/>
        <v>#N/A</v>
      </c>
      <c r="J979">
        <f t="shared" si="178"/>
        <v>0</v>
      </c>
      <c r="K979" t="e">
        <f t="shared" si="174"/>
        <v>#N/A</v>
      </c>
      <c r="L979" s="111">
        <f t="shared" si="175"/>
        <v>0</v>
      </c>
      <c r="M979" s="112">
        <f t="shared" si="176"/>
        <v>0</v>
      </c>
      <c r="N979" s="112">
        <f t="shared" si="177"/>
        <v>0</v>
      </c>
    </row>
    <row r="980" spans="1:14" x14ac:dyDescent="0.35">
      <c r="A980" s="106">
        <f t="shared" si="173"/>
        <v>0</v>
      </c>
      <c r="B980" s="107" t="e">
        <f>VLOOKUP(A980,[1]Hoja3!$C$3:$D$14,2,FALSE)</f>
        <v>#N/A</v>
      </c>
      <c r="C980" s="108"/>
      <c r="D980" s="108"/>
      <c r="E980" s="109"/>
      <c r="F980" s="109"/>
      <c r="G980" s="110" t="e">
        <f t="shared" si="179"/>
        <v>#N/A</v>
      </c>
      <c r="H980" s="252"/>
      <c r="I980" s="102" t="e">
        <f t="shared" si="180"/>
        <v>#N/A</v>
      </c>
      <c r="J980">
        <f t="shared" si="178"/>
        <v>0</v>
      </c>
      <c r="K980" t="e">
        <f t="shared" si="174"/>
        <v>#N/A</v>
      </c>
      <c r="L980" s="111">
        <f t="shared" si="175"/>
        <v>0</v>
      </c>
      <c r="M980" s="112">
        <f t="shared" si="176"/>
        <v>0</v>
      </c>
      <c r="N980" s="112">
        <f t="shared" si="177"/>
        <v>0</v>
      </c>
    </row>
    <row r="981" spans="1:14" x14ac:dyDescent="0.35">
      <c r="A981" s="106">
        <f t="shared" si="173"/>
        <v>0</v>
      </c>
      <c r="B981" s="107" t="e">
        <f>VLOOKUP(A981,[1]Hoja3!$C$3:$D$14,2,FALSE)</f>
        <v>#N/A</v>
      </c>
      <c r="C981" s="108"/>
      <c r="D981" s="108"/>
      <c r="E981" s="109"/>
      <c r="F981" s="109"/>
      <c r="G981" s="110" t="e">
        <f t="shared" si="179"/>
        <v>#N/A</v>
      </c>
      <c r="H981" s="252"/>
      <c r="I981" s="102" t="e">
        <f t="shared" si="180"/>
        <v>#N/A</v>
      </c>
      <c r="J981">
        <f t="shared" si="178"/>
        <v>0</v>
      </c>
      <c r="K981" t="e">
        <f t="shared" si="174"/>
        <v>#N/A</v>
      </c>
      <c r="L981" s="111">
        <f t="shared" si="175"/>
        <v>0</v>
      </c>
      <c r="M981" s="112">
        <f t="shared" si="176"/>
        <v>0</v>
      </c>
      <c r="N981" s="112">
        <f t="shared" si="177"/>
        <v>0</v>
      </c>
    </row>
    <row r="982" spans="1:14" x14ac:dyDescent="0.35">
      <c r="A982" s="106">
        <f t="shared" si="173"/>
        <v>0</v>
      </c>
      <c r="B982" s="107" t="e">
        <f>VLOOKUP(A982,[1]Hoja3!$C$3:$D$14,2,FALSE)</f>
        <v>#N/A</v>
      </c>
      <c r="C982" s="108"/>
      <c r="D982" s="108"/>
      <c r="E982" s="109"/>
      <c r="F982" s="109"/>
      <c r="G982" s="110" t="e">
        <f t="shared" si="179"/>
        <v>#N/A</v>
      </c>
      <c r="H982" s="252"/>
      <c r="I982" s="102" t="e">
        <f t="shared" si="180"/>
        <v>#N/A</v>
      </c>
      <c r="J982">
        <f t="shared" si="178"/>
        <v>0</v>
      </c>
      <c r="K982" t="e">
        <f t="shared" si="174"/>
        <v>#N/A</v>
      </c>
      <c r="L982" s="111">
        <f t="shared" si="175"/>
        <v>0</v>
      </c>
      <c r="M982" s="112">
        <f t="shared" si="176"/>
        <v>0</v>
      </c>
      <c r="N982" s="112">
        <f t="shared" si="177"/>
        <v>0</v>
      </c>
    </row>
  </sheetData>
  <autoFilter ref="A1:Q982" xr:uid="{FB35C77F-A073-40E0-9A4A-6A1EFFCD619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AAA4-1ECF-4B5E-B9F6-819BF4CD2997}">
  <dimension ref="A2:H30"/>
  <sheetViews>
    <sheetView topLeftCell="A7" workbookViewId="0">
      <selection activeCell="G32" sqref="G32"/>
    </sheetView>
  </sheetViews>
  <sheetFormatPr baseColWidth="10" defaultRowHeight="14.5" x14ac:dyDescent="0.35"/>
  <cols>
    <col min="6" max="7" width="14.1796875" bestFit="1" customWidth="1"/>
  </cols>
  <sheetData>
    <row r="2" spans="1:8" ht="17.5" x14ac:dyDescent="0.35">
      <c r="B2" s="182" t="s">
        <v>201</v>
      </c>
      <c r="C2" s="183"/>
      <c r="D2" s="183"/>
      <c r="E2" s="183"/>
      <c r="F2" s="183"/>
      <c r="G2" s="183"/>
      <c r="H2" s="183"/>
    </row>
    <row r="3" spans="1:8" ht="17.5" x14ac:dyDescent="0.35">
      <c r="B3" s="183"/>
      <c r="C3" s="183"/>
      <c r="D3" s="183"/>
      <c r="E3" s="183"/>
      <c r="F3" s="183"/>
      <c r="G3" s="183"/>
      <c r="H3" s="183"/>
    </row>
    <row r="4" spans="1:8" x14ac:dyDescent="0.35">
      <c r="F4" s="160" t="s">
        <v>202</v>
      </c>
      <c r="G4" s="47"/>
    </row>
    <row r="5" spans="1:8" x14ac:dyDescent="0.35">
      <c r="B5" s="28" t="s">
        <v>203</v>
      </c>
      <c r="C5" s="28"/>
      <c r="D5" s="28"/>
      <c r="E5" s="28"/>
      <c r="F5" s="11">
        <f>+'P.F.A.E.'!Q8</f>
        <v>3946716.7841379303</v>
      </c>
      <c r="G5" s="47"/>
    </row>
    <row r="6" spans="1:8" x14ac:dyDescent="0.35">
      <c r="B6" t="s">
        <v>204</v>
      </c>
      <c r="F6" s="47">
        <v>0</v>
      </c>
    </row>
    <row r="7" spans="1:8" x14ac:dyDescent="0.35">
      <c r="F7" s="47"/>
    </row>
    <row r="8" spans="1:8" x14ac:dyDescent="0.35">
      <c r="A8" s="184" t="s">
        <v>205</v>
      </c>
      <c r="B8" t="s">
        <v>206</v>
      </c>
      <c r="F8" s="47">
        <v>0</v>
      </c>
    </row>
    <row r="10" spans="1:8" x14ac:dyDescent="0.35">
      <c r="A10" s="184" t="s">
        <v>205</v>
      </c>
      <c r="B10" s="28" t="s">
        <v>207</v>
      </c>
      <c r="C10" s="28"/>
      <c r="D10" s="28"/>
      <c r="E10" s="28"/>
      <c r="F10" s="185">
        <f>+'P.F.A.E.'!Q14</f>
        <v>3886661.3072314998</v>
      </c>
    </row>
    <row r="11" spans="1:8" x14ac:dyDescent="0.35">
      <c r="F11" s="186">
        <f>F5-F10</f>
        <v>60055.476906430442</v>
      </c>
    </row>
    <row r="12" spans="1:8" x14ac:dyDescent="0.35">
      <c r="A12" s="184" t="s">
        <v>205</v>
      </c>
      <c r="B12" t="s">
        <v>16</v>
      </c>
      <c r="F12" s="47">
        <f>'[2]D.P.A'!J33</f>
        <v>0</v>
      </c>
    </row>
    <row r="13" spans="1:8" x14ac:dyDescent="0.35">
      <c r="A13" s="160" t="s">
        <v>208</v>
      </c>
      <c r="B13" t="s">
        <v>209</v>
      </c>
      <c r="F13" s="118">
        <f>F10+F12</f>
        <v>3886661.3072314998</v>
      </c>
      <c r="G13" s="118"/>
    </row>
    <row r="14" spans="1:8" x14ac:dyDescent="0.35">
      <c r="A14" s="293" t="s">
        <v>210</v>
      </c>
      <c r="B14" s="293"/>
      <c r="C14" s="293"/>
      <c r="D14" s="293"/>
    </row>
    <row r="15" spans="1:8" x14ac:dyDescent="0.35">
      <c r="A15" s="293"/>
      <c r="B15" s="293"/>
      <c r="C15" s="293"/>
      <c r="D15" s="293"/>
    </row>
    <row r="16" spans="1:8" x14ac:dyDescent="0.35">
      <c r="A16" s="187" t="s">
        <v>211</v>
      </c>
      <c r="B16" s="14" t="s">
        <v>22</v>
      </c>
      <c r="C16" s="14"/>
      <c r="F16" s="118">
        <f>F5-+F6-F8-F10-F12</f>
        <v>60055.476906430442</v>
      </c>
      <c r="G16" s="118">
        <f>F5-F10-F12</f>
        <v>60055.476906430442</v>
      </c>
    </row>
    <row r="17" spans="1:7" x14ac:dyDescent="0.35">
      <c r="A17" s="187" t="s">
        <v>205</v>
      </c>
      <c r="B17" s="14" t="s">
        <v>212</v>
      </c>
      <c r="C17" s="14"/>
      <c r="F17">
        <f>VLOOKUP(F16,'T ISR'!A121:D131,1,1)</f>
        <v>8952.5</v>
      </c>
    </row>
    <row r="18" spans="1:7" x14ac:dyDescent="0.35">
      <c r="A18" s="187" t="s">
        <v>211</v>
      </c>
      <c r="B18" s="188" t="s">
        <v>213</v>
      </c>
      <c r="C18" s="14"/>
      <c r="F18" s="118">
        <f>F16-F17</f>
        <v>51102.976906430442</v>
      </c>
    </row>
    <row r="19" spans="1:7" x14ac:dyDescent="0.35">
      <c r="A19" s="187" t="s">
        <v>214</v>
      </c>
      <c r="B19" s="14" t="s">
        <v>215</v>
      </c>
      <c r="C19" s="14"/>
      <c r="F19">
        <f>VLOOKUP(F16,'T ISR'!A121:D131,4,1)</f>
        <v>6.4000000000000001E-2</v>
      </c>
    </row>
    <row r="20" spans="1:7" x14ac:dyDescent="0.35">
      <c r="A20" s="187" t="s">
        <v>211</v>
      </c>
      <c r="B20" s="14" t="s">
        <v>216</v>
      </c>
      <c r="C20" s="14"/>
      <c r="F20" s="118">
        <f>F18*F19</f>
        <v>3270.5905220115483</v>
      </c>
    </row>
    <row r="21" spans="1:7" x14ac:dyDescent="0.35">
      <c r="A21" s="187" t="s">
        <v>217</v>
      </c>
      <c r="B21" s="14" t="s">
        <v>218</v>
      </c>
      <c r="C21" s="14"/>
      <c r="F21">
        <f>VLOOKUP(F16,'T ISR'!A121:D131,3,1)</f>
        <v>171.88</v>
      </c>
    </row>
    <row r="22" spans="1:7" x14ac:dyDescent="0.35">
      <c r="A22" s="187" t="s">
        <v>211</v>
      </c>
      <c r="B22" s="14" t="s">
        <v>219</v>
      </c>
      <c r="C22" s="14"/>
      <c r="F22" s="118">
        <f>F20+F21</f>
        <v>3442.4705220115484</v>
      </c>
    </row>
    <row r="23" spans="1:7" x14ac:dyDescent="0.35">
      <c r="A23" s="189" t="s">
        <v>205</v>
      </c>
      <c r="B23" s="32" t="s">
        <v>220</v>
      </c>
      <c r="C23" s="32"/>
      <c r="D23" s="32"/>
      <c r="E23" s="32"/>
      <c r="F23" s="32"/>
    </row>
    <row r="24" spans="1:7" x14ac:dyDescent="0.35">
      <c r="A24" s="187" t="s">
        <v>211</v>
      </c>
      <c r="B24" s="14" t="s">
        <v>221</v>
      </c>
      <c r="C24" s="14"/>
      <c r="F24" s="118">
        <f>F22-F23</f>
        <v>3442.4705220115484</v>
      </c>
      <c r="G24" t="s">
        <v>222</v>
      </c>
    </row>
    <row r="25" spans="1:7" x14ac:dyDescent="0.35">
      <c r="A25" s="190"/>
      <c r="B25" s="14"/>
      <c r="C25" s="14"/>
      <c r="F25" s="118"/>
    </row>
    <row r="26" spans="1:7" x14ac:dyDescent="0.35">
      <c r="A26" s="187" t="s">
        <v>205</v>
      </c>
      <c r="B26" s="294" t="s">
        <v>223</v>
      </c>
      <c r="C26" s="294"/>
      <c r="D26" s="294"/>
      <c r="E26" s="294"/>
      <c r="F26" s="191"/>
    </row>
    <row r="27" spans="1:7" x14ac:dyDescent="0.35">
      <c r="A27" s="187" t="s">
        <v>205</v>
      </c>
      <c r="B27" s="295" t="s">
        <v>224</v>
      </c>
      <c r="C27" s="295"/>
      <c r="D27" s="295"/>
      <c r="E27" s="295"/>
      <c r="F27">
        <f>+'P.F.A.E.'!Q34</f>
        <v>0</v>
      </c>
      <c r="G27" s="191"/>
    </row>
    <row r="28" spans="1:7" x14ac:dyDescent="0.35">
      <c r="A28" s="187" t="s">
        <v>205</v>
      </c>
      <c r="B28" s="192" t="s">
        <v>225</v>
      </c>
      <c r="C28" s="192"/>
      <c r="D28" s="192"/>
      <c r="E28" s="192"/>
      <c r="F28" s="191">
        <f>+'P.F.A.E.'!Q36</f>
        <v>3443.4705220115484</v>
      </c>
    </row>
    <row r="29" spans="1:7" x14ac:dyDescent="0.35">
      <c r="A29" s="190"/>
      <c r="F29" s="191">
        <f>F26+F27+F28</f>
        <v>3443.4705220115484</v>
      </c>
    </row>
    <row r="30" spans="1:7" x14ac:dyDescent="0.35">
      <c r="A30" s="187" t="s">
        <v>211</v>
      </c>
      <c r="B30" t="str">
        <f>IF(F29&gt;F24," ISR ANUAL A FAVOR", "ISR ANUAL A CARGO")</f>
        <v xml:space="preserve"> ISR ANUAL A FAVOR</v>
      </c>
      <c r="F30" s="118">
        <f>F24-F26-F27-F28</f>
        <v>-1</v>
      </c>
      <c r="G30" s="118">
        <f>F24-F26-F28</f>
        <v>-1</v>
      </c>
    </row>
  </sheetData>
  <mergeCells count="3">
    <mergeCell ref="A14:D15"/>
    <mergeCell ref="B26:E26"/>
    <mergeCell ref="B27:E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0F45-71E0-4775-BA90-071D67FE5876}">
  <dimension ref="C4:T49"/>
  <sheetViews>
    <sheetView topLeftCell="A31" workbookViewId="0">
      <selection activeCell="B12" sqref="B12"/>
    </sheetView>
  </sheetViews>
  <sheetFormatPr baseColWidth="10" defaultRowHeight="14.5" x14ac:dyDescent="0.35"/>
  <cols>
    <col min="3" max="3" width="19.1796875" bestFit="1" customWidth="1"/>
    <col min="17" max="17" width="33.54296875" bestFit="1" customWidth="1"/>
  </cols>
  <sheetData>
    <row r="4" spans="3:20" x14ac:dyDescent="0.35">
      <c r="D4" t="s">
        <v>67</v>
      </c>
      <c r="J4" t="s">
        <v>68</v>
      </c>
    </row>
    <row r="6" spans="3:20" x14ac:dyDescent="0.35">
      <c r="C6" t="s">
        <v>69</v>
      </c>
      <c r="D6" s="297" t="s">
        <v>70</v>
      </c>
      <c r="E6" s="297"/>
      <c r="F6" s="297"/>
      <c r="G6" s="297"/>
      <c r="H6" s="297"/>
      <c r="J6" s="298" t="s">
        <v>71</v>
      </c>
      <c r="K6" s="298"/>
      <c r="L6" s="298"/>
      <c r="M6" s="298"/>
      <c r="N6" s="298"/>
      <c r="O6" s="298"/>
      <c r="Q6" t="s">
        <v>72</v>
      </c>
      <c r="S6" t="s">
        <v>73</v>
      </c>
      <c r="T6" t="s">
        <v>74</v>
      </c>
    </row>
    <row r="7" spans="3:20" x14ac:dyDescent="0.35">
      <c r="D7" s="297"/>
      <c r="E7" s="297"/>
      <c r="F7" s="297"/>
      <c r="G7" s="297"/>
      <c r="H7" s="297"/>
      <c r="J7" s="298"/>
      <c r="K7" s="298"/>
      <c r="L7" s="298"/>
      <c r="M7" s="298"/>
      <c r="N7" s="298"/>
      <c r="O7" s="298"/>
      <c r="Q7" t="s">
        <v>75</v>
      </c>
      <c r="S7" t="s">
        <v>76</v>
      </c>
      <c r="T7" t="s">
        <v>74</v>
      </c>
    </row>
    <row r="8" spans="3:20" x14ac:dyDescent="0.35">
      <c r="D8" s="297"/>
      <c r="E8" s="297"/>
      <c r="F8" s="297"/>
      <c r="G8" s="297"/>
      <c r="H8" s="297"/>
      <c r="J8" s="298"/>
      <c r="K8" s="298"/>
      <c r="L8" s="298"/>
      <c r="M8" s="298"/>
      <c r="N8" s="298"/>
      <c r="O8" s="298"/>
    </row>
    <row r="10" spans="3:20" x14ac:dyDescent="0.35">
      <c r="C10" t="s">
        <v>77</v>
      </c>
      <c r="D10" s="299" t="s">
        <v>78</v>
      </c>
      <c r="E10" s="299"/>
      <c r="F10" s="299"/>
      <c r="G10" s="299"/>
      <c r="H10" s="299"/>
      <c r="J10" s="300" t="s">
        <v>79</v>
      </c>
      <c r="K10" s="300"/>
      <c r="L10" s="300"/>
      <c r="M10" s="300"/>
      <c r="N10" s="300"/>
      <c r="O10" s="300"/>
    </row>
    <row r="11" spans="3:20" x14ac:dyDescent="0.35">
      <c r="D11" s="299"/>
      <c r="E11" s="299"/>
      <c r="F11" s="299"/>
      <c r="G11" s="299"/>
      <c r="H11" s="299"/>
      <c r="J11" s="300"/>
      <c r="K11" s="300"/>
      <c r="L11" s="300"/>
      <c r="M11" s="300"/>
      <c r="N11" s="300"/>
      <c r="O11" s="300"/>
    </row>
    <row r="12" spans="3:20" x14ac:dyDescent="0.35">
      <c r="D12" s="299"/>
      <c r="E12" s="299"/>
      <c r="F12" s="299"/>
      <c r="G12" s="299"/>
      <c r="H12" s="299"/>
      <c r="J12" s="300"/>
      <c r="K12" s="300"/>
      <c r="L12" s="300"/>
      <c r="M12" s="300"/>
      <c r="N12" s="300"/>
      <c r="O12" s="300"/>
    </row>
    <row r="13" spans="3:20" x14ac:dyDescent="0.35">
      <c r="D13" s="299"/>
      <c r="E13" s="299"/>
      <c r="F13" s="299"/>
      <c r="G13" s="299"/>
      <c r="H13" s="299"/>
      <c r="J13" s="300"/>
      <c r="K13" s="300"/>
      <c r="L13" s="300"/>
      <c r="M13" s="300"/>
      <c r="N13" s="300"/>
      <c r="O13" s="300"/>
    </row>
    <row r="14" spans="3:20" x14ac:dyDescent="0.35">
      <c r="J14" s="300"/>
      <c r="K14" s="300"/>
      <c r="L14" s="300"/>
      <c r="M14" s="300"/>
      <c r="N14" s="300"/>
      <c r="O14" s="300"/>
    </row>
    <row r="15" spans="3:20" x14ac:dyDescent="0.35">
      <c r="J15" s="300"/>
      <c r="K15" s="300"/>
      <c r="L15" s="300"/>
      <c r="M15" s="300"/>
      <c r="N15" s="300"/>
      <c r="O15" s="300"/>
    </row>
    <row r="16" spans="3:20" x14ac:dyDescent="0.35">
      <c r="C16" s="32" t="s">
        <v>80</v>
      </c>
      <c r="D16" s="301" t="s">
        <v>81</v>
      </c>
      <c r="E16" s="301"/>
      <c r="F16" s="301"/>
      <c r="G16" s="301"/>
      <c r="H16" s="301"/>
      <c r="J16" s="117"/>
      <c r="K16" s="117"/>
      <c r="L16" s="117"/>
      <c r="M16" s="117"/>
      <c r="N16" s="117"/>
      <c r="O16" s="117"/>
    </row>
    <row r="17" spans="3:15" x14ac:dyDescent="0.35">
      <c r="C17" s="32"/>
      <c r="D17" s="301"/>
      <c r="E17" s="301"/>
      <c r="F17" s="301"/>
      <c r="G17" s="301"/>
      <c r="H17" s="301"/>
      <c r="J17" s="117"/>
      <c r="K17" s="117"/>
      <c r="L17" s="117"/>
      <c r="M17" s="117"/>
      <c r="N17" s="117"/>
      <c r="O17" s="117"/>
    </row>
    <row r="18" spans="3:15" x14ac:dyDescent="0.35">
      <c r="C18" s="32"/>
      <c r="D18" s="301"/>
      <c r="E18" s="301"/>
      <c r="F18" s="301"/>
      <c r="G18" s="301"/>
      <c r="H18" s="301"/>
    </row>
    <row r="19" spans="3:15" x14ac:dyDescent="0.35">
      <c r="C19" s="32"/>
      <c r="D19" s="301"/>
      <c r="E19" s="301"/>
      <c r="F19" s="301"/>
      <c r="G19" s="301"/>
      <c r="H19" s="301"/>
      <c r="K19">
        <v>0</v>
      </c>
    </row>
    <row r="20" spans="3:15" x14ac:dyDescent="0.35">
      <c r="C20" s="32"/>
      <c r="D20" s="301"/>
      <c r="E20" s="301"/>
      <c r="F20" s="301"/>
      <c r="G20" s="301"/>
      <c r="H20" s="301"/>
    </row>
    <row r="22" spans="3:15" x14ac:dyDescent="0.35">
      <c r="C22" s="48" t="s">
        <v>82</v>
      </c>
      <c r="D22" s="302" t="s">
        <v>83</v>
      </c>
      <c r="E22" s="302"/>
      <c r="F22" s="302"/>
      <c r="G22" s="302"/>
      <c r="H22" s="302"/>
    </row>
    <row r="25" spans="3:15" x14ac:dyDescent="0.35">
      <c r="C25" t="s">
        <v>84</v>
      </c>
      <c r="L25" t="s">
        <v>33</v>
      </c>
      <c r="M25" t="s">
        <v>85</v>
      </c>
    </row>
    <row r="26" spans="3:15" x14ac:dyDescent="0.35">
      <c r="C26" t="s">
        <v>86</v>
      </c>
      <c r="L26" t="s">
        <v>87</v>
      </c>
      <c r="M26" t="s">
        <v>88</v>
      </c>
    </row>
    <row r="28" spans="3:15" x14ac:dyDescent="0.35">
      <c r="C28" s="47">
        <v>150000</v>
      </c>
      <c r="D28" s="118">
        <f>C28*25%</f>
        <v>37500</v>
      </c>
      <c r="E28" s="118">
        <f>D28/12</f>
        <v>3125</v>
      </c>
    </row>
    <row r="29" spans="3:15" x14ac:dyDescent="0.35">
      <c r="C29" s="119">
        <v>0.25</v>
      </c>
      <c r="D29">
        <v>12</v>
      </c>
    </row>
    <row r="30" spans="3:15" x14ac:dyDescent="0.35">
      <c r="C30" s="119">
        <v>0.25</v>
      </c>
      <c r="D30">
        <v>12</v>
      </c>
    </row>
    <row r="31" spans="3:15" x14ac:dyDescent="0.35">
      <c r="C31" s="119">
        <v>0.25</v>
      </c>
      <c r="D31">
        <v>12</v>
      </c>
    </row>
    <row r="32" spans="3:15" x14ac:dyDescent="0.35">
      <c r="C32" s="119">
        <v>0.25</v>
      </c>
      <c r="D32">
        <v>12</v>
      </c>
    </row>
    <row r="33" spans="3:7" x14ac:dyDescent="0.35">
      <c r="D33">
        <f>SUM(D29:D32)</f>
        <v>48</v>
      </c>
    </row>
    <row r="34" spans="3:7" x14ac:dyDescent="0.35">
      <c r="C34" t="s">
        <v>0</v>
      </c>
    </row>
    <row r="35" spans="3:7" x14ac:dyDescent="0.35">
      <c r="C35">
        <v>150000</v>
      </c>
      <c r="D35">
        <v>5000</v>
      </c>
      <c r="E35">
        <v>5000</v>
      </c>
    </row>
    <row r="36" spans="3:7" x14ac:dyDescent="0.35">
      <c r="C36" s="47">
        <f>C35*0.16</f>
        <v>24000</v>
      </c>
      <c r="D36">
        <f>D35*0.16</f>
        <v>800</v>
      </c>
    </row>
    <row r="43" spans="3:7" x14ac:dyDescent="0.35">
      <c r="C43" s="296" t="s">
        <v>89</v>
      </c>
      <c r="D43" s="296"/>
      <c r="E43" s="296"/>
      <c r="F43" s="296"/>
      <c r="G43" t="s">
        <v>90</v>
      </c>
    </row>
    <row r="44" spans="3:7" x14ac:dyDescent="0.35">
      <c r="C44" t="s">
        <v>91</v>
      </c>
      <c r="G44" t="s">
        <v>92</v>
      </c>
    </row>
    <row r="45" spans="3:7" x14ac:dyDescent="0.35">
      <c r="C45" t="s">
        <v>93</v>
      </c>
    </row>
    <row r="46" spans="3:7" x14ac:dyDescent="0.35">
      <c r="C46" t="s">
        <v>94</v>
      </c>
    </row>
    <row r="47" spans="3:7" x14ac:dyDescent="0.35">
      <c r="C47" t="s">
        <v>95</v>
      </c>
    </row>
    <row r="48" spans="3:7" x14ac:dyDescent="0.35">
      <c r="C48" t="s">
        <v>96</v>
      </c>
    </row>
    <row r="49" spans="3:3" x14ac:dyDescent="0.35">
      <c r="C49" t="s">
        <v>97</v>
      </c>
    </row>
  </sheetData>
  <mergeCells count="7">
    <mergeCell ref="C43:F43"/>
    <mergeCell ref="D6:H8"/>
    <mergeCell ref="J6:O8"/>
    <mergeCell ref="D10:H13"/>
    <mergeCell ref="J10:O15"/>
    <mergeCell ref="D16:H20"/>
    <mergeCell ref="D22:H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6160-9BBA-42A8-B76E-3868329298DD}">
  <dimension ref="B11:N33"/>
  <sheetViews>
    <sheetView topLeftCell="A16" workbookViewId="0">
      <selection activeCell="G24" sqref="G24"/>
    </sheetView>
  </sheetViews>
  <sheetFormatPr baseColWidth="10" defaultRowHeight="14.5" x14ac:dyDescent="0.35"/>
  <cols>
    <col min="3" max="3" width="14.1796875" customWidth="1"/>
    <col min="4" max="4" width="43.453125" customWidth="1"/>
    <col min="5" max="5" width="35.453125" bestFit="1" customWidth="1"/>
    <col min="6" max="6" width="16.81640625" customWidth="1"/>
    <col min="7" max="7" width="6.81640625" customWidth="1"/>
    <col min="8" max="8" width="17.54296875" bestFit="1" customWidth="1"/>
    <col min="9" max="9" width="5.81640625" customWidth="1"/>
    <col min="10" max="10" width="13" customWidth="1"/>
    <col min="12" max="12" width="14.81640625" customWidth="1"/>
    <col min="13" max="13" width="17" customWidth="1"/>
    <col min="14" max="14" width="15.1796875" customWidth="1"/>
  </cols>
  <sheetData>
    <row r="11" spans="2:14" x14ac:dyDescent="0.35">
      <c r="B11" s="303" t="s">
        <v>98</v>
      </c>
      <c r="C11" s="303"/>
      <c r="D11" s="303"/>
      <c r="E11" s="303"/>
      <c r="F11" s="303"/>
      <c r="G11" s="303"/>
      <c r="H11" s="303"/>
      <c r="I11" s="303"/>
      <c r="J11" s="303"/>
      <c r="K11" s="303"/>
      <c r="L11" s="303"/>
      <c r="M11" s="303"/>
    </row>
    <row r="12" spans="2:14" x14ac:dyDescent="0.35"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</row>
    <row r="14" spans="2:14" x14ac:dyDescent="0.35">
      <c r="G14" s="120"/>
      <c r="H14" s="121" t="s">
        <v>99</v>
      </c>
      <c r="I14" s="121"/>
    </row>
    <row r="15" spans="2:14" x14ac:dyDescent="0.35">
      <c r="G15" s="122"/>
      <c r="H15" s="121" t="s">
        <v>100</v>
      </c>
      <c r="I15" s="121"/>
      <c r="J15" s="304" t="s">
        <v>101</v>
      </c>
      <c r="K15" s="304"/>
      <c r="L15" s="304"/>
      <c r="M15" s="304"/>
      <c r="N15" s="304"/>
    </row>
    <row r="16" spans="2:14" x14ac:dyDescent="0.35">
      <c r="G16" s="14"/>
      <c r="H16" s="121"/>
      <c r="I16" s="121"/>
    </row>
    <row r="17" spans="2:14" ht="26.5" x14ac:dyDescent="0.35">
      <c r="B17" s="123" t="s">
        <v>102</v>
      </c>
      <c r="C17" s="124" t="s">
        <v>103</v>
      </c>
      <c r="D17" s="125" t="s">
        <v>104</v>
      </c>
      <c r="E17" s="123" t="s">
        <v>105</v>
      </c>
      <c r="F17" s="123" t="s">
        <v>55</v>
      </c>
      <c r="G17" s="123" t="s">
        <v>41</v>
      </c>
      <c r="H17" s="123" t="s">
        <v>106</v>
      </c>
      <c r="I17" s="123"/>
      <c r="J17" s="126" t="s">
        <v>107</v>
      </c>
      <c r="K17" s="126" t="s">
        <v>57</v>
      </c>
      <c r="L17" s="126" t="s">
        <v>34</v>
      </c>
      <c r="M17" s="127" t="s">
        <v>108</v>
      </c>
      <c r="N17" s="127" t="s">
        <v>109</v>
      </c>
    </row>
    <row r="18" spans="2:14" ht="31" x14ac:dyDescent="0.35">
      <c r="B18" s="128" t="s">
        <v>110</v>
      </c>
      <c r="C18" s="128" t="s">
        <v>111</v>
      </c>
      <c r="D18" s="129" t="s">
        <v>112</v>
      </c>
      <c r="E18" s="130" t="s">
        <v>113</v>
      </c>
      <c r="F18" s="131" t="s">
        <v>114</v>
      </c>
      <c r="G18" s="132">
        <v>0.15</v>
      </c>
      <c r="H18" s="133"/>
      <c r="I18" s="133"/>
      <c r="J18" s="134"/>
      <c r="K18" s="135"/>
      <c r="L18" s="136"/>
      <c r="M18" s="137"/>
      <c r="N18" s="138"/>
    </row>
    <row r="19" spans="2:14" ht="15.5" x14ac:dyDescent="0.35">
      <c r="B19" s="128" t="s">
        <v>115</v>
      </c>
      <c r="C19" s="128" t="s">
        <v>111</v>
      </c>
      <c r="D19" s="139" t="s">
        <v>116</v>
      </c>
      <c r="E19" s="130"/>
      <c r="F19" s="131"/>
      <c r="G19" s="132"/>
      <c r="H19" s="133"/>
      <c r="I19" s="133"/>
      <c r="J19" s="134"/>
      <c r="K19" s="135"/>
      <c r="L19" s="136"/>
      <c r="M19" s="140"/>
      <c r="N19" s="138"/>
    </row>
    <row r="20" spans="2:14" ht="26" x14ac:dyDescent="0.35">
      <c r="B20" s="128" t="s">
        <v>117</v>
      </c>
      <c r="C20" s="141" t="s">
        <v>118</v>
      </c>
      <c r="D20" s="131" t="s">
        <v>119</v>
      </c>
      <c r="E20" s="128" t="s">
        <v>120</v>
      </c>
      <c r="F20" s="142" t="s">
        <v>121</v>
      </c>
      <c r="G20" s="143">
        <v>0.15</v>
      </c>
      <c r="H20" s="144"/>
      <c r="I20" s="144"/>
      <c r="J20" s="145"/>
      <c r="K20" s="137"/>
      <c r="L20" s="137"/>
      <c r="M20" s="140"/>
      <c r="N20" s="140"/>
    </row>
    <row r="21" spans="2:14" ht="26" x14ac:dyDescent="0.35">
      <c r="B21" s="128" t="s">
        <v>122</v>
      </c>
      <c r="C21" s="141" t="s">
        <v>118</v>
      </c>
      <c r="D21" s="131" t="s">
        <v>123</v>
      </c>
      <c r="E21" s="128" t="s">
        <v>124</v>
      </c>
      <c r="F21" s="142" t="s">
        <v>125</v>
      </c>
      <c r="G21" s="142" t="s">
        <v>126</v>
      </c>
      <c r="H21" s="146"/>
      <c r="I21" s="146"/>
      <c r="J21" s="145"/>
      <c r="K21" s="147"/>
      <c r="L21" s="137"/>
      <c r="M21" s="137"/>
      <c r="N21" s="137"/>
    </row>
    <row r="22" spans="2:14" ht="26" x14ac:dyDescent="0.35">
      <c r="B22" s="142" t="s">
        <v>127</v>
      </c>
      <c r="C22" s="148" t="s">
        <v>118</v>
      </c>
      <c r="D22" s="131" t="s">
        <v>128</v>
      </c>
      <c r="E22" s="142" t="s">
        <v>129</v>
      </c>
      <c r="F22" s="142" t="s">
        <v>130</v>
      </c>
      <c r="G22" s="143">
        <v>0.15</v>
      </c>
      <c r="H22" s="146"/>
      <c r="I22" s="146"/>
      <c r="J22" s="146"/>
      <c r="K22" s="149"/>
      <c r="L22" s="144"/>
      <c r="M22" s="150"/>
      <c r="N22" s="144"/>
    </row>
    <row r="23" spans="2:14" ht="26" x14ac:dyDescent="0.35">
      <c r="B23" s="142" t="s">
        <v>131</v>
      </c>
      <c r="C23" s="148" t="s">
        <v>118</v>
      </c>
      <c r="D23" s="151" t="s">
        <v>132</v>
      </c>
      <c r="E23" s="142" t="s">
        <v>133</v>
      </c>
      <c r="F23" s="142" t="s">
        <v>134</v>
      </c>
      <c r="G23" s="152">
        <v>0.1</v>
      </c>
      <c r="H23" s="144"/>
      <c r="I23" s="144"/>
      <c r="J23" s="146"/>
      <c r="K23" s="150"/>
      <c r="L23" s="144"/>
      <c r="M23" s="144"/>
      <c r="N23" s="144"/>
    </row>
    <row r="24" spans="2:14" x14ac:dyDescent="0.35">
      <c r="B24" s="128" t="s">
        <v>135</v>
      </c>
      <c r="C24" s="128" t="s">
        <v>111</v>
      </c>
      <c r="D24" s="151" t="s">
        <v>136</v>
      </c>
      <c r="E24" s="128" t="s">
        <v>137</v>
      </c>
      <c r="F24" s="128" t="s">
        <v>138</v>
      </c>
      <c r="G24" s="153">
        <v>0.15</v>
      </c>
      <c r="H24" s="140"/>
      <c r="I24" s="140"/>
      <c r="J24" s="140"/>
      <c r="K24" s="140"/>
      <c r="L24" s="140"/>
      <c r="M24" s="140"/>
      <c r="N24" s="140"/>
    </row>
    <row r="25" spans="2:14" x14ac:dyDescent="0.35">
      <c r="B25" s="128" t="s">
        <v>139</v>
      </c>
      <c r="C25" s="128" t="s">
        <v>111</v>
      </c>
      <c r="D25" s="151" t="s">
        <v>140</v>
      </c>
      <c r="E25" s="128" t="s">
        <v>141</v>
      </c>
      <c r="F25" s="128" t="s">
        <v>142</v>
      </c>
      <c r="G25" s="153">
        <v>0.15</v>
      </c>
      <c r="H25" s="140"/>
      <c r="I25" s="140"/>
      <c r="J25" s="140"/>
      <c r="K25" s="140"/>
      <c r="L25" s="140"/>
      <c r="M25" s="140"/>
      <c r="N25" s="140"/>
    </row>
    <row r="26" spans="2:14" ht="25" x14ac:dyDescent="0.35">
      <c r="B26" s="128" t="s">
        <v>143</v>
      </c>
      <c r="C26" s="128" t="s">
        <v>111</v>
      </c>
      <c r="D26" s="154" t="s">
        <v>144</v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</row>
    <row r="27" spans="2:14" x14ac:dyDescent="0.35">
      <c r="B27" s="128" t="s">
        <v>145</v>
      </c>
      <c r="C27" s="128" t="s">
        <v>111</v>
      </c>
      <c r="D27" s="151" t="s">
        <v>146</v>
      </c>
      <c r="E27" s="128" t="s">
        <v>147</v>
      </c>
      <c r="F27" s="128"/>
      <c r="G27" s="140"/>
      <c r="H27" s="140"/>
      <c r="I27" s="140"/>
      <c r="J27" s="140"/>
      <c r="K27" s="140"/>
      <c r="L27" s="140"/>
      <c r="M27" s="140"/>
      <c r="N27" s="140"/>
    </row>
    <row r="28" spans="2:14" x14ac:dyDescent="0.35">
      <c r="B28" s="128"/>
      <c r="C28" s="140"/>
      <c r="D28" s="155"/>
      <c r="E28" s="128" t="s">
        <v>148</v>
      </c>
      <c r="F28" s="128"/>
      <c r="G28" s="140"/>
      <c r="H28" s="145">
        <v>14200</v>
      </c>
      <c r="I28" s="145"/>
      <c r="J28" s="145"/>
      <c r="K28" s="140"/>
      <c r="L28" s="140"/>
      <c r="M28" s="140"/>
      <c r="N28" s="140"/>
    </row>
    <row r="29" spans="2:14" x14ac:dyDescent="0.35">
      <c r="B29" s="128"/>
      <c r="C29" s="140"/>
      <c r="D29" s="156"/>
      <c r="E29" s="128" t="s">
        <v>149</v>
      </c>
      <c r="F29" s="128"/>
      <c r="G29" s="140"/>
      <c r="H29" s="145">
        <v>12900</v>
      </c>
      <c r="I29" s="145"/>
      <c r="J29" s="145"/>
      <c r="K29" s="140"/>
      <c r="L29" s="140"/>
      <c r="M29" s="140"/>
      <c r="N29" s="140"/>
    </row>
    <row r="30" spans="2:14" x14ac:dyDescent="0.35">
      <c r="E30" s="128" t="s">
        <v>150</v>
      </c>
      <c r="F30" s="128"/>
      <c r="G30" s="140"/>
      <c r="H30" s="145">
        <v>19900</v>
      </c>
      <c r="I30" s="157"/>
      <c r="J30" s="47"/>
      <c r="L30" s="158"/>
      <c r="N30" s="158"/>
    </row>
    <row r="31" spans="2:14" x14ac:dyDescent="0.35">
      <c r="E31" s="128" t="s">
        <v>151</v>
      </c>
      <c r="F31" s="140"/>
      <c r="G31" s="140"/>
      <c r="H31" s="145">
        <v>17100</v>
      </c>
      <c r="I31" s="157"/>
    </row>
    <row r="32" spans="2:14" x14ac:dyDescent="0.35">
      <c r="E32" s="128" t="s">
        <v>152</v>
      </c>
      <c r="F32" s="140"/>
      <c r="G32" s="140"/>
      <c r="H32" s="145">
        <v>24500</v>
      </c>
      <c r="I32" s="157"/>
    </row>
    <row r="33" spans="2:14" ht="19" x14ac:dyDescent="0.6">
      <c r="B33" s="305" t="s">
        <v>153</v>
      </c>
      <c r="C33" s="305"/>
      <c r="H33" s="47"/>
      <c r="I33" s="47"/>
      <c r="J33" s="159">
        <f>SUM(J18:J32)</f>
        <v>0</v>
      </c>
      <c r="K33" s="159">
        <f>SUM(K18:K32)</f>
        <v>0</v>
      </c>
      <c r="L33" s="159">
        <f>SUM(L18:L32)</f>
        <v>0</v>
      </c>
      <c r="M33" s="159">
        <f>SUM(M18:M32)</f>
        <v>0</v>
      </c>
      <c r="N33" s="159">
        <f>SUM(N18:N32)</f>
        <v>0</v>
      </c>
    </row>
  </sheetData>
  <mergeCells count="3">
    <mergeCell ref="B11:M12"/>
    <mergeCell ref="J15:N15"/>
    <mergeCell ref="B33:C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CBAC-A964-4726-AE9B-F2A2B3529BBC}">
  <dimension ref="A1:M43"/>
  <sheetViews>
    <sheetView topLeftCell="A3" workbookViewId="0">
      <selection activeCell="M11" sqref="M11"/>
    </sheetView>
  </sheetViews>
  <sheetFormatPr baseColWidth="10" defaultRowHeight="14.5" x14ac:dyDescent="0.35"/>
  <cols>
    <col min="3" max="3" width="17.81640625" bestFit="1" customWidth="1"/>
    <col min="4" max="4" width="18.81640625" bestFit="1" customWidth="1"/>
    <col min="5" max="6" width="18.81640625" customWidth="1"/>
    <col min="7" max="7" width="18.1796875" customWidth="1"/>
    <col min="8" max="8" width="13.54296875" customWidth="1"/>
    <col min="9" max="9" width="13.453125" style="47" customWidth="1"/>
    <col min="10" max="10" width="12.36328125" style="47" customWidth="1"/>
    <col min="11" max="11" width="13.54296875" customWidth="1"/>
    <col min="13" max="13" width="13" style="47" customWidth="1"/>
  </cols>
  <sheetData>
    <row r="1" spans="1:13" x14ac:dyDescent="0.35">
      <c r="B1" s="308" t="s">
        <v>278</v>
      </c>
      <c r="C1" s="308"/>
      <c r="D1" s="308"/>
      <c r="E1" s="308"/>
      <c r="F1" s="308"/>
      <c r="G1" s="308"/>
      <c r="I1" s="306" t="s">
        <v>341</v>
      </c>
      <c r="J1" s="306" t="s">
        <v>185</v>
      </c>
      <c r="M1" s="306" t="s">
        <v>342</v>
      </c>
    </row>
    <row r="2" spans="1:13" ht="15" thickBot="1" x14ac:dyDescent="0.4">
      <c r="B2" s="210" t="s">
        <v>49</v>
      </c>
      <c r="C2" s="210" t="s">
        <v>279</v>
      </c>
      <c r="D2" s="210" t="s">
        <v>280</v>
      </c>
      <c r="E2" s="211" t="s">
        <v>281</v>
      </c>
      <c r="F2" s="211" t="s">
        <v>282</v>
      </c>
      <c r="G2" s="210" t="s">
        <v>283</v>
      </c>
      <c r="I2" s="307"/>
      <c r="J2" s="307"/>
      <c r="M2" s="307"/>
    </row>
    <row r="3" spans="1:13" ht="15" thickBot="1" x14ac:dyDescent="0.4">
      <c r="B3" s="212" t="s">
        <v>284</v>
      </c>
      <c r="C3" s="241">
        <v>303686.28999999998</v>
      </c>
      <c r="D3" s="279">
        <f>SUMIF(ING!$E2:M$600,"*"&amp;B43&amp;"*",ING!$F2:N$600)</f>
        <v>310579</v>
      </c>
      <c r="E3" s="279">
        <f>+ganancia!M313</f>
        <v>362050</v>
      </c>
      <c r="F3" s="242">
        <f>+GASTO!M344</f>
        <v>113772</v>
      </c>
      <c r="G3" s="213">
        <f>+D3+E3-C3-F3-M3</f>
        <v>-4974.289999999979</v>
      </c>
      <c r="H3" s="47"/>
      <c r="I3" s="213">
        <v>303686.28999999998</v>
      </c>
      <c r="J3" s="213">
        <f>+I3*0.16</f>
        <v>48589.806399999994</v>
      </c>
      <c r="K3" s="118">
        <f>+D3-C3</f>
        <v>6892.710000000021</v>
      </c>
      <c r="M3" s="213">
        <v>260145</v>
      </c>
    </row>
    <row r="4" spans="1:13" ht="15" thickBot="1" x14ac:dyDescent="0.4">
      <c r="B4" s="214" t="s">
        <v>285</v>
      </c>
      <c r="C4" s="243">
        <f>SUMIF(EGR!$E1:H$986,"*"&amp;B4&amp;"*",EGR!$F1:O$986)</f>
        <v>224265.94</v>
      </c>
      <c r="D4" s="280">
        <f>SUMIF(ING!$E2:M$600,"*"&amp;B4&amp;"*",ING!$F2:N$600)</f>
        <v>230572.03448275861</v>
      </c>
      <c r="E4" s="280">
        <f>+ganancia!M607</f>
        <v>498010</v>
      </c>
      <c r="F4" s="244">
        <f>+GASTO!M656</f>
        <v>189819</v>
      </c>
      <c r="G4" s="215">
        <f t="shared" ref="G4:G14" si="0">+D4+E4-C4-F4-M4</f>
        <v>119263.09448275861</v>
      </c>
      <c r="H4" s="47"/>
      <c r="I4" s="215">
        <f>SUMIF(EGR!$K1:T$982,"*"&amp;B4&amp;"*",EGR!$L1:U$982)</f>
        <v>228607.76</v>
      </c>
      <c r="J4" s="215">
        <f>+I4*0.16</f>
        <v>36577.241600000001</v>
      </c>
      <c r="K4" s="118">
        <f>+D4-C4</f>
        <v>6306.0944827586063</v>
      </c>
      <c r="M4" s="215">
        <v>195234</v>
      </c>
    </row>
    <row r="5" spans="1:13" ht="15" thickBot="1" x14ac:dyDescent="0.4">
      <c r="B5" s="212" t="s">
        <v>286</v>
      </c>
      <c r="C5" s="241">
        <f>SUMIF(EGR!$E2:N$982,"*"&amp;B5&amp;"*",EGR!$F2:O$982)</f>
        <v>236808.89190000002</v>
      </c>
      <c r="D5" s="279">
        <f>SUMIF(ING!$E2:M$600,"*"&amp;B5&amp;"*",ING!$F2:N$600)</f>
        <v>240808.88517241381</v>
      </c>
      <c r="E5" s="279">
        <f>+ganancia!M922</f>
        <v>772929</v>
      </c>
      <c r="F5" s="242">
        <f>+GASTO!M1001</f>
        <v>158781</v>
      </c>
      <c r="G5" s="213">
        <f t="shared" si="0"/>
        <v>457390.39327241376</v>
      </c>
      <c r="H5" s="47"/>
      <c r="I5" s="213">
        <f>SUMIF(EGR!$K2:T$982,"*"&amp;B5&amp;"*",EGR!$L2:U$982)</f>
        <v>12764.7775</v>
      </c>
      <c r="J5" s="213">
        <f t="shared" ref="J5:J14" si="1">+I5*0.16</f>
        <v>2042.3644000000002</v>
      </c>
      <c r="K5" s="118">
        <f t="shared" ref="K5:K14" si="2">+D5-C5</f>
        <v>3999.9932724137907</v>
      </c>
      <c r="M5" s="213">
        <v>160757.6</v>
      </c>
    </row>
    <row r="6" spans="1:13" ht="15" thickBot="1" x14ac:dyDescent="0.4">
      <c r="B6" s="214" t="s">
        <v>287</v>
      </c>
      <c r="C6" s="243">
        <f>SUMIF(EGR!$E3:N$982,"*"&amp;B6&amp;"*",EGR!$F3:O$982)</f>
        <v>354090.89189999999</v>
      </c>
      <c r="D6" s="280">
        <f>SUMIF(ING!$E3:M$600,"*"&amp;B6&amp;"*",ING!$F3:N$600)</f>
        <v>357091.75862068968</v>
      </c>
      <c r="E6" s="280">
        <f>+ganancia!M1226</f>
        <v>364997</v>
      </c>
      <c r="F6" s="244">
        <f>+GASTO!M1336</f>
        <v>238987</v>
      </c>
      <c r="G6" s="215">
        <f t="shared" si="0"/>
        <v>-227223.13327931036</v>
      </c>
      <c r="H6" s="47"/>
      <c r="I6" s="215">
        <f>SUMIF(EGR!$K3:T$982,"*"&amp;B6&amp;"*",EGR!$L3:U$982)</f>
        <v>7445.7775000000001</v>
      </c>
      <c r="J6" s="215">
        <f t="shared" si="1"/>
        <v>1191.3244</v>
      </c>
      <c r="K6" s="118">
        <f t="shared" si="2"/>
        <v>3000.8667206896935</v>
      </c>
      <c r="M6" s="215">
        <v>356234</v>
      </c>
    </row>
    <row r="7" spans="1:13" ht="15" thickBot="1" x14ac:dyDescent="0.4">
      <c r="B7" s="212" t="s">
        <v>288</v>
      </c>
      <c r="C7" s="241">
        <f>SUMIF(EGR!$E4:N$982,"*"&amp;B7&amp;"*",EGR!$F4:O$982)</f>
        <v>359428.77119999996</v>
      </c>
      <c r="D7" s="279">
        <f>SUMIF(ING!$E4:M$600,"*"&amp;B7&amp;"*",ING!$F4:N$600)</f>
        <v>362431.68965517241</v>
      </c>
      <c r="E7" s="279">
        <f>+ganancia!M1540</f>
        <v>216881</v>
      </c>
      <c r="F7" s="242">
        <f>+GASTO!M1681</f>
        <v>92523</v>
      </c>
      <c r="G7" s="213">
        <f t="shared" si="0"/>
        <v>-177462.08154482755</v>
      </c>
      <c r="H7" s="47"/>
      <c r="I7" s="213">
        <f>SUMIF(EGR!$K4:T$982,"*"&amp;B7&amp;"*",EGR!$L4:U$982)</f>
        <v>10422.319999999998</v>
      </c>
      <c r="J7" s="213">
        <f t="shared" si="1"/>
        <v>1667.5711999999996</v>
      </c>
      <c r="K7" s="118">
        <f t="shared" si="2"/>
        <v>3002.9184551724466</v>
      </c>
      <c r="M7" s="213">
        <v>304823</v>
      </c>
    </row>
    <row r="8" spans="1:13" ht="15" thickBot="1" x14ac:dyDescent="0.4">
      <c r="B8" s="214" t="s">
        <v>289</v>
      </c>
      <c r="C8" s="243">
        <f>SUMIF(EGR!$E5:N$982,"*"&amp;B8&amp;"*",EGR!$F5:O$982)</f>
        <v>426702.99000000005</v>
      </c>
      <c r="D8" s="280">
        <f>SUMIF(ING!$E5:M$600,"*"&amp;B8&amp;"*",ING!$F5:N$600)</f>
        <v>424706</v>
      </c>
      <c r="E8" s="280">
        <f>+ganancia!M1844</f>
        <v>277597</v>
      </c>
      <c r="F8" s="244">
        <f>+GASTO!M2015</f>
        <v>78962</v>
      </c>
      <c r="G8" s="215">
        <f t="shared" si="0"/>
        <v>-203950.99000000005</v>
      </c>
      <c r="I8" s="215">
        <f>SUMIF(EGR!$K5:T$982,"*"&amp;B8&amp;"*",EGR!$L5:U$982)</f>
        <v>159173</v>
      </c>
      <c r="J8" s="215">
        <f t="shared" si="1"/>
        <v>25467.68</v>
      </c>
      <c r="K8" s="118">
        <f t="shared" si="2"/>
        <v>-1996.9900000000489</v>
      </c>
      <c r="M8" s="215">
        <v>400589</v>
      </c>
    </row>
    <row r="9" spans="1:13" ht="15" thickBot="1" x14ac:dyDescent="0.4">
      <c r="B9" s="212" t="s">
        <v>290</v>
      </c>
      <c r="C9" s="241">
        <f>SUMIF(EGR!$E6:N$982,"*"&amp;B9&amp;"*",EGR!$F6:O$982)</f>
        <v>260003.4399</v>
      </c>
      <c r="D9" s="279">
        <f>SUMIF(ING!$E6:M$600,"*"&amp;B9&amp;"*",ING!$F6:N$600)</f>
        <v>272396.10344827588</v>
      </c>
      <c r="E9" s="279">
        <f>+ganancia!M2157</f>
        <v>334562</v>
      </c>
      <c r="F9" s="242">
        <f>+GASTO!M2360</f>
        <v>91811</v>
      </c>
      <c r="G9" s="213">
        <f t="shared" si="0"/>
        <v>41489.663548275945</v>
      </c>
      <c r="I9" s="213">
        <f>SUMIF(EGR!$K6:T$982,"*"&amp;B9&amp;"*",EGR!$L6:U$982)</f>
        <v>15790.577500000001</v>
      </c>
      <c r="J9" s="213">
        <f t="shared" si="1"/>
        <v>2526.4924000000001</v>
      </c>
      <c r="K9" s="118">
        <f t="shared" si="2"/>
        <v>12392.663548275887</v>
      </c>
      <c r="M9" s="213">
        <v>213654</v>
      </c>
    </row>
    <row r="10" spans="1:13" ht="15" thickBot="1" x14ac:dyDescent="0.4">
      <c r="B10" s="214" t="s">
        <v>291</v>
      </c>
      <c r="C10" s="243">
        <f>SUMIF(EGR!$E7:N$982,"*"&amp;B10&amp;"*",EGR!$F7:O$982)</f>
        <v>240167.34600000002</v>
      </c>
      <c r="D10" s="280">
        <f>SUMIF(ING!$E7:M$600,"*"&amp;B10&amp;"*",ING!$F7:N$600)</f>
        <v>247594.93103448275</v>
      </c>
      <c r="E10" s="280">
        <f>+ganancia!M2470</f>
        <v>335589</v>
      </c>
      <c r="F10" s="244">
        <f>+GASTO!M2704</f>
        <v>120482</v>
      </c>
      <c r="G10" s="215">
        <f t="shared" si="0"/>
        <v>17967.585034482763</v>
      </c>
      <c r="I10" s="215">
        <f>SUMIF(EGR!$K7:T$982,"*"&amp;B10&amp;"*",EGR!$L7:U$982)</f>
        <v>20983.1</v>
      </c>
      <c r="J10" s="215">
        <f t="shared" si="1"/>
        <v>3357.2959999999998</v>
      </c>
      <c r="K10" s="118">
        <f t="shared" si="2"/>
        <v>7427.585034482734</v>
      </c>
      <c r="M10" s="215">
        <v>204567</v>
      </c>
    </row>
    <row r="11" spans="1:13" ht="15" thickBot="1" x14ac:dyDescent="0.4">
      <c r="B11" s="212" t="s">
        <v>292</v>
      </c>
      <c r="C11" s="241">
        <f>SUMIF(EGR!$E8:N$982,"*"&amp;B11&amp;"*",EGR!$F8:O$982)</f>
        <v>329447.37090000004</v>
      </c>
      <c r="D11" s="279">
        <f>SUMIF(ING!$E8:M$600,"*"&amp;B11&amp;"*",ING!$F8:N$600)</f>
        <v>336307.20724137931</v>
      </c>
      <c r="E11" s="279">
        <f>+ganancia!M2775</f>
        <v>433121</v>
      </c>
      <c r="F11" s="242">
        <f>+GASTO!M3039</f>
        <v>81667</v>
      </c>
      <c r="G11" s="213">
        <f t="shared" si="0"/>
        <v>69877.836341379269</v>
      </c>
      <c r="H11" s="118"/>
      <c r="I11" s="213">
        <f>SUMIF(EGR!$K8:T$982,"*"&amp;B11&amp;"*",EGR!$L8:U$982)</f>
        <v>19558.552500000002</v>
      </c>
      <c r="J11" s="213">
        <f t="shared" si="1"/>
        <v>3129.3684000000003</v>
      </c>
      <c r="K11" s="118">
        <f t="shared" si="2"/>
        <v>6859.8363413792686</v>
      </c>
      <c r="M11" s="213">
        <v>288436</v>
      </c>
    </row>
    <row r="12" spans="1:13" ht="15" thickBot="1" x14ac:dyDescent="0.4">
      <c r="B12" s="214" t="s">
        <v>293</v>
      </c>
      <c r="C12" s="243">
        <f>SUMIF(EGR!$E9:N$982,"*"&amp;B12&amp;"*",EGR!$F9:O$982)</f>
        <v>355882.9258907499</v>
      </c>
      <c r="D12" s="280">
        <f>SUMIF(ING!$E9:M$600,"*"&amp;B12&amp;"*",ING!$F9:N$600)</f>
        <v>359882.55</v>
      </c>
      <c r="E12" s="280">
        <f>+ganancia!M3088</f>
        <v>221078</v>
      </c>
      <c r="F12" s="244">
        <f>+GASTO!M3384</f>
        <v>80391</v>
      </c>
      <c r="G12" s="215">
        <f t="shared" si="0"/>
        <v>144686.62410925014</v>
      </c>
      <c r="H12" s="118"/>
      <c r="I12" s="215">
        <f>SUMIF(EGR!$K9:T$982,"*"&amp;B12&amp;"*",EGR!$L9:U$982)</f>
        <v>25572.574043750003</v>
      </c>
      <c r="J12" s="215">
        <f t="shared" si="1"/>
        <v>4091.6118470000006</v>
      </c>
      <c r="K12" s="118">
        <f t="shared" si="2"/>
        <v>3999.6241092500859</v>
      </c>
      <c r="M12" s="215"/>
    </row>
    <row r="13" spans="1:13" ht="15" thickBot="1" x14ac:dyDescent="0.4">
      <c r="B13" s="212" t="s">
        <v>294</v>
      </c>
      <c r="C13" s="241">
        <f>SUMIF(EGR!$E10:N$982,"*"&amp;B13&amp;"*",EGR!$F10:O$982)</f>
        <v>275458.39768625004</v>
      </c>
      <c r="D13" s="279">
        <f>SUMIF(ING!$E10:M$600,"*"&amp;B13&amp;"*",ING!$F10:N$600)</f>
        <v>279550.68965517241</v>
      </c>
      <c r="E13" s="279">
        <f>+ganancia!M3391</f>
        <v>0</v>
      </c>
      <c r="F13" s="242">
        <f>+GASTO!M3718</f>
        <v>0</v>
      </c>
      <c r="G13" s="213">
        <f t="shared" si="0"/>
        <v>4092.2919689223636</v>
      </c>
      <c r="I13" s="213">
        <f>SUMIF(EGR!$K10:T$982,"*"&amp;B13&amp;"*",EGR!$L10:U$982)</f>
        <v>18207.446281249999</v>
      </c>
      <c r="J13" s="213">
        <f t="shared" si="1"/>
        <v>2913.191405</v>
      </c>
      <c r="K13" s="118">
        <f t="shared" si="2"/>
        <v>4092.2919689223636</v>
      </c>
      <c r="M13" s="213"/>
    </row>
    <row r="14" spans="1:13" ht="15" thickBot="1" x14ac:dyDescent="0.4">
      <c r="B14" s="214" t="s">
        <v>295</v>
      </c>
      <c r="C14" s="243">
        <f>SUMIF(EGR!$E11:N$982,"*"&amp;B14&amp;"*",EGR!$F11:O$982)</f>
        <v>520718.05185449996</v>
      </c>
      <c r="D14" s="280">
        <f>SUMIF(ING!$E11:M$600,"*"&amp;B14&amp;"*",ING!$F11:N$600)</f>
        <v>524795.93482758617</v>
      </c>
      <c r="E14" s="280">
        <f>+ganancia!M3704</f>
        <v>0</v>
      </c>
      <c r="F14" s="244">
        <f>+GASTO!M4063</f>
        <v>0</v>
      </c>
      <c r="G14" s="215">
        <f t="shared" si="0"/>
        <v>4077.8829730862053</v>
      </c>
      <c r="H14" s="118"/>
      <c r="I14" s="215">
        <f>SUMIF(EGR!$K11:T$982,"*"&amp;B14&amp;"*",EGR!$L11:U$982)</f>
        <v>19375.1740125</v>
      </c>
      <c r="J14" s="215">
        <f t="shared" si="1"/>
        <v>3100.027842</v>
      </c>
      <c r="K14" s="118">
        <f t="shared" si="2"/>
        <v>4077.8829730862053</v>
      </c>
      <c r="M14" s="215"/>
    </row>
    <row r="15" spans="1:13" ht="16" thickBot="1" x14ac:dyDescent="0.4">
      <c r="A15" s="309" t="s">
        <v>296</v>
      </c>
      <c r="B15" s="310"/>
      <c r="C15" s="216">
        <f>SUM(C3:C14)</f>
        <v>3886661.3072314998</v>
      </c>
      <c r="D15" s="216">
        <f>SUM(D3:D14)</f>
        <v>3946716.7841379303</v>
      </c>
      <c r="E15" s="216">
        <f>SUM(E3:E14)</f>
        <v>3816814</v>
      </c>
      <c r="F15" s="216">
        <f>SUM(F3:F14)</f>
        <v>1247195</v>
      </c>
      <c r="G15" s="216">
        <f>SUM(G3:G14)</f>
        <v>245234.87690643111</v>
      </c>
      <c r="H15" s="118">
        <f>+D15+E15-C15-F15</f>
        <v>2629674.4769064309</v>
      </c>
    </row>
    <row r="16" spans="1:13" ht="16" thickBot="1" x14ac:dyDescent="0.4">
      <c r="A16" s="311" t="s">
        <v>297</v>
      </c>
      <c r="B16" s="312"/>
      <c r="C16" s="245"/>
      <c r="D16" s="245"/>
      <c r="E16" s="245"/>
      <c r="F16" s="246"/>
      <c r="G16" s="217"/>
    </row>
    <row r="43" spans="2:2" x14ac:dyDescent="0.35">
      <c r="B43" t="s">
        <v>0</v>
      </c>
    </row>
  </sheetData>
  <mergeCells count="6">
    <mergeCell ref="J1:J2"/>
    <mergeCell ref="M1:M2"/>
    <mergeCell ref="B1:G1"/>
    <mergeCell ref="A15:B15"/>
    <mergeCell ref="A16:B16"/>
    <mergeCell ref="I1:I2"/>
  </mergeCells>
  <conditionalFormatting sqref="G3:G15">
    <cfRule type="cellIs" dxfId="2" priority="8" operator="lessThan">
      <formula>0</formula>
    </cfRule>
  </conditionalFormatting>
  <conditionalFormatting sqref="I3:K14">
    <cfRule type="cellIs" dxfId="1" priority="3" operator="lessThan">
      <formula>0</formula>
    </cfRule>
  </conditionalFormatting>
  <conditionalFormatting sqref="M3:M1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40C4-6687-4797-B461-43F188BB3A68}">
  <sheetPr>
    <tabColor rgb="FF92D050"/>
  </sheetPr>
  <dimension ref="A1:M3704"/>
  <sheetViews>
    <sheetView topLeftCell="A2913" workbookViewId="0">
      <selection activeCell="H2921" sqref="H2921"/>
    </sheetView>
  </sheetViews>
  <sheetFormatPr baseColWidth="10" defaultRowHeight="14.5" x14ac:dyDescent="0.35"/>
  <cols>
    <col min="1" max="1" width="13.36328125" customWidth="1"/>
    <col min="2" max="2" width="12.453125" bestFit="1" customWidth="1"/>
    <col min="8" max="8" width="11.453125" bestFit="1" customWidth="1"/>
    <col min="13" max="13" width="12.1796875" customWidth="1"/>
    <col min="14" max="14" width="12.1796875" bestFit="1" customWidth="1"/>
  </cols>
  <sheetData>
    <row r="1" spans="1:11" ht="15" thickBot="1" x14ac:dyDescent="0.4">
      <c r="A1" s="315" t="s">
        <v>298</v>
      </c>
      <c r="B1" s="315"/>
      <c r="C1" s="315"/>
      <c r="D1" s="315"/>
      <c r="E1" s="315"/>
      <c r="G1" s="315" t="s">
        <v>314</v>
      </c>
      <c r="H1" s="315"/>
      <c r="I1" s="315"/>
      <c r="J1" s="315"/>
      <c r="K1" s="315"/>
    </row>
    <row r="2" spans="1:11" ht="15" thickTop="1" x14ac:dyDescent="0.35">
      <c r="A2" s="313">
        <v>45292</v>
      </c>
      <c r="B2" s="314"/>
      <c r="C2" s="314"/>
      <c r="D2" s="314"/>
      <c r="E2" s="314"/>
      <c r="G2" s="313">
        <v>45292</v>
      </c>
      <c r="H2" s="314"/>
      <c r="I2" s="314"/>
      <c r="J2" s="314"/>
      <c r="K2" s="314"/>
    </row>
    <row r="3" spans="1:11" x14ac:dyDescent="0.35">
      <c r="A3" s="261" t="s">
        <v>159</v>
      </c>
      <c r="B3" s="262" t="s">
        <v>299</v>
      </c>
      <c r="C3" s="262" t="s">
        <v>300</v>
      </c>
      <c r="D3" s="262" t="s">
        <v>301</v>
      </c>
      <c r="E3" s="263" t="s">
        <v>302</v>
      </c>
      <c r="G3" s="264" t="s">
        <v>159</v>
      </c>
      <c r="H3" s="265" t="s">
        <v>299</v>
      </c>
      <c r="I3" s="265" t="s">
        <v>300</v>
      </c>
      <c r="J3" s="265" t="s">
        <v>301</v>
      </c>
      <c r="K3" s="266" t="s">
        <v>302</v>
      </c>
    </row>
    <row r="4" spans="1:11" x14ac:dyDescent="0.35">
      <c r="A4" s="221" t="s">
        <v>303</v>
      </c>
      <c r="B4" s="222"/>
      <c r="C4" s="222"/>
      <c r="D4" s="222"/>
      <c r="E4" s="223"/>
      <c r="F4" s="224"/>
      <c r="G4" s="221" t="s">
        <v>303</v>
      </c>
      <c r="H4" s="222"/>
      <c r="I4" s="222"/>
      <c r="J4" s="222"/>
      <c r="K4" s="223"/>
    </row>
    <row r="5" spans="1:11" x14ac:dyDescent="0.35">
      <c r="A5" s="225" t="s">
        <v>304</v>
      </c>
      <c r="B5" s="226"/>
      <c r="C5" s="226"/>
      <c r="D5" s="226"/>
      <c r="E5" s="227"/>
      <c r="F5" s="224"/>
      <c r="G5" s="225"/>
      <c r="H5" s="226"/>
      <c r="I5" s="226"/>
      <c r="J5" s="226"/>
      <c r="K5" s="227"/>
    </row>
    <row r="6" spans="1:11" x14ac:dyDescent="0.35">
      <c r="A6" s="225"/>
      <c r="B6" s="226"/>
      <c r="C6" s="226"/>
      <c r="D6" s="226"/>
      <c r="E6" s="227"/>
      <c r="F6" s="224"/>
      <c r="G6" s="225"/>
      <c r="H6" s="226"/>
      <c r="I6" s="226"/>
      <c r="J6" s="226"/>
      <c r="K6" s="227"/>
    </row>
    <row r="7" spans="1:11" x14ac:dyDescent="0.35">
      <c r="A7" s="221"/>
      <c r="B7" s="222"/>
      <c r="C7" s="222"/>
      <c r="D7" s="222"/>
      <c r="E7" s="223"/>
      <c r="F7" s="224"/>
      <c r="G7" s="221"/>
      <c r="H7" s="222"/>
      <c r="I7" s="222"/>
      <c r="J7" s="222"/>
      <c r="K7" s="223"/>
    </row>
    <row r="8" spans="1:11" x14ac:dyDescent="0.35">
      <c r="A8" s="225"/>
      <c r="B8" s="226"/>
      <c r="C8" s="226"/>
      <c r="D8" s="226"/>
      <c r="E8" s="227"/>
      <c r="F8" s="224"/>
      <c r="G8" s="225"/>
      <c r="H8" s="226"/>
      <c r="I8" s="226"/>
      <c r="J8" s="226"/>
      <c r="K8" s="227"/>
    </row>
    <row r="9" spans="1:11" ht="15" thickBot="1" x14ac:dyDescent="0.4">
      <c r="A9" s="218" t="s">
        <v>34</v>
      </c>
      <c r="B9" s="219">
        <f>SUM(B4:B8)</f>
        <v>0</v>
      </c>
      <c r="C9" s="219">
        <f>SUM(C4:C8)</f>
        <v>0</v>
      </c>
      <c r="D9" s="219">
        <f>SUM(D4:D8)</f>
        <v>0</v>
      </c>
      <c r="E9" s="219">
        <f>SUM(E4:E8)</f>
        <v>0</v>
      </c>
      <c r="G9" s="218" t="s">
        <v>34</v>
      </c>
      <c r="H9" s="219">
        <f>SUM(H4:H8)</f>
        <v>0</v>
      </c>
      <c r="I9" s="219">
        <f>SUM(I4:I8)</f>
        <v>0</v>
      </c>
      <c r="J9" s="219">
        <f>SUM(J4:J8)</f>
        <v>0</v>
      </c>
      <c r="K9" s="219">
        <f>SUM(K4:K8)</f>
        <v>0</v>
      </c>
    </row>
    <row r="10" spans="1:11" x14ac:dyDescent="0.35">
      <c r="A10" s="220" t="s">
        <v>305</v>
      </c>
      <c r="B10" s="220">
        <f>+B9+C9+D9+E9</f>
        <v>0</v>
      </c>
      <c r="C10" s="220"/>
      <c r="D10" s="220"/>
      <c r="E10" s="220"/>
      <c r="G10" s="220" t="s">
        <v>305</v>
      </c>
      <c r="H10" s="220">
        <f>+H9+I9+J9+K9</f>
        <v>0</v>
      </c>
      <c r="I10" s="220"/>
      <c r="J10" s="220"/>
      <c r="K10" s="220"/>
    </row>
    <row r="11" spans="1:11" ht="15" thickBot="1" x14ac:dyDescent="0.4">
      <c r="A11" s="315" t="s">
        <v>298</v>
      </c>
      <c r="B11" s="315"/>
      <c r="C11" s="315"/>
      <c r="D11" s="315"/>
      <c r="E11" s="315"/>
      <c r="G11" s="315" t="s">
        <v>314</v>
      </c>
      <c r="H11" s="315"/>
      <c r="I11" s="315"/>
      <c r="J11" s="315"/>
      <c r="K11" s="315"/>
    </row>
    <row r="12" spans="1:11" ht="15" thickTop="1" x14ac:dyDescent="0.35">
      <c r="A12" s="313">
        <v>45293</v>
      </c>
      <c r="B12" s="314"/>
      <c r="C12" s="314"/>
      <c r="D12" s="314"/>
      <c r="E12" s="314"/>
      <c r="G12" s="313">
        <v>45293</v>
      </c>
      <c r="H12" s="314"/>
      <c r="I12" s="314"/>
      <c r="J12" s="314"/>
      <c r="K12" s="314"/>
    </row>
    <row r="13" spans="1:11" x14ac:dyDescent="0.35">
      <c r="A13" s="261" t="s">
        <v>159</v>
      </c>
      <c r="B13" s="262" t="s">
        <v>299</v>
      </c>
      <c r="C13" s="262" t="s">
        <v>300</v>
      </c>
      <c r="D13" s="262" t="s">
        <v>301</v>
      </c>
      <c r="E13" s="263" t="s">
        <v>302</v>
      </c>
      <c r="G13" s="264" t="s">
        <v>159</v>
      </c>
      <c r="H13" s="265" t="s">
        <v>299</v>
      </c>
      <c r="I13" s="265" t="s">
        <v>300</v>
      </c>
      <c r="J13" s="265" t="s">
        <v>301</v>
      </c>
      <c r="K13" s="266" t="s">
        <v>302</v>
      </c>
    </row>
    <row r="14" spans="1:11" x14ac:dyDescent="0.35">
      <c r="A14" s="221" t="s">
        <v>303</v>
      </c>
      <c r="B14" s="222">
        <v>180</v>
      </c>
      <c r="C14" s="222"/>
      <c r="D14" s="222"/>
      <c r="E14" s="223"/>
      <c r="G14" s="221" t="s">
        <v>303</v>
      </c>
      <c r="H14" s="222"/>
      <c r="I14" s="222"/>
      <c r="J14" s="222"/>
      <c r="K14" s="223"/>
    </row>
    <row r="15" spans="1:11" x14ac:dyDescent="0.35">
      <c r="A15" s="225" t="s">
        <v>304</v>
      </c>
      <c r="B15" s="226">
        <v>37214</v>
      </c>
      <c r="C15" s="226"/>
      <c r="D15" s="226"/>
      <c r="E15" s="227"/>
      <c r="G15" s="225"/>
      <c r="H15" s="226"/>
      <c r="I15" s="226"/>
      <c r="J15" s="226"/>
      <c r="K15" s="227"/>
    </row>
    <row r="16" spans="1:11" x14ac:dyDescent="0.35">
      <c r="A16" s="225"/>
      <c r="B16" s="226"/>
      <c r="C16" s="226"/>
      <c r="D16" s="226"/>
      <c r="E16" s="227"/>
      <c r="G16" s="225"/>
      <c r="H16" s="226"/>
      <c r="I16" s="226"/>
      <c r="J16" s="226"/>
      <c r="K16" s="227"/>
    </row>
    <row r="17" spans="1:11" x14ac:dyDescent="0.35">
      <c r="A17" s="221"/>
      <c r="B17" s="222"/>
      <c r="C17" s="222"/>
      <c r="D17" s="222"/>
      <c r="E17" s="223"/>
      <c r="G17" s="221"/>
      <c r="H17" s="222"/>
      <c r="I17" s="222"/>
      <c r="J17" s="222"/>
      <c r="K17" s="223"/>
    </row>
    <row r="18" spans="1:11" x14ac:dyDescent="0.35">
      <c r="A18" s="225"/>
      <c r="B18" s="226"/>
      <c r="C18" s="226"/>
      <c r="D18" s="226"/>
      <c r="E18" s="227"/>
      <c r="G18" s="225"/>
      <c r="H18" s="226"/>
      <c r="I18" s="226"/>
      <c r="J18" s="226"/>
      <c r="K18" s="227"/>
    </row>
    <row r="19" spans="1:11" ht="15" thickBot="1" x14ac:dyDescent="0.4">
      <c r="A19" s="218" t="s">
        <v>34</v>
      </c>
      <c r="B19" s="219">
        <f>SUM(B14:B18)</f>
        <v>37394</v>
      </c>
      <c r="C19" s="219">
        <f>SUM(C14:C18)</f>
        <v>0</v>
      </c>
      <c r="D19" s="219">
        <f>SUM(D14:D18)</f>
        <v>0</v>
      </c>
      <c r="E19" s="219">
        <f>SUM(E14:E18)</f>
        <v>0</v>
      </c>
      <c r="G19" s="218" t="s">
        <v>34</v>
      </c>
      <c r="H19" s="219">
        <f>SUM(H14:H18)</f>
        <v>0</v>
      </c>
      <c r="I19" s="219">
        <f>SUM(I14:I18)</f>
        <v>0</v>
      </c>
      <c r="J19" s="219">
        <f>SUM(J14:J18)</f>
        <v>0</v>
      </c>
      <c r="K19" s="219">
        <f>SUM(K14:K18)</f>
        <v>0</v>
      </c>
    </row>
    <row r="20" spans="1:11" x14ac:dyDescent="0.35">
      <c r="A20" s="220" t="s">
        <v>305</v>
      </c>
      <c r="B20" s="220">
        <f>+B19+C19+D19+E19</f>
        <v>37394</v>
      </c>
      <c r="C20" s="220"/>
      <c r="D20" s="220"/>
      <c r="E20" s="220"/>
      <c r="G20" s="220" t="s">
        <v>305</v>
      </c>
      <c r="H20" s="220">
        <f>+H19+I19+J19+K19</f>
        <v>0</v>
      </c>
      <c r="I20" s="220"/>
      <c r="J20" s="220"/>
      <c r="K20" s="220"/>
    </row>
    <row r="21" spans="1:11" ht="15" thickBot="1" x14ac:dyDescent="0.4">
      <c r="A21" s="315" t="s">
        <v>298</v>
      </c>
      <c r="B21" s="315"/>
      <c r="C21" s="315"/>
      <c r="D21" s="315"/>
      <c r="E21" s="315"/>
      <c r="G21" s="315" t="s">
        <v>314</v>
      </c>
      <c r="H21" s="315"/>
      <c r="I21" s="315"/>
      <c r="J21" s="315"/>
      <c r="K21" s="315"/>
    </row>
    <row r="22" spans="1:11" ht="15" thickTop="1" x14ac:dyDescent="0.35">
      <c r="A22" s="313">
        <v>45294</v>
      </c>
      <c r="B22" s="314"/>
      <c r="C22" s="314"/>
      <c r="D22" s="314"/>
      <c r="E22" s="314"/>
      <c r="G22" s="313">
        <v>45294</v>
      </c>
      <c r="H22" s="314"/>
      <c r="I22" s="314"/>
      <c r="J22" s="314"/>
      <c r="K22" s="314"/>
    </row>
    <row r="23" spans="1:11" x14ac:dyDescent="0.35">
      <c r="A23" s="261" t="s">
        <v>159</v>
      </c>
      <c r="B23" s="262" t="s">
        <v>299</v>
      </c>
      <c r="C23" s="262" t="s">
        <v>300</v>
      </c>
      <c r="D23" s="262" t="s">
        <v>301</v>
      </c>
      <c r="E23" s="263" t="s">
        <v>302</v>
      </c>
      <c r="G23" s="264" t="s">
        <v>159</v>
      </c>
      <c r="H23" s="265" t="s">
        <v>299</v>
      </c>
      <c r="I23" s="265" t="s">
        <v>300</v>
      </c>
      <c r="J23" s="265" t="s">
        <v>301</v>
      </c>
      <c r="K23" s="266" t="s">
        <v>302</v>
      </c>
    </row>
    <row r="24" spans="1:11" x14ac:dyDescent="0.35">
      <c r="A24" s="221" t="s">
        <v>303</v>
      </c>
      <c r="B24" s="222">
        <v>3933</v>
      </c>
      <c r="C24" s="222"/>
      <c r="D24" s="222"/>
      <c r="E24" s="223"/>
      <c r="G24" s="221" t="s">
        <v>303</v>
      </c>
      <c r="H24" s="222"/>
      <c r="I24" s="222"/>
      <c r="J24" s="222"/>
      <c r="K24" s="223"/>
    </row>
    <row r="25" spans="1:11" x14ac:dyDescent="0.35">
      <c r="A25" s="225" t="s">
        <v>304</v>
      </c>
      <c r="B25" s="226"/>
      <c r="C25" s="226"/>
      <c r="D25" s="226"/>
      <c r="E25" s="227"/>
      <c r="G25" s="225"/>
      <c r="H25" s="226"/>
      <c r="I25" s="226"/>
      <c r="J25" s="226"/>
      <c r="K25" s="227"/>
    </row>
    <row r="26" spans="1:11" x14ac:dyDescent="0.35">
      <c r="A26" s="225"/>
      <c r="B26" s="226"/>
      <c r="C26" s="226"/>
      <c r="D26" s="226"/>
      <c r="E26" s="227"/>
      <c r="G26" s="225"/>
      <c r="H26" s="226"/>
      <c r="I26" s="226"/>
      <c r="J26" s="226"/>
      <c r="K26" s="227"/>
    </row>
    <row r="27" spans="1:11" x14ac:dyDescent="0.35">
      <c r="A27" s="221"/>
      <c r="B27" s="222"/>
      <c r="C27" s="222"/>
      <c r="D27" s="222"/>
      <c r="E27" s="223"/>
      <c r="G27" s="221"/>
      <c r="H27" s="222"/>
      <c r="I27" s="222"/>
      <c r="J27" s="222"/>
      <c r="K27" s="223"/>
    </row>
    <row r="28" spans="1:11" x14ac:dyDescent="0.35">
      <c r="A28" s="225"/>
      <c r="B28" s="226"/>
      <c r="C28" s="226"/>
      <c r="D28" s="226"/>
      <c r="E28" s="227"/>
      <c r="G28" s="225"/>
      <c r="H28" s="226"/>
      <c r="I28" s="226"/>
      <c r="J28" s="226"/>
      <c r="K28" s="227"/>
    </row>
    <row r="29" spans="1:11" ht="15" thickBot="1" x14ac:dyDescent="0.4">
      <c r="A29" s="218" t="s">
        <v>34</v>
      </c>
      <c r="B29" s="219">
        <f>SUM(B24:B28)</f>
        <v>3933</v>
      </c>
      <c r="C29" s="219">
        <f>SUM(C24:C28)</f>
        <v>0</v>
      </c>
      <c r="D29" s="219">
        <f>SUM(D24:D28)</f>
        <v>0</v>
      </c>
      <c r="E29" s="219">
        <f>SUM(E24:E28)</f>
        <v>0</v>
      </c>
      <c r="G29" s="218" t="s">
        <v>34</v>
      </c>
      <c r="H29" s="219">
        <f>SUM(H24:H28)</f>
        <v>0</v>
      </c>
      <c r="I29" s="219">
        <f>SUM(I24:I28)</f>
        <v>0</v>
      </c>
      <c r="J29" s="219">
        <f>SUM(J24:J28)</f>
        <v>0</v>
      </c>
      <c r="K29" s="219">
        <f>SUM(K24:K28)</f>
        <v>0</v>
      </c>
    </row>
    <row r="30" spans="1:11" x14ac:dyDescent="0.35">
      <c r="A30" s="220" t="s">
        <v>305</v>
      </c>
      <c r="B30" s="220">
        <f>+B29+C29+D29+E29</f>
        <v>3933</v>
      </c>
      <c r="C30" s="220"/>
      <c r="D30" s="220"/>
      <c r="E30" s="220"/>
      <c r="G30" s="220" t="s">
        <v>305</v>
      </c>
      <c r="H30" s="220">
        <f>+H29+I29+J29+K29</f>
        <v>0</v>
      </c>
      <c r="I30" s="220"/>
      <c r="J30" s="220"/>
      <c r="K30" s="220"/>
    </row>
    <row r="31" spans="1:11" ht="15" thickBot="1" x14ac:dyDescent="0.4">
      <c r="A31" s="315" t="s">
        <v>298</v>
      </c>
      <c r="B31" s="315"/>
      <c r="C31" s="315"/>
      <c r="D31" s="315"/>
      <c r="E31" s="315"/>
      <c r="G31" s="315" t="s">
        <v>314</v>
      </c>
      <c r="H31" s="315"/>
      <c r="I31" s="315"/>
      <c r="J31" s="315"/>
      <c r="K31" s="315"/>
    </row>
    <row r="32" spans="1:11" ht="15" thickTop="1" x14ac:dyDescent="0.35">
      <c r="A32" s="313">
        <v>45295</v>
      </c>
      <c r="B32" s="314"/>
      <c r="C32" s="314"/>
      <c r="D32" s="314"/>
      <c r="E32" s="314"/>
      <c r="G32" s="313">
        <v>45295</v>
      </c>
      <c r="H32" s="314"/>
      <c r="I32" s="314"/>
      <c r="J32" s="314"/>
      <c r="K32" s="314"/>
    </row>
    <row r="33" spans="1:11" x14ac:dyDescent="0.35">
      <c r="A33" s="261" t="s">
        <v>159</v>
      </c>
      <c r="B33" s="262" t="s">
        <v>299</v>
      </c>
      <c r="C33" s="262" t="s">
        <v>300</v>
      </c>
      <c r="D33" s="262" t="s">
        <v>301</v>
      </c>
      <c r="E33" s="263" t="s">
        <v>302</v>
      </c>
      <c r="G33" s="264" t="s">
        <v>159</v>
      </c>
      <c r="H33" s="265" t="s">
        <v>299</v>
      </c>
      <c r="I33" s="265" t="s">
        <v>300</v>
      </c>
      <c r="J33" s="265" t="s">
        <v>301</v>
      </c>
      <c r="K33" s="266" t="s">
        <v>302</v>
      </c>
    </row>
    <row r="34" spans="1:11" x14ac:dyDescent="0.35">
      <c r="A34" s="221" t="s">
        <v>303</v>
      </c>
      <c r="B34" s="222"/>
      <c r="C34" s="222"/>
      <c r="D34" s="222"/>
      <c r="E34" s="223"/>
      <c r="G34" s="221" t="s">
        <v>303</v>
      </c>
      <c r="H34" s="222"/>
      <c r="I34" s="222"/>
      <c r="J34" s="222"/>
      <c r="K34" s="223"/>
    </row>
    <row r="35" spans="1:11" x14ac:dyDescent="0.35">
      <c r="A35" s="225" t="s">
        <v>304</v>
      </c>
      <c r="B35" s="226"/>
      <c r="C35" s="226"/>
      <c r="D35" s="226"/>
      <c r="E35" s="227"/>
      <c r="G35" s="225"/>
      <c r="H35" s="226"/>
      <c r="I35" s="226"/>
      <c r="J35" s="226"/>
      <c r="K35" s="227"/>
    </row>
    <row r="36" spans="1:11" x14ac:dyDescent="0.35">
      <c r="A36" s="225"/>
      <c r="B36" s="226"/>
      <c r="C36" s="226"/>
      <c r="D36" s="226"/>
      <c r="E36" s="227"/>
      <c r="G36" s="225"/>
      <c r="H36" s="226"/>
      <c r="I36" s="226"/>
      <c r="J36" s="226"/>
      <c r="K36" s="227"/>
    </row>
    <row r="37" spans="1:11" x14ac:dyDescent="0.35">
      <c r="A37" s="221"/>
      <c r="B37" s="222"/>
      <c r="C37" s="222"/>
      <c r="D37" s="222"/>
      <c r="E37" s="223"/>
      <c r="G37" s="221"/>
      <c r="H37" s="222"/>
      <c r="I37" s="222"/>
      <c r="J37" s="222"/>
      <c r="K37" s="223"/>
    </row>
    <row r="38" spans="1:11" x14ac:dyDescent="0.35">
      <c r="A38" s="225"/>
      <c r="B38" s="226"/>
      <c r="C38" s="226"/>
      <c r="D38" s="226"/>
      <c r="E38" s="227"/>
      <c r="G38" s="225"/>
      <c r="H38" s="226"/>
      <c r="I38" s="226"/>
      <c r="J38" s="226"/>
      <c r="K38" s="227"/>
    </row>
    <row r="39" spans="1:11" ht="15" thickBot="1" x14ac:dyDescent="0.4">
      <c r="A39" s="218" t="s">
        <v>34</v>
      </c>
      <c r="B39" s="219">
        <f>SUM(B34:B38)</f>
        <v>0</v>
      </c>
      <c r="C39" s="219">
        <f>SUM(C34:C38)</f>
        <v>0</v>
      </c>
      <c r="D39" s="219">
        <f>SUM(D34:D38)</f>
        <v>0</v>
      </c>
      <c r="E39" s="219">
        <f>SUM(E34:E38)</f>
        <v>0</v>
      </c>
      <c r="G39" s="218" t="s">
        <v>34</v>
      </c>
      <c r="H39" s="219">
        <f>SUM(H34:H38)</f>
        <v>0</v>
      </c>
      <c r="I39" s="219">
        <f>SUM(I34:I38)</f>
        <v>0</v>
      </c>
      <c r="J39" s="219">
        <f>SUM(J34:J38)</f>
        <v>0</v>
      </c>
      <c r="K39" s="219">
        <f>SUM(K34:K38)</f>
        <v>0</v>
      </c>
    </row>
    <row r="40" spans="1:11" x14ac:dyDescent="0.35">
      <c r="A40" s="220" t="s">
        <v>305</v>
      </c>
      <c r="B40" s="220">
        <f>+B39+C39+D39+E39</f>
        <v>0</v>
      </c>
      <c r="C40" s="220"/>
      <c r="D40" s="220"/>
      <c r="E40" s="220"/>
      <c r="G40" s="220" t="s">
        <v>305</v>
      </c>
      <c r="H40" s="220">
        <f>+H39+I39+J39+K39</f>
        <v>0</v>
      </c>
      <c r="I40" s="220"/>
      <c r="J40" s="220"/>
      <c r="K40" s="220"/>
    </row>
    <row r="41" spans="1:11" ht="15" thickBot="1" x14ac:dyDescent="0.4">
      <c r="A41" s="315" t="s">
        <v>298</v>
      </c>
      <c r="B41" s="315"/>
      <c r="C41" s="315"/>
      <c r="D41" s="315"/>
      <c r="E41" s="315"/>
      <c r="G41" s="315" t="s">
        <v>314</v>
      </c>
      <c r="H41" s="315"/>
      <c r="I41" s="315"/>
      <c r="J41" s="315"/>
      <c r="K41" s="315"/>
    </row>
    <row r="42" spans="1:11" ht="15" thickTop="1" x14ac:dyDescent="0.35">
      <c r="A42" s="313">
        <v>45296</v>
      </c>
      <c r="B42" s="314"/>
      <c r="C42" s="314"/>
      <c r="D42" s="314"/>
      <c r="E42" s="314"/>
      <c r="G42" s="313">
        <v>45296</v>
      </c>
      <c r="H42" s="314"/>
      <c r="I42" s="314"/>
      <c r="J42" s="314"/>
      <c r="K42" s="314"/>
    </row>
    <row r="43" spans="1:11" x14ac:dyDescent="0.35">
      <c r="A43" s="261" t="s">
        <v>159</v>
      </c>
      <c r="B43" s="262" t="s">
        <v>299</v>
      </c>
      <c r="C43" s="262" t="s">
        <v>300</v>
      </c>
      <c r="D43" s="262" t="s">
        <v>301</v>
      </c>
      <c r="E43" s="263" t="s">
        <v>302</v>
      </c>
      <c r="G43" s="264" t="s">
        <v>159</v>
      </c>
      <c r="H43" s="265" t="s">
        <v>299</v>
      </c>
      <c r="I43" s="265" t="s">
        <v>300</v>
      </c>
      <c r="J43" s="265" t="s">
        <v>301</v>
      </c>
      <c r="K43" s="266" t="s">
        <v>302</v>
      </c>
    </row>
    <row r="44" spans="1:11" x14ac:dyDescent="0.35">
      <c r="A44" s="221" t="s">
        <v>303</v>
      </c>
      <c r="B44" s="222">
        <v>6852</v>
      </c>
      <c r="C44" s="222"/>
      <c r="D44" s="222"/>
      <c r="E44" s="223"/>
      <c r="G44" s="221" t="s">
        <v>303</v>
      </c>
      <c r="H44" s="222">
        <v>3032</v>
      </c>
      <c r="I44" s="222"/>
      <c r="J44" s="222"/>
      <c r="K44" s="223"/>
    </row>
    <row r="45" spans="1:11" x14ac:dyDescent="0.35">
      <c r="A45" s="225" t="s">
        <v>304</v>
      </c>
      <c r="B45" s="226">
        <v>10427</v>
      </c>
      <c r="C45" s="226"/>
      <c r="D45" s="226"/>
      <c r="E45" s="227"/>
      <c r="G45" s="225"/>
      <c r="H45" s="226"/>
      <c r="I45" s="226"/>
      <c r="J45" s="226"/>
      <c r="K45" s="227"/>
    </row>
    <row r="46" spans="1:11" x14ac:dyDescent="0.35">
      <c r="A46" s="225"/>
      <c r="B46" s="226"/>
      <c r="C46" s="226"/>
      <c r="D46" s="226"/>
      <c r="E46" s="227"/>
      <c r="G46" s="225"/>
      <c r="H46" s="226"/>
      <c r="I46" s="226"/>
      <c r="J46" s="226"/>
      <c r="K46" s="227"/>
    </row>
    <row r="47" spans="1:11" x14ac:dyDescent="0.35">
      <c r="A47" s="221"/>
      <c r="B47" s="222"/>
      <c r="C47" s="222"/>
      <c r="D47" s="222"/>
      <c r="E47" s="223"/>
      <c r="G47" s="221"/>
      <c r="H47" s="222"/>
      <c r="I47" s="222"/>
      <c r="J47" s="222"/>
      <c r="K47" s="223"/>
    </row>
    <row r="48" spans="1:11" x14ac:dyDescent="0.35">
      <c r="A48" s="225"/>
      <c r="B48" s="226"/>
      <c r="C48" s="226"/>
      <c r="D48" s="226"/>
      <c r="E48" s="227"/>
      <c r="G48" s="225"/>
      <c r="H48" s="226"/>
      <c r="I48" s="226"/>
      <c r="J48" s="226"/>
      <c r="K48" s="227"/>
    </row>
    <row r="49" spans="1:11" ht="15" thickBot="1" x14ac:dyDescent="0.4">
      <c r="A49" s="218" t="s">
        <v>34</v>
      </c>
      <c r="B49" s="219">
        <f>SUM(B44:B48)</f>
        <v>17279</v>
      </c>
      <c r="C49" s="219">
        <f>SUM(C44:C48)</f>
        <v>0</v>
      </c>
      <c r="D49" s="219">
        <f>SUM(D44:D48)</f>
        <v>0</v>
      </c>
      <c r="E49" s="219">
        <f>SUM(E44:E48)</f>
        <v>0</v>
      </c>
      <c r="G49" s="218" t="s">
        <v>34</v>
      </c>
      <c r="H49" s="219">
        <f>SUM(H44:H48)</f>
        <v>3032</v>
      </c>
      <c r="I49" s="219">
        <f>SUM(I44:I48)</f>
        <v>0</v>
      </c>
      <c r="J49" s="219">
        <f>SUM(J44:J48)</f>
        <v>0</v>
      </c>
      <c r="K49" s="219">
        <f>SUM(K44:K48)</f>
        <v>0</v>
      </c>
    </row>
    <row r="50" spans="1:11" x14ac:dyDescent="0.35">
      <c r="A50" s="220" t="s">
        <v>305</v>
      </c>
      <c r="B50" s="220">
        <f>+B49+C49+D49+E49</f>
        <v>17279</v>
      </c>
      <c r="C50" s="220"/>
      <c r="D50" s="220"/>
      <c r="E50" s="220"/>
      <c r="G50" s="220" t="s">
        <v>305</v>
      </c>
      <c r="H50" s="220">
        <f>+H49+I49+J49+K49</f>
        <v>3032</v>
      </c>
      <c r="I50" s="220"/>
      <c r="J50" s="220"/>
      <c r="K50" s="220"/>
    </row>
    <row r="51" spans="1:11" ht="15" thickBot="1" x14ac:dyDescent="0.4">
      <c r="A51" s="315" t="s">
        <v>298</v>
      </c>
      <c r="B51" s="315"/>
      <c r="C51" s="315"/>
      <c r="D51" s="315"/>
      <c r="E51" s="315"/>
      <c r="G51" s="315" t="s">
        <v>314</v>
      </c>
      <c r="H51" s="315"/>
      <c r="I51" s="315"/>
      <c r="J51" s="315"/>
      <c r="K51" s="315"/>
    </row>
    <row r="52" spans="1:11" ht="15" thickTop="1" x14ac:dyDescent="0.35">
      <c r="A52" s="313">
        <v>45297</v>
      </c>
      <c r="B52" s="314"/>
      <c r="C52" s="314"/>
      <c r="D52" s="314"/>
      <c r="E52" s="314"/>
      <c r="G52" s="313">
        <v>45297</v>
      </c>
      <c r="H52" s="314"/>
      <c r="I52" s="314"/>
      <c r="J52" s="314"/>
      <c r="K52" s="314"/>
    </row>
    <row r="53" spans="1:11" x14ac:dyDescent="0.35">
      <c r="A53" s="261" t="s">
        <v>159</v>
      </c>
      <c r="B53" s="262" t="s">
        <v>299</v>
      </c>
      <c r="C53" s="262" t="s">
        <v>300</v>
      </c>
      <c r="D53" s="262" t="s">
        <v>301</v>
      </c>
      <c r="E53" s="263" t="s">
        <v>302</v>
      </c>
      <c r="G53" s="264" t="s">
        <v>159</v>
      </c>
      <c r="H53" s="265" t="s">
        <v>299</v>
      </c>
      <c r="I53" s="265" t="s">
        <v>300</v>
      </c>
      <c r="J53" s="265" t="s">
        <v>301</v>
      </c>
      <c r="K53" s="266" t="s">
        <v>302</v>
      </c>
    </row>
    <row r="54" spans="1:11" x14ac:dyDescent="0.35">
      <c r="A54" s="221" t="s">
        <v>303</v>
      </c>
      <c r="B54" s="222">
        <v>7329</v>
      </c>
      <c r="C54" s="222"/>
      <c r="D54" s="222"/>
      <c r="E54" s="223"/>
      <c r="G54" s="221" t="s">
        <v>303</v>
      </c>
      <c r="H54" s="222">
        <v>3096</v>
      </c>
      <c r="I54" s="222"/>
      <c r="J54" s="222"/>
      <c r="K54" s="223"/>
    </row>
    <row r="55" spans="1:11" x14ac:dyDescent="0.35">
      <c r="A55" s="225" t="s">
        <v>304</v>
      </c>
      <c r="B55" s="226">
        <v>2600</v>
      </c>
      <c r="C55" s="226"/>
      <c r="D55" s="226"/>
      <c r="E55" s="227"/>
      <c r="G55" s="225"/>
      <c r="H55" s="226"/>
      <c r="I55" s="226"/>
      <c r="J55" s="226"/>
      <c r="K55" s="227"/>
    </row>
    <row r="56" spans="1:11" x14ac:dyDescent="0.35">
      <c r="A56" s="225"/>
      <c r="B56" s="226"/>
      <c r="C56" s="226"/>
      <c r="D56" s="226"/>
      <c r="E56" s="227"/>
      <c r="G56" s="225"/>
      <c r="H56" s="226"/>
      <c r="I56" s="226"/>
      <c r="J56" s="226"/>
      <c r="K56" s="227"/>
    </row>
    <row r="57" spans="1:11" x14ac:dyDescent="0.35">
      <c r="A57" s="221"/>
      <c r="B57" s="222"/>
      <c r="C57" s="222"/>
      <c r="D57" s="222"/>
      <c r="E57" s="223"/>
      <c r="G57" s="221"/>
      <c r="H57" s="222"/>
      <c r="I57" s="222"/>
      <c r="J57" s="222"/>
      <c r="K57" s="223"/>
    </row>
    <row r="58" spans="1:11" x14ac:dyDescent="0.35">
      <c r="A58" s="225"/>
      <c r="B58" s="226"/>
      <c r="C58" s="226"/>
      <c r="D58" s="226"/>
      <c r="E58" s="227"/>
      <c r="G58" s="225"/>
      <c r="H58" s="226"/>
      <c r="I58" s="226"/>
      <c r="J58" s="226"/>
      <c r="K58" s="227"/>
    </row>
    <row r="59" spans="1:11" ht="15" thickBot="1" x14ac:dyDescent="0.4">
      <c r="A59" s="218" t="s">
        <v>34</v>
      </c>
      <c r="B59" s="219">
        <f>SUM(B54:B58)</f>
        <v>9929</v>
      </c>
      <c r="C59" s="219">
        <f>SUM(C54:C58)</f>
        <v>0</v>
      </c>
      <c r="D59" s="219">
        <f>SUM(D54:D58)</f>
        <v>0</v>
      </c>
      <c r="E59" s="219">
        <f>SUM(E54:E58)</f>
        <v>0</v>
      </c>
      <c r="G59" s="218" t="s">
        <v>34</v>
      </c>
      <c r="H59" s="219">
        <f>SUM(H54:H58)</f>
        <v>3096</v>
      </c>
      <c r="I59" s="219">
        <f>SUM(I54:I58)</f>
        <v>0</v>
      </c>
      <c r="J59" s="219">
        <f>SUM(J54:J58)</f>
        <v>0</v>
      </c>
      <c r="K59" s="219">
        <f>SUM(K54:K58)</f>
        <v>0</v>
      </c>
    </row>
    <row r="60" spans="1:11" x14ac:dyDescent="0.35">
      <c r="A60" s="220" t="s">
        <v>305</v>
      </c>
      <c r="B60" s="220">
        <f>+B59+C59+D59+E59</f>
        <v>9929</v>
      </c>
      <c r="C60" s="220"/>
      <c r="D60" s="220"/>
      <c r="E60" s="220"/>
      <c r="G60" s="220" t="s">
        <v>305</v>
      </c>
      <c r="H60" s="220">
        <f>+H59+I59+J59+K59</f>
        <v>3096</v>
      </c>
      <c r="I60" s="220"/>
      <c r="J60" s="220"/>
      <c r="K60" s="220"/>
    </row>
    <row r="61" spans="1:11" ht="15" thickBot="1" x14ac:dyDescent="0.4">
      <c r="A61" s="315" t="s">
        <v>298</v>
      </c>
      <c r="B61" s="315"/>
      <c r="C61" s="315"/>
      <c r="D61" s="315"/>
      <c r="E61" s="315"/>
      <c r="G61" s="315" t="s">
        <v>314</v>
      </c>
      <c r="H61" s="315"/>
      <c r="I61" s="315"/>
      <c r="J61" s="315"/>
      <c r="K61" s="315"/>
    </row>
    <row r="62" spans="1:11" ht="15" thickTop="1" x14ac:dyDescent="0.35">
      <c r="A62" s="313">
        <v>45298</v>
      </c>
      <c r="B62" s="314"/>
      <c r="C62" s="314"/>
      <c r="D62" s="314"/>
      <c r="E62" s="314"/>
      <c r="G62" s="313">
        <v>45298</v>
      </c>
      <c r="H62" s="314"/>
      <c r="I62" s="314"/>
      <c r="J62" s="314"/>
      <c r="K62" s="314"/>
    </row>
    <row r="63" spans="1:11" x14ac:dyDescent="0.35">
      <c r="A63" s="261" t="s">
        <v>159</v>
      </c>
      <c r="B63" s="262" t="s">
        <v>299</v>
      </c>
      <c r="C63" s="262" t="s">
        <v>300</v>
      </c>
      <c r="D63" s="262" t="s">
        <v>301</v>
      </c>
      <c r="E63" s="263" t="s">
        <v>302</v>
      </c>
      <c r="G63" s="264" t="s">
        <v>159</v>
      </c>
      <c r="H63" s="265" t="s">
        <v>299</v>
      </c>
      <c r="I63" s="265" t="s">
        <v>300</v>
      </c>
      <c r="J63" s="265" t="s">
        <v>301</v>
      </c>
      <c r="K63" s="266" t="s">
        <v>302</v>
      </c>
    </row>
    <row r="64" spans="1:11" x14ac:dyDescent="0.35">
      <c r="A64" s="221" t="s">
        <v>303</v>
      </c>
      <c r="B64" s="222">
        <v>14380</v>
      </c>
      <c r="C64" s="222"/>
      <c r="D64" s="222"/>
      <c r="E64" s="223"/>
      <c r="G64" s="221" t="s">
        <v>303</v>
      </c>
      <c r="H64" s="222">
        <v>4103</v>
      </c>
      <c r="I64" s="222"/>
      <c r="J64" s="222"/>
      <c r="K64" s="223"/>
    </row>
    <row r="65" spans="1:11" x14ac:dyDescent="0.35">
      <c r="A65" s="225" t="s">
        <v>304</v>
      </c>
      <c r="B65" s="226">
        <v>2790</v>
      </c>
      <c r="C65" s="226"/>
      <c r="D65" s="226"/>
      <c r="E65" s="227"/>
      <c r="G65" s="225"/>
      <c r="H65" s="226"/>
      <c r="I65" s="226"/>
      <c r="J65" s="226"/>
      <c r="K65" s="227"/>
    </row>
    <row r="66" spans="1:11" x14ac:dyDescent="0.35">
      <c r="A66" s="225"/>
      <c r="B66" s="226"/>
      <c r="C66" s="226"/>
      <c r="D66" s="226"/>
      <c r="E66" s="227"/>
      <c r="G66" s="225"/>
      <c r="H66" s="226"/>
      <c r="I66" s="226"/>
      <c r="J66" s="226"/>
      <c r="K66" s="227"/>
    </row>
    <row r="67" spans="1:11" x14ac:dyDescent="0.35">
      <c r="A67" s="221"/>
      <c r="B67" s="222"/>
      <c r="C67" s="222"/>
      <c r="D67" s="222"/>
      <c r="E67" s="223"/>
      <c r="G67" s="221"/>
      <c r="H67" s="222"/>
      <c r="I67" s="222"/>
      <c r="J67" s="222"/>
      <c r="K67" s="223"/>
    </row>
    <row r="68" spans="1:11" x14ac:dyDescent="0.35">
      <c r="A68" s="225"/>
      <c r="B68" s="226"/>
      <c r="C68" s="226"/>
      <c r="D68" s="226"/>
      <c r="E68" s="227"/>
      <c r="G68" s="225"/>
      <c r="H68" s="226"/>
      <c r="I68" s="226"/>
      <c r="J68" s="226"/>
      <c r="K68" s="227"/>
    </row>
    <row r="69" spans="1:11" ht="15" thickBot="1" x14ac:dyDescent="0.4">
      <c r="A69" s="218" t="s">
        <v>34</v>
      </c>
      <c r="B69" s="219">
        <f>SUM(B64:B68)</f>
        <v>17170</v>
      </c>
      <c r="C69" s="219">
        <f>SUM(C64:C68)</f>
        <v>0</v>
      </c>
      <c r="D69" s="219">
        <f>SUM(D64:D68)</f>
        <v>0</v>
      </c>
      <c r="E69" s="219">
        <f>SUM(E64:E68)</f>
        <v>0</v>
      </c>
      <c r="G69" s="218" t="s">
        <v>34</v>
      </c>
      <c r="H69" s="219">
        <f>SUM(H64:H68)</f>
        <v>4103</v>
      </c>
      <c r="I69" s="219">
        <f>SUM(I64:I68)</f>
        <v>0</v>
      </c>
      <c r="J69" s="219">
        <f>SUM(J64:J68)</f>
        <v>0</v>
      </c>
      <c r="K69" s="219">
        <f>SUM(K64:K68)</f>
        <v>0</v>
      </c>
    </row>
    <row r="70" spans="1:11" x14ac:dyDescent="0.35">
      <c r="A70" s="220" t="s">
        <v>305</v>
      </c>
      <c r="B70" s="220">
        <f>+B69+C69+D69+E69</f>
        <v>17170</v>
      </c>
      <c r="C70" s="220"/>
      <c r="D70" s="220"/>
      <c r="E70" s="220"/>
      <c r="G70" s="220" t="s">
        <v>305</v>
      </c>
      <c r="H70" s="220">
        <f>+H69+I69+J69+K69</f>
        <v>4103</v>
      </c>
      <c r="I70" s="220"/>
      <c r="J70" s="220"/>
      <c r="K70" s="220"/>
    </row>
    <row r="71" spans="1:11" ht="15" thickBot="1" x14ac:dyDescent="0.4">
      <c r="A71" s="315" t="s">
        <v>298</v>
      </c>
      <c r="B71" s="315"/>
      <c r="C71" s="315"/>
      <c r="D71" s="315"/>
      <c r="E71" s="315"/>
      <c r="G71" s="315" t="s">
        <v>314</v>
      </c>
      <c r="H71" s="315"/>
      <c r="I71" s="315"/>
      <c r="J71" s="315"/>
      <c r="K71" s="315"/>
    </row>
    <row r="72" spans="1:11" ht="15" thickTop="1" x14ac:dyDescent="0.35">
      <c r="A72" s="313">
        <v>45299</v>
      </c>
      <c r="B72" s="314"/>
      <c r="C72" s="314"/>
      <c r="D72" s="314"/>
      <c r="E72" s="314"/>
      <c r="G72" s="313">
        <v>45299</v>
      </c>
      <c r="H72" s="314"/>
      <c r="I72" s="314"/>
      <c r="J72" s="314"/>
      <c r="K72" s="314"/>
    </row>
    <row r="73" spans="1:11" x14ac:dyDescent="0.35">
      <c r="A73" s="261" t="s">
        <v>159</v>
      </c>
      <c r="B73" s="262" t="s">
        <v>299</v>
      </c>
      <c r="C73" s="262" t="s">
        <v>300</v>
      </c>
      <c r="D73" s="262" t="s">
        <v>301</v>
      </c>
      <c r="E73" s="263" t="s">
        <v>302</v>
      </c>
      <c r="G73" s="264" t="s">
        <v>159</v>
      </c>
      <c r="H73" s="265" t="s">
        <v>299</v>
      </c>
      <c r="I73" s="265" t="s">
        <v>300</v>
      </c>
      <c r="J73" s="265" t="s">
        <v>301</v>
      </c>
      <c r="K73" s="266" t="s">
        <v>302</v>
      </c>
    </row>
    <row r="74" spans="1:11" x14ac:dyDescent="0.35">
      <c r="A74" s="221" t="s">
        <v>303</v>
      </c>
      <c r="B74" s="222">
        <v>4506</v>
      </c>
      <c r="C74" s="222"/>
      <c r="D74" s="222"/>
      <c r="E74" s="223"/>
      <c r="G74" s="221" t="s">
        <v>303</v>
      </c>
      <c r="H74" s="222">
        <v>594</v>
      </c>
      <c r="I74" s="222"/>
      <c r="J74" s="222"/>
      <c r="K74" s="223"/>
    </row>
    <row r="75" spans="1:11" x14ac:dyDescent="0.35">
      <c r="A75" s="225" t="s">
        <v>304</v>
      </c>
      <c r="B75" s="226">
        <v>3920</v>
      </c>
      <c r="C75" s="226"/>
      <c r="D75" s="226"/>
      <c r="E75" s="227"/>
      <c r="G75" s="225"/>
      <c r="H75" s="226"/>
      <c r="I75" s="226"/>
      <c r="J75" s="226"/>
      <c r="K75" s="227"/>
    </row>
    <row r="76" spans="1:11" x14ac:dyDescent="0.35">
      <c r="A76" s="225"/>
      <c r="B76" s="226"/>
      <c r="C76" s="226"/>
      <c r="D76" s="226"/>
      <c r="E76" s="227"/>
      <c r="G76" s="225"/>
      <c r="H76" s="226"/>
      <c r="I76" s="226"/>
      <c r="J76" s="226"/>
      <c r="K76" s="227"/>
    </row>
    <row r="77" spans="1:11" x14ac:dyDescent="0.35">
      <c r="A77" s="221"/>
      <c r="B77" s="222"/>
      <c r="C77" s="222"/>
      <c r="D77" s="222"/>
      <c r="E77" s="223"/>
      <c r="G77" s="221"/>
      <c r="H77" s="222"/>
      <c r="I77" s="222"/>
      <c r="J77" s="222"/>
      <c r="K77" s="223"/>
    </row>
    <row r="78" spans="1:11" x14ac:dyDescent="0.35">
      <c r="A78" s="225"/>
      <c r="B78" s="226"/>
      <c r="C78" s="226"/>
      <c r="D78" s="226"/>
      <c r="E78" s="227"/>
      <c r="G78" s="225"/>
      <c r="H78" s="226"/>
      <c r="I78" s="226"/>
      <c r="J78" s="226"/>
      <c r="K78" s="227"/>
    </row>
    <row r="79" spans="1:11" ht="15" thickBot="1" x14ac:dyDescent="0.4">
      <c r="A79" s="218" t="s">
        <v>34</v>
      </c>
      <c r="B79" s="219">
        <f>SUM(B74:B78)</f>
        <v>8426</v>
      </c>
      <c r="C79" s="219">
        <f>SUM(C74:C78)</f>
        <v>0</v>
      </c>
      <c r="D79" s="219">
        <f>SUM(D74:D78)</f>
        <v>0</v>
      </c>
      <c r="E79" s="219">
        <f>SUM(E74:E78)</f>
        <v>0</v>
      </c>
      <c r="G79" s="218" t="s">
        <v>34</v>
      </c>
      <c r="H79" s="219">
        <f>SUM(H74:H78)</f>
        <v>594</v>
      </c>
      <c r="I79" s="219">
        <f>SUM(I74:I78)</f>
        <v>0</v>
      </c>
      <c r="J79" s="219">
        <f>SUM(J74:J78)</f>
        <v>0</v>
      </c>
      <c r="K79" s="219">
        <f>SUM(K74:K78)</f>
        <v>0</v>
      </c>
    </row>
    <row r="80" spans="1:11" x14ac:dyDescent="0.35">
      <c r="A80" s="220" t="s">
        <v>305</v>
      </c>
      <c r="B80" s="220">
        <f>+B79+C79+D79+E79</f>
        <v>8426</v>
      </c>
      <c r="C80" s="220"/>
      <c r="D80" s="220"/>
      <c r="E80" s="220"/>
      <c r="G80" s="220" t="s">
        <v>305</v>
      </c>
      <c r="H80" s="220">
        <f>+H79+I79+J79+K79</f>
        <v>594</v>
      </c>
      <c r="I80" s="220"/>
      <c r="J80" s="220"/>
      <c r="K80" s="220"/>
    </row>
    <row r="81" spans="1:11" ht="15" thickBot="1" x14ac:dyDescent="0.4">
      <c r="A81" s="315" t="s">
        <v>298</v>
      </c>
      <c r="B81" s="315"/>
      <c r="C81" s="315"/>
      <c r="D81" s="315"/>
      <c r="E81" s="315"/>
      <c r="G81" s="315" t="s">
        <v>314</v>
      </c>
      <c r="H81" s="315"/>
      <c r="I81" s="315"/>
      <c r="J81" s="315"/>
      <c r="K81" s="315"/>
    </row>
    <row r="82" spans="1:11" ht="15" thickTop="1" x14ac:dyDescent="0.35">
      <c r="A82" s="313">
        <v>45300</v>
      </c>
      <c r="B82" s="314"/>
      <c r="C82" s="314"/>
      <c r="D82" s="314"/>
      <c r="E82" s="314"/>
      <c r="G82" s="313">
        <v>45300</v>
      </c>
      <c r="H82" s="314"/>
      <c r="I82" s="314"/>
      <c r="J82" s="314"/>
      <c r="K82" s="314"/>
    </row>
    <row r="83" spans="1:11" x14ac:dyDescent="0.35">
      <c r="A83" s="261" t="s">
        <v>159</v>
      </c>
      <c r="B83" s="262" t="s">
        <v>299</v>
      </c>
      <c r="C83" s="262" t="s">
        <v>300</v>
      </c>
      <c r="D83" s="262" t="s">
        <v>301</v>
      </c>
      <c r="E83" s="263" t="s">
        <v>302</v>
      </c>
      <c r="G83" s="264" t="s">
        <v>159</v>
      </c>
      <c r="H83" s="265" t="s">
        <v>299</v>
      </c>
      <c r="I83" s="265" t="s">
        <v>300</v>
      </c>
      <c r="J83" s="265" t="s">
        <v>301</v>
      </c>
      <c r="K83" s="266" t="s">
        <v>302</v>
      </c>
    </row>
    <row r="84" spans="1:11" x14ac:dyDescent="0.35">
      <c r="A84" s="221" t="s">
        <v>303</v>
      </c>
      <c r="B84" s="222">
        <v>1620</v>
      </c>
      <c r="C84" s="222"/>
      <c r="D84" s="222"/>
      <c r="E84" s="223"/>
      <c r="G84" s="221" t="s">
        <v>303</v>
      </c>
      <c r="H84" s="222">
        <v>876</v>
      </c>
      <c r="I84" s="222"/>
      <c r="J84" s="222"/>
      <c r="K84" s="223"/>
    </row>
    <row r="85" spans="1:11" x14ac:dyDescent="0.35">
      <c r="A85" s="225" t="s">
        <v>304</v>
      </c>
      <c r="B85" s="226">
        <v>6439</v>
      </c>
      <c r="C85" s="226"/>
      <c r="D85" s="226"/>
      <c r="E85" s="227"/>
      <c r="G85" s="225"/>
      <c r="H85" s="226"/>
      <c r="I85" s="226"/>
      <c r="J85" s="226"/>
      <c r="K85" s="227"/>
    </row>
    <row r="86" spans="1:11" x14ac:dyDescent="0.35">
      <c r="A86" s="225"/>
      <c r="B86" s="226"/>
      <c r="C86" s="226"/>
      <c r="D86" s="226"/>
      <c r="E86" s="227"/>
      <c r="G86" s="225"/>
      <c r="H86" s="226"/>
      <c r="I86" s="226"/>
      <c r="J86" s="226"/>
      <c r="K86" s="227"/>
    </row>
    <row r="87" spans="1:11" x14ac:dyDescent="0.35">
      <c r="A87" s="221"/>
      <c r="B87" s="222"/>
      <c r="C87" s="222"/>
      <c r="D87" s="222"/>
      <c r="E87" s="223"/>
      <c r="G87" s="221"/>
      <c r="H87" s="222"/>
      <c r="I87" s="222"/>
      <c r="J87" s="222"/>
      <c r="K87" s="223"/>
    </row>
    <row r="88" spans="1:11" x14ac:dyDescent="0.35">
      <c r="A88" s="225"/>
      <c r="B88" s="226"/>
      <c r="C88" s="226"/>
      <c r="D88" s="226"/>
      <c r="E88" s="227"/>
      <c r="G88" s="225"/>
      <c r="H88" s="226"/>
      <c r="I88" s="226"/>
      <c r="J88" s="226"/>
      <c r="K88" s="227"/>
    </row>
    <row r="89" spans="1:11" ht="15" thickBot="1" x14ac:dyDescent="0.4">
      <c r="A89" s="218" t="s">
        <v>34</v>
      </c>
      <c r="B89" s="219">
        <f>SUM(B84:B88)</f>
        <v>8059</v>
      </c>
      <c r="C89" s="219">
        <f>SUM(C84:C88)</f>
        <v>0</v>
      </c>
      <c r="D89" s="219">
        <f>SUM(D84:D88)</f>
        <v>0</v>
      </c>
      <c r="E89" s="219">
        <f>SUM(E84:E88)</f>
        <v>0</v>
      </c>
      <c r="G89" s="218" t="s">
        <v>34</v>
      </c>
      <c r="H89" s="219">
        <f>SUM(H84:H88)</f>
        <v>876</v>
      </c>
      <c r="I89" s="219">
        <f>SUM(I84:I88)</f>
        <v>0</v>
      </c>
      <c r="J89" s="219">
        <f>SUM(J84:J88)</f>
        <v>0</v>
      </c>
      <c r="K89" s="219">
        <f>SUM(K84:K88)</f>
        <v>0</v>
      </c>
    </row>
    <row r="90" spans="1:11" x14ac:dyDescent="0.35">
      <c r="A90" s="220" t="s">
        <v>305</v>
      </c>
      <c r="B90" s="220">
        <f>+B89+C89+D89+E89</f>
        <v>8059</v>
      </c>
      <c r="C90" s="220"/>
      <c r="D90" s="220"/>
      <c r="E90" s="220"/>
      <c r="G90" s="220" t="s">
        <v>305</v>
      </c>
      <c r="H90" s="220">
        <f>+H89+I89+J89+K89</f>
        <v>876</v>
      </c>
      <c r="I90" s="220"/>
      <c r="J90" s="220"/>
      <c r="K90" s="220"/>
    </row>
    <row r="91" spans="1:11" ht="15" thickBot="1" x14ac:dyDescent="0.4">
      <c r="A91" s="315" t="s">
        <v>298</v>
      </c>
      <c r="B91" s="315"/>
      <c r="C91" s="315"/>
      <c r="D91" s="315"/>
      <c r="E91" s="315"/>
      <c r="G91" s="315" t="s">
        <v>314</v>
      </c>
      <c r="H91" s="315"/>
      <c r="I91" s="315"/>
      <c r="J91" s="315"/>
      <c r="K91" s="315"/>
    </row>
    <row r="92" spans="1:11" ht="15" thickTop="1" x14ac:dyDescent="0.35">
      <c r="A92" s="313">
        <v>45301</v>
      </c>
      <c r="B92" s="314"/>
      <c r="C92" s="314"/>
      <c r="D92" s="314"/>
      <c r="E92" s="314"/>
      <c r="G92" s="313">
        <v>45301</v>
      </c>
      <c r="H92" s="314"/>
      <c r="I92" s="314"/>
      <c r="J92" s="314"/>
      <c r="K92" s="314"/>
    </row>
    <row r="93" spans="1:11" x14ac:dyDescent="0.35">
      <c r="A93" s="261" t="s">
        <v>159</v>
      </c>
      <c r="B93" s="262" t="s">
        <v>299</v>
      </c>
      <c r="C93" s="262" t="s">
        <v>300</v>
      </c>
      <c r="D93" s="262" t="s">
        <v>301</v>
      </c>
      <c r="E93" s="263" t="s">
        <v>302</v>
      </c>
      <c r="G93" s="264" t="s">
        <v>159</v>
      </c>
      <c r="H93" s="265" t="s">
        <v>299</v>
      </c>
      <c r="I93" s="265" t="s">
        <v>300</v>
      </c>
      <c r="J93" s="265" t="s">
        <v>301</v>
      </c>
      <c r="K93" s="266" t="s">
        <v>302</v>
      </c>
    </row>
    <row r="94" spans="1:11" x14ac:dyDescent="0.35">
      <c r="A94" s="221" t="s">
        <v>303</v>
      </c>
      <c r="B94" s="222">
        <v>4120</v>
      </c>
      <c r="C94" s="222"/>
      <c r="D94" s="222"/>
      <c r="E94" s="223"/>
      <c r="G94" s="221" t="s">
        <v>303</v>
      </c>
      <c r="H94" s="222"/>
      <c r="I94" s="222"/>
      <c r="J94" s="222"/>
      <c r="K94" s="223"/>
    </row>
    <row r="95" spans="1:11" x14ac:dyDescent="0.35">
      <c r="A95" s="225" t="s">
        <v>304</v>
      </c>
      <c r="B95" s="226"/>
      <c r="C95" s="226"/>
      <c r="D95" s="226"/>
      <c r="E95" s="227"/>
      <c r="G95" s="225"/>
      <c r="H95" s="226"/>
      <c r="I95" s="226"/>
      <c r="J95" s="226"/>
      <c r="K95" s="227"/>
    </row>
    <row r="96" spans="1:11" x14ac:dyDescent="0.35">
      <c r="A96" s="225"/>
      <c r="B96" s="226"/>
      <c r="C96" s="226"/>
      <c r="D96" s="226"/>
      <c r="E96" s="227"/>
      <c r="G96" s="225"/>
      <c r="H96" s="226"/>
      <c r="I96" s="226"/>
      <c r="J96" s="226"/>
      <c r="K96" s="227"/>
    </row>
    <row r="97" spans="1:11" x14ac:dyDescent="0.35">
      <c r="A97" s="221"/>
      <c r="B97" s="222"/>
      <c r="C97" s="222"/>
      <c r="D97" s="222"/>
      <c r="E97" s="223"/>
      <c r="G97" s="221"/>
      <c r="H97" s="222"/>
      <c r="I97" s="222"/>
      <c r="J97" s="222"/>
      <c r="K97" s="223"/>
    </row>
    <row r="98" spans="1:11" x14ac:dyDescent="0.35">
      <c r="A98" s="225"/>
      <c r="B98" s="226"/>
      <c r="C98" s="226"/>
      <c r="D98" s="226"/>
      <c r="E98" s="227"/>
      <c r="G98" s="225"/>
      <c r="H98" s="226"/>
      <c r="I98" s="226"/>
      <c r="J98" s="226"/>
      <c r="K98" s="227"/>
    </row>
    <row r="99" spans="1:11" ht="15" thickBot="1" x14ac:dyDescent="0.4">
      <c r="A99" s="218" t="s">
        <v>34</v>
      </c>
      <c r="B99" s="219">
        <f>SUM(B94:B98)</f>
        <v>4120</v>
      </c>
      <c r="C99" s="219">
        <f>SUM(C94:C98)</f>
        <v>0</v>
      </c>
      <c r="D99" s="219">
        <f>SUM(D94:D98)</f>
        <v>0</v>
      </c>
      <c r="E99" s="219">
        <f>SUM(E94:E98)</f>
        <v>0</v>
      </c>
      <c r="G99" s="218" t="s">
        <v>34</v>
      </c>
      <c r="H99" s="219">
        <f>SUM(H94:H98)</f>
        <v>0</v>
      </c>
      <c r="I99" s="219">
        <f>SUM(I94:I98)</f>
        <v>0</v>
      </c>
      <c r="J99" s="219">
        <f>SUM(J94:J98)</f>
        <v>0</v>
      </c>
      <c r="K99" s="219">
        <f>SUM(K94:K98)</f>
        <v>0</v>
      </c>
    </row>
    <row r="100" spans="1:11" x14ac:dyDescent="0.35">
      <c r="A100" s="220" t="s">
        <v>305</v>
      </c>
      <c r="B100" s="220">
        <f>+B99+C99+D99+E99</f>
        <v>4120</v>
      </c>
      <c r="C100" s="220"/>
      <c r="D100" s="220"/>
      <c r="E100" s="220"/>
      <c r="G100" s="220" t="s">
        <v>305</v>
      </c>
      <c r="H100" s="220">
        <f>+H99+I99+J99+K99</f>
        <v>0</v>
      </c>
      <c r="I100" s="220"/>
      <c r="J100" s="220"/>
      <c r="K100" s="220"/>
    </row>
    <row r="101" spans="1:11" ht="15" thickBot="1" x14ac:dyDescent="0.4">
      <c r="A101" s="315" t="s">
        <v>298</v>
      </c>
      <c r="B101" s="315"/>
      <c r="C101" s="315"/>
      <c r="D101" s="315"/>
      <c r="E101" s="315"/>
      <c r="G101" s="315" t="s">
        <v>314</v>
      </c>
      <c r="H101" s="315"/>
      <c r="I101" s="315"/>
      <c r="J101" s="315"/>
      <c r="K101" s="315"/>
    </row>
    <row r="102" spans="1:11" ht="15" thickTop="1" x14ac:dyDescent="0.35">
      <c r="A102" s="313">
        <v>45302</v>
      </c>
      <c r="B102" s="314"/>
      <c r="C102" s="314"/>
      <c r="D102" s="314"/>
      <c r="E102" s="314"/>
      <c r="G102" s="313">
        <v>45302</v>
      </c>
      <c r="H102" s="314"/>
      <c r="I102" s="314"/>
      <c r="J102" s="314"/>
      <c r="K102" s="314"/>
    </row>
    <row r="103" spans="1:11" x14ac:dyDescent="0.35">
      <c r="A103" s="261" t="s">
        <v>159</v>
      </c>
      <c r="B103" s="262" t="s">
        <v>299</v>
      </c>
      <c r="C103" s="262" t="s">
        <v>300</v>
      </c>
      <c r="D103" s="262" t="s">
        <v>301</v>
      </c>
      <c r="E103" s="263" t="s">
        <v>302</v>
      </c>
      <c r="G103" s="264" t="s">
        <v>159</v>
      </c>
      <c r="H103" s="265" t="s">
        <v>299</v>
      </c>
      <c r="I103" s="265" t="s">
        <v>300</v>
      </c>
      <c r="J103" s="265" t="s">
        <v>301</v>
      </c>
      <c r="K103" s="266" t="s">
        <v>302</v>
      </c>
    </row>
    <row r="104" spans="1:11" x14ac:dyDescent="0.35">
      <c r="A104" s="221" t="s">
        <v>303</v>
      </c>
      <c r="B104" s="222">
        <v>4083</v>
      </c>
      <c r="C104" s="222"/>
      <c r="D104" s="222"/>
      <c r="E104" s="223"/>
      <c r="G104" s="221" t="s">
        <v>303</v>
      </c>
      <c r="H104" s="222">
        <v>765</v>
      </c>
      <c r="I104" s="222"/>
      <c r="J104" s="222"/>
      <c r="K104" s="223"/>
    </row>
    <row r="105" spans="1:11" x14ac:dyDescent="0.35">
      <c r="A105" s="225" t="s">
        <v>304</v>
      </c>
      <c r="B105" s="226"/>
      <c r="C105" s="226"/>
      <c r="D105" s="226"/>
      <c r="E105" s="227"/>
      <c r="G105" s="225"/>
      <c r="H105" s="226"/>
      <c r="I105" s="226"/>
      <c r="J105" s="226"/>
      <c r="K105" s="227"/>
    </row>
    <row r="106" spans="1:11" x14ac:dyDescent="0.35">
      <c r="A106" s="225"/>
      <c r="B106" s="226"/>
      <c r="C106" s="226"/>
      <c r="D106" s="226"/>
      <c r="E106" s="227"/>
      <c r="G106" s="225"/>
      <c r="H106" s="226"/>
      <c r="I106" s="226"/>
      <c r="J106" s="226"/>
      <c r="K106" s="227"/>
    </row>
    <row r="107" spans="1:11" x14ac:dyDescent="0.35">
      <c r="A107" s="221"/>
      <c r="B107" s="222"/>
      <c r="C107" s="222"/>
      <c r="D107" s="222"/>
      <c r="E107" s="223"/>
      <c r="G107" s="221"/>
      <c r="H107" s="222"/>
      <c r="I107" s="222"/>
      <c r="J107" s="222"/>
      <c r="K107" s="223"/>
    </row>
    <row r="108" spans="1:11" x14ac:dyDescent="0.35">
      <c r="A108" s="225"/>
      <c r="B108" s="226"/>
      <c r="C108" s="226"/>
      <c r="D108" s="226"/>
      <c r="E108" s="227"/>
      <c r="G108" s="225"/>
      <c r="H108" s="226"/>
      <c r="I108" s="226"/>
      <c r="J108" s="226"/>
      <c r="K108" s="227"/>
    </row>
    <row r="109" spans="1:11" ht="15" thickBot="1" x14ac:dyDescent="0.4">
      <c r="A109" s="218" t="s">
        <v>34</v>
      </c>
      <c r="B109" s="219">
        <f>SUM(B104:B108)</f>
        <v>4083</v>
      </c>
      <c r="C109" s="219">
        <f>SUM(C104:C108)</f>
        <v>0</v>
      </c>
      <c r="D109" s="219">
        <f>SUM(D104:D108)</f>
        <v>0</v>
      </c>
      <c r="E109" s="219">
        <f>SUM(E104:E108)</f>
        <v>0</v>
      </c>
      <c r="G109" s="218" t="s">
        <v>34</v>
      </c>
      <c r="H109" s="219">
        <f>SUM(H104:H108)</f>
        <v>765</v>
      </c>
      <c r="I109" s="219">
        <f>SUM(I104:I108)</f>
        <v>0</v>
      </c>
      <c r="J109" s="219">
        <f>SUM(J104:J108)</f>
        <v>0</v>
      </c>
      <c r="K109" s="219">
        <f>SUM(K104:K108)</f>
        <v>0</v>
      </c>
    </row>
    <row r="110" spans="1:11" x14ac:dyDescent="0.35">
      <c r="A110" s="220" t="s">
        <v>305</v>
      </c>
      <c r="B110" s="220">
        <f>+B109+C109+D109+E109</f>
        <v>4083</v>
      </c>
      <c r="C110" s="220"/>
      <c r="D110" s="220"/>
      <c r="E110" s="220"/>
      <c r="G110" s="220" t="s">
        <v>305</v>
      </c>
      <c r="H110" s="220">
        <f>+H109+I109+J109+K109</f>
        <v>765</v>
      </c>
      <c r="I110" s="220"/>
      <c r="J110" s="220"/>
      <c r="K110" s="220"/>
    </row>
    <row r="111" spans="1:11" ht="15" thickBot="1" x14ac:dyDescent="0.4">
      <c r="A111" s="315" t="s">
        <v>298</v>
      </c>
      <c r="B111" s="315"/>
      <c r="C111" s="315"/>
      <c r="D111" s="315"/>
      <c r="E111" s="315"/>
      <c r="G111" s="315" t="s">
        <v>314</v>
      </c>
      <c r="H111" s="315"/>
      <c r="I111" s="315"/>
      <c r="J111" s="315"/>
      <c r="K111" s="315"/>
    </row>
    <row r="112" spans="1:11" ht="15" thickTop="1" x14ac:dyDescent="0.35">
      <c r="A112" s="313">
        <v>45303</v>
      </c>
      <c r="B112" s="314"/>
      <c r="C112" s="314"/>
      <c r="D112" s="314"/>
      <c r="E112" s="314"/>
      <c r="G112" s="313">
        <v>45303</v>
      </c>
      <c r="H112" s="314"/>
      <c r="I112" s="314"/>
      <c r="J112" s="314"/>
      <c r="K112" s="314"/>
    </row>
    <row r="113" spans="1:11" x14ac:dyDescent="0.35">
      <c r="A113" s="261" t="s">
        <v>159</v>
      </c>
      <c r="B113" s="262" t="s">
        <v>299</v>
      </c>
      <c r="C113" s="262" t="s">
        <v>300</v>
      </c>
      <c r="D113" s="262" t="s">
        <v>301</v>
      </c>
      <c r="E113" s="263" t="s">
        <v>302</v>
      </c>
      <c r="G113" s="264" t="s">
        <v>159</v>
      </c>
      <c r="H113" s="265" t="s">
        <v>299</v>
      </c>
      <c r="I113" s="265" t="s">
        <v>300</v>
      </c>
      <c r="J113" s="265" t="s">
        <v>301</v>
      </c>
      <c r="K113" s="266" t="s">
        <v>302</v>
      </c>
    </row>
    <row r="114" spans="1:11" x14ac:dyDescent="0.35">
      <c r="A114" s="221" t="s">
        <v>303</v>
      </c>
      <c r="B114" s="222">
        <v>7489</v>
      </c>
      <c r="C114" s="222"/>
      <c r="D114" s="222"/>
      <c r="E114" s="223"/>
      <c r="G114" s="221" t="s">
        <v>303</v>
      </c>
      <c r="H114" s="222">
        <v>772</v>
      </c>
      <c r="I114" s="222"/>
      <c r="J114" s="222"/>
      <c r="K114" s="223"/>
    </row>
    <row r="115" spans="1:11" x14ac:dyDescent="0.35">
      <c r="A115" s="225" t="s">
        <v>304</v>
      </c>
      <c r="B115" s="226">
        <v>606</v>
      </c>
      <c r="C115" s="226"/>
      <c r="D115" s="226"/>
      <c r="E115" s="227"/>
      <c r="G115" s="225"/>
      <c r="H115" s="226"/>
      <c r="I115" s="226"/>
      <c r="J115" s="226"/>
      <c r="K115" s="227"/>
    </row>
    <row r="116" spans="1:11" x14ac:dyDescent="0.35">
      <c r="A116" s="225"/>
      <c r="B116" s="226"/>
      <c r="C116" s="226"/>
      <c r="D116" s="226"/>
      <c r="E116" s="227"/>
      <c r="G116" s="225"/>
      <c r="H116" s="226"/>
      <c r="I116" s="226"/>
      <c r="J116" s="226"/>
      <c r="K116" s="227"/>
    </row>
    <row r="117" spans="1:11" x14ac:dyDescent="0.35">
      <c r="A117" s="221"/>
      <c r="B117" s="222"/>
      <c r="C117" s="222"/>
      <c r="D117" s="222"/>
      <c r="E117" s="223"/>
      <c r="G117" s="221"/>
      <c r="H117" s="222"/>
      <c r="I117" s="222"/>
      <c r="J117" s="222"/>
      <c r="K117" s="223"/>
    </row>
    <row r="118" spans="1:11" x14ac:dyDescent="0.35">
      <c r="A118" s="225"/>
      <c r="B118" s="226"/>
      <c r="C118" s="226"/>
      <c r="D118" s="226"/>
      <c r="E118" s="227"/>
      <c r="G118" s="225"/>
      <c r="H118" s="226"/>
      <c r="I118" s="226"/>
      <c r="J118" s="226"/>
      <c r="K118" s="227"/>
    </row>
    <row r="119" spans="1:11" ht="15" thickBot="1" x14ac:dyDescent="0.4">
      <c r="A119" s="218" t="s">
        <v>34</v>
      </c>
      <c r="B119" s="219">
        <f>SUM(B114:B118)</f>
        <v>8095</v>
      </c>
      <c r="C119" s="219">
        <f>SUM(C114:C118)</f>
        <v>0</v>
      </c>
      <c r="D119" s="219">
        <f>SUM(D114:D118)</f>
        <v>0</v>
      </c>
      <c r="E119" s="219">
        <f>SUM(E114:E118)</f>
        <v>0</v>
      </c>
      <c r="G119" s="218" t="s">
        <v>34</v>
      </c>
      <c r="H119" s="219">
        <f>SUM(H114:H118)</f>
        <v>772</v>
      </c>
      <c r="I119" s="219">
        <f>SUM(I114:I118)</f>
        <v>0</v>
      </c>
      <c r="J119" s="219">
        <f>SUM(J114:J118)</f>
        <v>0</v>
      </c>
      <c r="K119" s="219">
        <f>SUM(K114:K118)</f>
        <v>0</v>
      </c>
    </row>
    <row r="120" spans="1:11" x14ac:dyDescent="0.35">
      <c r="A120" s="220" t="s">
        <v>305</v>
      </c>
      <c r="B120" s="220">
        <f>+B119+C119+D119+E119</f>
        <v>8095</v>
      </c>
      <c r="C120" s="220"/>
      <c r="D120" s="220"/>
      <c r="E120" s="220"/>
      <c r="G120" s="220" t="s">
        <v>305</v>
      </c>
      <c r="H120" s="220">
        <f>+H119+I119+J119+K119</f>
        <v>772</v>
      </c>
      <c r="I120" s="220"/>
      <c r="J120" s="220"/>
      <c r="K120" s="220"/>
    </row>
    <row r="121" spans="1:11" ht="15" thickBot="1" x14ac:dyDescent="0.4">
      <c r="A121" s="315" t="s">
        <v>298</v>
      </c>
      <c r="B121" s="315"/>
      <c r="C121" s="315"/>
      <c r="D121" s="315"/>
      <c r="E121" s="315"/>
      <c r="G121" s="315" t="s">
        <v>314</v>
      </c>
      <c r="H121" s="315"/>
      <c r="I121" s="315"/>
      <c r="J121" s="315"/>
      <c r="K121" s="315"/>
    </row>
    <row r="122" spans="1:11" ht="15" thickTop="1" x14ac:dyDescent="0.35">
      <c r="A122" s="313">
        <v>45304</v>
      </c>
      <c r="B122" s="314"/>
      <c r="C122" s="314"/>
      <c r="D122" s="314"/>
      <c r="E122" s="314"/>
      <c r="G122" s="313">
        <v>45304</v>
      </c>
      <c r="H122" s="314"/>
      <c r="I122" s="314"/>
      <c r="J122" s="314"/>
      <c r="K122" s="314"/>
    </row>
    <row r="123" spans="1:11" x14ac:dyDescent="0.35">
      <c r="A123" s="261" t="s">
        <v>159</v>
      </c>
      <c r="B123" s="262" t="s">
        <v>299</v>
      </c>
      <c r="C123" s="262" t="s">
        <v>300</v>
      </c>
      <c r="D123" s="262" t="s">
        <v>301</v>
      </c>
      <c r="E123" s="263" t="s">
        <v>302</v>
      </c>
      <c r="G123" s="264" t="s">
        <v>159</v>
      </c>
      <c r="H123" s="265" t="s">
        <v>299</v>
      </c>
      <c r="I123" s="265" t="s">
        <v>300</v>
      </c>
      <c r="J123" s="265" t="s">
        <v>301</v>
      </c>
      <c r="K123" s="266" t="s">
        <v>302</v>
      </c>
    </row>
    <row r="124" spans="1:11" x14ac:dyDescent="0.35">
      <c r="A124" s="221" t="s">
        <v>303</v>
      </c>
      <c r="B124" s="222">
        <v>13997</v>
      </c>
      <c r="C124" s="222"/>
      <c r="D124" s="222"/>
      <c r="E124" s="223"/>
      <c r="G124" s="221" t="s">
        <v>303</v>
      </c>
      <c r="H124" s="222">
        <v>4254</v>
      </c>
      <c r="I124" s="222"/>
      <c r="J124" s="222"/>
      <c r="K124" s="223"/>
    </row>
    <row r="125" spans="1:11" x14ac:dyDescent="0.35">
      <c r="A125" s="225" t="s">
        <v>304</v>
      </c>
      <c r="B125" s="226"/>
      <c r="C125" s="226"/>
      <c r="D125" s="226"/>
      <c r="E125" s="227"/>
      <c r="G125" s="225"/>
      <c r="H125" s="226"/>
      <c r="I125" s="226"/>
      <c r="J125" s="226"/>
      <c r="K125" s="227"/>
    </row>
    <row r="126" spans="1:11" x14ac:dyDescent="0.35">
      <c r="A126" s="225"/>
      <c r="B126" s="226"/>
      <c r="C126" s="226"/>
      <c r="D126" s="226"/>
      <c r="E126" s="227"/>
      <c r="G126" s="225"/>
      <c r="H126" s="226"/>
      <c r="I126" s="226"/>
      <c r="J126" s="226"/>
      <c r="K126" s="227"/>
    </row>
    <row r="127" spans="1:11" x14ac:dyDescent="0.35">
      <c r="A127" s="221"/>
      <c r="B127" s="222"/>
      <c r="C127" s="222"/>
      <c r="D127" s="222"/>
      <c r="E127" s="223"/>
      <c r="G127" s="221"/>
      <c r="H127" s="222"/>
      <c r="I127" s="222"/>
      <c r="J127" s="222"/>
      <c r="K127" s="223"/>
    </row>
    <row r="128" spans="1:11" x14ac:dyDescent="0.35">
      <c r="A128" s="225"/>
      <c r="B128" s="226"/>
      <c r="C128" s="226"/>
      <c r="D128" s="226"/>
      <c r="E128" s="227"/>
      <c r="G128" s="225"/>
      <c r="H128" s="226"/>
      <c r="I128" s="226"/>
      <c r="J128" s="226"/>
      <c r="K128" s="227"/>
    </row>
    <row r="129" spans="1:11" ht="15" thickBot="1" x14ac:dyDescent="0.4">
      <c r="A129" s="218" t="s">
        <v>34</v>
      </c>
      <c r="B129" s="219">
        <f>SUM(B124:B128)</f>
        <v>13997</v>
      </c>
      <c r="C129" s="219">
        <f>SUM(C124:C128)</f>
        <v>0</v>
      </c>
      <c r="D129" s="219">
        <f>SUM(D124:D128)</f>
        <v>0</v>
      </c>
      <c r="E129" s="219">
        <f>SUM(E124:E128)</f>
        <v>0</v>
      </c>
      <c r="G129" s="218" t="s">
        <v>34</v>
      </c>
      <c r="H129" s="219">
        <f>SUM(H124:H128)</f>
        <v>4254</v>
      </c>
      <c r="I129" s="219">
        <f>SUM(I124:I128)</f>
        <v>0</v>
      </c>
      <c r="J129" s="219">
        <f>SUM(J124:J128)</f>
        <v>0</v>
      </c>
      <c r="K129" s="219">
        <f>SUM(K124:K128)</f>
        <v>0</v>
      </c>
    </row>
    <row r="130" spans="1:11" x14ac:dyDescent="0.35">
      <c r="A130" s="220" t="s">
        <v>305</v>
      </c>
      <c r="B130" s="220">
        <f>+B129+C129+D129+E129</f>
        <v>13997</v>
      </c>
      <c r="C130" s="220"/>
      <c r="D130" s="220"/>
      <c r="E130" s="220"/>
      <c r="G130" s="220" t="s">
        <v>305</v>
      </c>
      <c r="H130" s="220">
        <f>+H129+I129+J129+K129</f>
        <v>4254</v>
      </c>
      <c r="I130" s="220"/>
      <c r="J130" s="220"/>
      <c r="K130" s="220"/>
    </row>
    <row r="131" spans="1:11" ht="15" thickBot="1" x14ac:dyDescent="0.4">
      <c r="A131" s="315" t="s">
        <v>298</v>
      </c>
      <c r="B131" s="315"/>
      <c r="C131" s="315"/>
      <c r="D131" s="315"/>
      <c r="E131" s="315"/>
      <c r="G131" s="315" t="s">
        <v>314</v>
      </c>
      <c r="H131" s="315"/>
      <c r="I131" s="315"/>
      <c r="J131" s="315"/>
      <c r="K131" s="315"/>
    </row>
    <row r="132" spans="1:11" ht="15" thickTop="1" x14ac:dyDescent="0.35">
      <c r="A132" s="313">
        <v>45305</v>
      </c>
      <c r="B132" s="314"/>
      <c r="C132" s="314"/>
      <c r="D132" s="314"/>
      <c r="E132" s="314"/>
      <c r="G132" s="313">
        <v>45305</v>
      </c>
      <c r="H132" s="314"/>
      <c r="I132" s="314"/>
      <c r="J132" s="314"/>
      <c r="K132" s="314"/>
    </row>
    <row r="133" spans="1:11" x14ac:dyDescent="0.35">
      <c r="A133" s="261" t="s">
        <v>159</v>
      </c>
      <c r="B133" s="262" t="s">
        <v>299</v>
      </c>
      <c r="C133" s="262" t="s">
        <v>300</v>
      </c>
      <c r="D133" s="262" t="s">
        <v>301</v>
      </c>
      <c r="E133" s="263" t="s">
        <v>302</v>
      </c>
      <c r="G133" s="264" t="s">
        <v>159</v>
      </c>
      <c r="H133" s="265" t="s">
        <v>299</v>
      </c>
      <c r="I133" s="265" t="s">
        <v>300</v>
      </c>
      <c r="J133" s="265" t="s">
        <v>301</v>
      </c>
      <c r="K133" s="266" t="s">
        <v>302</v>
      </c>
    </row>
    <row r="134" spans="1:11" x14ac:dyDescent="0.35">
      <c r="A134" s="221" t="s">
        <v>303</v>
      </c>
      <c r="B134" s="222">
        <v>16497</v>
      </c>
      <c r="C134" s="222"/>
      <c r="D134" s="222"/>
      <c r="E134" s="223"/>
      <c r="G134" s="221" t="s">
        <v>303</v>
      </c>
      <c r="H134" s="222">
        <v>3946</v>
      </c>
      <c r="I134" s="222"/>
      <c r="J134" s="222"/>
      <c r="K134" s="223"/>
    </row>
    <row r="135" spans="1:11" x14ac:dyDescent="0.35">
      <c r="A135" s="225" t="s">
        <v>304</v>
      </c>
      <c r="B135" s="226"/>
      <c r="C135" s="226"/>
      <c r="D135" s="226"/>
      <c r="E135" s="227"/>
      <c r="G135" s="225"/>
      <c r="H135" s="226"/>
      <c r="I135" s="226"/>
      <c r="J135" s="226"/>
      <c r="K135" s="227"/>
    </row>
    <row r="136" spans="1:11" x14ac:dyDescent="0.35">
      <c r="A136" s="225"/>
      <c r="B136" s="226"/>
      <c r="C136" s="226"/>
      <c r="D136" s="226"/>
      <c r="E136" s="227"/>
      <c r="G136" s="225"/>
      <c r="H136" s="226"/>
      <c r="I136" s="226"/>
      <c r="J136" s="226"/>
      <c r="K136" s="227"/>
    </row>
    <row r="137" spans="1:11" x14ac:dyDescent="0.35">
      <c r="A137" s="221"/>
      <c r="B137" s="222"/>
      <c r="C137" s="222"/>
      <c r="D137" s="222"/>
      <c r="E137" s="223"/>
      <c r="G137" s="221"/>
      <c r="H137" s="222"/>
      <c r="I137" s="222"/>
      <c r="J137" s="222"/>
      <c r="K137" s="223"/>
    </row>
    <row r="138" spans="1:11" x14ac:dyDescent="0.35">
      <c r="A138" s="225"/>
      <c r="B138" s="226"/>
      <c r="C138" s="226"/>
      <c r="D138" s="226"/>
      <c r="E138" s="227"/>
      <c r="G138" s="225"/>
      <c r="H138" s="226"/>
      <c r="I138" s="226"/>
      <c r="J138" s="226"/>
      <c r="K138" s="227"/>
    </row>
    <row r="139" spans="1:11" ht="15" thickBot="1" x14ac:dyDescent="0.4">
      <c r="A139" s="218" t="s">
        <v>34</v>
      </c>
      <c r="B139" s="219">
        <f>SUM(B134:B138)</f>
        <v>16497</v>
      </c>
      <c r="C139" s="219">
        <f>SUM(C134:C138)</f>
        <v>0</v>
      </c>
      <c r="D139" s="219">
        <f>SUM(D134:D138)</f>
        <v>0</v>
      </c>
      <c r="E139" s="219">
        <f>SUM(E134:E138)</f>
        <v>0</v>
      </c>
      <c r="G139" s="218" t="s">
        <v>34</v>
      </c>
      <c r="H139" s="219">
        <f>SUM(H134:H138)</f>
        <v>3946</v>
      </c>
      <c r="I139" s="219">
        <f>SUM(I134:I138)</f>
        <v>0</v>
      </c>
      <c r="J139" s="219">
        <f>SUM(J134:J138)</f>
        <v>0</v>
      </c>
      <c r="K139" s="219">
        <f>SUM(K134:K138)</f>
        <v>0</v>
      </c>
    </row>
    <row r="140" spans="1:11" x14ac:dyDescent="0.35">
      <c r="A140" s="220" t="s">
        <v>305</v>
      </c>
      <c r="B140" s="220">
        <f>+B139+C139+D139+E139</f>
        <v>16497</v>
      </c>
      <c r="C140" s="220"/>
      <c r="D140" s="220"/>
      <c r="E140" s="220"/>
      <c r="G140" s="220" t="s">
        <v>305</v>
      </c>
      <c r="H140" s="220">
        <f>+H139+I139+J139+K139</f>
        <v>3946</v>
      </c>
      <c r="I140" s="220"/>
      <c r="J140" s="220"/>
      <c r="K140" s="220"/>
    </row>
    <row r="141" spans="1:11" ht="15" thickBot="1" x14ac:dyDescent="0.4">
      <c r="A141" s="315" t="s">
        <v>298</v>
      </c>
      <c r="B141" s="315"/>
      <c r="C141" s="315"/>
      <c r="D141" s="315"/>
      <c r="E141" s="315"/>
      <c r="G141" s="315" t="s">
        <v>314</v>
      </c>
      <c r="H141" s="315"/>
      <c r="I141" s="315"/>
      <c r="J141" s="315"/>
      <c r="K141" s="315"/>
    </row>
    <row r="142" spans="1:11" ht="15" thickTop="1" x14ac:dyDescent="0.35">
      <c r="A142" s="313">
        <v>45306</v>
      </c>
      <c r="B142" s="314"/>
      <c r="C142" s="314"/>
      <c r="D142" s="314"/>
      <c r="E142" s="314"/>
      <c r="G142" s="313">
        <v>45306</v>
      </c>
      <c r="H142" s="314"/>
      <c r="I142" s="314"/>
      <c r="J142" s="314"/>
      <c r="K142" s="314"/>
    </row>
    <row r="143" spans="1:11" x14ac:dyDescent="0.35">
      <c r="A143" s="261" t="s">
        <v>159</v>
      </c>
      <c r="B143" s="262" t="s">
        <v>299</v>
      </c>
      <c r="C143" s="262" t="s">
        <v>300</v>
      </c>
      <c r="D143" s="262" t="s">
        <v>301</v>
      </c>
      <c r="E143" s="263" t="s">
        <v>302</v>
      </c>
      <c r="G143" s="264" t="s">
        <v>159</v>
      </c>
      <c r="H143" s="265" t="s">
        <v>299</v>
      </c>
      <c r="I143" s="265" t="s">
        <v>300</v>
      </c>
      <c r="J143" s="265" t="s">
        <v>301</v>
      </c>
      <c r="K143" s="266" t="s">
        <v>302</v>
      </c>
    </row>
    <row r="144" spans="1:11" x14ac:dyDescent="0.35">
      <c r="A144" s="221" t="s">
        <v>303</v>
      </c>
      <c r="B144" s="222">
        <v>4730</v>
      </c>
      <c r="C144" s="222"/>
      <c r="D144" s="222"/>
      <c r="E144" s="223"/>
      <c r="G144" s="221" t="s">
        <v>303</v>
      </c>
      <c r="H144" s="222">
        <v>1236</v>
      </c>
      <c r="I144" s="222"/>
      <c r="J144" s="222"/>
      <c r="K144" s="223"/>
    </row>
    <row r="145" spans="1:11" x14ac:dyDescent="0.35">
      <c r="A145" s="225" t="s">
        <v>304</v>
      </c>
      <c r="B145" s="226">
        <v>6368</v>
      </c>
      <c r="C145" s="226"/>
      <c r="D145" s="226"/>
      <c r="E145" s="227"/>
      <c r="G145" s="225"/>
      <c r="H145" s="226"/>
      <c r="I145" s="226"/>
      <c r="J145" s="226"/>
      <c r="K145" s="227"/>
    </row>
    <row r="146" spans="1:11" x14ac:dyDescent="0.35">
      <c r="A146" s="225"/>
      <c r="B146" s="226"/>
      <c r="C146" s="226"/>
      <c r="D146" s="226"/>
      <c r="E146" s="227"/>
      <c r="G146" s="225"/>
      <c r="H146" s="226"/>
      <c r="I146" s="226"/>
      <c r="J146" s="226"/>
      <c r="K146" s="227"/>
    </row>
    <row r="147" spans="1:11" x14ac:dyDescent="0.35">
      <c r="A147" s="221"/>
      <c r="B147" s="222"/>
      <c r="C147" s="222"/>
      <c r="D147" s="222"/>
      <c r="E147" s="223"/>
      <c r="G147" s="221"/>
      <c r="H147" s="222"/>
      <c r="I147" s="222"/>
      <c r="J147" s="222"/>
      <c r="K147" s="223"/>
    </row>
    <row r="148" spans="1:11" x14ac:dyDescent="0.35">
      <c r="A148" s="225"/>
      <c r="B148" s="226"/>
      <c r="C148" s="226"/>
      <c r="D148" s="226"/>
      <c r="E148" s="227"/>
      <c r="G148" s="225"/>
      <c r="H148" s="226"/>
      <c r="I148" s="226"/>
      <c r="J148" s="226"/>
      <c r="K148" s="227"/>
    </row>
    <row r="149" spans="1:11" ht="15" thickBot="1" x14ac:dyDescent="0.4">
      <c r="A149" s="218" t="s">
        <v>34</v>
      </c>
      <c r="B149" s="219">
        <f>SUM(B144:B148)</f>
        <v>11098</v>
      </c>
      <c r="C149" s="219">
        <f>SUM(C144:C148)</f>
        <v>0</v>
      </c>
      <c r="D149" s="219">
        <f>SUM(D144:D148)</f>
        <v>0</v>
      </c>
      <c r="E149" s="219">
        <f>SUM(E144:E148)</f>
        <v>0</v>
      </c>
      <c r="G149" s="218" t="s">
        <v>34</v>
      </c>
      <c r="H149" s="219">
        <f>SUM(H144:H148)</f>
        <v>1236</v>
      </c>
      <c r="I149" s="219">
        <f>SUM(I144:I148)</f>
        <v>0</v>
      </c>
      <c r="J149" s="219">
        <f>SUM(J144:J148)</f>
        <v>0</v>
      </c>
      <c r="K149" s="219">
        <f>SUM(K144:K148)</f>
        <v>0</v>
      </c>
    </row>
    <row r="150" spans="1:11" x14ac:dyDescent="0.35">
      <c r="A150" s="220" t="s">
        <v>305</v>
      </c>
      <c r="B150" s="220">
        <f>+B149+C149+D149+E149</f>
        <v>11098</v>
      </c>
      <c r="C150" s="220"/>
      <c r="D150" s="220"/>
      <c r="E150" s="220"/>
      <c r="G150" s="220" t="s">
        <v>305</v>
      </c>
      <c r="H150" s="220">
        <f>+H149+I149+J149+K149</f>
        <v>1236</v>
      </c>
      <c r="I150" s="220"/>
      <c r="J150" s="220"/>
      <c r="K150" s="220"/>
    </row>
    <row r="151" spans="1:11" ht="15" thickBot="1" x14ac:dyDescent="0.4">
      <c r="A151" s="315" t="s">
        <v>298</v>
      </c>
      <c r="B151" s="315"/>
      <c r="C151" s="315"/>
      <c r="D151" s="315"/>
      <c r="E151" s="315"/>
      <c r="G151" s="315" t="s">
        <v>314</v>
      </c>
      <c r="H151" s="315"/>
      <c r="I151" s="315"/>
      <c r="J151" s="315"/>
      <c r="K151" s="315"/>
    </row>
    <row r="152" spans="1:11" ht="15" thickTop="1" x14ac:dyDescent="0.35">
      <c r="A152" s="313">
        <v>45307</v>
      </c>
      <c r="B152" s="314"/>
      <c r="C152" s="314"/>
      <c r="D152" s="314"/>
      <c r="E152" s="314"/>
      <c r="G152" s="313">
        <v>45307</v>
      </c>
      <c r="H152" s="314"/>
      <c r="I152" s="314"/>
      <c r="J152" s="314"/>
      <c r="K152" s="314"/>
    </row>
    <row r="153" spans="1:11" x14ac:dyDescent="0.35">
      <c r="A153" s="261" t="s">
        <v>159</v>
      </c>
      <c r="B153" s="262" t="s">
        <v>299</v>
      </c>
      <c r="C153" s="262" t="s">
        <v>300</v>
      </c>
      <c r="D153" s="262" t="s">
        <v>301</v>
      </c>
      <c r="E153" s="263" t="s">
        <v>302</v>
      </c>
      <c r="G153" s="264" t="s">
        <v>159</v>
      </c>
      <c r="H153" s="265" t="s">
        <v>299</v>
      </c>
      <c r="I153" s="265" t="s">
        <v>300</v>
      </c>
      <c r="J153" s="265" t="s">
        <v>301</v>
      </c>
      <c r="K153" s="266" t="s">
        <v>302</v>
      </c>
    </row>
    <row r="154" spans="1:11" x14ac:dyDescent="0.35">
      <c r="A154" s="221" t="s">
        <v>303</v>
      </c>
      <c r="B154" s="222">
        <v>220</v>
      </c>
      <c r="C154" s="222"/>
      <c r="D154" s="222"/>
      <c r="E154" s="223"/>
      <c r="G154" s="221" t="s">
        <v>303</v>
      </c>
      <c r="H154" s="222">
        <v>519</v>
      </c>
      <c r="I154" s="222"/>
      <c r="J154" s="222"/>
      <c r="K154" s="223"/>
    </row>
    <row r="155" spans="1:11" x14ac:dyDescent="0.35">
      <c r="A155" s="225" t="s">
        <v>304</v>
      </c>
      <c r="B155" s="226">
        <v>14000</v>
      </c>
      <c r="C155" s="226"/>
      <c r="D155" s="226"/>
      <c r="E155" s="227"/>
      <c r="G155" s="225"/>
      <c r="H155" s="226"/>
      <c r="I155" s="226"/>
      <c r="J155" s="226"/>
      <c r="K155" s="227"/>
    </row>
    <row r="156" spans="1:11" x14ac:dyDescent="0.35">
      <c r="A156" s="225"/>
      <c r="B156" s="226"/>
      <c r="C156" s="226"/>
      <c r="D156" s="226"/>
      <c r="E156" s="227"/>
      <c r="G156" s="225"/>
      <c r="H156" s="226"/>
      <c r="I156" s="226"/>
      <c r="J156" s="226"/>
      <c r="K156" s="227"/>
    </row>
    <row r="157" spans="1:11" x14ac:dyDescent="0.35">
      <c r="A157" s="221"/>
      <c r="B157" s="222"/>
      <c r="C157" s="222"/>
      <c r="D157" s="222"/>
      <c r="E157" s="223"/>
      <c r="G157" s="221"/>
      <c r="H157" s="222"/>
      <c r="I157" s="222"/>
      <c r="J157" s="222"/>
      <c r="K157" s="223"/>
    </row>
    <row r="158" spans="1:11" x14ac:dyDescent="0.35">
      <c r="A158" s="225"/>
      <c r="B158" s="226"/>
      <c r="C158" s="226"/>
      <c r="D158" s="226"/>
      <c r="E158" s="227"/>
      <c r="G158" s="225"/>
      <c r="H158" s="226"/>
      <c r="I158" s="226"/>
      <c r="J158" s="226"/>
      <c r="K158" s="227"/>
    </row>
    <row r="159" spans="1:11" ht="15" thickBot="1" x14ac:dyDescent="0.4">
      <c r="A159" s="218" t="s">
        <v>34</v>
      </c>
      <c r="B159" s="219">
        <f>SUM(B154:B158)</f>
        <v>14220</v>
      </c>
      <c r="C159" s="219">
        <f>SUM(C154:C158)</f>
        <v>0</v>
      </c>
      <c r="D159" s="219">
        <f>SUM(D154:D158)</f>
        <v>0</v>
      </c>
      <c r="E159" s="219">
        <f>SUM(E154:E158)</f>
        <v>0</v>
      </c>
      <c r="G159" s="218" t="s">
        <v>34</v>
      </c>
      <c r="H159" s="219">
        <f>SUM(H154:H158)</f>
        <v>519</v>
      </c>
      <c r="I159" s="219">
        <f>SUM(I154:I158)</f>
        <v>0</v>
      </c>
      <c r="J159" s="219">
        <f>SUM(J154:J158)</f>
        <v>0</v>
      </c>
      <c r="K159" s="219">
        <f>SUM(K154:K158)</f>
        <v>0</v>
      </c>
    </row>
    <row r="160" spans="1:11" x14ac:dyDescent="0.35">
      <c r="A160" s="220" t="s">
        <v>305</v>
      </c>
      <c r="B160" s="220">
        <f>+B159+C159+D159+E159</f>
        <v>14220</v>
      </c>
      <c r="C160" s="220"/>
      <c r="D160" s="220"/>
      <c r="E160" s="220"/>
      <c r="G160" s="220" t="s">
        <v>305</v>
      </c>
      <c r="H160" s="220">
        <f>+H159+I159+J159+K159</f>
        <v>519</v>
      </c>
      <c r="I160" s="220"/>
      <c r="J160" s="220"/>
      <c r="K160" s="220"/>
    </row>
    <row r="161" spans="1:11" ht="15" thickBot="1" x14ac:dyDescent="0.4">
      <c r="A161" s="315" t="s">
        <v>298</v>
      </c>
      <c r="B161" s="315"/>
      <c r="C161" s="315"/>
      <c r="D161" s="315"/>
      <c r="E161" s="315"/>
      <c r="G161" s="315" t="s">
        <v>314</v>
      </c>
      <c r="H161" s="315"/>
      <c r="I161" s="315"/>
      <c r="J161" s="315"/>
      <c r="K161" s="315"/>
    </row>
    <row r="162" spans="1:11" ht="15" thickTop="1" x14ac:dyDescent="0.35">
      <c r="A162" s="313">
        <v>45308</v>
      </c>
      <c r="B162" s="314"/>
      <c r="C162" s="314"/>
      <c r="D162" s="314"/>
      <c r="E162" s="314"/>
      <c r="G162" s="313">
        <v>45308</v>
      </c>
      <c r="H162" s="314"/>
      <c r="I162" s="314"/>
      <c r="J162" s="314"/>
      <c r="K162" s="314"/>
    </row>
    <row r="163" spans="1:11" x14ac:dyDescent="0.35">
      <c r="A163" s="261" t="s">
        <v>159</v>
      </c>
      <c r="B163" s="262" t="s">
        <v>299</v>
      </c>
      <c r="C163" s="262" t="s">
        <v>300</v>
      </c>
      <c r="D163" s="262" t="s">
        <v>301</v>
      </c>
      <c r="E163" s="263" t="s">
        <v>302</v>
      </c>
      <c r="G163" s="264" t="s">
        <v>159</v>
      </c>
      <c r="H163" s="265" t="s">
        <v>299</v>
      </c>
      <c r="I163" s="265" t="s">
        <v>300</v>
      </c>
      <c r="J163" s="265" t="s">
        <v>301</v>
      </c>
      <c r="K163" s="266" t="s">
        <v>302</v>
      </c>
    </row>
    <row r="164" spans="1:11" x14ac:dyDescent="0.35">
      <c r="A164" s="221" t="s">
        <v>303</v>
      </c>
      <c r="B164" s="222">
        <v>2540</v>
      </c>
      <c r="C164" s="222"/>
      <c r="D164" s="222"/>
      <c r="E164" s="223"/>
      <c r="G164" s="221" t="s">
        <v>303</v>
      </c>
      <c r="H164" s="222"/>
      <c r="I164" s="222"/>
      <c r="J164" s="222"/>
      <c r="K164" s="223"/>
    </row>
    <row r="165" spans="1:11" x14ac:dyDescent="0.35">
      <c r="A165" s="225" t="s">
        <v>304</v>
      </c>
      <c r="B165" s="226">
        <v>3190</v>
      </c>
      <c r="C165" s="226"/>
      <c r="D165" s="226"/>
      <c r="E165" s="227"/>
      <c r="G165" s="225"/>
      <c r="H165" s="226"/>
      <c r="I165" s="226"/>
      <c r="J165" s="226"/>
      <c r="K165" s="227"/>
    </row>
    <row r="166" spans="1:11" x14ac:dyDescent="0.35">
      <c r="A166" s="225"/>
      <c r="B166" s="226"/>
      <c r="C166" s="226"/>
      <c r="D166" s="226"/>
      <c r="E166" s="227"/>
      <c r="G166" s="225"/>
      <c r="H166" s="226"/>
      <c r="I166" s="226"/>
      <c r="J166" s="226"/>
      <c r="K166" s="227"/>
    </row>
    <row r="167" spans="1:11" x14ac:dyDescent="0.35">
      <c r="A167" s="221"/>
      <c r="B167" s="222"/>
      <c r="C167" s="222"/>
      <c r="D167" s="222"/>
      <c r="E167" s="223"/>
      <c r="G167" s="221"/>
      <c r="H167" s="222"/>
      <c r="I167" s="222"/>
      <c r="J167" s="222"/>
      <c r="K167" s="223"/>
    </row>
    <row r="168" spans="1:11" x14ac:dyDescent="0.35">
      <c r="A168" s="225"/>
      <c r="B168" s="226"/>
      <c r="C168" s="226"/>
      <c r="D168" s="226"/>
      <c r="E168" s="227"/>
      <c r="G168" s="225"/>
      <c r="H168" s="226"/>
      <c r="I168" s="226"/>
      <c r="J168" s="226"/>
      <c r="K168" s="227"/>
    </row>
    <row r="169" spans="1:11" ht="15" thickBot="1" x14ac:dyDescent="0.4">
      <c r="A169" s="218" t="s">
        <v>34</v>
      </c>
      <c r="B169" s="219">
        <f>SUM(B164:B168)</f>
        <v>5730</v>
      </c>
      <c r="C169" s="219">
        <f>SUM(C164:C168)</f>
        <v>0</v>
      </c>
      <c r="D169" s="219">
        <f>SUM(D164:D168)</f>
        <v>0</v>
      </c>
      <c r="E169" s="219">
        <f>SUM(E164:E168)</f>
        <v>0</v>
      </c>
      <c r="G169" s="218" t="s">
        <v>34</v>
      </c>
      <c r="H169" s="219">
        <f>SUM(H164:H168)</f>
        <v>0</v>
      </c>
      <c r="I169" s="219">
        <f>SUM(I164:I168)</f>
        <v>0</v>
      </c>
      <c r="J169" s="219">
        <f>SUM(J164:J168)</f>
        <v>0</v>
      </c>
      <c r="K169" s="219">
        <f>SUM(K164:K168)</f>
        <v>0</v>
      </c>
    </row>
    <row r="170" spans="1:11" x14ac:dyDescent="0.35">
      <c r="A170" s="220" t="s">
        <v>305</v>
      </c>
      <c r="B170" s="220">
        <f>+B169+C169+D169+E169</f>
        <v>5730</v>
      </c>
      <c r="C170" s="220"/>
      <c r="D170" s="220"/>
      <c r="E170" s="220"/>
      <c r="G170" s="220" t="s">
        <v>305</v>
      </c>
      <c r="H170" s="220">
        <f>+H169+I169+J169+K169</f>
        <v>0</v>
      </c>
      <c r="I170" s="220"/>
      <c r="J170" s="220"/>
      <c r="K170" s="220"/>
    </row>
    <row r="171" spans="1:11" ht="15" thickBot="1" x14ac:dyDescent="0.4">
      <c r="A171" s="315" t="s">
        <v>298</v>
      </c>
      <c r="B171" s="315"/>
      <c r="C171" s="315"/>
      <c r="D171" s="315"/>
      <c r="E171" s="315"/>
      <c r="G171" s="315" t="s">
        <v>314</v>
      </c>
      <c r="H171" s="315"/>
      <c r="I171" s="315"/>
      <c r="J171" s="315"/>
      <c r="K171" s="315"/>
    </row>
    <row r="172" spans="1:11" ht="15" thickTop="1" x14ac:dyDescent="0.35">
      <c r="A172" s="313">
        <v>45309</v>
      </c>
      <c r="B172" s="314"/>
      <c r="C172" s="314"/>
      <c r="D172" s="314"/>
      <c r="E172" s="314"/>
      <c r="G172" s="313">
        <v>45309</v>
      </c>
      <c r="H172" s="314"/>
      <c r="I172" s="314"/>
      <c r="J172" s="314"/>
      <c r="K172" s="314"/>
    </row>
    <row r="173" spans="1:11" x14ac:dyDescent="0.35">
      <c r="A173" s="261" t="s">
        <v>159</v>
      </c>
      <c r="B173" s="262" t="s">
        <v>299</v>
      </c>
      <c r="C173" s="262" t="s">
        <v>300</v>
      </c>
      <c r="D173" s="262" t="s">
        <v>301</v>
      </c>
      <c r="E173" s="263" t="s">
        <v>302</v>
      </c>
      <c r="G173" s="264" t="s">
        <v>159</v>
      </c>
      <c r="H173" s="265" t="s">
        <v>299</v>
      </c>
      <c r="I173" s="265" t="s">
        <v>300</v>
      </c>
      <c r="J173" s="265" t="s">
        <v>301</v>
      </c>
      <c r="K173" s="266" t="s">
        <v>302</v>
      </c>
    </row>
    <row r="174" spans="1:11" x14ac:dyDescent="0.35">
      <c r="A174" s="221" t="s">
        <v>303</v>
      </c>
      <c r="B174" s="222">
        <v>4394</v>
      </c>
      <c r="C174" s="222"/>
      <c r="D174" s="222"/>
      <c r="E174" s="223"/>
      <c r="G174" s="221" t="s">
        <v>303</v>
      </c>
      <c r="H174" s="222">
        <v>805</v>
      </c>
      <c r="I174" s="222"/>
      <c r="J174" s="222"/>
      <c r="K174" s="223"/>
    </row>
    <row r="175" spans="1:11" x14ac:dyDescent="0.35">
      <c r="A175" s="225" t="s">
        <v>304</v>
      </c>
      <c r="B175" s="226">
        <v>1920</v>
      </c>
      <c r="C175" s="226"/>
      <c r="D175" s="226"/>
      <c r="E175" s="227"/>
      <c r="G175" s="225"/>
      <c r="H175" s="226"/>
      <c r="I175" s="226"/>
      <c r="J175" s="226"/>
      <c r="K175" s="227"/>
    </row>
    <row r="176" spans="1:11" x14ac:dyDescent="0.35">
      <c r="A176" s="225"/>
      <c r="B176" s="226"/>
      <c r="C176" s="226"/>
      <c r="D176" s="226"/>
      <c r="E176" s="227"/>
      <c r="G176" s="225"/>
      <c r="H176" s="226"/>
      <c r="I176" s="226"/>
      <c r="J176" s="226"/>
      <c r="K176" s="227"/>
    </row>
    <row r="177" spans="1:11" x14ac:dyDescent="0.35">
      <c r="A177" s="221"/>
      <c r="B177" s="222"/>
      <c r="C177" s="222"/>
      <c r="D177" s="222"/>
      <c r="E177" s="223"/>
      <c r="G177" s="221"/>
      <c r="H177" s="222"/>
      <c r="I177" s="222"/>
      <c r="J177" s="222"/>
      <c r="K177" s="223"/>
    </row>
    <row r="178" spans="1:11" x14ac:dyDescent="0.35">
      <c r="A178" s="225"/>
      <c r="B178" s="226"/>
      <c r="C178" s="226"/>
      <c r="D178" s="226"/>
      <c r="E178" s="227"/>
      <c r="G178" s="225"/>
      <c r="H178" s="226"/>
      <c r="I178" s="226"/>
      <c r="J178" s="226"/>
      <c r="K178" s="227"/>
    </row>
    <row r="179" spans="1:11" ht="15" thickBot="1" x14ac:dyDescent="0.4">
      <c r="A179" s="218" t="s">
        <v>34</v>
      </c>
      <c r="B179" s="219">
        <f>SUM(B174:B178)</f>
        <v>6314</v>
      </c>
      <c r="C179" s="219">
        <f>SUM(C174:C178)</f>
        <v>0</v>
      </c>
      <c r="D179" s="219">
        <f>SUM(D174:D178)</f>
        <v>0</v>
      </c>
      <c r="E179" s="219">
        <f>SUM(E174:E178)</f>
        <v>0</v>
      </c>
      <c r="G179" s="218" t="s">
        <v>34</v>
      </c>
      <c r="H179" s="219">
        <f>SUM(H174:H178)</f>
        <v>805</v>
      </c>
      <c r="I179" s="219">
        <f>SUM(I174:I178)</f>
        <v>0</v>
      </c>
      <c r="J179" s="219">
        <f>SUM(J174:J178)</f>
        <v>0</v>
      </c>
      <c r="K179" s="219">
        <f>SUM(K174:K178)</f>
        <v>0</v>
      </c>
    </row>
    <row r="180" spans="1:11" x14ac:dyDescent="0.35">
      <c r="A180" s="220" t="s">
        <v>305</v>
      </c>
      <c r="B180" s="220">
        <f>+B179+C179+D179+E179</f>
        <v>6314</v>
      </c>
      <c r="C180" s="220"/>
      <c r="D180" s="220"/>
      <c r="E180" s="220"/>
      <c r="G180" s="220" t="s">
        <v>305</v>
      </c>
      <c r="H180" s="220">
        <f>+H179+I179+J179+K179</f>
        <v>805</v>
      </c>
      <c r="I180" s="220"/>
      <c r="J180" s="220"/>
      <c r="K180" s="220"/>
    </row>
    <row r="181" spans="1:11" ht="15" thickBot="1" x14ac:dyDescent="0.4">
      <c r="A181" s="315" t="s">
        <v>298</v>
      </c>
      <c r="B181" s="315"/>
      <c r="C181" s="315"/>
      <c r="D181" s="315"/>
      <c r="E181" s="315"/>
      <c r="G181" s="315" t="s">
        <v>314</v>
      </c>
      <c r="H181" s="315"/>
      <c r="I181" s="315"/>
      <c r="J181" s="315"/>
      <c r="K181" s="315"/>
    </row>
    <row r="182" spans="1:11" ht="15" thickTop="1" x14ac:dyDescent="0.35">
      <c r="A182" s="313">
        <v>45310</v>
      </c>
      <c r="B182" s="314"/>
      <c r="C182" s="314"/>
      <c r="D182" s="314"/>
      <c r="E182" s="314"/>
      <c r="G182" s="313">
        <v>45310</v>
      </c>
      <c r="H182" s="314"/>
      <c r="I182" s="314"/>
      <c r="J182" s="314"/>
      <c r="K182" s="314"/>
    </row>
    <row r="183" spans="1:11" x14ac:dyDescent="0.35">
      <c r="A183" s="261" t="s">
        <v>159</v>
      </c>
      <c r="B183" s="262" t="s">
        <v>299</v>
      </c>
      <c r="C183" s="262" t="s">
        <v>300</v>
      </c>
      <c r="D183" s="262" t="s">
        <v>301</v>
      </c>
      <c r="E183" s="263" t="s">
        <v>302</v>
      </c>
      <c r="G183" s="264" t="s">
        <v>159</v>
      </c>
      <c r="H183" s="265" t="s">
        <v>299</v>
      </c>
      <c r="I183" s="265" t="s">
        <v>300</v>
      </c>
      <c r="J183" s="265" t="s">
        <v>301</v>
      </c>
      <c r="K183" s="266" t="s">
        <v>302</v>
      </c>
    </row>
    <row r="184" spans="1:11" x14ac:dyDescent="0.35">
      <c r="A184" s="221" t="s">
        <v>303</v>
      </c>
      <c r="B184" s="222">
        <v>5570</v>
      </c>
      <c r="C184" s="222"/>
      <c r="D184" s="222"/>
      <c r="E184" s="223"/>
      <c r="G184" s="221" t="s">
        <v>303</v>
      </c>
      <c r="H184" s="222">
        <v>901</v>
      </c>
      <c r="I184" s="222"/>
      <c r="J184" s="222"/>
      <c r="K184" s="223"/>
    </row>
    <row r="185" spans="1:11" x14ac:dyDescent="0.35">
      <c r="A185" s="225" t="s">
        <v>304</v>
      </c>
      <c r="B185" s="226"/>
      <c r="C185" s="226"/>
      <c r="D185" s="226"/>
      <c r="E185" s="227"/>
      <c r="G185" s="225"/>
      <c r="H185" s="226"/>
      <c r="I185" s="226"/>
      <c r="J185" s="226"/>
      <c r="K185" s="227"/>
    </row>
    <row r="186" spans="1:11" x14ac:dyDescent="0.35">
      <c r="A186" s="225"/>
      <c r="B186" s="226"/>
      <c r="C186" s="226"/>
      <c r="D186" s="226"/>
      <c r="E186" s="227"/>
      <c r="G186" s="225"/>
      <c r="H186" s="226"/>
      <c r="I186" s="226"/>
      <c r="J186" s="226"/>
      <c r="K186" s="227"/>
    </row>
    <row r="187" spans="1:11" x14ac:dyDescent="0.35">
      <c r="A187" s="221"/>
      <c r="B187" s="222"/>
      <c r="C187" s="222"/>
      <c r="D187" s="222"/>
      <c r="E187" s="223"/>
      <c r="G187" s="221"/>
      <c r="H187" s="222"/>
      <c r="I187" s="222"/>
      <c r="J187" s="222"/>
      <c r="K187" s="223"/>
    </row>
    <row r="188" spans="1:11" x14ac:dyDescent="0.35">
      <c r="A188" s="225"/>
      <c r="B188" s="226"/>
      <c r="C188" s="226"/>
      <c r="D188" s="226"/>
      <c r="E188" s="227"/>
      <c r="G188" s="225"/>
      <c r="H188" s="226"/>
      <c r="I188" s="226"/>
      <c r="J188" s="226"/>
      <c r="K188" s="227"/>
    </row>
    <row r="189" spans="1:11" ht="15" thickBot="1" x14ac:dyDescent="0.4">
      <c r="A189" s="218" t="s">
        <v>34</v>
      </c>
      <c r="B189" s="219">
        <f>SUM(B184:B188)</f>
        <v>5570</v>
      </c>
      <c r="C189" s="219">
        <f>SUM(C184:C188)</f>
        <v>0</v>
      </c>
      <c r="D189" s="219">
        <f>SUM(D184:D188)</f>
        <v>0</v>
      </c>
      <c r="E189" s="219">
        <f>SUM(E184:E188)</f>
        <v>0</v>
      </c>
      <c r="G189" s="218" t="s">
        <v>34</v>
      </c>
      <c r="H189" s="219">
        <f>SUM(H184:H188)</f>
        <v>901</v>
      </c>
      <c r="I189" s="219">
        <f>SUM(I184:I188)</f>
        <v>0</v>
      </c>
      <c r="J189" s="219">
        <f>SUM(J184:J188)</f>
        <v>0</v>
      </c>
      <c r="K189" s="219">
        <f>SUM(K184:K188)</f>
        <v>0</v>
      </c>
    </row>
    <row r="190" spans="1:11" x14ac:dyDescent="0.35">
      <c r="A190" s="220" t="s">
        <v>305</v>
      </c>
      <c r="B190" s="220">
        <f>+B189+C189+D189+E189</f>
        <v>5570</v>
      </c>
      <c r="C190" s="220"/>
      <c r="D190" s="220"/>
      <c r="E190" s="220"/>
      <c r="G190" s="220" t="s">
        <v>305</v>
      </c>
      <c r="H190" s="220">
        <f>+H189+I189+J189+K189</f>
        <v>901</v>
      </c>
      <c r="I190" s="220"/>
      <c r="J190" s="220"/>
      <c r="K190" s="220"/>
    </row>
    <row r="191" spans="1:11" ht="15" thickBot="1" x14ac:dyDescent="0.4">
      <c r="A191" s="315" t="s">
        <v>298</v>
      </c>
      <c r="B191" s="315"/>
      <c r="C191" s="315"/>
      <c r="D191" s="315"/>
      <c r="E191" s="315"/>
      <c r="G191" s="315" t="s">
        <v>314</v>
      </c>
      <c r="H191" s="315"/>
      <c r="I191" s="315"/>
      <c r="J191" s="315"/>
      <c r="K191" s="315"/>
    </row>
    <row r="192" spans="1:11" ht="15" thickTop="1" x14ac:dyDescent="0.35">
      <c r="A192" s="313">
        <v>45311</v>
      </c>
      <c r="B192" s="314"/>
      <c r="C192" s="314"/>
      <c r="D192" s="314"/>
      <c r="E192" s="314"/>
      <c r="G192" s="313">
        <v>45311</v>
      </c>
      <c r="H192" s="314"/>
      <c r="I192" s="314"/>
      <c r="J192" s="314"/>
      <c r="K192" s="314"/>
    </row>
    <row r="193" spans="1:11" x14ac:dyDescent="0.35">
      <c r="A193" s="261" t="s">
        <v>159</v>
      </c>
      <c r="B193" s="262" t="s">
        <v>299</v>
      </c>
      <c r="C193" s="262" t="s">
        <v>300</v>
      </c>
      <c r="D193" s="262" t="s">
        <v>301</v>
      </c>
      <c r="E193" s="263" t="s">
        <v>302</v>
      </c>
      <c r="G193" s="264" t="s">
        <v>159</v>
      </c>
      <c r="H193" s="265" t="s">
        <v>299</v>
      </c>
      <c r="I193" s="265" t="s">
        <v>300</v>
      </c>
      <c r="J193" s="265" t="s">
        <v>301</v>
      </c>
      <c r="K193" s="266" t="s">
        <v>302</v>
      </c>
    </row>
    <row r="194" spans="1:11" x14ac:dyDescent="0.35">
      <c r="A194" s="221" t="s">
        <v>303</v>
      </c>
      <c r="B194" s="222">
        <v>10049</v>
      </c>
      <c r="C194" s="222"/>
      <c r="D194" s="222"/>
      <c r="E194" s="223"/>
      <c r="G194" s="221" t="s">
        <v>303</v>
      </c>
      <c r="H194" s="222">
        <v>3619</v>
      </c>
      <c r="I194" s="222"/>
      <c r="J194" s="222"/>
      <c r="K194" s="223"/>
    </row>
    <row r="195" spans="1:11" x14ac:dyDescent="0.35">
      <c r="A195" s="225" t="s">
        <v>304</v>
      </c>
      <c r="B195" s="226"/>
      <c r="C195" s="226"/>
      <c r="D195" s="226"/>
      <c r="E195" s="227"/>
      <c r="G195" s="225"/>
      <c r="H195" s="226"/>
      <c r="I195" s="226"/>
      <c r="J195" s="226"/>
      <c r="K195" s="227"/>
    </row>
    <row r="196" spans="1:11" x14ac:dyDescent="0.35">
      <c r="A196" s="225"/>
      <c r="B196" s="226"/>
      <c r="C196" s="226"/>
      <c r="D196" s="226"/>
      <c r="E196" s="227"/>
      <c r="G196" s="225"/>
      <c r="H196" s="226"/>
      <c r="I196" s="226"/>
      <c r="J196" s="226"/>
      <c r="K196" s="227"/>
    </row>
    <row r="197" spans="1:11" x14ac:dyDescent="0.35">
      <c r="A197" s="221"/>
      <c r="B197" s="222"/>
      <c r="C197" s="222"/>
      <c r="D197" s="222"/>
      <c r="E197" s="223"/>
      <c r="G197" s="221"/>
      <c r="H197" s="222"/>
      <c r="I197" s="222"/>
      <c r="J197" s="222"/>
      <c r="K197" s="223"/>
    </row>
    <row r="198" spans="1:11" x14ac:dyDescent="0.35">
      <c r="A198" s="225"/>
      <c r="B198" s="226"/>
      <c r="C198" s="226"/>
      <c r="D198" s="226"/>
      <c r="E198" s="227"/>
      <c r="G198" s="225"/>
      <c r="H198" s="226"/>
      <c r="I198" s="226"/>
      <c r="J198" s="226"/>
      <c r="K198" s="227"/>
    </row>
    <row r="199" spans="1:11" ht="15" thickBot="1" x14ac:dyDescent="0.4">
      <c r="A199" s="218" t="s">
        <v>34</v>
      </c>
      <c r="B199" s="219">
        <f>SUM(B194:B198)</f>
        <v>10049</v>
      </c>
      <c r="C199" s="219">
        <f>SUM(C194:C198)</f>
        <v>0</v>
      </c>
      <c r="D199" s="219">
        <f>SUM(D194:D198)</f>
        <v>0</v>
      </c>
      <c r="E199" s="219">
        <f>SUM(E194:E198)</f>
        <v>0</v>
      </c>
      <c r="G199" s="218" t="s">
        <v>34</v>
      </c>
      <c r="H199" s="219">
        <f>SUM(H194:H198)</f>
        <v>3619</v>
      </c>
      <c r="I199" s="219">
        <f>SUM(I194:I198)</f>
        <v>0</v>
      </c>
      <c r="J199" s="219">
        <f>SUM(J194:J198)</f>
        <v>0</v>
      </c>
      <c r="K199" s="219">
        <f>SUM(K194:K198)</f>
        <v>0</v>
      </c>
    </row>
    <row r="200" spans="1:11" x14ac:dyDescent="0.35">
      <c r="A200" s="220" t="s">
        <v>305</v>
      </c>
      <c r="B200" s="220">
        <f>+B199+C199+D199+E199</f>
        <v>10049</v>
      </c>
      <c r="C200" s="220"/>
      <c r="D200" s="220"/>
      <c r="E200" s="220"/>
      <c r="G200" s="220" t="s">
        <v>305</v>
      </c>
      <c r="H200" s="220">
        <f>+H199+I199+J199+K199</f>
        <v>3619</v>
      </c>
      <c r="I200" s="220"/>
      <c r="J200" s="220"/>
      <c r="K200" s="220"/>
    </row>
    <row r="201" spans="1:11" ht="15" thickBot="1" x14ac:dyDescent="0.4">
      <c r="A201" s="315" t="s">
        <v>298</v>
      </c>
      <c r="B201" s="315"/>
      <c r="C201" s="315"/>
      <c r="D201" s="315"/>
      <c r="E201" s="315"/>
      <c r="G201" s="315" t="s">
        <v>314</v>
      </c>
      <c r="H201" s="315"/>
      <c r="I201" s="315"/>
      <c r="J201" s="315"/>
      <c r="K201" s="315"/>
    </row>
    <row r="202" spans="1:11" ht="15" thickTop="1" x14ac:dyDescent="0.35">
      <c r="A202" s="313">
        <v>45312</v>
      </c>
      <c r="B202" s="314"/>
      <c r="C202" s="314"/>
      <c r="D202" s="314"/>
      <c r="E202" s="314"/>
      <c r="G202" s="313">
        <v>45312</v>
      </c>
      <c r="H202" s="314"/>
      <c r="I202" s="314"/>
      <c r="J202" s="314"/>
      <c r="K202" s="314"/>
    </row>
    <row r="203" spans="1:11" x14ac:dyDescent="0.35">
      <c r="A203" s="261" t="s">
        <v>159</v>
      </c>
      <c r="B203" s="262" t="s">
        <v>299</v>
      </c>
      <c r="C203" s="262" t="s">
        <v>300</v>
      </c>
      <c r="D203" s="262" t="s">
        <v>301</v>
      </c>
      <c r="E203" s="263" t="s">
        <v>302</v>
      </c>
      <c r="G203" s="264" t="s">
        <v>159</v>
      </c>
      <c r="H203" s="265" t="s">
        <v>299</v>
      </c>
      <c r="I203" s="265" t="s">
        <v>300</v>
      </c>
      <c r="J203" s="265" t="s">
        <v>301</v>
      </c>
      <c r="K203" s="266" t="s">
        <v>302</v>
      </c>
    </row>
    <row r="204" spans="1:11" x14ac:dyDescent="0.35">
      <c r="A204" s="221" t="s">
        <v>303</v>
      </c>
      <c r="B204" s="222">
        <v>11469</v>
      </c>
      <c r="C204" s="222"/>
      <c r="D204" s="222"/>
      <c r="E204" s="223"/>
      <c r="G204" s="221" t="s">
        <v>303</v>
      </c>
      <c r="H204" s="222">
        <v>4514</v>
      </c>
      <c r="I204" s="222"/>
      <c r="J204" s="222"/>
      <c r="K204" s="223"/>
    </row>
    <row r="205" spans="1:11" x14ac:dyDescent="0.35">
      <c r="A205" s="225" t="s">
        <v>304</v>
      </c>
      <c r="B205" s="226"/>
      <c r="C205" s="226"/>
      <c r="D205" s="226"/>
      <c r="E205" s="227"/>
      <c r="G205" s="225"/>
      <c r="H205" s="226"/>
      <c r="I205" s="226"/>
      <c r="J205" s="226"/>
      <c r="K205" s="227"/>
    </row>
    <row r="206" spans="1:11" x14ac:dyDescent="0.35">
      <c r="A206" s="225"/>
      <c r="B206" s="226"/>
      <c r="C206" s="226"/>
      <c r="D206" s="226"/>
      <c r="E206" s="227"/>
      <c r="G206" s="225"/>
      <c r="H206" s="226"/>
      <c r="I206" s="226"/>
      <c r="J206" s="226"/>
      <c r="K206" s="227"/>
    </row>
    <row r="207" spans="1:11" x14ac:dyDescent="0.35">
      <c r="A207" s="221"/>
      <c r="B207" s="222"/>
      <c r="C207" s="222"/>
      <c r="D207" s="222"/>
      <c r="E207" s="223"/>
      <c r="G207" s="221"/>
      <c r="H207" s="222"/>
      <c r="I207" s="222"/>
      <c r="J207" s="222"/>
      <c r="K207" s="223"/>
    </row>
    <row r="208" spans="1:11" x14ac:dyDescent="0.35">
      <c r="A208" s="225"/>
      <c r="B208" s="226"/>
      <c r="C208" s="226"/>
      <c r="D208" s="226"/>
      <c r="E208" s="227"/>
      <c r="G208" s="225"/>
      <c r="H208" s="226"/>
      <c r="I208" s="226"/>
      <c r="J208" s="226"/>
      <c r="K208" s="227"/>
    </row>
    <row r="209" spans="1:11" ht="15" thickBot="1" x14ac:dyDescent="0.4">
      <c r="A209" s="218" t="s">
        <v>34</v>
      </c>
      <c r="B209" s="219">
        <f>SUM(B204:B208)</f>
        <v>11469</v>
      </c>
      <c r="C209" s="219">
        <f>SUM(C204:C208)</f>
        <v>0</v>
      </c>
      <c r="D209" s="219">
        <f>SUM(D204:D208)</f>
        <v>0</v>
      </c>
      <c r="E209" s="219">
        <f>SUM(E204:E208)</f>
        <v>0</v>
      </c>
      <c r="G209" s="218" t="s">
        <v>34</v>
      </c>
      <c r="H209" s="219">
        <f>SUM(H204:H208)</f>
        <v>4514</v>
      </c>
      <c r="I209" s="219">
        <f>SUM(I204:I208)</f>
        <v>0</v>
      </c>
      <c r="J209" s="219">
        <f>SUM(J204:J208)</f>
        <v>0</v>
      </c>
      <c r="K209" s="219">
        <f>SUM(K204:K208)</f>
        <v>0</v>
      </c>
    </row>
    <row r="210" spans="1:11" x14ac:dyDescent="0.35">
      <c r="A210" s="220" t="s">
        <v>305</v>
      </c>
      <c r="B210" s="220">
        <f>+B209+C209+D209+E209</f>
        <v>11469</v>
      </c>
      <c r="C210" s="220"/>
      <c r="D210" s="220"/>
      <c r="E210" s="220"/>
      <c r="G210" s="220" t="s">
        <v>305</v>
      </c>
      <c r="H210" s="220">
        <f>+H209+I209+J209+K209</f>
        <v>4514</v>
      </c>
      <c r="I210" s="220"/>
      <c r="J210" s="220"/>
      <c r="K210" s="220"/>
    </row>
    <row r="211" spans="1:11" ht="15" thickBot="1" x14ac:dyDescent="0.4">
      <c r="A211" s="315" t="s">
        <v>298</v>
      </c>
      <c r="B211" s="315"/>
      <c r="C211" s="315"/>
      <c r="D211" s="315"/>
      <c r="E211" s="315"/>
      <c r="G211" s="315" t="s">
        <v>314</v>
      </c>
      <c r="H211" s="315"/>
      <c r="I211" s="315"/>
      <c r="J211" s="315"/>
      <c r="K211" s="315"/>
    </row>
    <row r="212" spans="1:11" ht="15" thickTop="1" x14ac:dyDescent="0.35">
      <c r="A212" s="313">
        <v>45313</v>
      </c>
      <c r="B212" s="314"/>
      <c r="C212" s="314"/>
      <c r="D212" s="314"/>
      <c r="E212" s="314"/>
      <c r="G212" s="313">
        <v>45313</v>
      </c>
      <c r="H212" s="314"/>
      <c r="I212" s="314"/>
      <c r="J212" s="314"/>
      <c r="K212" s="314"/>
    </row>
    <row r="213" spans="1:11" x14ac:dyDescent="0.35">
      <c r="A213" s="261" t="s">
        <v>159</v>
      </c>
      <c r="B213" s="262" t="s">
        <v>299</v>
      </c>
      <c r="C213" s="262" t="s">
        <v>300</v>
      </c>
      <c r="D213" s="262" t="s">
        <v>301</v>
      </c>
      <c r="E213" s="263" t="s">
        <v>302</v>
      </c>
      <c r="G213" s="264" t="s">
        <v>159</v>
      </c>
      <c r="H213" s="265" t="s">
        <v>299</v>
      </c>
      <c r="I213" s="265" t="s">
        <v>300</v>
      </c>
      <c r="J213" s="265" t="s">
        <v>301</v>
      </c>
      <c r="K213" s="266" t="s">
        <v>302</v>
      </c>
    </row>
    <row r="214" spans="1:11" x14ac:dyDescent="0.35">
      <c r="A214" s="221" t="s">
        <v>303</v>
      </c>
      <c r="B214" s="222">
        <v>3731</v>
      </c>
      <c r="C214" s="222"/>
      <c r="D214" s="222"/>
      <c r="E214" s="223"/>
      <c r="G214" s="221" t="s">
        <v>303</v>
      </c>
      <c r="H214" s="222">
        <v>738</v>
      </c>
      <c r="I214" s="222"/>
      <c r="J214" s="222"/>
      <c r="K214" s="223"/>
    </row>
    <row r="215" spans="1:11" x14ac:dyDescent="0.35">
      <c r="A215" s="225" t="s">
        <v>304</v>
      </c>
      <c r="B215" s="226">
        <v>7305</v>
      </c>
      <c r="C215" s="226"/>
      <c r="D215" s="226"/>
      <c r="E215" s="227"/>
      <c r="G215" s="225"/>
      <c r="H215" s="226"/>
      <c r="I215" s="226"/>
      <c r="J215" s="226"/>
      <c r="K215" s="227"/>
    </row>
    <row r="216" spans="1:11" x14ac:dyDescent="0.35">
      <c r="A216" s="225"/>
      <c r="B216" s="226"/>
      <c r="C216" s="226"/>
      <c r="D216" s="226"/>
      <c r="E216" s="227"/>
      <c r="G216" s="225"/>
      <c r="H216" s="226"/>
      <c r="I216" s="226"/>
      <c r="J216" s="226"/>
      <c r="K216" s="227"/>
    </row>
    <row r="217" spans="1:11" x14ac:dyDescent="0.35">
      <c r="A217" s="221"/>
      <c r="B217" s="222"/>
      <c r="C217" s="222"/>
      <c r="D217" s="222"/>
      <c r="E217" s="223"/>
      <c r="G217" s="221"/>
      <c r="H217" s="222"/>
      <c r="I217" s="222"/>
      <c r="J217" s="222"/>
      <c r="K217" s="223"/>
    </row>
    <row r="218" spans="1:11" x14ac:dyDescent="0.35">
      <c r="A218" s="225"/>
      <c r="B218" s="226"/>
      <c r="C218" s="226"/>
      <c r="D218" s="226"/>
      <c r="E218" s="227"/>
      <c r="G218" s="225"/>
      <c r="H218" s="226"/>
      <c r="I218" s="226"/>
      <c r="J218" s="226"/>
      <c r="K218" s="227"/>
    </row>
    <row r="219" spans="1:11" ht="15" thickBot="1" x14ac:dyDescent="0.4">
      <c r="A219" s="218" t="s">
        <v>34</v>
      </c>
      <c r="B219" s="219">
        <f>SUM(B214:B218)</f>
        <v>11036</v>
      </c>
      <c r="C219" s="219">
        <f>SUM(C214:C218)</f>
        <v>0</v>
      </c>
      <c r="D219" s="219">
        <f>SUM(D214:D218)</f>
        <v>0</v>
      </c>
      <c r="E219" s="219">
        <f>SUM(E214:E218)</f>
        <v>0</v>
      </c>
      <c r="G219" s="218" t="s">
        <v>34</v>
      </c>
      <c r="H219" s="219">
        <f>SUM(H214:H218)</f>
        <v>738</v>
      </c>
      <c r="I219" s="219">
        <f>SUM(I214:I218)</f>
        <v>0</v>
      </c>
      <c r="J219" s="219">
        <f>SUM(J214:J218)</f>
        <v>0</v>
      </c>
      <c r="K219" s="219">
        <f>SUM(K214:K218)</f>
        <v>0</v>
      </c>
    </row>
    <row r="220" spans="1:11" x14ac:dyDescent="0.35">
      <c r="A220" s="220" t="s">
        <v>305</v>
      </c>
      <c r="B220" s="220">
        <f>+B219+C219+D219+E219</f>
        <v>11036</v>
      </c>
      <c r="C220" s="220"/>
      <c r="D220" s="220"/>
      <c r="E220" s="220"/>
      <c r="G220" s="220" t="s">
        <v>305</v>
      </c>
      <c r="H220" s="220">
        <f>+H219+I219+J219+K219</f>
        <v>738</v>
      </c>
      <c r="I220" s="220"/>
      <c r="J220" s="220"/>
      <c r="K220" s="220"/>
    </row>
    <row r="221" spans="1:11" ht="15" thickBot="1" x14ac:dyDescent="0.4">
      <c r="A221" s="315" t="s">
        <v>298</v>
      </c>
      <c r="B221" s="315"/>
      <c r="C221" s="315"/>
      <c r="D221" s="315"/>
      <c r="E221" s="315"/>
      <c r="G221" s="315" t="s">
        <v>314</v>
      </c>
      <c r="H221" s="315"/>
      <c r="I221" s="315"/>
      <c r="J221" s="315"/>
      <c r="K221" s="315"/>
    </row>
    <row r="222" spans="1:11" ht="15" thickTop="1" x14ac:dyDescent="0.35">
      <c r="A222" s="313">
        <v>45314</v>
      </c>
      <c r="B222" s="314"/>
      <c r="C222" s="314"/>
      <c r="D222" s="314"/>
      <c r="E222" s="314"/>
      <c r="G222" s="313">
        <v>45314</v>
      </c>
      <c r="H222" s="314"/>
      <c r="I222" s="314"/>
      <c r="J222" s="314"/>
      <c r="K222" s="314"/>
    </row>
    <row r="223" spans="1:11" x14ac:dyDescent="0.35">
      <c r="A223" s="261" t="s">
        <v>159</v>
      </c>
      <c r="B223" s="262" t="s">
        <v>299</v>
      </c>
      <c r="C223" s="262" t="s">
        <v>300</v>
      </c>
      <c r="D223" s="262" t="s">
        <v>301</v>
      </c>
      <c r="E223" s="263" t="s">
        <v>302</v>
      </c>
      <c r="G223" s="264" t="s">
        <v>159</v>
      </c>
      <c r="H223" s="265" t="s">
        <v>299</v>
      </c>
      <c r="I223" s="265" t="s">
        <v>300</v>
      </c>
      <c r="J223" s="265" t="s">
        <v>301</v>
      </c>
      <c r="K223" s="266" t="s">
        <v>302</v>
      </c>
    </row>
    <row r="224" spans="1:11" x14ac:dyDescent="0.35">
      <c r="A224" s="221" t="s">
        <v>303</v>
      </c>
      <c r="B224" s="222">
        <v>275</v>
      </c>
      <c r="C224" s="222"/>
      <c r="D224" s="222"/>
      <c r="E224" s="223"/>
      <c r="G224" s="221" t="s">
        <v>303</v>
      </c>
      <c r="H224" s="222">
        <v>1024</v>
      </c>
      <c r="I224" s="222"/>
      <c r="J224" s="222"/>
      <c r="K224" s="223"/>
    </row>
    <row r="225" spans="1:11" x14ac:dyDescent="0.35">
      <c r="A225" s="225" t="s">
        <v>304</v>
      </c>
      <c r="B225" s="226">
        <v>21625</v>
      </c>
      <c r="C225" s="226"/>
      <c r="D225" s="226"/>
      <c r="E225" s="227"/>
      <c r="G225" s="225"/>
      <c r="H225" s="226"/>
      <c r="I225" s="226"/>
      <c r="J225" s="226"/>
      <c r="K225" s="227"/>
    </row>
    <row r="226" spans="1:11" x14ac:dyDescent="0.35">
      <c r="A226" s="225"/>
      <c r="B226" s="226"/>
      <c r="C226" s="226"/>
      <c r="D226" s="226"/>
      <c r="E226" s="227"/>
      <c r="G226" s="225"/>
      <c r="H226" s="226"/>
      <c r="I226" s="226"/>
      <c r="J226" s="226"/>
      <c r="K226" s="227"/>
    </row>
    <row r="227" spans="1:11" x14ac:dyDescent="0.35">
      <c r="A227" s="221"/>
      <c r="B227" s="222"/>
      <c r="C227" s="222"/>
      <c r="D227" s="222"/>
      <c r="E227" s="223"/>
      <c r="G227" s="221"/>
      <c r="H227" s="222"/>
      <c r="I227" s="222"/>
      <c r="J227" s="222"/>
      <c r="K227" s="223"/>
    </row>
    <row r="228" spans="1:11" x14ac:dyDescent="0.35">
      <c r="A228" s="225"/>
      <c r="B228" s="226"/>
      <c r="C228" s="226"/>
      <c r="D228" s="226"/>
      <c r="E228" s="227"/>
      <c r="G228" s="225"/>
      <c r="H228" s="226"/>
      <c r="I228" s="226"/>
      <c r="J228" s="226"/>
      <c r="K228" s="227"/>
    </row>
    <row r="229" spans="1:11" ht="15" thickBot="1" x14ac:dyDescent="0.4">
      <c r="A229" s="218" t="s">
        <v>34</v>
      </c>
      <c r="B229" s="219">
        <f>SUM(B224:B228)</f>
        <v>21900</v>
      </c>
      <c r="C229" s="219">
        <f>SUM(C224:C228)</f>
        <v>0</v>
      </c>
      <c r="D229" s="219">
        <f>SUM(D224:D228)</f>
        <v>0</v>
      </c>
      <c r="E229" s="219">
        <f>SUM(E224:E228)</f>
        <v>0</v>
      </c>
      <c r="G229" s="218" t="s">
        <v>34</v>
      </c>
      <c r="H229" s="219">
        <f>SUM(H224:H228)</f>
        <v>1024</v>
      </c>
      <c r="I229" s="219">
        <f>SUM(I224:I228)</f>
        <v>0</v>
      </c>
      <c r="J229" s="219">
        <f>SUM(J224:J228)</f>
        <v>0</v>
      </c>
      <c r="K229" s="219">
        <f>SUM(K224:K228)</f>
        <v>0</v>
      </c>
    </row>
    <row r="230" spans="1:11" x14ac:dyDescent="0.35">
      <c r="A230" s="220" t="s">
        <v>305</v>
      </c>
      <c r="B230" s="220">
        <f>+B229+C229+D229+E229</f>
        <v>21900</v>
      </c>
      <c r="C230" s="220"/>
      <c r="D230" s="220"/>
      <c r="E230" s="220"/>
      <c r="G230" s="220" t="s">
        <v>305</v>
      </c>
      <c r="H230" s="220">
        <f>+H229+I229+J229+K229</f>
        <v>1024</v>
      </c>
      <c r="I230" s="220"/>
      <c r="J230" s="220"/>
      <c r="K230" s="220"/>
    </row>
    <row r="231" spans="1:11" ht="15" thickBot="1" x14ac:dyDescent="0.4">
      <c r="A231" s="315" t="s">
        <v>298</v>
      </c>
      <c r="B231" s="315"/>
      <c r="C231" s="315"/>
      <c r="D231" s="315"/>
      <c r="E231" s="315"/>
      <c r="G231" s="315" t="s">
        <v>314</v>
      </c>
      <c r="H231" s="315"/>
      <c r="I231" s="315"/>
      <c r="J231" s="315"/>
      <c r="K231" s="315"/>
    </row>
    <row r="232" spans="1:11" ht="15" thickTop="1" x14ac:dyDescent="0.35">
      <c r="A232" s="313">
        <v>45315</v>
      </c>
      <c r="B232" s="314"/>
      <c r="C232" s="314"/>
      <c r="D232" s="314"/>
      <c r="E232" s="314"/>
      <c r="G232" s="313">
        <v>45315</v>
      </c>
      <c r="H232" s="314"/>
      <c r="I232" s="314"/>
      <c r="J232" s="314"/>
      <c r="K232" s="314"/>
    </row>
    <row r="233" spans="1:11" x14ac:dyDescent="0.35">
      <c r="A233" s="261" t="s">
        <v>159</v>
      </c>
      <c r="B233" s="262" t="s">
        <v>299</v>
      </c>
      <c r="C233" s="262" t="s">
        <v>300</v>
      </c>
      <c r="D233" s="262" t="s">
        <v>301</v>
      </c>
      <c r="E233" s="263" t="s">
        <v>302</v>
      </c>
      <c r="G233" s="264" t="s">
        <v>159</v>
      </c>
      <c r="H233" s="265" t="s">
        <v>299</v>
      </c>
      <c r="I233" s="265" t="s">
        <v>300</v>
      </c>
      <c r="J233" s="265" t="s">
        <v>301</v>
      </c>
      <c r="K233" s="266" t="s">
        <v>302</v>
      </c>
    </row>
    <row r="234" spans="1:11" x14ac:dyDescent="0.35">
      <c r="A234" s="221" t="s">
        <v>303</v>
      </c>
      <c r="B234" s="222">
        <v>2160</v>
      </c>
      <c r="C234" s="222"/>
      <c r="D234" s="222"/>
      <c r="E234" s="223"/>
      <c r="G234" s="221" t="s">
        <v>303</v>
      </c>
      <c r="H234" s="222"/>
      <c r="I234" s="222"/>
      <c r="J234" s="222"/>
      <c r="K234" s="223"/>
    </row>
    <row r="235" spans="1:11" x14ac:dyDescent="0.35">
      <c r="A235" s="225" t="s">
        <v>304</v>
      </c>
      <c r="B235" s="226"/>
      <c r="C235" s="226"/>
      <c r="D235" s="226"/>
      <c r="E235" s="227"/>
      <c r="G235" s="225"/>
      <c r="H235" s="226"/>
      <c r="I235" s="226"/>
      <c r="J235" s="226"/>
      <c r="K235" s="227"/>
    </row>
    <row r="236" spans="1:11" x14ac:dyDescent="0.35">
      <c r="A236" s="225"/>
      <c r="B236" s="226"/>
      <c r="C236" s="226"/>
      <c r="D236" s="226"/>
      <c r="E236" s="227"/>
      <c r="G236" s="225"/>
      <c r="H236" s="226"/>
      <c r="I236" s="226"/>
      <c r="J236" s="226"/>
      <c r="K236" s="227"/>
    </row>
    <row r="237" spans="1:11" x14ac:dyDescent="0.35">
      <c r="A237" s="221"/>
      <c r="B237" s="222"/>
      <c r="C237" s="222"/>
      <c r="D237" s="222"/>
      <c r="E237" s="223"/>
      <c r="G237" s="221"/>
      <c r="H237" s="222"/>
      <c r="I237" s="222"/>
      <c r="J237" s="222"/>
      <c r="K237" s="223"/>
    </row>
    <row r="238" spans="1:11" x14ac:dyDescent="0.35">
      <c r="A238" s="225"/>
      <c r="B238" s="226"/>
      <c r="C238" s="226"/>
      <c r="D238" s="226"/>
      <c r="E238" s="227"/>
      <c r="G238" s="225"/>
      <c r="H238" s="226"/>
      <c r="I238" s="226"/>
      <c r="J238" s="226"/>
      <c r="K238" s="227"/>
    </row>
    <row r="239" spans="1:11" ht="15" thickBot="1" x14ac:dyDescent="0.4">
      <c r="A239" s="218" t="s">
        <v>34</v>
      </c>
      <c r="B239" s="219">
        <f>SUM(B234:B238)</f>
        <v>2160</v>
      </c>
      <c r="C239" s="219">
        <f>SUM(C234:C238)</f>
        <v>0</v>
      </c>
      <c r="D239" s="219">
        <f>SUM(D234:D238)</f>
        <v>0</v>
      </c>
      <c r="E239" s="219">
        <f>SUM(E234:E238)</f>
        <v>0</v>
      </c>
      <c r="G239" s="218" t="s">
        <v>34</v>
      </c>
      <c r="H239" s="219">
        <f>SUM(H234:H238)</f>
        <v>0</v>
      </c>
      <c r="I239" s="219">
        <f>SUM(I234:I238)</f>
        <v>0</v>
      </c>
      <c r="J239" s="219">
        <f>SUM(J234:J238)</f>
        <v>0</v>
      </c>
      <c r="K239" s="219">
        <f>SUM(K234:K238)</f>
        <v>0</v>
      </c>
    </row>
    <row r="240" spans="1:11" x14ac:dyDescent="0.35">
      <c r="A240" s="220" t="s">
        <v>305</v>
      </c>
      <c r="B240" s="220">
        <f>+B239+C239+D239+E239</f>
        <v>2160</v>
      </c>
      <c r="C240" s="220"/>
      <c r="D240" s="220"/>
      <c r="E240" s="220"/>
      <c r="G240" s="220" t="s">
        <v>305</v>
      </c>
      <c r="H240" s="220">
        <f>+H239+I239+J239+K239</f>
        <v>0</v>
      </c>
      <c r="I240" s="220"/>
      <c r="J240" s="220"/>
      <c r="K240" s="220"/>
    </row>
    <row r="241" spans="1:11" ht="15" thickBot="1" x14ac:dyDescent="0.4">
      <c r="A241" s="315" t="s">
        <v>298</v>
      </c>
      <c r="B241" s="315"/>
      <c r="C241" s="315"/>
      <c r="D241" s="315"/>
      <c r="E241" s="315"/>
      <c r="G241" s="315" t="s">
        <v>314</v>
      </c>
      <c r="H241" s="315"/>
      <c r="I241" s="315"/>
      <c r="J241" s="315"/>
      <c r="K241" s="315"/>
    </row>
    <row r="242" spans="1:11" ht="15" thickTop="1" x14ac:dyDescent="0.35">
      <c r="A242" s="313">
        <v>45316</v>
      </c>
      <c r="B242" s="314"/>
      <c r="C242" s="314"/>
      <c r="D242" s="314"/>
      <c r="E242" s="314"/>
      <c r="G242" s="313">
        <v>45316</v>
      </c>
      <c r="H242" s="314"/>
      <c r="I242" s="314"/>
      <c r="J242" s="314"/>
      <c r="K242" s="314"/>
    </row>
    <row r="243" spans="1:11" x14ac:dyDescent="0.35">
      <c r="A243" s="261" t="s">
        <v>159</v>
      </c>
      <c r="B243" s="262" t="s">
        <v>299</v>
      </c>
      <c r="C243" s="262" t="s">
        <v>300</v>
      </c>
      <c r="D243" s="262" t="s">
        <v>301</v>
      </c>
      <c r="E243" s="263" t="s">
        <v>302</v>
      </c>
      <c r="G243" s="264" t="s">
        <v>159</v>
      </c>
      <c r="H243" s="265" t="s">
        <v>299</v>
      </c>
      <c r="I243" s="265" t="s">
        <v>300</v>
      </c>
      <c r="J243" s="265" t="s">
        <v>301</v>
      </c>
      <c r="K243" s="266" t="s">
        <v>302</v>
      </c>
    </row>
    <row r="244" spans="1:11" x14ac:dyDescent="0.35">
      <c r="A244" s="221" t="s">
        <v>303</v>
      </c>
      <c r="B244" s="222">
        <v>7425</v>
      </c>
      <c r="C244" s="222"/>
      <c r="D244" s="222"/>
      <c r="E244" s="223"/>
      <c r="G244" s="221" t="s">
        <v>303</v>
      </c>
      <c r="H244" s="222">
        <v>1373</v>
      </c>
      <c r="I244" s="222"/>
      <c r="J244" s="222"/>
      <c r="K244" s="223"/>
    </row>
    <row r="245" spans="1:11" x14ac:dyDescent="0.35">
      <c r="A245" s="225" t="s">
        <v>304</v>
      </c>
      <c r="B245" s="226">
        <v>1130</v>
      </c>
      <c r="C245" s="226"/>
      <c r="D245" s="226"/>
      <c r="E245" s="227"/>
      <c r="G245" s="225"/>
      <c r="H245" s="226"/>
      <c r="I245" s="226"/>
      <c r="J245" s="226"/>
      <c r="K245" s="227"/>
    </row>
    <row r="246" spans="1:11" x14ac:dyDescent="0.35">
      <c r="A246" s="225"/>
      <c r="B246" s="226"/>
      <c r="C246" s="226"/>
      <c r="D246" s="226"/>
      <c r="E246" s="227"/>
      <c r="G246" s="225"/>
      <c r="H246" s="226"/>
      <c r="I246" s="226"/>
      <c r="J246" s="226"/>
      <c r="K246" s="227"/>
    </row>
    <row r="247" spans="1:11" x14ac:dyDescent="0.35">
      <c r="A247" s="221"/>
      <c r="B247" s="222"/>
      <c r="C247" s="222"/>
      <c r="D247" s="222"/>
      <c r="E247" s="223"/>
      <c r="G247" s="221"/>
      <c r="H247" s="222"/>
      <c r="I247" s="222"/>
      <c r="J247" s="222"/>
      <c r="K247" s="223"/>
    </row>
    <row r="248" spans="1:11" x14ac:dyDescent="0.35">
      <c r="A248" s="225"/>
      <c r="B248" s="226"/>
      <c r="C248" s="226"/>
      <c r="D248" s="226"/>
      <c r="E248" s="227"/>
      <c r="G248" s="225"/>
      <c r="H248" s="226"/>
      <c r="I248" s="226"/>
      <c r="J248" s="226"/>
      <c r="K248" s="227"/>
    </row>
    <row r="249" spans="1:11" ht="15" thickBot="1" x14ac:dyDescent="0.4">
      <c r="A249" s="218" t="s">
        <v>34</v>
      </c>
      <c r="B249" s="219">
        <f>SUM(B244:B248)</f>
        <v>8555</v>
      </c>
      <c r="C249" s="219">
        <f>SUM(C244:C248)</f>
        <v>0</v>
      </c>
      <c r="D249" s="219">
        <f>SUM(D244:D248)</f>
        <v>0</v>
      </c>
      <c r="E249" s="219">
        <f>SUM(E244:E248)</f>
        <v>0</v>
      </c>
      <c r="G249" s="218" t="s">
        <v>34</v>
      </c>
      <c r="H249" s="219">
        <f>SUM(H244:H248)</f>
        <v>1373</v>
      </c>
      <c r="I249" s="219">
        <f>SUM(I244:I248)</f>
        <v>0</v>
      </c>
      <c r="J249" s="219">
        <f>SUM(J244:J248)</f>
        <v>0</v>
      </c>
      <c r="K249" s="219">
        <f>SUM(K244:K248)</f>
        <v>0</v>
      </c>
    </row>
    <row r="250" spans="1:11" x14ac:dyDescent="0.35">
      <c r="A250" s="220" t="s">
        <v>305</v>
      </c>
      <c r="B250" s="220">
        <f>+B249+C249+D249+E249</f>
        <v>8555</v>
      </c>
      <c r="C250" s="220"/>
      <c r="D250" s="220"/>
      <c r="E250" s="220"/>
      <c r="G250" s="220" t="s">
        <v>305</v>
      </c>
      <c r="H250" s="220">
        <f>+H249+I249+J249+K249</f>
        <v>1373</v>
      </c>
      <c r="I250" s="220"/>
      <c r="J250" s="220"/>
      <c r="K250" s="220"/>
    </row>
    <row r="251" spans="1:11" ht="15" thickBot="1" x14ac:dyDescent="0.4">
      <c r="A251" s="315" t="s">
        <v>298</v>
      </c>
      <c r="B251" s="315"/>
      <c r="C251" s="315"/>
      <c r="D251" s="315"/>
      <c r="E251" s="315"/>
      <c r="G251" s="315" t="s">
        <v>314</v>
      </c>
      <c r="H251" s="315"/>
      <c r="I251" s="315"/>
      <c r="J251" s="315"/>
      <c r="K251" s="315"/>
    </row>
    <row r="252" spans="1:11" ht="15" thickTop="1" x14ac:dyDescent="0.35">
      <c r="A252" s="313">
        <v>45317</v>
      </c>
      <c r="B252" s="314"/>
      <c r="C252" s="314"/>
      <c r="D252" s="314"/>
      <c r="E252" s="314"/>
      <c r="G252" s="313">
        <v>45317</v>
      </c>
      <c r="H252" s="314"/>
      <c r="I252" s="314"/>
      <c r="J252" s="314"/>
      <c r="K252" s="314"/>
    </row>
    <row r="253" spans="1:11" x14ac:dyDescent="0.35">
      <c r="A253" s="261" t="s">
        <v>159</v>
      </c>
      <c r="B253" s="262" t="s">
        <v>299</v>
      </c>
      <c r="C253" s="262" t="s">
        <v>300</v>
      </c>
      <c r="D253" s="262" t="s">
        <v>301</v>
      </c>
      <c r="E253" s="263" t="s">
        <v>302</v>
      </c>
      <c r="G253" s="264" t="s">
        <v>159</v>
      </c>
      <c r="H253" s="265" t="s">
        <v>299</v>
      </c>
      <c r="I253" s="265" t="s">
        <v>300</v>
      </c>
      <c r="J253" s="265" t="s">
        <v>301</v>
      </c>
      <c r="K253" s="266" t="s">
        <v>302</v>
      </c>
    </row>
    <row r="254" spans="1:11" x14ac:dyDescent="0.35">
      <c r="A254" s="221" t="s">
        <v>303</v>
      </c>
      <c r="B254" s="222">
        <v>5825</v>
      </c>
      <c r="C254" s="222"/>
      <c r="D254" s="222"/>
      <c r="E254" s="223"/>
      <c r="G254" s="221" t="s">
        <v>303</v>
      </c>
      <c r="H254" s="222">
        <v>1172</v>
      </c>
      <c r="I254" s="222"/>
      <c r="J254" s="222"/>
      <c r="K254" s="223"/>
    </row>
    <row r="255" spans="1:11" x14ac:dyDescent="0.35">
      <c r="A255" s="225" t="s">
        <v>304</v>
      </c>
      <c r="B255" s="226"/>
      <c r="C255" s="226"/>
      <c r="D255" s="226"/>
      <c r="E255" s="227"/>
      <c r="G255" s="225"/>
      <c r="H255" s="226"/>
      <c r="I255" s="226"/>
      <c r="J255" s="226"/>
      <c r="K255" s="227"/>
    </row>
    <row r="256" spans="1:11" x14ac:dyDescent="0.35">
      <c r="A256" s="225"/>
      <c r="B256" s="226"/>
      <c r="C256" s="226"/>
      <c r="D256" s="226"/>
      <c r="E256" s="227"/>
      <c r="G256" s="225"/>
      <c r="H256" s="226"/>
      <c r="I256" s="226"/>
      <c r="J256" s="226"/>
      <c r="K256" s="227"/>
    </row>
    <row r="257" spans="1:11" x14ac:dyDescent="0.35">
      <c r="A257" s="221"/>
      <c r="B257" s="222"/>
      <c r="C257" s="222"/>
      <c r="D257" s="222"/>
      <c r="E257" s="223"/>
      <c r="G257" s="221"/>
      <c r="H257" s="222"/>
      <c r="I257" s="222"/>
      <c r="J257" s="222"/>
      <c r="K257" s="223"/>
    </row>
    <row r="258" spans="1:11" x14ac:dyDescent="0.35">
      <c r="A258" s="225"/>
      <c r="B258" s="226"/>
      <c r="C258" s="226"/>
      <c r="D258" s="226"/>
      <c r="E258" s="227"/>
      <c r="G258" s="225"/>
      <c r="H258" s="226"/>
      <c r="I258" s="226"/>
      <c r="J258" s="226"/>
      <c r="K258" s="227"/>
    </row>
    <row r="259" spans="1:11" ht="15" thickBot="1" x14ac:dyDescent="0.4">
      <c r="A259" s="218" t="s">
        <v>34</v>
      </c>
      <c r="B259" s="219">
        <f>SUM(B254:B258)</f>
        <v>5825</v>
      </c>
      <c r="C259" s="219">
        <f>SUM(C254:C258)</f>
        <v>0</v>
      </c>
      <c r="D259" s="219">
        <f>SUM(D254:D258)</f>
        <v>0</v>
      </c>
      <c r="E259" s="219">
        <f>SUM(E254:E258)</f>
        <v>0</v>
      </c>
      <c r="G259" s="218" t="s">
        <v>34</v>
      </c>
      <c r="H259" s="219">
        <f>SUM(H254:H258)</f>
        <v>1172</v>
      </c>
      <c r="I259" s="219">
        <f>SUM(I254:I258)</f>
        <v>0</v>
      </c>
      <c r="J259" s="219">
        <f>SUM(J254:J258)</f>
        <v>0</v>
      </c>
      <c r="K259" s="219">
        <f>SUM(K254:K258)</f>
        <v>0</v>
      </c>
    </row>
    <row r="260" spans="1:11" x14ac:dyDescent="0.35">
      <c r="A260" s="220" t="s">
        <v>305</v>
      </c>
      <c r="B260" s="220">
        <f>+B259+C259+D259+E259</f>
        <v>5825</v>
      </c>
      <c r="C260" s="220"/>
      <c r="D260" s="220"/>
      <c r="E260" s="220"/>
      <c r="G260" s="220" t="s">
        <v>305</v>
      </c>
      <c r="H260" s="220">
        <f>+H259+I259+J259+K259</f>
        <v>1172</v>
      </c>
      <c r="I260" s="220"/>
      <c r="J260" s="220"/>
      <c r="K260" s="220"/>
    </row>
    <row r="261" spans="1:11" ht="15" thickBot="1" x14ac:dyDescent="0.4">
      <c r="A261" s="315" t="s">
        <v>298</v>
      </c>
      <c r="B261" s="315"/>
      <c r="C261" s="315"/>
      <c r="D261" s="315"/>
      <c r="E261" s="315"/>
      <c r="G261" s="315" t="s">
        <v>314</v>
      </c>
      <c r="H261" s="315"/>
      <c r="I261" s="315"/>
      <c r="J261" s="315"/>
      <c r="K261" s="315"/>
    </row>
    <row r="262" spans="1:11" ht="15" thickTop="1" x14ac:dyDescent="0.35">
      <c r="A262" s="313">
        <v>45318</v>
      </c>
      <c r="B262" s="314"/>
      <c r="C262" s="314"/>
      <c r="D262" s="314"/>
      <c r="E262" s="314"/>
      <c r="G262" s="313">
        <v>45318</v>
      </c>
      <c r="H262" s="314"/>
      <c r="I262" s="314"/>
      <c r="J262" s="314"/>
      <c r="K262" s="314"/>
    </row>
    <row r="263" spans="1:11" x14ac:dyDescent="0.35">
      <c r="A263" s="261" t="s">
        <v>159</v>
      </c>
      <c r="B263" s="262" t="s">
        <v>299</v>
      </c>
      <c r="C263" s="262" t="s">
        <v>300</v>
      </c>
      <c r="D263" s="262" t="s">
        <v>301</v>
      </c>
      <c r="E263" s="263" t="s">
        <v>302</v>
      </c>
      <c r="G263" s="264" t="s">
        <v>159</v>
      </c>
      <c r="H263" s="265" t="s">
        <v>299</v>
      </c>
      <c r="I263" s="265" t="s">
        <v>300</v>
      </c>
      <c r="J263" s="265" t="s">
        <v>301</v>
      </c>
      <c r="K263" s="266" t="s">
        <v>302</v>
      </c>
    </row>
    <row r="264" spans="1:11" x14ac:dyDescent="0.35">
      <c r="A264" s="221" t="s">
        <v>303</v>
      </c>
      <c r="B264" s="222">
        <v>10008</v>
      </c>
      <c r="C264" s="222"/>
      <c r="D264" s="222"/>
      <c r="E264" s="223"/>
      <c r="G264" s="221" t="s">
        <v>303</v>
      </c>
      <c r="H264" s="222">
        <v>3267</v>
      </c>
      <c r="I264" s="222"/>
      <c r="J264" s="222"/>
      <c r="K264" s="223"/>
    </row>
    <row r="265" spans="1:11" x14ac:dyDescent="0.35">
      <c r="A265" s="225" t="s">
        <v>304</v>
      </c>
      <c r="B265" s="226"/>
      <c r="C265" s="226"/>
      <c r="D265" s="226"/>
      <c r="E265" s="227"/>
      <c r="G265" s="225"/>
      <c r="H265" s="226"/>
      <c r="I265" s="226"/>
      <c r="J265" s="226"/>
      <c r="K265" s="227"/>
    </row>
    <row r="266" spans="1:11" x14ac:dyDescent="0.35">
      <c r="A266" s="225"/>
      <c r="B266" s="226"/>
      <c r="C266" s="226"/>
      <c r="D266" s="226"/>
      <c r="E266" s="227"/>
      <c r="G266" s="225"/>
      <c r="H266" s="226"/>
      <c r="I266" s="226"/>
      <c r="J266" s="226"/>
      <c r="K266" s="227"/>
    </row>
    <row r="267" spans="1:11" x14ac:dyDescent="0.35">
      <c r="A267" s="221"/>
      <c r="B267" s="222"/>
      <c r="C267" s="222"/>
      <c r="D267" s="222"/>
      <c r="E267" s="223"/>
      <c r="G267" s="221"/>
      <c r="H267" s="222"/>
      <c r="I267" s="222"/>
      <c r="J267" s="222"/>
      <c r="K267" s="223"/>
    </row>
    <row r="268" spans="1:11" x14ac:dyDescent="0.35">
      <c r="A268" s="225"/>
      <c r="B268" s="226"/>
      <c r="C268" s="226"/>
      <c r="D268" s="226"/>
      <c r="E268" s="227"/>
      <c r="G268" s="225"/>
      <c r="H268" s="226"/>
      <c r="I268" s="226"/>
      <c r="J268" s="226"/>
      <c r="K268" s="227"/>
    </row>
    <row r="269" spans="1:11" ht="15" thickBot="1" x14ac:dyDescent="0.4">
      <c r="A269" s="218" t="s">
        <v>34</v>
      </c>
      <c r="B269" s="219">
        <f>SUM(B264:B268)</f>
        <v>10008</v>
      </c>
      <c r="C269" s="219">
        <f>SUM(C264:C268)</f>
        <v>0</v>
      </c>
      <c r="D269" s="219">
        <f>SUM(D264:D268)</f>
        <v>0</v>
      </c>
      <c r="E269" s="219">
        <f>SUM(E264:E268)</f>
        <v>0</v>
      </c>
      <c r="G269" s="218" t="s">
        <v>34</v>
      </c>
      <c r="H269" s="219">
        <f>SUM(H264:H268)</f>
        <v>3267</v>
      </c>
      <c r="I269" s="219">
        <f>SUM(I264:I268)</f>
        <v>0</v>
      </c>
      <c r="J269" s="219">
        <f>SUM(J264:J268)</f>
        <v>0</v>
      </c>
      <c r="K269" s="219">
        <f>SUM(K264:K268)</f>
        <v>0</v>
      </c>
    </row>
    <row r="270" spans="1:11" x14ac:dyDescent="0.35">
      <c r="A270" s="220" t="s">
        <v>305</v>
      </c>
      <c r="B270" s="220">
        <f>+B269+C269+D269+E269</f>
        <v>10008</v>
      </c>
      <c r="C270" s="220"/>
      <c r="D270" s="220"/>
      <c r="E270" s="220"/>
      <c r="G270" s="220" t="s">
        <v>305</v>
      </c>
      <c r="H270" s="220">
        <f>+H269+I269+J269+K269</f>
        <v>3267</v>
      </c>
      <c r="I270" s="220"/>
      <c r="J270" s="220"/>
      <c r="K270" s="220"/>
    </row>
    <row r="271" spans="1:11" ht="15" thickBot="1" x14ac:dyDescent="0.4">
      <c r="A271" s="315" t="s">
        <v>298</v>
      </c>
      <c r="B271" s="315"/>
      <c r="C271" s="315"/>
      <c r="D271" s="315"/>
      <c r="E271" s="315"/>
      <c r="G271" s="315" t="s">
        <v>314</v>
      </c>
      <c r="H271" s="315"/>
      <c r="I271" s="315"/>
      <c r="J271" s="315"/>
      <c r="K271" s="315"/>
    </row>
    <row r="272" spans="1:11" ht="15" thickTop="1" x14ac:dyDescent="0.35">
      <c r="A272" s="313">
        <v>45319</v>
      </c>
      <c r="B272" s="314"/>
      <c r="C272" s="314"/>
      <c r="D272" s="314"/>
      <c r="E272" s="314"/>
      <c r="G272" s="313">
        <v>45319</v>
      </c>
      <c r="H272" s="314"/>
      <c r="I272" s="314"/>
      <c r="J272" s="314"/>
      <c r="K272" s="314"/>
    </row>
    <row r="273" spans="1:11" x14ac:dyDescent="0.35">
      <c r="A273" s="261" t="s">
        <v>159</v>
      </c>
      <c r="B273" s="262" t="s">
        <v>299</v>
      </c>
      <c r="C273" s="262" t="s">
        <v>300</v>
      </c>
      <c r="D273" s="262" t="s">
        <v>301</v>
      </c>
      <c r="E273" s="263" t="s">
        <v>302</v>
      </c>
      <c r="G273" s="264" t="s">
        <v>159</v>
      </c>
      <c r="H273" s="265" t="s">
        <v>299</v>
      </c>
      <c r="I273" s="265" t="s">
        <v>300</v>
      </c>
      <c r="J273" s="265" t="s">
        <v>301</v>
      </c>
      <c r="K273" s="266" t="s">
        <v>302</v>
      </c>
    </row>
    <row r="274" spans="1:11" x14ac:dyDescent="0.35">
      <c r="A274" s="221" t="s">
        <v>303</v>
      </c>
      <c r="B274" s="222">
        <v>16232</v>
      </c>
      <c r="C274" s="222"/>
      <c r="D274" s="222"/>
      <c r="E274" s="223"/>
      <c r="G274" s="221" t="s">
        <v>303</v>
      </c>
      <c r="H274" s="222">
        <v>3569</v>
      </c>
      <c r="I274" s="222"/>
      <c r="J274" s="222"/>
      <c r="K274" s="223"/>
    </row>
    <row r="275" spans="1:11" x14ac:dyDescent="0.35">
      <c r="A275" s="225" t="s">
        <v>304</v>
      </c>
      <c r="B275" s="226">
        <v>10000</v>
      </c>
      <c r="C275" s="226"/>
      <c r="D275" s="226"/>
      <c r="E275" s="227"/>
      <c r="G275" s="225"/>
      <c r="H275" s="226"/>
      <c r="I275" s="226"/>
      <c r="J275" s="226"/>
      <c r="K275" s="227"/>
    </row>
    <row r="276" spans="1:11" x14ac:dyDescent="0.35">
      <c r="A276" s="225"/>
      <c r="B276" s="226"/>
      <c r="C276" s="226"/>
      <c r="D276" s="226"/>
      <c r="E276" s="227"/>
      <c r="G276" s="225"/>
      <c r="H276" s="226"/>
      <c r="I276" s="226"/>
      <c r="J276" s="226"/>
      <c r="K276" s="227"/>
    </row>
    <row r="277" spans="1:11" x14ac:dyDescent="0.35">
      <c r="A277" s="221"/>
      <c r="B277" s="222"/>
      <c r="C277" s="222"/>
      <c r="D277" s="222"/>
      <c r="E277" s="223"/>
      <c r="G277" s="221"/>
      <c r="H277" s="222"/>
      <c r="I277" s="222"/>
      <c r="J277" s="222"/>
      <c r="K277" s="223"/>
    </row>
    <row r="278" spans="1:11" x14ac:dyDescent="0.35">
      <c r="A278" s="225"/>
      <c r="B278" s="226"/>
      <c r="C278" s="226"/>
      <c r="D278" s="226"/>
      <c r="E278" s="227"/>
      <c r="G278" s="225"/>
      <c r="H278" s="226"/>
      <c r="I278" s="226"/>
      <c r="J278" s="226"/>
      <c r="K278" s="227"/>
    </row>
    <row r="279" spans="1:11" ht="15" thickBot="1" x14ac:dyDescent="0.4">
      <c r="A279" s="218" t="s">
        <v>34</v>
      </c>
      <c r="B279" s="219">
        <f>SUM(B274:B278)</f>
        <v>26232</v>
      </c>
      <c r="C279" s="219">
        <f>SUM(C274:C278)</f>
        <v>0</v>
      </c>
      <c r="D279" s="219">
        <f>SUM(D274:D278)</f>
        <v>0</v>
      </c>
      <c r="E279" s="219">
        <f>SUM(E274:E278)</f>
        <v>0</v>
      </c>
      <c r="G279" s="218" t="s">
        <v>34</v>
      </c>
      <c r="H279" s="219">
        <f>SUM(H274:H278)</f>
        <v>3569</v>
      </c>
      <c r="I279" s="219">
        <f>SUM(I274:I278)</f>
        <v>0</v>
      </c>
      <c r="J279" s="219">
        <f>SUM(J274:J278)</f>
        <v>0</v>
      </c>
      <c r="K279" s="219">
        <f>SUM(K274:K278)</f>
        <v>0</v>
      </c>
    </row>
    <row r="280" spans="1:11" x14ac:dyDescent="0.35">
      <c r="A280" s="220" t="s">
        <v>305</v>
      </c>
      <c r="B280" s="220">
        <f>+B279+C279+D279+E279</f>
        <v>26232</v>
      </c>
      <c r="C280" s="220"/>
      <c r="D280" s="220"/>
      <c r="E280" s="220"/>
      <c r="G280" s="220" t="s">
        <v>305</v>
      </c>
      <c r="H280" s="220">
        <f>+H279+I279+J279+K279</f>
        <v>3569</v>
      </c>
      <c r="I280" s="220"/>
      <c r="J280" s="220"/>
      <c r="K280" s="220"/>
    </row>
    <row r="281" spans="1:11" ht="15" thickBot="1" x14ac:dyDescent="0.4">
      <c r="A281" s="315" t="s">
        <v>298</v>
      </c>
      <c r="B281" s="315"/>
      <c r="C281" s="315"/>
      <c r="D281" s="315"/>
      <c r="E281" s="315"/>
      <c r="G281" s="315" t="s">
        <v>314</v>
      </c>
      <c r="H281" s="315"/>
      <c r="I281" s="315"/>
      <c r="J281" s="315"/>
      <c r="K281" s="315"/>
    </row>
    <row r="282" spans="1:11" ht="15" thickTop="1" x14ac:dyDescent="0.35">
      <c r="A282" s="313">
        <v>45320</v>
      </c>
      <c r="B282" s="314"/>
      <c r="C282" s="314"/>
      <c r="D282" s="314"/>
      <c r="E282" s="314"/>
      <c r="G282" s="313">
        <v>45320</v>
      </c>
      <c r="H282" s="314"/>
      <c r="I282" s="314"/>
      <c r="J282" s="314"/>
      <c r="K282" s="314"/>
    </row>
    <row r="283" spans="1:11" x14ac:dyDescent="0.35">
      <c r="A283" s="261" t="s">
        <v>159</v>
      </c>
      <c r="B283" s="262" t="s">
        <v>299</v>
      </c>
      <c r="C283" s="262" t="s">
        <v>300</v>
      </c>
      <c r="D283" s="262" t="s">
        <v>301</v>
      </c>
      <c r="E283" s="263" t="s">
        <v>302</v>
      </c>
      <c r="G283" s="264" t="s">
        <v>159</v>
      </c>
      <c r="H283" s="265" t="s">
        <v>299</v>
      </c>
      <c r="I283" s="265" t="s">
        <v>300</v>
      </c>
      <c r="J283" s="265" t="s">
        <v>301</v>
      </c>
      <c r="K283" s="266" t="s">
        <v>302</v>
      </c>
    </row>
    <row r="284" spans="1:11" x14ac:dyDescent="0.35">
      <c r="A284" s="221" t="s">
        <v>303</v>
      </c>
      <c r="B284" s="222">
        <v>6496</v>
      </c>
      <c r="C284" s="222"/>
      <c r="D284" s="222"/>
      <c r="E284" s="223"/>
      <c r="G284" s="221" t="s">
        <v>303</v>
      </c>
      <c r="H284" s="222">
        <v>405</v>
      </c>
      <c r="I284" s="222"/>
      <c r="J284" s="222"/>
      <c r="K284" s="223"/>
    </row>
    <row r="285" spans="1:11" x14ac:dyDescent="0.35">
      <c r="A285" s="225" t="s">
        <v>304</v>
      </c>
      <c r="B285" s="226">
        <v>4080</v>
      </c>
      <c r="C285" s="226"/>
      <c r="D285" s="226"/>
      <c r="E285" s="227"/>
      <c r="G285" s="225"/>
      <c r="H285" s="226"/>
      <c r="I285" s="226"/>
      <c r="J285" s="226"/>
      <c r="K285" s="227"/>
    </row>
    <row r="286" spans="1:11" x14ac:dyDescent="0.35">
      <c r="A286" s="225"/>
      <c r="B286" s="226"/>
      <c r="C286" s="226"/>
      <c r="D286" s="226"/>
      <c r="E286" s="227"/>
      <c r="G286" s="225"/>
      <c r="H286" s="226"/>
      <c r="I286" s="226"/>
      <c r="J286" s="226"/>
      <c r="K286" s="227"/>
    </row>
    <row r="287" spans="1:11" x14ac:dyDescent="0.35">
      <c r="A287" s="221"/>
      <c r="B287" s="222"/>
      <c r="C287" s="222"/>
      <c r="D287" s="222"/>
      <c r="E287" s="223"/>
      <c r="G287" s="221"/>
      <c r="H287" s="222"/>
      <c r="I287" s="222"/>
      <c r="J287" s="222"/>
      <c r="K287" s="223"/>
    </row>
    <row r="288" spans="1:11" x14ac:dyDescent="0.35">
      <c r="A288" s="225"/>
      <c r="B288" s="226"/>
      <c r="C288" s="226"/>
      <c r="D288" s="226"/>
      <c r="E288" s="227"/>
      <c r="G288" s="225"/>
      <c r="H288" s="226"/>
      <c r="I288" s="226"/>
      <c r="J288" s="226"/>
      <c r="K288" s="227"/>
    </row>
    <row r="289" spans="1:11" ht="15" thickBot="1" x14ac:dyDescent="0.4">
      <c r="A289" s="218" t="s">
        <v>34</v>
      </c>
      <c r="B289" s="219">
        <f>SUM(B284:B288)</f>
        <v>10576</v>
      </c>
      <c r="C289" s="219">
        <f>SUM(C284:C288)</f>
        <v>0</v>
      </c>
      <c r="D289" s="219">
        <f>SUM(D284:D288)</f>
        <v>0</v>
      </c>
      <c r="E289" s="219">
        <f>SUM(E284:E288)</f>
        <v>0</v>
      </c>
      <c r="G289" s="218" t="s">
        <v>34</v>
      </c>
      <c r="H289" s="219">
        <f>SUM(H284:H288)</f>
        <v>405</v>
      </c>
      <c r="I289" s="219">
        <f>SUM(I284:I288)</f>
        <v>0</v>
      </c>
      <c r="J289" s="219">
        <f>SUM(J284:J288)</f>
        <v>0</v>
      </c>
      <c r="K289" s="219">
        <f>SUM(K284:K288)</f>
        <v>0</v>
      </c>
    </row>
    <row r="290" spans="1:11" x14ac:dyDescent="0.35">
      <c r="A290" s="220" t="s">
        <v>305</v>
      </c>
      <c r="B290" s="220">
        <f>+B289+C289+D289+E289</f>
        <v>10576</v>
      </c>
      <c r="C290" s="220"/>
      <c r="D290" s="220"/>
      <c r="E290" s="220"/>
      <c r="G290" s="220" t="s">
        <v>305</v>
      </c>
      <c r="H290" s="220">
        <f>+H289+I289+J289+K289</f>
        <v>405</v>
      </c>
      <c r="I290" s="220"/>
      <c r="J290" s="220"/>
      <c r="K290" s="220"/>
    </row>
    <row r="291" spans="1:11" ht="15" thickBot="1" x14ac:dyDescent="0.4">
      <c r="A291" s="315" t="s">
        <v>298</v>
      </c>
      <c r="B291" s="315"/>
      <c r="C291" s="315"/>
      <c r="D291" s="315"/>
      <c r="E291" s="315"/>
      <c r="G291" s="315" t="s">
        <v>314</v>
      </c>
      <c r="H291" s="315"/>
      <c r="I291" s="315"/>
      <c r="J291" s="315"/>
      <c r="K291" s="315"/>
    </row>
    <row r="292" spans="1:11" ht="15" thickTop="1" x14ac:dyDescent="0.35">
      <c r="A292" s="313">
        <v>45321</v>
      </c>
      <c r="B292" s="314"/>
      <c r="C292" s="314"/>
      <c r="D292" s="314"/>
      <c r="E292" s="314"/>
      <c r="G292" s="313">
        <v>45321</v>
      </c>
      <c r="H292" s="314"/>
      <c r="I292" s="314"/>
      <c r="J292" s="314"/>
      <c r="K292" s="314"/>
    </row>
    <row r="293" spans="1:11" x14ac:dyDescent="0.35">
      <c r="A293" s="261" t="s">
        <v>159</v>
      </c>
      <c r="B293" s="262" t="s">
        <v>299</v>
      </c>
      <c r="C293" s="262" t="s">
        <v>300</v>
      </c>
      <c r="D293" s="262" t="s">
        <v>301</v>
      </c>
      <c r="E293" s="263" t="s">
        <v>302</v>
      </c>
      <c r="G293" s="264" t="s">
        <v>159</v>
      </c>
      <c r="H293" s="265" t="s">
        <v>299</v>
      </c>
      <c r="I293" s="265" t="s">
        <v>300</v>
      </c>
      <c r="J293" s="265" t="s">
        <v>301</v>
      </c>
      <c r="K293" s="266" t="s">
        <v>302</v>
      </c>
    </row>
    <row r="294" spans="1:11" x14ac:dyDescent="0.35">
      <c r="A294" s="221" t="s">
        <v>303</v>
      </c>
      <c r="B294" s="222">
        <v>360</v>
      </c>
      <c r="C294" s="222"/>
      <c r="D294" s="222"/>
      <c r="E294" s="223"/>
      <c r="G294" s="221" t="s">
        <v>303</v>
      </c>
      <c r="H294" s="222">
        <v>601</v>
      </c>
      <c r="I294" s="222"/>
      <c r="J294" s="222"/>
      <c r="K294" s="223"/>
    </row>
    <row r="295" spans="1:11" x14ac:dyDescent="0.35">
      <c r="A295" s="225" t="s">
        <v>304</v>
      </c>
      <c r="B295" s="226">
        <v>4000</v>
      </c>
      <c r="C295" s="226"/>
      <c r="D295" s="226"/>
      <c r="E295" s="227"/>
      <c r="G295" s="225"/>
      <c r="H295" s="226"/>
      <c r="I295" s="226"/>
      <c r="J295" s="226"/>
      <c r="K295" s="227"/>
    </row>
    <row r="296" spans="1:11" x14ac:dyDescent="0.35">
      <c r="A296" s="225"/>
      <c r="B296" s="226"/>
      <c r="C296" s="226"/>
      <c r="D296" s="226"/>
      <c r="E296" s="227"/>
      <c r="G296" s="225"/>
      <c r="H296" s="226"/>
      <c r="I296" s="226"/>
      <c r="J296" s="226"/>
      <c r="K296" s="227"/>
    </row>
    <row r="297" spans="1:11" x14ac:dyDescent="0.35">
      <c r="A297" s="221"/>
      <c r="B297" s="222"/>
      <c r="C297" s="222"/>
      <c r="D297" s="222"/>
      <c r="E297" s="223"/>
      <c r="G297" s="221"/>
      <c r="H297" s="222"/>
      <c r="I297" s="222"/>
      <c r="J297" s="222"/>
      <c r="K297" s="223"/>
    </row>
    <row r="298" spans="1:11" x14ac:dyDescent="0.35">
      <c r="A298" s="225"/>
      <c r="B298" s="226"/>
      <c r="C298" s="226"/>
      <c r="D298" s="226"/>
      <c r="E298" s="227"/>
      <c r="G298" s="225"/>
      <c r="H298" s="226"/>
      <c r="I298" s="226"/>
      <c r="J298" s="226"/>
      <c r="K298" s="227"/>
    </row>
    <row r="299" spans="1:11" ht="15" thickBot="1" x14ac:dyDescent="0.4">
      <c r="A299" s="218" t="s">
        <v>34</v>
      </c>
      <c r="B299" s="219">
        <f>SUM(B294:B298)</f>
        <v>4360</v>
      </c>
      <c r="C299" s="219">
        <f>SUM(C294:C298)</f>
        <v>0</v>
      </c>
      <c r="D299" s="219">
        <f>SUM(D294:D298)</f>
        <v>0</v>
      </c>
      <c r="E299" s="219">
        <f>SUM(E294:E298)</f>
        <v>0</v>
      </c>
      <c r="G299" s="218" t="s">
        <v>34</v>
      </c>
      <c r="H299" s="219">
        <f>SUM(H294:H298)</f>
        <v>601</v>
      </c>
      <c r="I299" s="219">
        <f>SUM(I294:I298)</f>
        <v>0</v>
      </c>
      <c r="J299" s="219">
        <f>SUM(J294:J298)</f>
        <v>0</v>
      </c>
      <c r="K299" s="219">
        <f>SUM(K294:K298)</f>
        <v>0</v>
      </c>
    </row>
    <row r="300" spans="1:11" x14ac:dyDescent="0.35">
      <c r="A300" s="220" t="s">
        <v>305</v>
      </c>
      <c r="B300" s="220">
        <f>+B299+C299+D299+E299</f>
        <v>4360</v>
      </c>
      <c r="C300" s="220"/>
      <c r="D300" s="220"/>
      <c r="E300" s="220"/>
      <c r="G300" s="220" t="s">
        <v>305</v>
      </c>
      <c r="H300" s="220">
        <f>+H299+I299+J299+K299</f>
        <v>601</v>
      </c>
      <c r="I300" s="220"/>
      <c r="J300" s="220"/>
      <c r="K300" s="220"/>
    </row>
    <row r="301" spans="1:11" ht="15" thickBot="1" x14ac:dyDescent="0.4">
      <c r="A301" s="315" t="s">
        <v>298</v>
      </c>
      <c r="B301" s="315"/>
      <c r="C301" s="315"/>
      <c r="D301" s="315"/>
      <c r="E301" s="315"/>
      <c r="G301" s="315" t="s">
        <v>314</v>
      </c>
      <c r="H301" s="315"/>
      <c r="I301" s="315"/>
      <c r="J301" s="315"/>
      <c r="K301" s="315"/>
    </row>
    <row r="302" spans="1:11" ht="15" thickTop="1" x14ac:dyDescent="0.35">
      <c r="A302" s="313">
        <v>45322</v>
      </c>
      <c r="B302" s="314"/>
      <c r="C302" s="314"/>
      <c r="D302" s="314"/>
      <c r="E302" s="314"/>
      <c r="G302" s="313">
        <v>45322</v>
      </c>
      <c r="H302" s="314"/>
      <c r="I302" s="314"/>
      <c r="J302" s="314"/>
      <c r="K302" s="314"/>
    </row>
    <row r="303" spans="1:11" x14ac:dyDescent="0.35">
      <c r="A303" s="261" t="s">
        <v>159</v>
      </c>
      <c r="B303" s="262" t="s">
        <v>299</v>
      </c>
      <c r="C303" s="262" t="s">
        <v>300</v>
      </c>
      <c r="D303" s="262" t="s">
        <v>301</v>
      </c>
      <c r="E303" s="263" t="s">
        <v>302</v>
      </c>
      <c r="G303" s="264" t="s">
        <v>159</v>
      </c>
      <c r="H303" s="265" t="s">
        <v>299</v>
      </c>
      <c r="I303" s="265" t="s">
        <v>300</v>
      </c>
      <c r="J303" s="265" t="s">
        <v>301</v>
      </c>
      <c r="K303" s="266" t="s">
        <v>302</v>
      </c>
    </row>
    <row r="304" spans="1:11" x14ac:dyDescent="0.35">
      <c r="A304" s="221" t="s">
        <v>303</v>
      </c>
      <c r="B304" s="222">
        <v>2785</v>
      </c>
      <c r="C304" s="222"/>
      <c r="D304" s="222"/>
      <c r="E304" s="223"/>
      <c r="G304" s="221" t="s">
        <v>303</v>
      </c>
      <c r="H304" s="222"/>
      <c r="I304" s="222"/>
      <c r="J304" s="222"/>
      <c r="K304" s="223"/>
    </row>
    <row r="305" spans="1:13" x14ac:dyDescent="0.35">
      <c r="A305" s="225" t="s">
        <v>304</v>
      </c>
      <c r="B305" s="226"/>
      <c r="C305" s="226"/>
      <c r="D305" s="226"/>
      <c r="E305" s="227"/>
      <c r="G305" s="225"/>
      <c r="H305" s="226"/>
      <c r="I305" s="226"/>
      <c r="J305" s="226"/>
      <c r="K305" s="227"/>
    </row>
    <row r="306" spans="1:13" x14ac:dyDescent="0.35">
      <c r="A306" s="225"/>
      <c r="B306" s="226"/>
      <c r="C306" s="226"/>
      <c r="D306" s="226"/>
      <c r="E306" s="227"/>
      <c r="G306" s="225"/>
      <c r="H306" s="226"/>
      <c r="I306" s="226"/>
      <c r="J306" s="226"/>
      <c r="K306" s="227"/>
    </row>
    <row r="307" spans="1:13" x14ac:dyDescent="0.35">
      <c r="A307" s="221"/>
      <c r="B307" s="222"/>
      <c r="C307" s="222"/>
      <c r="D307" s="222"/>
      <c r="E307" s="223"/>
      <c r="G307" s="221"/>
      <c r="H307" s="222"/>
      <c r="I307" s="222"/>
      <c r="J307" s="222"/>
      <c r="K307" s="223"/>
    </row>
    <row r="308" spans="1:13" x14ac:dyDescent="0.35">
      <c r="A308" s="225"/>
      <c r="B308" s="226"/>
      <c r="C308" s="226"/>
      <c r="D308" s="226"/>
      <c r="E308" s="227"/>
      <c r="G308" s="225"/>
      <c r="H308" s="226"/>
      <c r="I308" s="226"/>
      <c r="J308" s="226"/>
      <c r="K308" s="227"/>
    </row>
    <row r="309" spans="1:13" ht="15" thickBot="1" x14ac:dyDescent="0.4">
      <c r="A309" s="218" t="s">
        <v>34</v>
      </c>
      <c r="B309" s="219">
        <f>SUM(B304:B308)</f>
        <v>2785</v>
      </c>
      <c r="C309" s="219">
        <f>SUM(C304:C308)</f>
        <v>0</v>
      </c>
      <c r="D309" s="219">
        <f>SUM(D304:D308)</f>
        <v>0</v>
      </c>
      <c r="E309" s="219">
        <f>SUM(E304:E308)</f>
        <v>0</v>
      </c>
      <c r="G309" s="218" t="s">
        <v>34</v>
      </c>
      <c r="H309" s="219">
        <f>SUM(H304:H308)</f>
        <v>0</v>
      </c>
      <c r="I309" s="219">
        <f>SUM(I304:I308)</f>
        <v>0</v>
      </c>
      <c r="J309" s="219">
        <f>SUM(J304:J308)</f>
        <v>0</v>
      </c>
      <c r="K309" s="219">
        <f>SUM(K304:K308)</f>
        <v>0</v>
      </c>
    </row>
    <row r="310" spans="1:13" x14ac:dyDescent="0.35">
      <c r="A310" s="220" t="s">
        <v>305</v>
      </c>
      <c r="B310" s="220">
        <f>+B309+C309+D309+E309</f>
        <v>2785</v>
      </c>
      <c r="C310" s="220"/>
      <c r="D310" s="220"/>
      <c r="E310" s="220"/>
      <c r="G310" s="220" t="s">
        <v>305</v>
      </c>
      <c r="H310" s="220">
        <f>+H309+I309+J309+K309</f>
        <v>0</v>
      </c>
      <c r="I310" s="220"/>
      <c r="J310" s="220"/>
      <c r="K310" s="220"/>
    </row>
    <row r="312" spans="1:13" ht="15" thickBot="1" x14ac:dyDescent="0.4"/>
    <row r="313" spans="1:13" ht="30" customHeight="1" thickBot="1" x14ac:dyDescent="0.4">
      <c r="A313" s="316" t="s">
        <v>344</v>
      </c>
      <c r="B313" s="317"/>
      <c r="C313" s="317"/>
      <c r="D313" s="317"/>
      <c r="E313" s="317"/>
      <c r="F313" s="318"/>
      <c r="G313" s="319">
        <f>SUMIF($A1:M$310,"*"&amp;K313&amp;"*",$B1:N$310)</f>
        <v>362050</v>
      </c>
      <c r="H313" s="319"/>
      <c r="I313" s="319"/>
      <c r="J313" s="319"/>
      <c r="K313" s="320" t="s">
        <v>305</v>
      </c>
      <c r="L313" s="321"/>
      <c r="M313" s="228">
        <f>+G313</f>
        <v>362050</v>
      </c>
    </row>
    <row r="315" spans="1:13" ht="15" thickBot="1" x14ac:dyDescent="0.4">
      <c r="A315" s="315" t="s">
        <v>298</v>
      </c>
      <c r="B315" s="315"/>
      <c r="C315" s="315"/>
      <c r="D315" s="315"/>
      <c r="E315" s="315"/>
      <c r="G315" s="315" t="s">
        <v>314</v>
      </c>
      <c r="H315" s="315"/>
      <c r="I315" s="315"/>
      <c r="J315" s="315"/>
      <c r="K315" s="315"/>
    </row>
    <row r="316" spans="1:13" ht="15" thickTop="1" x14ac:dyDescent="0.35">
      <c r="A316" s="313">
        <v>45323</v>
      </c>
      <c r="B316" s="314"/>
      <c r="C316" s="314"/>
      <c r="D316" s="314"/>
      <c r="E316" s="314"/>
      <c r="G316" s="313">
        <v>45323</v>
      </c>
      <c r="H316" s="314"/>
      <c r="I316" s="314"/>
      <c r="J316" s="314"/>
      <c r="K316" s="314"/>
    </row>
    <row r="317" spans="1:13" x14ac:dyDescent="0.35">
      <c r="A317" s="261" t="s">
        <v>159</v>
      </c>
      <c r="B317" s="262" t="s">
        <v>299</v>
      </c>
      <c r="C317" s="262" t="s">
        <v>300</v>
      </c>
      <c r="D317" s="262" t="s">
        <v>301</v>
      </c>
      <c r="E317" s="263" t="s">
        <v>302</v>
      </c>
      <c r="G317" s="264" t="s">
        <v>159</v>
      </c>
      <c r="H317" s="265" t="s">
        <v>299</v>
      </c>
      <c r="I317" s="265" t="s">
        <v>300</v>
      </c>
      <c r="J317" s="265" t="s">
        <v>301</v>
      </c>
      <c r="K317" s="266" t="s">
        <v>302</v>
      </c>
    </row>
    <row r="318" spans="1:13" x14ac:dyDescent="0.35">
      <c r="A318" s="221" t="s">
        <v>303</v>
      </c>
      <c r="B318" s="222">
        <v>3507</v>
      </c>
      <c r="C318" s="222"/>
      <c r="D318" s="222"/>
      <c r="E318" s="223"/>
      <c r="F318" s="224"/>
      <c r="G318" s="221" t="s">
        <v>303</v>
      </c>
      <c r="H318" s="222">
        <v>45</v>
      </c>
      <c r="I318" s="222"/>
      <c r="J318" s="222"/>
      <c r="K318" s="223"/>
    </row>
    <row r="319" spans="1:13" x14ac:dyDescent="0.35">
      <c r="A319" s="225" t="s">
        <v>304</v>
      </c>
      <c r="B319" s="226">
        <v>480</v>
      </c>
      <c r="C319" s="226"/>
      <c r="D319" s="226"/>
      <c r="E319" s="227"/>
      <c r="F319" s="224"/>
      <c r="G319" s="225"/>
      <c r="H319" s="226"/>
      <c r="I319" s="226"/>
      <c r="J319" s="226"/>
      <c r="K319" s="227"/>
    </row>
    <row r="320" spans="1:13" x14ac:dyDescent="0.35">
      <c r="A320" s="225"/>
      <c r="B320" s="226"/>
      <c r="C320" s="226"/>
      <c r="D320" s="226"/>
      <c r="E320" s="227"/>
      <c r="F320" s="224"/>
      <c r="G320" s="225"/>
      <c r="H320" s="226"/>
      <c r="I320" s="226"/>
      <c r="J320" s="226"/>
      <c r="K320" s="227"/>
    </row>
    <row r="321" spans="1:11" x14ac:dyDescent="0.35">
      <c r="A321" s="221"/>
      <c r="B321" s="222"/>
      <c r="C321" s="222"/>
      <c r="D321" s="222"/>
      <c r="E321" s="223"/>
      <c r="F321" s="224"/>
      <c r="G321" s="221"/>
      <c r="H321" s="222"/>
      <c r="I321" s="222"/>
      <c r="J321" s="222"/>
      <c r="K321" s="223"/>
    </row>
    <row r="322" spans="1:11" x14ac:dyDescent="0.35">
      <c r="A322" s="225"/>
      <c r="B322" s="226"/>
      <c r="C322" s="226"/>
      <c r="D322" s="226"/>
      <c r="E322" s="227"/>
      <c r="F322" s="224"/>
      <c r="G322" s="225"/>
      <c r="H322" s="226"/>
      <c r="I322" s="226"/>
      <c r="J322" s="226"/>
      <c r="K322" s="227"/>
    </row>
    <row r="323" spans="1:11" ht="15" thickBot="1" x14ac:dyDescent="0.4">
      <c r="A323" s="218" t="s">
        <v>34</v>
      </c>
      <c r="B323" s="219">
        <f>SUM(B318:B322)</f>
        <v>3987</v>
      </c>
      <c r="C323" s="219">
        <f>SUM(C318:C322)</f>
        <v>0</v>
      </c>
      <c r="D323" s="219">
        <f>SUM(D318:D322)</f>
        <v>0</v>
      </c>
      <c r="E323" s="219">
        <f>SUM(E318:E322)</f>
        <v>0</v>
      </c>
      <c r="G323" s="218" t="s">
        <v>34</v>
      </c>
      <c r="H323" s="219">
        <f>SUM(H318:H322)</f>
        <v>45</v>
      </c>
      <c r="I323" s="219">
        <f>SUM(I318:I322)</f>
        <v>0</v>
      </c>
      <c r="J323" s="219">
        <f>SUM(J318:J322)</f>
        <v>0</v>
      </c>
      <c r="K323" s="219">
        <f>SUM(K318:K322)</f>
        <v>0</v>
      </c>
    </row>
    <row r="324" spans="1:11" x14ac:dyDescent="0.35">
      <c r="A324" s="220" t="s">
        <v>305</v>
      </c>
      <c r="B324" s="220">
        <f>+B323+C323+D323+E323</f>
        <v>3987</v>
      </c>
      <c r="C324" s="220"/>
      <c r="D324" s="220"/>
      <c r="E324" s="220"/>
      <c r="G324" s="220" t="s">
        <v>305</v>
      </c>
      <c r="H324" s="220">
        <f>+H323+I323+J323+K323</f>
        <v>45</v>
      </c>
      <c r="I324" s="220"/>
      <c r="J324" s="220"/>
      <c r="K324" s="220"/>
    </row>
    <row r="325" spans="1:11" ht="15" thickBot="1" x14ac:dyDescent="0.4">
      <c r="A325" s="315" t="s">
        <v>298</v>
      </c>
      <c r="B325" s="315"/>
      <c r="C325" s="315"/>
      <c r="D325" s="315"/>
      <c r="E325" s="315"/>
      <c r="G325" s="315" t="s">
        <v>314</v>
      </c>
      <c r="H325" s="315"/>
      <c r="I325" s="315"/>
      <c r="J325" s="315"/>
      <c r="K325" s="315"/>
    </row>
    <row r="326" spans="1:11" ht="15" thickTop="1" x14ac:dyDescent="0.35">
      <c r="A326" s="313">
        <v>45324</v>
      </c>
      <c r="B326" s="314"/>
      <c r="C326" s="314"/>
      <c r="D326" s="314"/>
      <c r="E326" s="314"/>
      <c r="G326" s="313">
        <v>45324</v>
      </c>
      <c r="H326" s="314"/>
      <c r="I326" s="314"/>
      <c r="J326" s="314"/>
      <c r="K326" s="314"/>
    </row>
    <row r="327" spans="1:11" x14ac:dyDescent="0.35">
      <c r="A327" s="261" t="s">
        <v>159</v>
      </c>
      <c r="B327" s="262" t="s">
        <v>299</v>
      </c>
      <c r="C327" s="262" t="s">
        <v>300</v>
      </c>
      <c r="D327" s="262" t="s">
        <v>301</v>
      </c>
      <c r="E327" s="263" t="s">
        <v>302</v>
      </c>
      <c r="G327" s="264" t="s">
        <v>159</v>
      </c>
      <c r="H327" s="265" t="s">
        <v>299</v>
      </c>
      <c r="I327" s="265" t="s">
        <v>300</v>
      </c>
      <c r="J327" s="265" t="s">
        <v>301</v>
      </c>
      <c r="K327" s="266" t="s">
        <v>302</v>
      </c>
    </row>
    <row r="328" spans="1:11" x14ac:dyDescent="0.35">
      <c r="A328" s="221" t="s">
        <v>303</v>
      </c>
      <c r="B328" s="222">
        <v>2723</v>
      </c>
      <c r="C328" s="222"/>
      <c r="D328" s="222"/>
      <c r="E328" s="223"/>
      <c r="G328" s="221" t="s">
        <v>303</v>
      </c>
      <c r="H328" s="222">
        <v>1224</v>
      </c>
      <c r="I328" s="222"/>
      <c r="J328" s="222"/>
      <c r="K328" s="223"/>
    </row>
    <row r="329" spans="1:11" x14ac:dyDescent="0.35">
      <c r="A329" s="225" t="s">
        <v>304</v>
      </c>
      <c r="B329" s="226"/>
      <c r="C329" s="226"/>
      <c r="D329" s="226"/>
      <c r="E329" s="227"/>
      <c r="G329" s="225"/>
      <c r="H329" s="226"/>
      <c r="I329" s="226"/>
      <c r="J329" s="226"/>
      <c r="K329" s="227"/>
    </row>
    <row r="330" spans="1:11" x14ac:dyDescent="0.35">
      <c r="A330" s="225"/>
      <c r="B330" s="226"/>
      <c r="C330" s="226"/>
      <c r="D330" s="226"/>
      <c r="E330" s="227"/>
      <c r="G330" s="225"/>
      <c r="H330" s="226"/>
      <c r="I330" s="226"/>
      <c r="J330" s="226"/>
      <c r="K330" s="227"/>
    </row>
    <row r="331" spans="1:11" x14ac:dyDescent="0.35">
      <c r="A331" s="221"/>
      <c r="B331" s="222"/>
      <c r="C331" s="222"/>
      <c r="D331" s="222"/>
      <c r="E331" s="223"/>
      <c r="G331" s="221"/>
      <c r="H331" s="222"/>
      <c r="I331" s="222"/>
      <c r="J331" s="222"/>
      <c r="K331" s="223"/>
    </row>
    <row r="332" spans="1:11" x14ac:dyDescent="0.35">
      <c r="A332" s="225"/>
      <c r="B332" s="226"/>
      <c r="C332" s="226"/>
      <c r="D332" s="226"/>
      <c r="E332" s="227"/>
      <c r="G332" s="225"/>
      <c r="H332" s="226"/>
      <c r="I332" s="226"/>
      <c r="J332" s="226"/>
      <c r="K332" s="227"/>
    </row>
    <row r="333" spans="1:11" ht="15" thickBot="1" x14ac:dyDescent="0.4">
      <c r="A333" s="218" t="s">
        <v>34</v>
      </c>
      <c r="B333" s="219">
        <f>SUM(B328:B332)</f>
        <v>2723</v>
      </c>
      <c r="C333" s="219">
        <f>SUM(C328:C332)</f>
        <v>0</v>
      </c>
      <c r="D333" s="219">
        <f>SUM(D328:D332)</f>
        <v>0</v>
      </c>
      <c r="E333" s="219">
        <f>SUM(E328:E332)</f>
        <v>0</v>
      </c>
      <c r="G333" s="218" t="s">
        <v>34</v>
      </c>
      <c r="H333" s="219">
        <f>SUM(H328:H332)</f>
        <v>1224</v>
      </c>
      <c r="I333" s="219">
        <f>SUM(I328:I332)</f>
        <v>0</v>
      </c>
      <c r="J333" s="219">
        <f>SUM(J328:J332)</f>
        <v>0</v>
      </c>
      <c r="K333" s="219">
        <f>SUM(K328:K332)</f>
        <v>0</v>
      </c>
    </row>
    <row r="334" spans="1:11" x14ac:dyDescent="0.35">
      <c r="A334" s="220" t="s">
        <v>305</v>
      </c>
      <c r="B334" s="220">
        <f>+B333+C333+D333+E333</f>
        <v>2723</v>
      </c>
      <c r="C334" s="220"/>
      <c r="D334" s="220"/>
      <c r="E334" s="220"/>
      <c r="G334" s="220" t="s">
        <v>305</v>
      </c>
      <c r="H334" s="220">
        <f>+H333+I333+J333+K333</f>
        <v>1224</v>
      </c>
      <c r="I334" s="220"/>
      <c r="J334" s="220"/>
      <c r="K334" s="220"/>
    </row>
    <row r="335" spans="1:11" ht="15" thickBot="1" x14ac:dyDescent="0.4">
      <c r="A335" s="315" t="s">
        <v>298</v>
      </c>
      <c r="B335" s="315"/>
      <c r="C335" s="315"/>
      <c r="D335" s="315"/>
      <c r="E335" s="315"/>
      <c r="G335" s="315" t="s">
        <v>314</v>
      </c>
      <c r="H335" s="315"/>
      <c r="I335" s="315"/>
      <c r="J335" s="315"/>
      <c r="K335" s="315"/>
    </row>
    <row r="336" spans="1:11" ht="15" thickTop="1" x14ac:dyDescent="0.35">
      <c r="A336" s="313">
        <v>45325</v>
      </c>
      <c r="B336" s="314"/>
      <c r="C336" s="314"/>
      <c r="D336" s="314"/>
      <c r="E336" s="314"/>
      <c r="G336" s="313">
        <v>45325</v>
      </c>
      <c r="H336" s="314"/>
      <c r="I336" s="314"/>
      <c r="J336" s="314"/>
      <c r="K336" s="314"/>
    </row>
    <row r="337" spans="1:11" x14ac:dyDescent="0.35">
      <c r="A337" s="261" t="s">
        <v>159</v>
      </c>
      <c r="B337" s="262" t="s">
        <v>299</v>
      </c>
      <c r="C337" s="262" t="s">
        <v>300</v>
      </c>
      <c r="D337" s="262" t="s">
        <v>301</v>
      </c>
      <c r="E337" s="263" t="s">
        <v>302</v>
      </c>
      <c r="G337" s="264" t="s">
        <v>159</v>
      </c>
      <c r="H337" s="265" t="s">
        <v>299</v>
      </c>
      <c r="I337" s="265" t="s">
        <v>300</v>
      </c>
      <c r="J337" s="265" t="s">
        <v>301</v>
      </c>
      <c r="K337" s="266" t="s">
        <v>302</v>
      </c>
    </row>
    <row r="338" spans="1:11" x14ac:dyDescent="0.35">
      <c r="A338" s="221" t="s">
        <v>303</v>
      </c>
      <c r="B338" s="222">
        <v>14550</v>
      </c>
      <c r="C338" s="222"/>
      <c r="D338" s="222"/>
      <c r="E338" s="223"/>
      <c r="G338" s="221" t="s">
        <v>303</v>
      </c>
      <c r="H338" s="222">
        <v>5167</v>
      </c>
      <c r="I338" s="222"/>
      <c r="J338" s="222"/>
      <c r="K338" s="223"/>
    </row>
    <row r="339" spans="1:11" x14ac:dyDescent="0.35">
      <c r="A339" s="225" t="s">
        <v>304</v>
      </c>
      <c r="B339" s="226"/>
      <c r="C339" s="226"/>
      <c r="D339" s="226"/>
      <c r="E339" s="227"/>
      <c r="G339" s="225"/>
      <c r="H339" s="226"/>
      <c r="I339" s="226"/>
      <c r="J339" s="226"/>
      <c r="K339" s="227"/>
    </row>
    <row r="340" spans="1:11" x14ac:dyDescent="0.35">
      <c r="A340" s="225"/>
      <c r="B340" s="226"/>
      <c r="C340" s="226"/>
      <c r="D340" s="226"/>
      <c r="E340" s="227"/>
      <c r="G340" s="225"/>
      <c r="H340" s="226"/>
      <c r="I340" s="226"/>
      <c r="J340" s="226"/>
      <c r="K340" s="227"/>
    </row>
    <row r="341" spans="1:11" x14ac:dyDescent="0.35">
      <c r="A341" s="221"/>
      <c r="B341" s="222"/>
      <c r="C341" s="222"/>
      <c r="D341" s="222"/>
      <c r="E341" s="223"/>
      <c r="G341" s="221"/>
      <c r="H341" s="222"/>
      <c r="I341" s="222"/>
      <c r="J341" s="222"/>
      <c r="K341" s="223"/>
    </row>
    <row r="342" spans="1:11" x14ac:dyDescent="0.35">
      <c r="A342" s="225"/>
      <c r="B342" s="226"/>
      <c r="C342" s="226"/>
      <c r="D342" s="226"/>
      <c r="E342" s="227"/>
      <c r="G342" s="225"/>
      <c r="H342" s="226"/>
      <c r="I342" s="226"/>
      <c r="J342" s="226"/>
      <c r="K342" s="227"/>
    </row>
    <row r="343" spans="1:11" ht="15" thickBot="1" x14ac:dyDescent="0.4">
      <c r="A343" s="218" t="s">
        <v>34</v>
      </c>
      <c r="B343" s="219">
        <f>SUM(B338:B342)</f>
        <v>14550</v>
      </c>
      <c r="C343" s="219">
        <f>SUM(C338:C342)</f>
        <v>0</v>
      </c>
      <c r="D343" s="219">
        <f>SUM(D338:D342)</f>
        <v>0</v>
      </c>
      <c r="E343" s="219">
        <f>SUM(E338:E342)</f>
        <v>0</v>
      </c>
      <c r="G343" s="218" t="s">
        <v>34</v>
      </c>
      <c r="H343" s="219">
        <f>SUM(H338:H342)</f>
        <v>5167</v>
      </c>
      <c r="I343" s="219">
        <f>SUM(I338:I342)</f>
        <v>0</v>
      </c>
      <c r="J343" s="219">
        <f>SUM(J338:J342)</f>
        <v>0</v>
      </c>
      <c r="K343" s="219">
        <f>SUM(K338:K342)</f>
        <v>0</v>
      </c>
    </row>
    <row r="344" spans="1:11" x14ac:dyDescent="0.35">
      <c r="A344" s="220" t="s">
        <v>305</v>
      </c>
      <c r="B344" s="220">
        <f>+B343+C343+D343+E343</f>
        <v>14550</v>
      </c>
      <c r="C344" s="220"/>
      <c r="D344" s="220"/>
      <c r="E344" s="220"/>
      <c r="G344" s="220" t="s">
        <v>305</v>
      </c>
      <c r="H344" s="220">
        <f>+H343+I343+J343+K343</f>
        <v>5167</v>
      </c>
      <c r="I344" s="220"/>
      <c r="J344" s="220"/>
      <c r="K344" s="220"/>
    </row>
    <row r="345" spans="1:11" ht="15" thickBot="1" x14ac:dyDescent="0.4">
      <c r="A345" s="315" t="s">
        <v>298</v>
      </c>
      <c r="B345" s="315"/>
      <c r="C345" s="315"/>
      <c r="D345" s="315"/>
      <c r="E345" s="315"/>
      <c r="G345" s="315" t="s">
        <v>314</v>
      </c>
      <c r="H345" s="315"/>
      <c r="I345" s="315"/>
      <c r="J345" s="315"/>
      <c r="K345" s="315"/>
    </row>
    <row r="346" spans="1:11" ht="15" thickTop="1" x14ac:dyDescent="0.35">
      <c r="A346" s="313">
        <v>45326</v>
      </c>
      <c r="B346" s="314"/>
      <c r="C346" s="314"/>
      <c r="D346" s="314"/>
      <c r="E346" s="314"/>
      <c r="G346" s="313">
        <v>45326</v>
      </c>
      <c r="H346" s="314"/>
      <c r="I346" s="314"/>
      <c r="J346" s="314"/>
      <c r="K346" s="314"/>
    </row>
    <row r="347" spans="1:11" x14ac:dyDescent="0.35">
      <c r="A347" s="261" t="s">
        <v>159</v>
      </c>
      <c r="B347" s="262" t="s">
        <v>299</v>
      </c>
      <c r="C347" s="262" t="s">
        <v>300</v>
      </c>
      <c r="D347" s="262" t="s">
        <v>301</v>
      </c>
      <c r="E347" s="263" t="s">
        <v>302</v>
      </c>
      <c r="G347" s="264" t="s">
        <v>159</v>
      </c>
      <c r="H347" s="265" t="s">
        <v>299</v>
      </c>
      <c r="I347" s="265" t="s">
        <v>300</v>
      </c>
      <c r="J347" s="265" t="s">
        <v>301</v>
      </c>
      <c r="K347" s="266" t="s">
        <v>302</v>
      </c>
    </row>
    <row r="348" spans="1:11" x14ac:dyDescent="0.35">
      <c r="A348" s="221" t="s">
        <v>303</v>
      </c>
      <c r="B348" s="222">
        <v>20383</v>
      </c>
      <c r="C348" s="222"/>
      <c r="D348" s="222"/>
      <c r="E348" s="223"/>
      <c r="G348" s="221" t="s">
        <v>303</v>
      </c>
      <c r="H348" s="222">
        <v>5492</v>
      </c>
      <c r="I348" s="222"/>
      <c r="J348" s="222"/>
      <c r="K348" s="223"/>
    </row>
    <row r="349" spans="1:11" x14ac:dyDescent="0.35">
      <c r="A349" s="225" t="s">
        <v>304</v>
      </c>
      <c r="B349" s="226">
        <v>6175</v>
      </c>
      <c r="C349" s="226"/>
      <c r="D349" s="226"/>
      <c r="E349" s="227"/>
      <c r="G349" s="225"/>
      <c r="H349" s="226"/>
      <c r="I349" s="226"/>
      <c r="J349" s="226"/>
      <c r="K349" s="227"/>
    </row>
    <row r="350" spans="1:11" x14ac:dyDescent="0.35">
      <c r="A350" s="225"/>
      <c r="B350" s="226"/>
      <c r="C350" s="226"/>
      <c r="D350" s="226"/>
      <c r="E350" s="227"/>
      <c r="G350" s="225"/>
      <c r="H350" s="226"/>
      <c r="I350" s="226"/>
      <c r="J350" s="226"/>
      <c r="K350" s="227"/>
    </row>
    <row r="351" spans="1:11" x14ac:dyDescent="0.35">
      <c r="A351" s="221"/>
      <c r="B351" s="222"/>
      <c r="C351" s="222"/>
      <c r="D351" s="222"/>
      <c r="E351" s="223"/>
      <c r="G351" s="221"/>
      <c r="H351" s="222"/>
      <c r="I351" s="222"/>
      <c r="J351" s="222"/>
      <c r="K351" s="223"/>
    </row>
    <row r="352" spans="1:11" x14ac:dyDescent="0.35">
      <c r="A352" s="225"/>
      <c r="B352" s="226"/>
      <c r="C352" s="226"/>
      <c r="D352" s="226"/>
      <c r="E352" s="227"/>
      <c r="G352" s="225"/>
      <c r="H352" s="226"/>
      <c r="I352" s="226"/>
      <c r="J352" s="226"/>
      <c r="K352" s="227"/>
    </row>
    <row r="353" spans="1:11" ht="15" thickBot="1" x14ac:dyDescent="0.4">
      <c r="A353" s="218" t="s">
        <v>34</v>
      </c>
      <c r="B353" s="219">
        <f>SUM(B348:B352)</f>
        <v>26558</v>
      </c>
      <c r="C353" s="219">
        <f>SUM(C348:C352)</f>
        <v>0</v>
      </c>
      <c r="D353" s="219">
        <f>SUM(D348:D352)</f>
        <v>0</v>
      </c>
      <c r="E353" s="219">
        <f>SUM(E348:E352)</f>
        <v>0</v>
      </c>
      <c r="G353" s="218" t="s">
        <v>34</v>
      </c>
      <c r="H353" s="219">
        <f>SUM(H348:H352)</f>
        <v>5492</v>
      </c>
      <c r="I353" s="219">
        <f>SUM(I348:I352)</f>
        <v>0</v>
      </c>
      <c r="J353" s="219">
        <f>SUM(J348:J352)</f>
        <v>0</v>
      </c>
      <c r="K353" s="219">
        <f>SUM(K348:K352)</f>
        <v>0</v>
      </c>
    </row>
    <row r="354" spans="1:11" x14ac:dyDescent="0.35">
      <c r="A354" s="220" t="s">
        <v>305</v>
      </c>
      <c r="B354" s="220">
        <f>+B353+C353+D353+E353</f>
        <v>26558</v>
      </c>
      <c r="C354" s="220"/>
      <c r="D354" s="220"/>
      <c r="E354" s="220"/>
      <c r="G354" s="220" t="s">
        <v>305</v>
      </c>
      <c r="H354" s="220">
        <f>+H353+I353+J353+K353</f>
        <v>5492</v>
      </c>
      <c r="I354" s="220"/>
      <c r="J354" s="220"/>
      <c r="K354" s="220"/>
    </row>
    <row r="355" spans="1:11" ht="15" thickBot="1" x14ac:dyDescent="0.4">
      <c r="A355" s="315" t="s">
        <v>298</v>
      </c>
      <c r="B355" s="315"/>
      <c r="C355" s="315"/>
      <c r="D355" s="315"/>
      <c r="E355" s="315"/>
      <c r="G355" s="315" t="s">
        <v>314</v>
      </c>
      <c r="H355" s="315"/>
      <c r="I355" s="315"/>
      <c r="J355" s="315"/>
      <c r="K355" s="315"/>
    </row>
    <row r="356" spans="1:11" ht="15" thickTop="1" x14ac:dyDescent="0.35">
      <c r="A356" s="313">
        <v>45327</v>
      </c>
      <c r="B356" s="314"/>
      <c r="C356" s="314"/>
      <c r="D356" s="314"/>
      <c r="E356" s="314"/>
      <c r="G356" s="313">
        <v>45327</v>
      </c>
      <c r="H356" s="314"/>
      <c r="I356" s="314"/>
      <c r="J356" s="314"/>
      <c r="K356" s="314"/>
    </row>
    <row r="357" spans="1:11" x14ac:dyDescent="0.35">
      <c r="A357" s="261" t="s">
        <v>159</v>
      </c>
      <c r="B357" s="262" t="s">
        <v>299</v>
      </c>
      <c r="C357" s="262" t="s">
        <v>300</v>
      </c>
      <c r="D357" s="262" t="s">
        <v>301</v>
      </c>
      <c r="E357" s="263" t="s">
        <v>302</v>
      </c>
      <c r="G357" s="264" t="s">
        <v>159</v>
      </c>
      <c r="H357" s="265" t="s">
        <v>299</v>
      </c>
      <c r="I357" s="265" t="s">
        <v>300</v>
      </c>
      <c r="J357" s="265" t="s">
        <v>301</v>
      </c>
      <c r="K357" s="266" t="s">
        <v>302</v>
      </c>
    </row>
    <row r="358" spans="1:11" x14ac:dyDescent="0.35">
      <c r="A358" s="221" t="s">
        <v>303</v>
      </c>
      <c r="B358" s="222">
        <v>8950</v>
      </c>
      <c r="C358" s="222"/>
      <c r="D358" s="222"/>
      <c r="E358" s="223"/>
      <c r="G358" s="221" t="s">
        <v>303</v>
      </c>
      <c r="H358" s="222">
        <v>2789</v>
      </c>
      <c r="I358" s="222"/>
      <c r="J358" s="222"/>
      <c r="K358" s="223"/>
    </row>
    <row r="359" spans="1:11" x14ac:dyDescent="0.35">
      <c r="A359" s="225" t="s">
        <v>304</v>
      </c>
      <c r="B359" s="226">
        <v>21755</v>
      </c>
      <c r="C359" s="226"/>
      <c r="D359" s="226"/>
      <c r="E359" s="227"/>
      <c r="G359" s="225"/>
      <c r="H359" s="226"/>
      <c r="I359" s="226"/>
      <c r="J359" s="226"/>
      <c r="K359" s="227"/>
    </row>
    <row r="360" spans="1:11" x14ac:dyDescent="0.35">
      <c r="A360" s="225"/>
      <c r="B360" s="226"/>
      <c r="C360" s="226"/>
      <c r="D360" s="226"/>
      <c r="E360" s="227"/>
      <c r="G360" s="225"/>
      <c r="H360" s="226"/>
      <c r="I360" s="226"/>
      <c r="J360" s="226"/>
      <c r="K360" s="227"/>
    </row>
    <row r="361" spans="1:11" x14ac:dyDescent="0.35">
      <c r="A361" s="221"/>
      <c r="B361" s="222"/>
      <c r="C361" s="222"/>
      <c r="D361" s="222"/>
      <c r="E361" s="223"/>
      <c r="G361" s="221"/>
      <c r="H361" s="222"/>
      <c r="I361" s="222"/>
      <c r="J361" s="222"/>
      <c r="K361" s="223"/>
    </row>
    <row r="362" spans="1:11" x14ac:dyDescent="0.35">
      <c r="A362" s="225"/>
      <c r="B362" s="226"/>
      <c r="C362" s="226"/>
      <c r="D362" s="226"/>
      <c r="E362" s="227"/>
      <c r="G362" s="225"/>
      <c r="H362" s="226"/>
      <c r="I362" s="226"/>
      <c r="J362" s="226"/>
      <c r="K362" s="227"/>
    </row>
    <row r="363" spans="1:11" ht="15" thickBot="1" x14ac:dyDescent="0.4">
      <c r="A363" s="218" t="s">
        <v>34</v>
      </c>
      <c r="B363" s="219">
        <f>SUM(B358:B362)</f>
        <v>30705</v>
      </c>
      <c r="C363" s="219">
        <f>SUM(C358:C362)</f>
        <v>0</v>
      </c>
      <c r="D363" s="219">
        <f>SUM(D358:D362)</f>
        <v>0</v>
      </c>
      <c r="E363" s="219">
        <f>SUM(E358:E362)</f>
        <v>0</v>
      </c>
      <c r="G363" s="218" t="s">
        <v>34</v>
      </c>
      <c r="H363" s="219">
        <f>SUM(H358:H362)</f>
        <v>2789</v>
      </c>
      <c r="I363" s="219">
        <f>SUM(I358:I362)</f>
        <v>0</v>
      </c>
      <c r="J363" s="219">
        <f>SUM(J358:J362)</f>
        <v>0</v>
      </c>
      <c r="K363" s="219">
        <f>SUM(K358:K362)</f>
        <v>0</v>
      </c>
    </row>
    <row r="364" spans="1:11" x14ac:dyDescent="0.35">
      <c r="A364" s="220" t="s">
        <v>305</v>
      </c>
      <c r="B364" s="220">
        <f>+B363+C363+D363+E363</f>
        <v>30705</v>
      </c>
      <c r="C364" s="220"/>
      <c r="D364" s="220"/>
      <c r="E364" s="220"/>
      <c r="G364" s="220" t="s">
        <v>305</v>
      </c>
      <c r="H364" s="220">
        <f>+H363+I363+J363+K363</f>
        <v>2789</v>
      </c>
      <c r="I364" s="220"/>
      <c r="J364" s="220"/>
      <c r="K364" s="220"/>
    </row>
    <row r="365" spans="1:11" ht="15" thickBot="1" x14ac:dyDescent="0.4">
      <c r="A365" s="315" t="s">
        <v>298</v>
      </c>
      <c r="B365" s="315"/>
      <c r="C365" s="315"/>
      <c r="D365" s="315"/>
      <c r="E365" s="315"/>
      <c r="G365" s="315" t="s">
        <v>314</v>
      </c>
      <c r="H365" s="315"/>
      <c r="I365" s="315"/>
      <c r="J365" s="315"/>
      <c r="K365" s="315"/>
    </row>
    <row r="366" spans="1:11" ht="15" thickTop="1" x14ac:dyDescent="0.35">
      <c r="A366" s="313">
        <v>45328</v>
      </c>
      <c r="B366" s="314"/>
      <c r="C366" s="314"/>
      <c r="D366" s="314"/>
      <c r="E366" s="314"/>
      <c r="G366" s="313">
        <v>45328</v>
      </c>
      <c r="H366" s="314"/>
      <c r="I366" s="314"/>
      <c r="J366" s="314"/>
      <c r="K366" s="314"/>
    </row>
    <row r="367" spans="1:11" x14ac:dyDescent="0.35">
      <c r="A367" s="261" t="s">
        <v>159</v>
      </c>
      <c r="B367" s="262" t="s">
        <v>299</v>
      </c>
      <c r="C367" s="262" t="s">
        <v>300</v>
      </c>
      <c r="D367" s="262" t="s">
        <v>301</v>
      </c>
      <c r="E367" s="263" t="s">
        <v>302</v>
      </c>
      <c r="G367" s="264" t="s">
        <v>159</v>
      </c>
      <c r="H367" s="265" t="s">
        <v>299</v>
      </c>
      <c r="I367" s="265" t="s">
        <v>300</v>
      </c>
      <c r="J367" s="265" t="s">
        <v>301</v>
      </c>
      <c r="K367" s="266" t="s">
        <v>302</v>
      </c>
    </row>
    <row r="368" spans="1:11" x14ac:dyDescent="0.35">
      <c r="A368" s="221" t="s">
        <v>303</v>
      </c>
      <c r="B368" s="222">
        <v>4100</v>
      </c>
      <c r="C368" s="222"/>
      <c r="D368" s="222"/>
      <c r="E368" s="223"/>
      <c r="G368" s="221" t="s">
        <v>303</v>
      </c>
      <c r="H368" s="222">
        <v>601</v>
      </c>
      <c r="I368" s="222"/>
      <c r="J368" s="222"/>
      <c r="K368" s="223"/>
    </row>
    <row r="369" spans="1:11" x14ac:dyDescent="0.35">
      <c r="A369" s="225" t="s">
        <v>304</v>
      </c>
      <c r="B369" s="226">
        <v>5385</v>
      </c>
      <c r="C369" s="226"/>
      <c r="D369" s="226"/>
      <c r="E369" s="227"/>
      <c r="G369" s="225"/>
      <c r="H369" s="226"/>
      <c r="I369" s="226"/>
      <c r="J369" s="226"/>
      <c r="K369" s="227"/>
    </row>
    <row r="370" spans="1:11" x14ac:dyDescent="0.35">
      <c r="A370" s="225"/>
      <c r="B370" s="226"/>
      <c r="C370" s="226"/>
      <c r="D370" s="226"/>
      <c r="E370" s="227"/>
      <c r="G370" s="225"/>
      <c r="H370" s="226"/>
      <c r="I370" s="226"/>
      <c r="J370" s="226"/>
      <c r="K370" s="227"/>
    </row>
    <row r="371" spans="1:11" x14ac:dyDescent="0.35">
      <c r="A371" s="221"/>
      <c r="B371" s="222"/>
      <c r="C371" s="222"/>
      <c r="D371" s="222"/>
      <c r="E371" s="223"/>
      <c r="G371" s="221"/>
      <c r="H371" s="222"/>
      <c r="I371" s="222"/>
      <c r="J371" s="222"/>
      <c r="K371" s="223"/>
    </row>
    <row r="372" spans="1:11" x14ac:dyDescent="0.35">
      <c r="A372" s="225"/>
      <c r="B372" s="226"/>
      <c r="C372" s="226"/>
      <c r="D372" s="226"/>
      <c r="E372" s="227"/>
      <c r="G372" s="225"/>
      <c r="H372" s="226"/>
      <c r="I372" s="226"/>
      <c r="J372" s="226"/>
      <c r="K372" s="227"/>
    </row>
    <row r="373" spans="1:11" ht="15" thickBot="1" x14ac:dyDescent="0.4">
      <c r="A373" s="218" t="s">
        <v>34</v>
      </c>
      <c r="B373" s="219">
        <f>SUM(B368:B372)</f>
        <v>9485</v>
      </c>
      <c r="C373" s="219">
        <f>SUM(C368:C372)</f>
        <v>0</v>
      </c>
      <c r="D373" s="219">
        <f>SUM(D368:D372)</f>
        <v>0</v>
      </c>
      <c r="E373" s="219">
        <f>SUM(E368:E372)</f>
        <v>0</v>
      </c>
      <c r="G373" s="218" t="s">
        <v>34</v>
      </c>
      <c r="H373" s="219">
        <f>SUM(H368:H372)</f>
        <v>601</v>
      </c>
      <c r="I373" s="219">
        <f>SUM(I368:I372)</f>
        <v>0</v>
      </c>
      <c r="J373" s="219">
        <f>SUM(J368:J372)</f>
        <v>0</v>
      </c>
      <c r="K373" s="219">
        <f>SUM(K368:K372)</f>
        <v>0</v>
      </c>
    </row>
    <row r="374" spans="1:11" x14ac:dyDescent="0.35">
      <c r="A374" s="220" t="s">
        <v>305</v>
      </c>
      <c r="B374" s="220">
        <f>+B373+C373+D373+E373</f>
        <v>9485</v>
      </c>
      <c r="C374" s="220"/>
      <c r="D374" s="220"/>
      <c r="E374" s="220"/>
      <c r="G374" s="220" t="s">
        <v>305</v>
      </c>
      <c r="H374" s="220">
        <f>+H373+I373+J373+K373</f>
        <v>601</v>
      </c>
      <c r="I374" s="220"/>
      <c r="J374" s="220"/>
      <c r="K374" s="220"/>
    </row>
    <row r="375" spans="1:11" ht="15" thickBot="1" x14ac:dyDescent="0.4">
      <c r="A375" s="315" t="s">
        <v>298</v>
      </c>
      <c r="B375" s="315"/>
      <c r="C375" s="315"/>
      <c r="D375" s="315"/>
      <c r="E375" s="315"/>
      <c r="G375" s="315" t="s">
        <v>314</v>
      </c>
      <c r="H375" s="315"/>
      <c r="I375" s="315"/>
      <c r="J375" s="315"/>
      <c r="K375" s="315"/>
    </row>
    <row r="376" spans="1:11" ht="15" thickTop="1" x14ac:dyDescent="0.35">
      <c r="A376" s="313">
        <v>45329</v>
      </c>
      <c r="B376" s="314"/>
      <c r="C376" s="314"/>
      <c r="D376" s="314"/>
      <c r="E376" s="314"/>
      <c r="G376" s="313">
        <v>45329</v>
      </c>
      <c r="H376" s="314"/>
      <c r="I376" s="314"/>
      <c r="J376" s="314"/>
      <c r="K376" s="314"/>
    </row>
    <row r="377" spans="1:11" x14ac:dyDescent="0.35">
      <c r="A377" s="261" t="s">
        <v>159</v>
      </c>
      <c r="B377" s="262" t="s">
        <v>299</v>
      </c>
      <c r="C377" s="262" t="s">
        <v>300</v>
      </c>
      <c r="D377" s="262" t="s">
        <v>301</v>
      </c>
      <c r="E377" s="263" t="s">
        <v>302</v>
      </c>
      <c r="G377" s="264" t="s">
        <v>159</v>
      </c>
      <c r="H377" s="265" t="s">
        <v>299</v>
      </c>
      <c r="I377" s="265" t="s">
        <v>300</v>
      </c>
      <c r="J377" s="265" t="s">
        <v>301</v>
      </c>
      <c r="K377" s="266" t="s">
        <v>302</v>
      </c>
    </row>
    <row r="378" spans="1:11" x14ac:dyDescent="0.35">
      <c r="A378" s="221" t="s">
        <v>303</v>
      </c>
      <c r="B378" s="222">
        <v>1986</v>
      </c>
      <c r="C378" s="222"/>
      <c r="D378" s="222"/>
      <c r="E378" s="223"/>
      <c r="G378" s="221" t="s">
        <v>303</v>
      </c>
      <c r="H378" s="222"/>
      <c r="I378" s="222"/>
      <c r="J378" s="222"/>
      <c r="K378" s="223"/>
    </row>
    <row r="379" spans="1:11" x14ac:dyDescent="0.35">
      <c r="A379" s="225" t="s">
        <v>304</v>
      </c>
      <c r="B379" s="226"/>
      <c r="C379" s="226"/>
      <c r="D379" s="226"/>
      <c r="E379" s="227"/>
      <c r="G379" s="225"/>
      <c r="H379" s="226"/>
      <c r="I379" s="226"/>
      <c r="J379" s="226"/>
      <c r="K379" s="227"/>
    </row>
    <row r="380" spans="1:11" x14ac:dyDescent="0.35">
      <c r="A380" s="225"/>
      <c r="B380" s="226"/>
      <c r="C380" s="226"/>
      <c r="D380" s="226"/>
      <c r="E380" s="227"/>
      <c r="G380" s="225"/>
      <c r="H380" s="226"/>
      <c r="I380" s="226"/>
      <c r="J380" s="226"/>
      <c r="K380" s="227"/>
    </row>
    <row r="381" spans="1:11" x14ac:dyDescent="0.35">
      <c r="A381" s="221"/>
      <c r="B381" s="222"/>
      <c r="C381" s="222"/>
      <c r="D381" s="222"/>
      <c r="E381" s="223"/>
      <c r="G381" s="221"/>
      <c r="H381" s="222"/>
      <c r="I381" s="222"/>
      <c r="J381" s="222"/>
      <c r="K381" s="223"/>
    </row>
    <row r="382" spans="1:11" x14ac:dyDescent="0.35">
      <c r="A382" s="225"/>
      <c r="B382" s="226"/>
      <c r="C382" s="226"/>
      <c r="D382" s="226"/>
      <c r="E382" s="227"/>
      <c r="G382" s="225"/>
      <c r="H382" s="226"/>
      <c r="I382" s="226"/>
      <c r="J382" s="226"/>
      <c r="K382" s="227"/>
    </row>
    <row r="383" spans="1:11" ht="15" thickBot="1" x14ac:dyDescent="0.4">
      <c r="A383" s="218" t="s">
        <v>34</v>
      </c>
      <c r="B383" s="219">
        <f>SUM(B378:B382)</f>
        <v>1986</v>
      </c>
      <c r="C383" s="219">
        <f>SUM(C378:C382)</f>
        <v>0</v>
      </c>
      <c r="D383" s="219">
        <f>SUM(D378:D382)</f>
        <v>0</v>
      </c>
      <c r="E383" s="219">
        <f>SUM(E378:E382)</f>
        <v>0</v>
      </c>
      <c r="G383" s="218" t="s">
        <v>34</v>
      </c>
      <c r="H383" s="219">
        <f>SUM(H378:H382)</f>
        <v>0</v>
      </c>
      <c r="I383" s="219">
        <f>SUM(I378:I382)</f>
        <v>0</v>
      </c>
      <c r="J383" s="219">
        <f>SUM(J378:J382)</f>
        <v>0</v>
      </c>
      <c r="K383" s="219">
        <f>SUM(K378:K382)</f>
        <v>0</v>
      </c>
    </row>
    <row r="384" spans="1:11" x14ac:dyDescent="0.35">
      <c r="A384" s="220" t="s">
        <v>305</v>
      </c>
      <c r="B384" s="220">
        <f>+B383+C383+D383+E383</f>
        <v>1986</v>
      </c>
      <c r="C384" s="220"/>
      <c r="D384" s="220"/>
      <c r="E384" s="220"/>
      <c r="G384" s="220" t="s">
        <v>305</v>
      </c>
      <c r="H384" s="220">
        <f>+H383+I383+J383+K383</f>
        <v>0</v>
      </c>
      <c r="I384" s="220"/>
      <c r="J384" s="220"/>
      <c r="K384" s="220"/>
    </row>
    <row r="385" spans="1:11" ht="15" thickBot="1" x14ac:dyDescent="0.4">
      <c r="A385" s="315" t="s">
        <v>298</v>
      </c>
      <c r="B385" s="315"/>
      <c r="C385" s="315"/>
      <c r="D385" s="315"/>
      <c r="E385" s="315"/>
      <c r="G385" s="315" t="s">
        <v>314</v>
      </c>
      <c r="H385" s="315"/>
      <c r="I385" s="315"/>
      <c r="J385" s="315"/>
      <c r="K385" s="315"/>
    </row>
    <row r="386" spans="1:11" ht="15" thickTop="1" x14ac:dyDescent="0.35">
      <c r="A386" s="313">
        <v>45330</v>
      </c>
      <c r="B386" s="314"/>
      <c r="C386" s="314"/>
      <c r="D386" s="314"/>
      <c r="E386" s="314"/>
      <c r="G386" s="313">
        <v>45330</v>
      </c>
      <c r="H386" s="314"/>
      <c r="I386" s="314"/>
      <c r="J386" s="314"/>
      <c r="K386" s="314"/>
    </row>
    <row r="387" spans="1:11" x14ac:dyDescent="0.35">
      <c r="A387" s="261" t="s">
        <v>159</v>
      </c>
      <c r="B387" s="262" t="s">
        <v>299</v>
      </c>
      <c r="C387" s="262" t="s">
        <v>300</v>
      </c>
      <c r="D387" s="262" t="s">
        <v>301</v>
      </c>
      <c r="E387" s="263" t="s">
        <v>302</v>
      </c>
      <c r="G387" s="264" t="s">
        <v>159</v>
      </c>
      <c r="H387" s="265" t="s">
        <v>299</v>
      </c>
      <c r="I387" s="265" t="s">
        <v>300</v>
      </c>
      <c r="J387" s="265" t="s">
        <v>301</v>
      </c>
      <c r="K387" s="266" t="s">
        <v>302</v>
      </c>
    </row>
    <row r="388" spans="1:11" x14ac:dyDescent="0.35">
      <c r="A388" s="221" t="s">
        <v>303</v>
      </c>
      <c r="B388" s="222">
        <v>9725</v>
      </c>
      <c r="C388" s="222"/>
      <c r="D388" s="222"/>
      <c r="E388" s="223"/>
      <c r="G388" s="221" t="s">
        <v>303</v>
      </c>
      <c r="H388" s="222">
        <v>1867</v>
      </c>
      <c r="I388" s="222"/>
      <c r="J388" s="222"/>
      <c r="K388" s="223"/>
    </row>
    <row r="389" spans="1:11" x14ac:dyDescent="0.35">
      <c r="A389" s="225" t="s">
        <v>304</v>
      </c>
      <c r="B389" s="226"/>
      <c r="C389" s="226"/>
      <c r="D389" s="226"/>
      <c r="E389" s="227"/>
      <c r="G389" s="225"/>
      <c r="H389" s="226"/>
      <c r="I389" s="226"/>
      <c r="J389" s="226"/>
      <c r="K389" s="227"/>
    </row>
    <row r="390" spans="1:11" x14ac:dyDescent="0.35">
      <c r="A390" s="225"/>
      <c r="B390" s="226"/>
      <c r="C390" s="226"/>
      <c r="D390" s="226"/>
      <c r="E390" s="227"/>
      <c r="G390" s="225"/>
      <c r="H390" s="226"/>
      <c r="I390" s="226"/>
      <c r="J390" s="226"/>
      <c r="K390" s="227"/>
    </row>
    <row r="391" spans="1:11" x14ac:dyDescent="0.35">
      <c r="A391" s="221"/>
      <c r="B391" s="222"/>
      <c r="C391" s="222"/>
      <c r="D391" s="222"/>
      <c r="E391" s="223"/>
      <c r="G391" s="221"/>
      <c r="H391" s="222"/>
      <c r="I391" s="222"/>
      <c r="J391" s="222"/>
      <c r="K391" s="223"/>
    </row>
    <row r="392" spans="1:11" x14ac:dyDescent="0.35">
      <c r="A392" s="225"/>
      <c r="B392" s="226"/>
      <c r="C392" s="226"/>
      <c r="D392" s="226"/>
      <c r="E392" s="227"/>
      <c r="G392" s="225"/>
      <c r="H392" s="226"/>
      <c r="I392" s="226"/>
      <c r="J392" s="226"/>
      <c r="K392" s="227"/>
    </row>
    <row r="393" spans="1:11" ht="15" thickBot="1" x14ac:dyDescent="0.4">
      <c r="A393" s="218" t="s">
        <v>34</v>
      </c>
      <c r="B393" s="219">
        <f>SUM(B388:B392)</f>
        <v>9725</v>
      </c>
      <c r="C393" s="219">
        <f>SUM(C388:C392)</f>
        <v>0</v>
      </c>
      <c r="D393" s="219">
        <f>SUM(D388:D392)</f>
        <v>0</v>
      </c>
      <c r="E393" s="219">
        <f>SUM(E388:E392)</f>
        <v>0</v>
      </c>
      <c r="G393" s="218" t="s">
        <v>34</v>
      </c>
      <c r="H393" s="219">
        <f>SUM(H388:H392)</f>
        <v>1867</v>
      </c>
      <c r="I393" s="219">
        <f>SUM(I388:I392)</f>
        <v>0</v>
      </c>
      <c r="J393" s="219">
        <f>SUM(J388:J392)</f>
        <v>0</v>
      </c>
      <c r="K393" s="219">
        <f>SUM(K388:K392)</f>
        <v>0</v>
      </c>
    </row>
    <row r="394" spans="1:11" x14ac:dyDescent="0.35">
      <c r="A394" s="220" t="s">
        <v>305</v>
      </c>
      <c r="B394" s="220">
        <f>+B393+C393+D393+E393</f>
        <v>9725</v>
      </c>
      <c r="C394" s="220"/>
      <c r="D394" s="220"/>
      <c r="E394" s="220"/>
      <c r="G394" s="220" t="s">
        <v>305</v>
      </c>
      <c r="H394" s="220">
        <f>+H393+I393+J393+K393</f>
        <v>1867</v>
      </c>
      <c r="I394" s="220"/>
      <c r="J394" s="220"/>
      <c r="K394" s="220"/>
    </row>
    <row r="395" spans="1:11" ht="15" thickBot="1" x14ac:dyDescent="0.4">
      <c r="A395" s="315" t="s">
        <v>298</v>
      </c>
      <c r="B395" s="315"/>
      <c r="C395" s="315"/>
      <c r="D395" s="315"/>
      <c r="E395" s="315"/>
      <c r="G395" s="315" t="s">
        <v>314</v>
      </c>
      <c r="H395" s="315"/>
      <c r="I395" s="315"/>
      <c r="J395" s="315"/>
      <c r="K395" s="315"/>
    </row>
    <row r="396" spans="1:11" ht="15" thickTop="1" x14ac:dyDescent="0.35">
      <c r="A396" s="313">
        <v>45331</v>
      </c>
      <c r="B396" s="314"/>
      <c r="C396" s="314"/>
      <c r="D396" s="314"/>
      <c r="E396" s="314"/>
      <c r="G396" s="313">
        <v>45331</v>
      </c>
      <c r="H396" s="314"/>
      <c r="I396" s="314"/>
      <c r="J396" s="314"/>
      <c r="K396" s="314"/>
    </row>
    <row r="397" spans="1:11" x14ac:dyDescent="0.35">
      <c r="A397" s="261" t="s">
        <v>159</v>
      </c>
      <c r="B397" s="262" t="s">
        <v>299</v>
      </c>
      <c r="C397" s="262" t="s">
        <v>300</v>
      </c>
      <c r="D397" s="262" t="s">
        <v>301</v>
      </c>
      <c r="E397" s="263" t="s">
        <v>302</v>
      </c>
      <c r="G397" s="264" t="s">
        <v>159</v>
      </c>
      <c r="H397" s="265" t="s">
        <v>299</v>
      </c>
      <c r="I397" s="265" t="s">
        <v>300</v>
      </c>
      <c r="J397" s="265" t="s">
        <v>301</v>
      </c>
      <c r="K397" s="266" t="s">
        <v>302</v>
      </c>
    </row>
    <row r="398" spans="1:11" x14ac:dyDescent="0.35">
      <c r="A398" s="221" t="s">
        <v>303</v>
      </c>
      <c r="B398" s="222">
        <v>6636</v>
      </c>
      <c r="C398" s="222"/>
      <c r="D398" s="222"/>
      <c r="E398" s="223"/>
      <c r="G398" s="221" t="s">
        <v>303</v>
      </c>
      <c r="H398" s="222">
        <v>894</v>
      </c>
      <c r="I398" s="222"/>
      <c r="J398" s="222"/>
      <c r="K398" s="223"/>
    </row>
    <row r="399" spans="1:11" x14ac:dyDescent="0.35">
      <c r="A399" s="225" t="s">
        <v>304</v>
      </c>
      <c r="B399" s="226">
        <v>3859</v>
      </c>
      <c r="C399" s="226"/>
      <c r="D399" s="226"/>
      <c r="E399" s="227"/>
      <c r="G399" s="225"/>
      <c r="H399" s="226"/>
      <c r="I399" s="226"/>
      <c r="J399" s="226"/>
      <c r="K399" s="227"/>
    </row>
    <row r="400" spans="1:11" x14ac:dyDescent="0.35">
      <c r="A400" s="225"/>
      <c r="B400" s="226"/>
      <c r="C400" s="226"/>
      <c r="D400" s="226"/>
      <c r="E400" s="227"/>
      <c r="G400" s="225"/>
      <c r="H400" s="226"/>
      <c r="I400" s="226"/>
      <c r="J400" s="226"/>
      <c r="K400" s="227"/>
    </row>
    <row r="401" spans="1:11" x14ac:dyDescent="0.35">
      <c r="A401" s="221"/>
      <c r="B401" s="222"/>
      <c r="C401" s="222"/>
      <c r="D401" s="222"/>
      <c r="E401" s="223"/>
      <c r="G401" s="221"/>
      <c r="H401" s="222"/>
      <c r="I401" s="222"/>
      <c r="J401" s="222"/>
      <c r="K401" s="223"/>
    </row>
    <row r="402" spans="1:11" x14ac:dyDescent="0.35">
      <c r="A402" s="225"/>
      <c r="B402" s="226"/>
      <c r="C402" s="226"/>
      <c r="D402" s="226"/>
      <c r="E402" s="227"/>
      <c r="G402" s="225"/>
      <c r="H402" s="226"/>
      <c r="I402" s="226"/>
      <c r="J402" s="226"/>
      <c r="K402" s="227"/>
    </row>
    <row r="403" spans="1:11" ht="15" thickBot="1" x14ac:dyDescent="0.4">
      <c r="A403" s="218" t="s">
        <v>34</v>
      </c>
      <c r="B403" s="219">
        <f>SUM(B398:B402)</f>
        <v>10495</v>
      </c>
      <c r="C403" s="219">
        <f>SUM(C398:C402)</f>
        <v>0</v>
      </c>
      <c r="D403" s="219">
        <f>SUM(D398:D402)</f>
        <v>0</v>
      </c>
      <c r="E403" s="219">
        <f>SUM(E398:E402)</f>
        <v>0</v>
      </c>
      <c r="G403" s="218" t="s">
        <v>34</v>
      </c>
      <c r="H403" s="219">
        <f>SUM(H398:H402)</f>
        <v>894</v>
      </c>
      <c r="I403" s="219">
        <f>SUM(I398:I402)</f>
        <v>0</v>
      </c>
      <c r="J403" s="219">
        <f>SUM(J398:J402)</f>
        <v>0</v>
      </c>
      <c r="K403" s="219">
        <f>SUM(K398:K402)</f>
        <v>0</v>
      </c>
    </row>
    <row r="404" spans="1:11" x14ac:dyDescent="0.35">
      <c r="A404" s="220" t="s">
        <v>305</v>
      </c>
      <c r="B404" s="220">
        <f>+B403+C403+D403+E403</f>
        <v>10495</v>
      </c>
      <c r="C404" s="220"/>
      <c r="D404" s="220"/>
      <c r="E404" s="220"/>
      <c r="G404" s="220" t="s">
        <v>305</v>
      </c>
      <c r="H404" s="220">
        <f>+H403+I403+J403+K403</f>
        <v>894</v>
      </c>
      <c r="I404" s="220"/>
      <c r="J404" s="220"/>
      <c r="K404" s="220"/>
    </row>
    <row r="405" spans="1:11" ht="15" thickBot="1" x14ac:dyDescent="0.4">
      <c r="A405" s="315" t="s">
        <v>298</v>
      </c>
      <c r="B405" s="315"/>
      <c r="C405" s="315"/>
      <c r="D405" s="315"/>
      <c r="E405" s="315"/>
      <c r="G405" s="315" t="s">
        <v>314</v>
      </c>
      <c r="H405" s="315"/>
      <c r="I405" s="315"/>
      <c r="J405" s="315"/>
      <c r="K405" s="315"/>
    </row>
    <row r="406" spans="1:11" ht="15" thickTop="1" x14ac:dyDescent="0.35">
      <c r="A406" s="313">
        <v>45332</v>
      </c>
      <c r="B406" s="314"/>
      <c r="C406" s="314"/>
      <c r="D406" s="314"/>
      <c r="E406" s="314"/>
      <c r="G406" s="313">
        <v>45332</v>
      </c>
      <c r="H406" s="314"/>
      <c r="I406" s="314"/>
      <c r="J406" s="314"/>
      <c r="K406" s="314"/>
    </row>
    <row r="407" spans="1:11" x14ac:dyDescent="0.35">
      <c r="A407" s="261" t="s">
        <v>159</v>
      </c>
      <c r="B407" s="262" t="s">
        <v>299</v>
      </c>
      <c r="C407" s="262" t="s">
        <v>300</v>
      </c>
      <c r="D407" s="262" t="s">
        <v>301</v>
      </c>
      <c r="E407" s="263" t="s">
        <v>302</v>
      </c>
      <c r="G407" s="264" t="s">
        <v>159</v>
      </c>
      <c r="H407" s="265" t="s">
        <v>299</v>
      </c>
      <c r="I407" s="265" t="s">
        <v>300</v>
      </c>
      <c r="J407" s="265" t="s">
        <v>301</v>
      </c>
      <c r="K407" s="266" t="s">
        <v>302</v>
      </c>
    </row>
    <row r="408" spans="1:11" x14ac:dyDescent="0.35">
      <c r="A408" s="221" t="s">
        <v>303</v>
      </c>
      <c r="B408" s="222">
        <v>16665</v>
      </c>
      <c r="C408" s="222"/>
      <c r="D408" s="222"/>
      <c r="E408" s="223"/>
      <c r="G408" s="221" t="s">
        <v>303</v>
      </c>
      <c r="H408" s="222">
        <v>2992</v>
      </c>
      <c r="I408" s="222"/>
      <c r="J408" s="222"/>
      <c r="K408" s="223"/>
    </row>
    <row r="409" spans="1:11" x14ac:dyDescent="0.35">
      <c r="A409" s="225" t="s">
        <v>304</v>
      </c>
      <c r="B409" s="226"/>
      <c r="C409" s="226"/>
      <c r="D409" s="226"/>
      <c r="E409" s="227"/>
      <c r="G409" s="225"/>
      <c r="H409" s="226"/>
      <c r="I409" s="226"/>
      <c r="J409" s="226"/>
      <c r="K409" s="227"/>
    </row>
    <row r="410" spans="1:11" x14ac:dyDescent="0.35">
      <c r="A410" s="225"/>
      <c r="B410" s="226"/>
      <c r="C410" s="226"/>
      <c r="D410" s="226"/>
      <c r="E410" s="227"/>
      <c r="G410" s="225"/>
      <c r="H410" s="226"/>
      <c r="I410" s="226"/>
      <c r="J410" s="226"/>
      <c r="K410" s="227"/>
    </row>
    <row r="411" spans="1:11" x14ac:dyDescent="0.35">
      <c r="A411" s="221"/>
      <c r="B411" s="222"/>
      <c r="C411" s="222"/>
      <c r="D411" s="222"/>
      <c r="E411" s="223"/>
      <c r="G411" s="221"/>
      <c r="H411" s="222"/>
      <c r="I411" s="222"/>
      <c r="J411" s="222"/>
      <c r="K411" s="223"/>
    </row>
    <row r="412" spans="1:11" x14ac:dyDescent="0.35">
      <c r="A412" s="225"/>
      <c r="B412" s="226"/>
      <c r="C412" s="226"/>
      <c r="D412" s="226"/>
      <c r="E412" s="227"/>
      <c r="G412" s="225"/>
      <c r="H412" s="226"/>
      <c r="I412" s="226"/>
      <c r="J412" s="226"/>
      <c r="K412" s="227"/>
    </row>
    <row r="413" spans="1:11" ht="15" thickBot="1" x14ac:dyDescent="0.4">
      <c r="A413" s="218" t="s">
        <v>34</v>
      </c>
      <c r="B413" s="219">
        <f>SUM(B408:B412)</f>
        <v>16665</v>
      </c>
      <c r="C413" s="219">
        <f>SUM(C408:C412)</f>
        <v>0</v>
      </c>
      <c r="D413" s="219">
        <f>SUM(D408:D412)</f>
        <v>0</v>
      </c>
      <c r="E413" s="219">
        <f>SUM(E408:E412)</f>
        <v>0</v>
      </c>
      <c r="G413" s="218" t="s">
        <v>34</v>
      </c>
      <c r="H413" s="219">
        <f>SUM(H408:H412)</f>
        <v>2992</v>
      </c>
      <c r="I413" s="219">
        <f>SUM(I408:I412)</f>
        <v>0</v>
      </c>
      <c r="J413" s="219">
        <f>SUM(J408:J412)</f>
        <v>0</v>
      </c>
      <c r="K413" s="219">
        <f>SUM(K408:K412)</f>
        <v>0</v>
      </c>
    </row>
    <row r="414" spans="1:11" x14ac:dyDescent="0.35">
      <c r="A414" s="220" t="s">
        <v>305</v>
      </c>
      <c r="B414" s="220">
        <f>+B413+C413+D413+E413</f>
        <v>16665</v>
      </c>
      <c r="C414" s="220"/>
      <c r="D414" s="220"/>
      <c r="E414" s="220"/>
      <c r="G414" s="220" t="s">
        <v>305</v>
      </c>
      <c r="H414" s="220">
        <f>+H413+I413+J413+K413</f>
        <v>2992</v>
      </c>
      <c r="I414" s="220"/>
      <c r="J414" s="220"/>
      <c r="K414" s="220"/>
    </row>
    <row r="415" spans="1:11" ht="15" thickBot="1" x14ac:dyDescent="0.4">
      <c r="A415" s="315" t="s">
        <v>298</v>
      </c>
      <c r="B415" s="315"/>
      <c r="C415" s="315"/>
      <c r="D415" s="315"/>
      <c r="E415" s="315"/>
      <c r="G415" s="315" t="s">
        <v>314</v>
      </c>
      <c r="H415" s="315"/>
      <c r="I415" s="315"/>
      <c r="J415" s="315"/>
      <c r="K415" s="315"/>
    </row>
    <row r="416" spans="1:11" ht="15" thickTop="1" x14ac:dyDescent="0.35">
      <c r="A416" s="313">
        <v>45333</v>
      </c>
      <c r="B416" s="314"/>
      <c r="C416" s="314"/>
      <c r="D416" s="314"/>
      <c r="E416" s="314"/>
      <c r="G416" s="313">
        <v>45333</v>
      </c>
      <c r="H416" s="314"/>
      <c r="I416" s="314"/>
      <c r="J416" s="314"/>
      <c r="K416" s="314"/>
    </row>
    <row r="417" spans="1:11" x14ac:dyDescent="0.35">
      <c r="A417" s="261" t="s">
        <v>159</v>
      </c>
      <c r="B417" s="262" t="s">
        <v>299</v>
      </c>
      <c r="C417" s="262" t="s">
        <v>300</v>
      </c>
      <c r="D417" s="262" t="s">
        <v>301</v>
      </c>
      <c r="E417" s="263" t="s">
        <v>302</v>
      </c>
      <c r="G417" s="264" t="s">
        <v>159</v>
      </c>
      <c r="H417" s="265" t="s">
        <v>299</v>
      </c>
      <c r="I417" s="265" t="s">
        <v>300</v>
      </c>
      <c r="J417" s="265" t="s">
        <v>301</v>
      </c>
      <c r="K417" s="266" t="s">
        <v>302</v>
      </c>
    </row>
    <row r="418" spans="1:11" x14ac:dyDescent="0.35">
      <c r="A418" s="221" t="s">
        <v>303</v>
      </c>
      <c r="B418" s="222">
        <v>14284</v>
      </c>
      <c r="C418" s="222"/>
      <c r="D418" s="222"/>
      <c r="E418" s="223"/>
      <c r="G418" s="221" t="s">
        <v>303</v>
      </c>
      <c r="H418" s="222">
        <v>5708</v>
      </c>
      <c r="I418" s="222"/>
      <c r="J418" s="222"/>
      <c r="K418" s="223"/>
    </row>
    <row r="419" spans="1:11" x14ac:dyDescent="0.35">
      <c r="A419" s="225" t="s">
        <v>304</v>
      </c>
      <c r="B419" s="226">
        <v>5000</v>
      </c>
      <c r="C419" s="226"/>
      <c r="D419" s="226"/>
      <c r="E419" s="227"/>
      <c r="G419" s="225"/>
      <c r="H419" s="226"/>
      <c r="I419" s="226"/>
      <c r="J419" s="226"/>
      <c r="K419" s="227"/>
    </row>
    <row r="420" spans="1:11" x14ac:dyDescent="0.35">
      <c r="A420" s="225"/>
      <c r="B420" s="226"/>
      <c r="C420" s="226"/>
      <c r="D420" s="226"/>
      <c r="E420" s="227"/>
      <c r="G420" s="225"/>
      <c r="H420" s="226"/>
      <c r="I420" s="226"/>
      <c r="J420" s="226"/>
      <c r="K420" s="227"/>
    </row>
    <row r="421" spans="1:11" x14ac:dyDescent="0.35">
      <c r="A421" s="221"/>
      <c r="B421" s="222"/>
      <c r="C421" s="222"/>
      <c r="D421" s="222"/>
      <c r="E421" s="223"/>
      <c r="G421" s="221"/>
      <c r="H421" s="222"/>
      <c r="I421" s="222"/>
      <c r="J421" s="222"/>
      <c r="K421" s="223"/>
    </row>
    <row r="422" spans="1:11" x14ac:dyDescent="0.35">
      <c r="A422" s="225"/>
      <c r="B422" s="226"/>
      <c r="C422" s="226"/>
      <c r="D422" s="226"/>
      <c r="E422" s="227"/>
      <c r="G422" s="225"/>
      <c r="H422" s="226"/>
      <c r="I422" s="226"/>
      <c r="J422" s="226"/>
      <c r="K422" s="227"/>
    </row>
    <row r="423" spans="1:11" ht="15" thickBot="1" x14ac:dyDescent="0.4">
      <c r="A423" s="218" t="s">
        <v>34</v>
      </c>
      <c r="B423" s="219">
        <f>SUM(B418:B422)</f>
        <v>19284</v>
      </c>
      <c r="C423" s="219">
        <f>SUM(C418:C422)</f>
        <v>0</v>
      </c>
      <c r="D423" s="219">
        <f>SUM(D418:D422)</f>
        <v>0</v>
      </c>
      <c r="E423" s="219">
        <f>SUM(E418:E422)</f>
        <v>0</v>
      </c>
      <c r="G423" s="218" t="s">
        <v>34</v>
      </c>
      <c r="H423" s="219">
        <f>SUM(H418:H422)</f>
        <v>5708</v>
      </c>
      <c r="I423" s="219">
        <f>SUM(I418:I422)</f>
        <v>0</v>
      </c>
      <c r="J423" s="219">
        <f>SUM(J418:J422)</f>
        <v>0</v>
      </c>
      <c r="K423" s="219">
        <f>SUM(K418:K422)</f>
        <v>0</v>
      </c>
    </row>
    <row r="424" spans="1:11" x14ac:dyDescent="0.35">
      <c r="A424" s="220" t="s">
        <v>305</v>
      </c>
      <c r="B424" s="220">
        <f>+B423+C423+D423+E423</f>
        <v>19284</v>
      </c>
      <c r="C424" s="220"/>
      <c r="D424" s="220"/>
      <c r="E424" s="220"/>
      <c r="G424" s="220" t="s">
        <v>305</v>
      </c>
      <c r="H424" s="220">
        <f>+H423+I423+J423+K423</f>
        <v>5708</v>
      </c>
      <c r="I424" s="220"/>
      <c r="J424" s="220"/>
      <c r="K424" s="220"/>
    </row>
    <row r="425" spans="1:11" ht="15" thickBot="1" x14ac:dyDescent="0.4">
      <c r="A425" s="315" t="s">
        <v>298</v>
      </c>
      <c r="B425" s="315"/>
      <c r="C425" s="315"/>
      <c r="D425" s="315"/>
      <c r="E425" s="315"/>
      <c r="G425" s="315" t="s">
        <v>314</v>
      </c>
      <c r="H425" s="315"/>
      <c r="I425" s="315"/>
      <c r="J425" s="315"/>
      <c r="K425" s="315"/>
    </row>
    <row r="426" spans="1:11" ht="15" thickTop="1" x14ac:dyDescent="0.35">
      <c r="A426" s="313">
        <v>45334</v>
      </c>
      <c r="B426" s="314"/>
      <c r="C426" s="314"/>
      <c r="D426" s="314"/>
      <c r="E426" s="314"/>
      <c r="G426" s="313">
        <v>45334</v>
      </c>
      <c r="H426" s="314"/>
      <c r="I426" s="314"/>
      <c r="J426" s="314"/>
      <c r="K426" s="314"/>
    </row>
    <row r="427" spans="1:11" x14ac:dyDescent="0.35">
      <c r="A427" s="261" t="s">
        <v>159</v>
      </c>
      <c r="B427" s="262" t="s">
        <v>299</v>
      </c>
      <c r="C427" s="262" t="s">
        <v>300</v>
      </c>
      <c r="D427" s="262" t="s">
        <v>301</v>
      </c>
      <c r="E427" s="263" t="s">
        <v>302</v>
      </c>
      <c r="G427" s="264" t="s">
        <v>159</v>
      </c>
      <c r="H427" s="265" t="s">
        <v>299</v>
      </c>
      <c r="I427" s="265" t="s">
        <v>300</v>
      </c>
      <c r="J427" s="265" t="s">
        <v>301</v>
      </c>
      <c r="K427" s="266" t="s">
        <v>302</v>
      </c>
    </row>
    <row r="428" spans="1:11" x14ac:dyDescent="0.35">
      <c r="A428" s="221" t="s">
        <v>303</v>
      </c>
      <c r="B428" s="222">
        <v>3290</v>
      </c>
      <c r="C428" s="222"/>
      <c r="D428" s="222"/>
      <c r="E428" s="223"/>
      <c r="G428" s="221" t="s">
        <v>303</v>
      </c>
      <c r="H428" s="222">
        <v>1197</v>
      </c>
      <c r="I428" s="222"/>
      <c r="J428" s="222"/>
      <c r="K428" s="223"/>
    </row>
    <row r="429" spans="1:11" x14ac:dyDescent="0.35">
      <c r="A429" s="225" t="s">
        <v>304</v>
      </c>
      <c r="B429" s="226">
        <v>17195</v>
      </c>
      <c r="C429" s="226"/>
      <c r="D429" s="226"/>
      <c r="E429" s="227"/>
      <c r="G429" s="225"/>
      <c r="H429" s="226"/>
      <c r="I429" s="226"/>
      <c r="J429" s="226"/>
      <c r="K429" s="227"/>
    </row>
    <row r="430" spans="1:11" x14ac:dyDescent="0.35">
      <c r="A430" s="225"/>
      <c r="B430" s="226"/>
      <c r="C430" s="226"/>
      <c r="D430" s="226"/>
      <c r="E430" s="227"/>
      <c r="G430" s="225"/>
      <c r="H430" s="226"/>
      <c r="I430" s="226"/>
      <c r="J430" s="226"/>
      <c r="K430" s="227"/>
    </row>
    <row r="431" spans="1:11" x14ac:dyDescent="0.35">
      <c r="A431" s="221"/>
      <c r="B431" s="222"/>
      <c r="C431" s="222"/>
      <c r="D431" s="222"/>
      <c r="E431" s="223"/>
      <c r="G431" s="221"/>
      <c r="H431" s="222"/>
      <c r="I431" s="222"/>
      <c r="J431" s="222"/>
      <c r="K431" s="223"/>
    </row>
    <row r="432" spans="1:11" x14ac:dyDescent="0.35">
      <c r="A432" s="225"/>
      <c r="B432" s="226"/>
      <c r="C432" s="226"/>
      <c r="D432" s="226"/>
      <c r="E432" s="227"/>
      <c r="G432" s="225"/>
      <c r="H432" s="226"/>
      <c r="I432" s="226"/>
      <c r="J432" s="226"/>
      <c r="K432" s="227"/>
    </row>
    <row r="433" spans="1:11" ht="15" thickBot="1" x14ac:dyDescent="0.4">
      <c r="A433" s="218" t="s">
        <v>34</v>
      </c>
      <c r="B433" s="219">
        <f>SUM(B428:B432)</f>
        <v>20485</v>
      </c>
      <c r="C433" s="219">
        <f>SUM(C428:C432)</f>
        <v>0</v>
      </c>
      <c r="D433" s="219">
        <f>SUM(D428:D432)</f>
        <v>0</v>
      </c>
      <c r="E433" s="219">
        <f>SUM(E428:E432)</f>
        <v>0</v>
      </c>
      <c r="G433" s="218" t="s">
        <v>34</v>
      </c>
      <c r="H433" s="219">
        <f>SUM(H428:H432)</f>
        <v>1197</v>
      </c>
      <c r="I433" s="219">
        <f>SUM(I428:I432)</f>
        <v>0</v>
      </c>
      <c r="J433" s="219">
        <f>SUM(J428:J432)</f>
        <v>0</v>
      </c>
      <c r="K433" s="219">
        <f>SUM(K428:K432)</f>
        <v>0</v>
      </c>
    </row>
    <row r="434" spans="1:11" x14ac:dyDescent="0.35">
      <c r="A434" s="220" t="s">
        <v>305</v>
      </c>
      <c r="B434" s="220">
        <f>+B433+C433+D433+E433</f>
        <v>20485</v>
      </c>
      <c r="C434" s="220"/>
      <c r="D434" s="220"/>
      <c r="E434" s="220"/>
      <c r="G434" s="220" t="s">
        <v>305</v>
      </c>
      <c r="H434" s="220">
        <f>+H433+I433+J433+K433</f>
        <v>1197</v>
      </c>
      <c r="I434" s="220"/>
      <c r="J434" s="220"/>
      <c r="K434" s="220"/>
    </row>
    <row r="435" spans="1:11" ht="15" thickBot="1" x14ac:dyDescent="0.4">
      <c r="A435" s="315" t="s">
        <v>298</v>
      </c>
      <c r="B435" s="315"/>
      <c r="C435" s="315"/>
      <c r="D435" s="315"/>
      <c r="E435" s="315"/>
      <c r="G435" s="315" t="s">
        <v>314</v>
      </c>
      <c r="H435" s="315"/>
      <c r="I435" s="315"/>
      <c r="J435" s="315"/>
      <c r="K435" s="315"/>
    </row>
    <row r="436" spans="1:11" ht="15" thickTop="1" x14ac:dyDescent="0.35">
      <c r="A436" s="313">
        <v>45335</v>
      </c>
      <c r="B436" s="314"/>
      <c r="C436" s="314"/>
      <c r="D436" s="314"/>
      <c r="E436" s="314"/>
      <c r="G436" s="313">
        <v>45335</v>
      </c>
      <c r="H436" s="314"/>
      <c r="I436" s="314"/>
      <c r="J436" s="314"/>
      <c r="K436" s="314"/>
    </row>
    <row r="437" spans="1:11" x14ac:dyDescent="0.35">
      <c r="A437" s="261" t="s">
        <v>159</v>
      </c>
      <c r="B437" s="262" t="s">
        <v>299</v>
      </c>
      <c r="C437" s="262" t="s">
        <v>300</v>
      </c>
      <c r="D437" s="262" t="s">
        <v>301</v>
      </c>
      <c r="E437" s="263" t="s">
        <v>302</v>
      </c>
      <c r="G437" s="264" t="s">
        <v>159</v>
      </c>
      <c r="H437" s="265" t="s">
        <v>299</v>
      </c>
      <c r="I437" s="265" t="s">
        <v>300</v>
      </c>
      <c r="J437" s="265" t="s">
        <v>301</v>
      </c>
      <c r="K437" s="266" t="s">
        <v>302</v>
      </c>
    </row>
    <row r="438" spans="1:11" x14ac:dyDescent="0.35">
      <c r="A438" s="221" t="s">
        <v>303</v>
      </c>
      <c r="B438" s="222">
        <v>78</v>
      </c>
      <c r="C438" s="222"/>
      <c r="D438" s="222"/>
      <c r="E438" s="223"/>
      <c r="G438" s="221" t="s">
        <v>303</v>
      </c>
      <c r="H438" s="222"/>
      <c r="I438" s="222"/>
      <c r="J438" s="222"/>
      <c r="K438" s="223"/>
    </row>
    <row r="439" spans="1:11" x14ac:dyDescent="0.35">
      <c r="A439" s="225" t="s">
        <v>304</v>
      </c>
      <c r="B439" s="226">
        <v>2350</v>
      </c>
      <c r="C439" s="226"/>
      <c r="D439" s="226"/>
      <c r="E439" s="227"/>
      <c r="G439" s="225"/>
      <c r="H439" s="226"/>
      <c r="I439" s="226"/>
      <c r="J439" s="226"/>
      <c r="K439" s="227"/>
    </row>
    <row r="440" spans="1:11" x14ac:dyDescent="0.35">
      <c r="A440" s="225"/>
      <c r="B440" s="226"/>
      <c r="C440" s="226"/>
      <c r="D440" s="226"/>
      <c r="E440" s="227"/>
      <c r="G440" s="225"/>
      <c r="H440" s="226"/>
      <c r="I440" s="226"/>
      <c r="J440" s="226"/>
      <c r="K440" s="227"/>
    </row>
    <row r="441" spans="1:11" x14ac:dyDescent="0.35">
      <c r="A441" s="221"/>
      <c r="B441" s="222"/>
      <c r="C441" s="222"/>
      <c r="D441" s="222"/>
      <c r="E441" s="223"/>
      <c r="G441" s="221"/>
      <c r="H441" s="222"/>
      <c r="I441" s="222"/>
      <c r="J441" s="222"/>
      <c r="K441" s="223"/>
    </row>
    <row r="442" spans="1:11" x14ac:dyDescent="0.35">
      <c r="A442" s="225"/>
      <c r="B442" s="226"/>
      <c r="C442" s="226"/>
      <c r="D442" s="226"/>
      <c r="E442" s="227"/>
      <c r="G442" s="225"/>
      <c r="H442" s="226"/>
      <c r="I442" s="226"/>
      <c r="J442" s="226"/>
      <c r="K442" s="227"/>
    </row>
    <row r="443" spans="1:11" ht="15" thickBot="1" x14ac:dyDescent="0.4">
      <c r="A443" s="218" t="s">
        <v>34</v>
      </c>
      <c r="B443" s="219">
        <f>SUM(B438:B442)</f>
        <v>2428</v>
      </c>
      <c r="C443" s="219">
        <f>SUM(C438:C442)</f>
        <v>0</v>
      </c>
      <c r="D443" s="219">
        <f>SUM(D438:D442)</f>
        <v>0</v>
      </c>
      <c r="E443" s="219">
        <f>SUM(E438:E442)</f>
        <v>0</v>
      </c>
      <c r="G443" s="218" t="s">
        <v>34</v>
      </c>
      <c r="H443" s="219">
        <f>SUM(H438:H442)</f>
        <v>0</v>
      </c>
      <c r="I443" s="219">
        <f>SUM(I438:I442)</f>
        <v>0</v>
      </c>
      <c r="J443" s="219">
        <f>SUM(J438:J442)</f>
        <v>0</v>
      </c>
      <c r="K443" s="219">
        <f>SUM(K438:K442)</f>
        <v>0</v>
      </c>
    </row>
    <row r="444" spans="1:11" x14ac:dyDescent="0.35">
      <c r="A444" s="220" t="s">
        <v>305</v>
      </c>
      <c r="B444" s="220">
        <f>+B443+C443+D443+E443</f>
        <v>2428</v>
      </c>
      <c r="C444" s="220"/>
      <c r="D444" s="220"/>
      <c r="E444" s="220"/>
      <c r="G444" s="220" t="s">
        <v>305</v>
      </c>
      <c r="H444" s="220">
        <f>+H443+I443+J443+K443</f>
        <v>0</v>
      </c>
      <c r="I444" s="220"/>
      <c r="J444" s="220"/>
      <c r="K444" s="220"/>
    </row>
    <row r="445" spans="1:11" ht="15" thickBot="1" x14ac:dyDescent="0.4">
      <c r="A445" s="315" t="s">
        <v>298</v>
      </c>
      <c r="B445" s="315"/>
      <c r="C445" s="315"/>
      <c r="D445" s="315"/>
      <c r="E445" s="315"/>
      <c r="G445" s="315" t="s">
        <v>314</v>
      </c>
      <c r="H445" s="315"/>
      <c r="I445" s="315"/>
      <c r="J445" s="315"/>
      <c r="K445" s="315"/>
    </row>
    <row r="446" spans="1:11" ht="15" thickTop="1" x14ac:dyDescent="0.35">
      <c r="A446" s="313">
        <v>45336</v>
      </c>
      <c r="B446" s="314"/>
      <c r="C446" s="314"/>
      <c r="D446" s="314"/>
      <c r="E446" s="314"/>
      <c r="G446" s="313">
        <v>45336</v>
      </c>
      <c r="H446" s="314"/>
      <c r="I446" s="314"/>
      <c r="J446" s="314"/>
      <c r="K446" s="314"/>
    </row>
    <row r="447" spans="1:11" x14ac:dyDescent="0.35">
      <c r="A447" s="261" t="s">
        <v>159</v>
      </c>
      <c r="B447" s="262" t="s">
        <v>299</v>
      </c>
      <c r="C447" s="262" t="s">
        <v>300</v>
      </c>
      <c r="D447" s="262" t="s">
        <v>301</v>
      </c>
      <c r="E447" s="263" t="s">
        <v>302</v>
      </c>
      <c r="G447" s="264" t="s">
        <v>159</v>
      </c>
      <c r="H447" s="265" t="s">
        <v>299</v>
      </c>
      <c r="I447" s="265" t="s">
        <v>300</v>
      </c>
      <c r="J447" s="265" t="s">
        <v>301</v>
      </c>
      <c r="K447" s="266" t="s">
        <v>302</v>
      </c>
    </row>
    <row r="448" spans="1:11" x14ac:dyDescent="0.35">
      <c r="A448" s="221" t="s">
        <v>303</v>
      </c>
      <c r="B448" s="222">
        <v>18284</v>
      </c>
      <c r="C448" s="222"/>
      <c r="D448" s="222"/>
      <c r="E448" s="223"/>
      <c r="G448" s="221" t="s">
        <v>303</v>
      </c>
      <c r="H448" s="222">
        <v>5137</v>
      </c>
      <c r="I448" s="222"/>
      <c r="J448" s="222"/>
      <c r="K448" s="223"/>
    </row>
    <row r="449" spans="1:11" x14ac:dyDescent="0.35">
      <c r="A449" s="225" t="s">
        <v>304</v>
      </c>
      <c r="B449" s="226"/>
      <c r="C449" s="226"/>
      <c r="D449" s="226"/>
      <c r="E449" s="227"/>
      <c r="G449" s="225"/>
      <c r="H449" s="226"/>
      <c r="I449" s="226"/>
      <c r="J449" s="226"/>
      <c r="K449" s="227"/>
    </row>
    <row r="450" spans="1:11" x14ac:dyDescent="0.35">
      <c r="A450" s="225"/>
      <c r="B450" s="226"/>
      <c r="C450" s="226"/>
      <c r="D450" s="226"/>
      <c r="E450" s="227"/>
      <c r="G450" s="225"/>
      <c r="H450" s="226"/>
      <c r="I450" s="226"/>
      <c r="J450" s="226"/>
      <c r="K450" s="227"/>
    </row>
    <row r="451" spans="1:11" x14ac:dyDescent="0.35">
      <c r="A451" s="221"/>
      <c r="B451" s="222"/>
      <c r="C451" s="222"/>
      <c r="D451" s="222"/>
      <c r="E451" s="223"/>
      <c r="G451" s="221"/>
      <c r="H451" s="222"/>
      <c r="I451" s="222"/>
      <c r="J451" s="222"/>
      <c r="K451" s="223"/>
    </row>
    <row r="452" spans="1:11" x14ac:dyDescent="0.35">
      <c r="A452" s="225"/>
      <c r="B452" s="226"/>
      <c r="C452" s="226"/>
      <c r="D452" s="226"/>
      <c r="E452" s="227"/>
      <c r="G452" s="225"/>
      <c r="H452" s="226"/>
      <c r="I452" s="226"/>
      <c r="J452" s="226"/>
      <c r="K452" s="227"/>
    </row>
    <row r="453" spans="1:11" ht="15" thickBot="1" x14ac:dyDescent="0.4">
      <c r="A453" s="218" t="s">
        <v>34</v>
      </c>
      <c r="B453" s="219">
        <f>SUM(B448:B452)</f>
        <v>18284</v>
      </c>
      <c r="C453" s="219">
        <f>SUM(C448:C452)</f>
        <v>0</v>
      </c>
      <c r="D453" s="219">
        <f>SUM(D448:D452)</f>
        <v>0</v>
      </c>
      <c r="E453" s="219">
        <f>SUM(E448:E452)</f>
        <v>0</v>
      </c>
      <c r="G453" s="218" t="s">
        <v>34</v>
      </c>
      <c r="H453" s="219">
        <f>SUM(H448:H452)</f>
        <v>5137</v>
      </c>
      <c r="I453" s="219">
        <f>SUM(I448:I452)</f>
        <v>0</v>
      </c>
      <c r="J453" s="219">
        <f>SUM(J448:J452)</f>
        <v>0</v>
      </c>
      <c r="K453" s="219">
        <f>SUM(K448:K452)</f>
        <v>0</v>
      </c>
    </row>
    <row r="454" spans="1:11" x14ac:dyDescent="0.35">
      <c r="A454" s="220" t="s">
        <v>305</v>
      </c>
      <c r="B454" s="220">
        <f>+B453+C453+D453+E453</f>
        <v>18284</v>
      </c>
      <c r="C454" s="220"/>
      <c r="D454" s="220"/>
      <c r="E454" s="220"/>
      <c r="G454" s="220" t="s">
        <v>305</v>
      </c>
      <c r="H454" s="220">
        <f>+H453+I453+J453+K453</f>
        <v>5137</v>
      </c>
      <c r="I454" s="220"/>
      <c r="J454" s="220"/>
      <c r="K454" s="220"/>
    </row>
    <row r="455" spans="1:11" ht="15" thickBot="1" x14ac:dyDescent="0.4">
      <c r="A455" s="315" t="s">
        <v>298</v>
      </c>
      <c r="B455" s="315"/>
      <c r="C455" s="315"/>
      <c r="D455" s="315"/>
      <c r="E455" s="315"/>
      <c r="G455" s="315" t="s">
        <v>314</v>
      </c>
      <c r="H455" s="315"/>
      <c r="I455" s="315"/>
      <c r="J455" s="315"/>
      <c r="K455" s="315"/>
    </row>
    <row r="456" spans="1:11" ht="15" thickTop="1" x14ac:dyDescent="0.35">
      <c r="A456" s="313">
        <v>45337</v>
      </c>
      <c r="B456" s="314"/>
      <c r="C456" s="314"/>
      <c r="D456" s="314"/>
      <c r="E456" s="314"/>
      <c r="G456" s="313">
        <v>45337</v>
      </c>
      <c r="H456" s="314"/>
      <c r="I456" s="314"/>
      <c r="J456" s="314"/>
      <c r="K456" s="314"/>
    </row>
    <row r="457" spans="1:11" x14ac:dyDescent="0.35">
      <c r="A457" s="261" t="s">
        <v>159</v>
      </c>
      <c r="B457" s="262" t="s">
        <v>299</v>
      </c>
      <c r="C457" s="262" t="s">
        <v>300</v>
      </c>
      <c r="D457" s="262" t="s">
        <v>301</v>
      </c>
      <c r="E457" s="263" t="s">
        <v>302</v>
      </c>
      <c r="G457" s="264" t="s">
        <v>159</v>
      </c>
      <c r="H457" s="265" t="s">
        <v>299</v>
      </c>
      <c r="I457" s="265" t="s">
        <v>300</v>
      </c>
      <c r="J457" s="265" t="s">
        <v>301</v>
      </c>
      <c r="K457" s="266" t="s">
        <v>302</v>
      </c>
    </row>
    <row r="458" spans="1:11" x14ac:dyDescent="0.35">
      <c r="A458" s="221" t="s">
        <v>303</v>
      </c>
      <c r="B458" s="222">
        <v>8766</v>
      </c>
      <c r="C458" s="222"/>
      <c r="D458" s="222"/>
      <c r="E458" s="223"/>
      <c r="G458" s="221" t="s">
        <v>303</v>
      </c>
      <c r="H458" s="222">
        <v>2718</v>
      </c>
      <c r="I458" s="222"/>
      <c r="J458" s="222"/>
      <c r="K458" s="223"/>
    </row>
    <row r="459" spans="1:11" x14ac:dyDescent="0.35">
      <c r="A459" s="225" t="s">
        <v>304</v>
      </c>
      <c r="B459" s="226">
        <v>9835</v>
      </c>
      <c r="C459" s="226"/>
      <c r="D459" s="226"/>
      <c r="E459" s="227"/>
      <c r="G459" s="225"/>
      <c r="H459" s="226"/>
      <c r="I459" s="226"/>
      <c r="J459" s="226"/>
      <c r="K459" s="227"/>
    </row>
    <row r="460" spans="1:11" x14ac:dyDescent="0.35">
      <c r="A460" s="225"/>
      <c r="B460" s="226"/>
      <c r="C460" s="226"/>
      <c r="D460" s="226"/>
      <c r="E460" s="227"/>
      <c r="G460" s="225"/>
      <c r="H460" s="226"/>
      <c r="I460" s="226"/>
      <c r="J460" s="226"/>
      <c r="K460" s="227"/>
    </row>
    <row r="461" spans="1:11" x14ac:dyDescent="0.35">
      <c r="A461" s="221"/>
      <c r="B461" s="222"/>
      <c r="C461" s="222"/>
      <c r="D461" s="222"/>
      <c r="E461" s="223"/>
      <c r="G461" s="221"/>
      <c r="H461" s="222"/>
      <c r="I461" s="222"/>
      <c r="J461" s="222"/>
      <c r="K461" s="223"/>
    </row>
    <row r="462" spans="1:11" x14ac:dyDescent="0.35">
      <c r="A462" s="225"/>
      <c r="B462" s="226"/>
      <c r="C462" s="226"/>
      <c r="D462" s="226"/>
      <c r="E462" s="227"/>
      <c r="G462" s="225"/>
      <c r="H462" s="226"/>
      <c r="I462" s="226"/>
      <c r="J462" s="226"/>
      <c r="K462" s="227"/>
    </row>
    <row r="463" spans="1:11" ht="15" thickBot="1" x14ac:dyDescent="0.4">
      <c r="A463" s="218" t="s">
        <v>34</v>
      </c>
      <c r="B463" s="219">
        <f>SUM(B458:B462)</f>
        <v>18601</v>
      </c>
      <c r="C463" s="219">
        <f>SUM(C458:C462)</f>
        <v>0</v>
      </c>
      <c r="D463" s="219">
        <f>SUM(D458:D462)</f>
        <v>0</v>
      </c>
      <c r="E463" s="219">
        <f>SUM(E458:E462)</f>
        <v>0</v>
      </c>
      <c r="G463" s="218" t="s">
        <v>34</v>
      </c>
      <c r="H463" s="219">
        <f>SUM(H458:H462)</f>
        <v>2718</v>
      </c>
      <c r="I463" s="219">
        <f>SUM(I458:I462)</f>
        <v>0</v>
      </c>
      <c r="J463" s="219">
        <f>SUM(J458:J462)</f>
        <v>0</v>
      </c>
      <c r="K463" s="219">
        <f>SUM(K458:K462)</f>
        <v>0</v>
      </c>
    </row>
    <row r="464" spans="1:11" x14ac:dyDescent="0.35">
      <c r="A464" s="220" t="s">
        <v>305</v>
      </c>
      <c r="B464" s="220">
        <f>+B463+C463+D463+E463</f>
        <v>18601</v>
      </c>
      <c r="C464" s="220"/>
      <c r="D464" s="220"/>
      <c r="E464" s="220"/>
      <c r="G464" s="220" t="s">
        <v>305</v>
      </c>
      <c r="H464" s="220">
        <f>+H463+I463+J463+K463</f>
        <v>2718</v>
      </c>
      <c r="I464" s="220"/>
      <c r="J464" s="220"/>
      <c r="K464" s="220"/>
    </row>
    <row r="465" spans="1:11" ht="15" thickBot="1" x14ac:dyDescent="0.4">
      <c r="A465" s="315" t="s">
        <v>298</v>
      </c>
      <c r="B465" s="315"/>
      <c r="C465" s="315"/>
      <c r="D465" s="315"/>
      <c r="E465" s="315"/>
      <c r="G465" s="315" t="s">
        <v>314</v>
      </c>
      <c r="H465" s="315"/>
      <c r="I465" s="315"/>
      <c r="J465" s="315"/>
      <c r="K465" s="315"/>
    </row>
    <row r="466" spans="1:11" ht="15" thickTop="1" x14ac:dyDescent="0.35">
      <c r="A466" s="313">
        <v>45338</v>
      </c>
      <c r="B466" s="314"/>
      <c r="C466" s="314"/>
      <c r="D466" s="314"/>
      <c r="E466" s="314"/>
      <c r="G466" s="313">
        <v>45338</v>
      </c>
      <c r="H466" s="314"/>
      <c r="I466" s="314"/>
      <c r="J466" s="314"/>
      <c r="K466" s="314"/>
    </row>
    <row r="467" spans="1:11" x14ac:dyDescent="0.35">
      <c r="A467" s="261" t="s">
        <v>159</v>
      </c>
      <c r="B467" s="262" t="s">
        <v>299</v>
      </c>
      <c r="C467" s="262" t="s">
        <v>300</v>
      </c>
      <c r="D467" s="262" t="s">
        <v>301</v>
      </c>
      <c r="E467" s="263" t="s">
        <v>302</v>
      </c>
      <c r="G467" s="264" t="s">
        <v>159</v>
      </c>
      <c r="H467" s="265" t="s">
        <v>299</v>
      </c>
      <c r="I467" s="265" t="s">
        <v>300</v>
      </c>
      <c r="J467" s="265" t="s">
        <v>301</v>
      </c>
      <c r="K467" s="266" t="s">
        <v>302</v>
      </c>
    </row>
    <row r="468" spans="1:11" x14ac:dyDescent="0.35">
      <c r="A468" s="221" t="s">
        <v>303</v>
      </c>
      <c r="B468" s="222">
        <v>22288</v>
      </c>
      <c r="C468" s="222"/>
      <c r="D468" s="222"/>
      <c r="E468" s="223"/>
      <c r="G468" s="221" t="s">
        <v>303</v>
      </c>
      <c r="H468" s="222">
        <v>6676</v>
      </c>
      <c r="I468" s="222"/>
      <c r="J468" s="222"/>
      <c r="K468" s="223"/>
    </row>
    <row r="469" spans="1:11" x14ac:dyDescent="0.35">
      <c r="A469" s="225" t="s">
        <v>304</v>
      </c>
      <c r="B469" s="226"/>
      <c r="C469" s="226"/>
      <c r="D469" s="226"/>
      <c r="E469" s="227"/>
      <c r="G469" s="225"/>
      <c r="H469" s="226"/>
      <c r="I469" s="226"/>
      <c r="J469" s="226"/>
      <c r="K469" s="227"/>
    </row>
    <row r="470" spans="1:11" x14ac:dyDescent="0.35">
      <c r="A470" s="225"/>
      <c r="B470" s="226"/>
      <c r="C470" s="226"/>
      <c r="D470" s="226"/>
      <c r="E470" s="227"/>
      <c r="G470" s="225"/>
      <c r="H470" s="226"/>
      <c r="I470" s="226"/>
      <c r="J470" s="226"/>
      <c r="K470" s="227"/>
    </row>
    <row r="471" spans="1:11" x14ac:dyDescent="0.35">
      <c r="A471" s="221"/>
      <c r="B471" s="222"/>
      <c r="C471" s="222"/>
      <c r="D471" s="222"/>
      <c r="E471" s="223"/>
      <c r="G471" s="221"/>
      <c r="H471" s="222"/>
      <c r="I471" s="222"/>
      <c r="J471" s="222"/>
      <c r="K471" s="223"/>
    </row>
    <row r="472" spans="1:11" x14ac:dyDescent="0.35">
      <c r="A472" s="225"/>
      <c r="B472" s="226"/>
      <c r="C472" s="226"/>
      <c r="D472" s="226"/>
      <c r="E472" s="227"/>
      <c r="G472" s="225"/>
      <c r="H472" s="226"/>
      <c r="I472" s="226"/>
      <c r="J472" s="226"/>
      <c r="K472" s="227"/>
    </row>
    <row r="473" spans="1:11" ht="15" thickBot="1" x14ac:dyDescent="0.4">
      <c r="A473" s="218" t="s">
        <v>34</v>
      </c>
      <c r="B473" s="219">
        <f>SUM(B468:B472)</f>
        <v>22288</v>
      </c>
      <c r="C473" s="219">
        <f>SUM(C468:C472)</f>
        <v>0</v>
      </c>
      <c r="D473" s="219">
        <f>SUM(D468:D472)</f>
        <v>0</v>
      </c>
      <c r="E473" s="219">
        <f>SUM(E468:E472)</f>
        <v>0</v>
      </c>
      <c r="G473" s="218" t="s">
        <v>34</v>
      </c>
      <c r="H473" s="219">
        <f>SUM(H468:H472)</f>
        <v>6676</v>
      </c>
      <c r="I473" s="219">
        <f>SUM(I468:I472)</f>
        <v>0</v>
      </c>
      <c r="J473" s="219">
        <f>SUM(J468:J472)</f>
        <v>0</v>
      </c>
      <c r="K473" s="219">
        <f>SUM(K468:K472)</f>
        <v>0</v>
      </c>
    </row>
    <row r="474" spans="1:11" x14ac:dyDescent="0.35">
      <c r="A474" s="220" t="s">
        <v>305</v>
      </c>
      <c r="B474" s="220">
        <f>+B473+C473+D473+E473</f>
        <v>22288</v>
      </c>
      <c r="C474" s="220"/>
      <c r="D474" s="220"/>
      <c r="E474" s="220"/>
      <c r="G474" s="220" t="s">
        <v>305</v>
      </c>
      <c r="H474" s="220">
        <f>+H473+I473+J473+K473</f>
        <v>6676</v>
      </c>
      <c r="I474" s="220"/>
      <c r="J474" s="220"/>
      <c r="K474" s="220"/>
    </row>
    <row r="475" spans="1:11" ht="15" thickBot="1" x14ac:dyDescent="0.4">
      <c r="A475" s="315" t="s">
        <v>298</v>
      </c>
      <c r="B475" s="315"/>
      <c r="C475" s="315"/>
      <c r="D475" s="315"/>
      <c r="E475" s="315"/>
      <c r="G475" s="315" t="s">
        <v>314</v>
      </c>
      <c r="H475" s="315"/>
      <c r="I475" s="315"/>
      <c r="J475" s="315"/>
      <c r="K475" s="315"/>
    </row>
    <row r="476" spans="1:11" ht="15" thickTop="1" x14ac:dyDescent="0.35">
      <c r="A476" s="313">
        <v>45339</v>
      </c>
      <c r="B476" s="314"/>
      <c r="C476" s="314"/>
      <c r="D476" s="314"/>
      <c r="E476" s="314"/>
      <c r="G476" s="313">
        <v>45339</v>
      </c>
      <c r="H476" s="314"/>
      <c r="I476" s="314"/>
      <c r="J476" s="314"/>
      <c r="K476" s="314"/>
    </row>
    <row r="477" spans="1:11" x14ac:dyDescent="0.35">
      <c r="A477" s="261" t="s">
        <v>159</v>
      </c>
      <c r="B477" s="262" t="s">
        <v>299</v>
      </c>
      <c r="C477" s="262" t="s">
        <v>300</v>
      </c>
      <c r="D477" s="262" t="s">
        <v>301</v>
      </c>
      <c r="E477" s="263" t="s">
        <v>302</v>
      </c>
      <c r="G477" s="264" t="s">
        <v>159</v>
      </c>
      <c r="H477" s="265" t="s">
        <v>299</v>
      </c>
      <c r="I477" s="265" t="s">
        <v>300</v>
      </c>
      <c r="J477" s="265" t="s">
        <v>301</v>
      </c>
      <c r="K477" s="266" t="s">
        <v>302</v>
      </c>
    </row>
    <row r="478" spans="1:11" x14ac:dyDescent="0.35">
      <c r="A478" s="221" t="s">
        <v>303</v>
      </c>
      <c r="B478" s="222">
        <v>5482</v>
      </c>
      <c r="C478" s="222"/>
      <c r="D478" s="222"/>
      <c r="E478" s="223"/>
      <c r="G478" s="221" t="s">
        <v>303</v>
      </c>
      <c r="H478" s="222">
        <v>3391</v>
      </c>
      <c r="I478" s="222"/>
      <c r="J478" s="222"/>
      <c r="K478" s="223"/>
    </row>
    <row r="479" spans="1:11" x14ac:dyDescent="0.35">
      <c r="A479" s="225" t="s">
        <v>304</v>
      </c>
      <c r="B479" s="226">
        <v>1500</v>
      </c>
      <c r="C479" s="226"/>
      <c r="D479" s="226"/>
      <c r="E479" s="227"/>
      <c r="G479" s="225"/>
      <c r="H479" s="226"/>
      <c r="I479" s="226"/>
      <c r="J479" s="226"/>
      <c r="K479" s="227"/>
    </row>
    <row r="480" spans="1:11" x14ac:dyDescent="0.35">
      <c r="A480" s="225"/>
      <c r="B480" s="226"/>
      <c r="C480" s="226"/>
      <c r="D480" s="226"/>
      <c r="E480" s="227"/>
      <c r="G480" s="225"/>
      <c r="H480" s="226"/>
      <c r="I480" s="226"/>
      <c r="J480" s="226"/>
      <c r="K480" s="227"/>
    </row>
    <row r="481" spans="1:11" x14ac:dyDescent="0.35">
      <c r="A481" s="221"/>
      <c r="B481" s="222"/>
      <c r="C481" s="222"/>
      <c r="D481" s="222"/>
      <c r="E481" s="223"/>
      <c r="G481" s="221"/>
      <c r="H481" s="222"/>
      <c r="I481" s="222"/>
      <c r="J481" s="222"/>
      <c r="K481" s="223"/>
    </row>
    <row r="482" spans="1:11" x14ac:dyDescent="0.35">
      <c r="A482" s="225"/>
      <c r="B482" s="226"/>
      <c r="C482" s="226"/>
      <c r="D482" s="226"/>
      <c r="E482" s="227"/>
      <c r="G482" s="225"/>
      <c r="H482" s="226"/>
      <c r="I482" s="226"/>
      <c r="J482" s="226"/>
      <c r="K482" s="227"/>
    </row>
    <row r="483" spans="1:11" ht="15" thickBot="1" x14ac:dyDescent="0.4">
      <c r="A483" s="218" t="s">
        <v>34</v>
      </c>
      <c r="B483" s="219">
        <f>SUM(B478:B482)</f>
        <v>6982</v>
      </c>
      <c r="C483" s="219">
        <f>SUM(C478:C482)</f>
        <v>0</v>
      </c>
      <c r="D483" s="219">
        <f>SUM(D478:D482)</f>
        <v>0</v>
      </c>
      <c r="E483" s="219">
        <f>SUM(E478:E482)</f>
        <v>0</v>
      </c>
      <c r="G483" s="218" t="s">
        <v>34</v>
      </c>
      <c r="H483" s="219">
        <f>SUM(H478:H482)</f>
        <v>3391</v>
      </c>
      <c r="I483" s="219">
        <f>SUM(I478:I482)</f>
        <v>0</v>
      </c>
      <c r="J483" s="219">
        <f>SUM(J478:J482)</f>
        <v>0</v>
      </c>
      <c r="K483" s="219">
        <f>SUM(K478:K482)</f>
        <v>0</v>
      </c>
    </row>
    <row r="484" spans="1:11" x14ac:dyDescent="0.35">
      <c r="A484" s="220" t="s">
        <v>305</v>
      </c>
      <c r="B484" s="220">
        <f>+B483+C483+D483+E483</f>
        <v>6982</v>
      </c>
      <c r="C484" s="220"/>
      <c r="D484" s="220"/>
      <c r="E484" s="220"/>
      <c r="G484" s="220" t="s">
        <v>305</v>
      </c>
      <c r="H484" s="220">
        <f>+H483+I483+J483+K483</f>
        <v>3391</v>
      </c>
      <c r="I484" s="220"/>
      <c r="J484" s="220"/>
      <c r="K484" s="220"/>
    </row>
    <row r="485" spans="1:11" ht="15" thickBot="1" x14ac:dyDescent="0.4">
      <c r="A485" s="315" t="s">
        <v>298</v>
      </c>
      <c r="B485" s="315"/>
      <c r="C485" s="315"/>
      <c r="D485" s="315"/>
      <c r="E485" s="315"/>
      <c r="G485" s="315" t="s">
        <v>314</v>
      </c>
      <c r="H485" s="315"/>
      <c r="I485" s="315"/>
      <c r="J485" s="315"/>
      <c r="K485" s="315"/>
    </row>
    <row r="486" spans="1:11" ht="15" thickTop="1" x14ac:dyDescent="0.35">
      <c r="A486" s="313">
        <v>45340</v>
      </c>
      <c r="B486" s="314"/>
      <c r="C486" s="314"/>
      <c r="D486" s="314"/>
      <c r="E486" s="314"/>
      <c r="G486" s="313">
        <v>45340</v>
      </c>
      <c r="H486" s="314"/>
      <c r="I486" s="314"/>
      <c r="J486" s="314"/>
      <c r="K486" s="314"/>
    </row>
    <row r="487" spans="1:11" x14ac:dyDescent="0.35">
      <c r="A487" s="261" t="s">
        <v>159</v>
      </c>
      <c r="B487" s="262" t="s">
        <v>299</v>
      </c>
      <c r="C487" s="262" t="s">
        <v>300</v>
      </c>
      <c r="D487" s="262" t="s">
        <v>301</v>
      </c>
      <c r="E487" s="263" t="s">
        <v>302</v>
      </c>
      <c r="G487" s="264" t="s">
        <v>159</v>
      </c>
      <c r="H487" s="265" t="s">
        <v>299</v>
      </c>
      <c r="I487" s="265" t="s">
        <v>300</v>
      </c>
      <c r="J487" s="265" t="s">
        <v>301</v>
      </c>
      <c r="K487" s="266" t="s">
        <v>302</v>
      </c>
    </row>
    <row r="488" spans="1:11" x14ac:dyDescent="0.35">
      <c r="A488" s="221" t="s">
        <v>303</v>
      </c>
      <c r="B488" s="222">
        <v>23745</v>
      </c>
      <c r="C488" s="222"/>
      <c r="D488" s="222"/>
      <c r="E488" s="223"/>
      <c r="G488" s="221" t="s">
        <v>303</v>
      </c>
      <c r="H488" s="222">
        <v>4674</v>
      </c>
      <c r="I488" s="222"/>
      <c r="J488" s="222"/>
      <c r="K488" s="223"/>
    </row>
    <row r="489" spans="1:11" x14ac:dyDescent="0.35">
      <c r="A489" s="225" t="s">
        <v>304</v>
      </c>
      <c r="B489" s="226"/>
      <c r="C489" s="226"/>
      <c r="D489" s="226"/>
      <c r="E489" s="227"/>
      <c r="G489" s="225"/>
      <c r="H489" s="226"/>
      <c r="I489" s="226"/>
      <c r="J489" s="226"/>
      <c r="K489" s="227"/>
    </row>
    <row r="490" spans="1:11" x14ac:dyDescent="0.35">
      <c r="A490" s="225"/>
      <c r="B490" s="226"/>
      <c r="C490" s="226"/>
      <c r="D490" s="226"/>
      <c r="E490" s="227"/>
      <c r="G490" s="225"/>
      <c r="H490" s="226"/>
      <c r="I490" s="226"/>
      <c r="J490" s="226"/>
      <c r="K490" s="227"/>
    </row>
    <row r="491" spans="1:11" x14ac:dyDescent="0.35">
      <c r="A491" s="221"/>
      <c r="B491" s="222"/>
      <c r="C491" s="222"/>
      <c r="D491" s="222"/>
      <c r="E491" s="223"/>
      <c r="G491" s="221"/>
      <c r="H491" s="222"/>
      <c r="I491" s="222"/>
      <c r="J491" s="222"/>
      <c r="K491" s="223"/>
    </row>
    <row r="492" spans="1:11" x14ac:dyDescent="0.35">
      <c r="A492" s="225"/>
      <c r="B492" s="226"/>
      <c r="C492" s="226"/>
      <c r="D492" s="226"/>
      <c r="E492" s="227"/>
      <c r="G492" s="225"/>
      <c r="H492" s="226"/>
      <c r="I492" s="226"/>
      <c r="J492" s="226"/>
      <c r="K492" s="227"/>
    </row>
    <row r="493" spans="1:11" ht="15" thickBot="1" x14ac:dyDescent="0.4">
      <c r="A493" s="218" t="s">
        <v>34</v>
      </c>
      <c r="B493" s="219">
        <f>SUM(B488:B492)</f>
        <v>23745</v>
      </c>
      <c r="C493" s="219">
        <f>SUM(C488:C492)</f>
        <v>0</v>
      </c>
      <c r="D493" s="219">
        <f>SUM(D488:D492)</f>
        <v>0</v>
      </c>
      <c r="E493" s="219">
        <f>SUM(E488:E492)</f>
        <v>0</v>
      </c>
      <c r="G493" s="218" t="s">
        <v>34</v>
      </c>
      <c r="H493" s="219">
        <f>SUM(H488:H492)</f>
        <v>4674</v>
      </c>
      <c r="I493" s="219">
        <f>SUM(I488:I492)</f>
        <v>0</v>
      </c>
      <c r="J493" s="219">
        <f>SUM(J488:J492)</f>
        <v>0</v>
      </c>
      <c r="K493" s="219">
        <f>SUM(K488:K492)</f>
        <v>0</v>
      </c>
    </row>
    <row r="494" spans="1:11" x14ac:dyDescent="0.35">
      <c r="A494" s="220" t="s">
        <v>305</v>
      </c>
      <c r="B494" s="220">
        <f>+B493+C493+D493+E493</f>
        <v>23745</v>
      </c>
      <c r="C494" s="220"/>
      <c r="D494" s="220"/>
      <c r="E494" s="220"/>
      <c r="G494" s="220" t="s">
        <v>305</v>
      </c>
      <c r="H494" s="220">
        <f>+H493+I493+J493+K493</f>
        <v>4674</v>
      </c>
      <c r="I494" s="220"/>
      <c r="J494" s="220"/>
      <c r="K494" s="220"/>
    </row>
    <row r="495" spans="1:11" ht="15" thickBot="1" x14ac:dyDescent="0.4">
      <c r="A495" s="315" t="s">
        <v>298</v>
      </c>
      <c r="B495" s="315"/>
      <c r="C495" s="315"/>
      <c r="D495" s="315"/>
      <c r="E495" s="315"/>
      <c r="G495" s="315" t="s">
        <v>314</v>
      </c>
      <c r="H495" s="315"/>
      <c r="I495" s="315"/>
      <c r="J495" s="315"/>
      <c r="K495" s="315"/>
    </row>
    <row r="496" spans="1:11" ht="15" thickTop="1" x14ac:dyDescent="0.35">
      <c r="A496" s="313">
        <v>45341</v>
      </c>
      <c r="B496" s="314"/>
      <c r="C496" s="314"/>
      <c r="D496" s="314"/>
      <c r="E496" s="314"/>
      <c r="G496" s="313">
        <v>45341</v>
      </c>
      <c r="H496" s="314"/>
      <c r="I496" s="314"/>
      <c r="J496" s="314"/>
      <c r="K496" s="314"/>
    </row>
    <row r="497" spans="1:11" x14ac:dyDescent="0.35">
      <c r="A497" s="261" t="s">
        <v>159</v>
      </c>
      <c r="B497" s="262" t="s">
        <v>299</v>
      </c>
      <c r="C497" s="262" t="s">
        <v>300</v>
      </c>
      <c r="D497" s="262" t="s">
        <v>301</v>
      </c>
      <c r="E497" s="263" t="s">
        <v>302</v>
      </c>
      <c r="G497" s="264" t="s">
        <v>159</v>
      </c>
      <c r="H497" s="265" t="s">
        <v>299</v>
      </c>
      <c r="I497" s="265" t="s">
        <v>300</v>
      </c>
      <c r="J497" s="265" t="s">
        <v>301</v>
      </c>
      <c r="K497" s="266" t="s">
        <v>302</v>
      </c>
    </row>
    <row r="498" spans="1:11" x14ac:dyDescent="0.35">
      <c r="A498" s="221" t="s">
        <v>303</v>
      </c>
      <c r="B498" s="222">
        <v>5816</v>
      </c>
      <c r="C498" s="222"/>
      <c r="D498" s="222"/>
      <c r="E498" s="223"/>
      <c r="G498" s="221" t="s">
        <v>303</v>
      </c>
      <c r="H498" s="222">
        <v>1330</v>
      </c>
      <c r="I498" s="222"/>
      <c r="J498" s="222"/>
      <c r="K498" s="223"/>
    </row>
    <row r="499" spans="1:11" x14ac:dyDescent="0.35">
      <c r="A499" s="225" t="s">
        <v>304</v>
      </c>
      <c r="B499" s="226">
        <v>26624</v>
      </c>
      <c r="C499" s="226"/>
      <c r="D499" s="226"/>
      <c r="E499" s="227"/>
      <c r="G499" s="225"/>
      <c r="H499" s="226"/>
      <c r="I499" s="226"/>
      <c r="J499" s="226"/>
      <c r="K499" s="227"/>
    </row>
    <row r="500" spans="1:11" x14ac:dyDescent="0.35">
      <c r="A500" s="225"/>
      <c r="B500" s="226"/>
      <c r="C500" s="226"/>
      <c r="D500" s="226"/>
      <c r="E500" s="227"/>
      <c r="G500" s="225"/>
      <c r="H500" s="226"/>
      <c r="I500" s="226"/>
      <c r="J500" s="226"/>
      <c r="K500" s="227"/>
    </row>
    <row r="501" spans="1:11" x14ac:dyDescent="0.35">
      <c r="A501" s="221"/>
      <c r="B501" s="222"/>
      <c r="C501" s="222"/>
      <c r="D501" s="222"/>
      <c r="E501" s="223"/>
      <c r="G501" s="221"/>
      <c r="H501" s="222"/>
      <c r="I501" s="222"/>
      <c r="J501" s="222"/>
      <c r="K501" s="223"/>
    </row>
    <row r="502" spans="1:11" x14ac:dyDescent="0.35">
      <c r="A502" s="225"/>
      <c r="B502" s="226"/>
      <c r="C502" s="226"/>
      <c r="D502" s="226"/>
      <c r="E502" s="227"/>
      <c r="G502" s="225"/>
      <c r="H502" s="226"/>
      <c r="I502" s="226"/>
      <c r="J502" s="226"/>
      <c r="K502" s="227"/>
    </row>
    <row r="503" spans="1:11" ht="15" thickBot="1" x14ac:dyDescent="0.4">
      <c r="A503" s="218" t="s">
        <v>34</v>
      </c>
      <c r="B503" s="219">
        <f>SUM(B498:B502)</f>
        <v>32440</v>
      </c>
      <c r="C503" s="219">
        <f>SUM(C498:C502)</f>
        <v>0</v>
      </c>
      <c r="D503" s="219">
        <f>SUM(D498:D502)</f>
        <v>0</v>
      </c>
      <c r="E503" s="219">
        <f>SUM(E498:E502)</f>
        <v>0</v>
      </c>
      <c r="G503" s="218" t="s">
        <v>34</v>
      </c>
      <c r="H503" s="219">
        <f>SUM(H498:H502)</f>
        <v>1330</v>
      </c>
      <c r="I503" s="219">
        <f>SUM(I498:I502)</f>
        <v>0</v>
      </c>
      <c r="J503" s="219">
        <f>SUM(J498:J502)</f>
        <v>0</v>
      </c>
      <c r="K503" s="219">
        <f>SUM(K498:K502)</f>
        <v>0</v>
      </c>
    </row>
    <row r="504" spans="1:11" x14ac:dyDescent="0.35">
      <c r="A504" s="220" t="s">
        <v>305</v>
      </c>
      <c r="B504" s="220">
        <f>+B503+C503+D503+E503</f>
        <v>32440</v>
      </c>
      <c r="C504" s="220"/>
      <c r="D504" s="220"/>
      <c r="E504" s="220"/>
      <c r="G504" s="220" t="s">
        <v>305</v>
      </c>
      <c r="H504" s="220">
        <f>+H503+I503+J503+K503</f>
        <v>1330</v>
      </c>
      <c r="I504" s="220"/>
      <c r="J504" s="220"/>
      <c r="K504" s="220"/>
    </row>
    <row r="505" spans="1:11" ht="15" thickBot="1" x14ac:dyDescent="0.4">
      <c r="A505" s="315" t="s">
        <v>298</v>
      </c>
      <c r="B505" s="315"/>
      <c r="C505" s="315"/>
      <c r="D505" s="315"/>
      <c r="E505" s="315"/>
      <c r="G505" s="315" t="s">
        <v>314</v>
      </c>
      <c r="H505" s="315"/>
      <c r="I505" s="315"/>
      <c r="J505" s="315"/>
      <c r="K505" s="315"/>
    </row>
    <row r="506" spans="1:11" ht="15" thickTop="1" x14ac:dyDescent="0.35">
      <c r="A506" s="313">
        <v>45342</v>
      </c>
      <c r="B506" s="314"/>
      <c r="C506" s="314"/>
      <c r="D506" s="314"/>
      <c r="E506" s="314"/>
      <c r="G506" s="313">
        <v>45342</v>
      </c>
      <c r="H506" s="314"/>
      <c r="I506" s="314"/>
      <c r="J506" s="314"/>
      <c r="K506" s="314"/>
    </row>
    <row r="507" spans="1:11" x14ac:dyDescent="0.35">
      <c r="A507" s="261" t="s">
        <v>159</v>
      </c>
      <c r="B507" s="262" t="s">
        <v>299</v>
      </c>
      <c r="C507" s="262" t="s">
        <v>300</v>
      </c>
      <c r="D507" s="262" t="s">
        <v>301</v>
      </c>
      <c r="E507" s="263" t="s">
        <v>302</v>
      </c>
      <c r="G507" s="264" t="s">
        <v>159</v>
      </c>
      <c r="H507" s="265" t="s">
        <v>299</v>
      </c>
      <c r="I507" s="265" t="s">
        <v>300</v>
      </c>
      <c r="J507" s="265" t="s">
        <v>301</v>
      </c>
      <c r="K507" s="266" t="s">
        <v>302</v>
      </c>
    </row>
    <row r="508" spans="1:11" x14ac:dyDescent="0.35">
      <c r="A508" s="221" t="s">
        <v>303</v>
      </c>
      <c r="B508" s="222">
        <v>150</v>
      </c>
      <c r="C508" s="222"/>
      <c r="D508" s="222"/>
      <c r="E508" s="223"/>
      <c r="G508" s="221" t="s">
        <v>303</v>
      </c>
      <c r="H508" s="222">
        <v>755</v>
      </c>
      <c r="I508" s="222"/>
      <c r="J508" s="222"/>
      <c r="K508" s="223"/>
    </row>
    <row r="509" spans="1:11" x14ac:dyDescent="0.35">
      <c r="A509" s="225" t="s">
        <v>304</v>
      </c>
      <c r="B509" s="226"/>
      <c r="C509" s="226"/>
      <c r="D509" s="226"/>
      <c r="E509" s="227"/>
      <c r="G509" s="225"/>
      <c r="H509" s="226"/>
      <c r="I509" s="226"/>
      <c r="J509" s="226"/>
      <c r="K509" s="227"/>
    </row>
    <row r="510" spans="1:11" x14ac:dyDescent="0.35">
      <c r="A510" s="225"/>
      <c r="B510" s="226"/>
      <c r="C510" s="226"/>
      <c r="D510" s="226"/>
      <c r="E510" s="227"/>
      <c r="G510" s="225"/>
      <c r="H510" s="226"/>
      <c r="I510" s="226"/>
      <c r="J510" s="226"/>
      <c r="K510" s="227"/>
    </row>
    <row r="511" spans="1:11" x14ac:dyDescent="0.35">
      <c r="A511" s="221"/>
      <c r="B511" s="222"/>
      <c r="C511" s="222"/>
      <c r="D511" s="222"/>
      <c r="E511" s="223"/>
      <c r="G511" s="221"/>
      <c r="H511" s="222"/>
      <c r="I511" s="222"/>
      <c r="J511" s="222"/>
      <c r="K511" s="223"/>
    </row>
    <row r="512" spans="1:11" x14ac:dyDescent="0.35">
      <c r="A512" s="225"/>
      <c r="B512" s="226"/>
      <c r="C512" s="226"/>
      <c r="D512" s="226"/>
      <c r="E512" s="227"/>
      <c r="G512" s="225"/>
      <c r="H512" s="226"/>
      <c r="I512" s="226"/>
      <c r="J512" s="226"/>
      <c r="K512" s="227"/>
    </row>
    <row r="513" spans="1:11" ht="15" thickBot="1" x14ac:dyDescent="0.4">
      <c r="A513" s="218" t="s">
        <v>34</v>
      </c>
      <c r="B513" s="219">
        <f>SUM(B508:B512)</f>
        <v>150</v>
      </c>
      <c r="C513" s="219">
        <f>SUM(C508:C512)</f>
        <v>0</v>
      </c>
      <c r="D513" s="219">
        <f>SUM(D508:D512)</f>
        <v>0</v>
      </c>
      <c r="E513" s="219">
        <f>SUM(E508:E512)</f>
        <v>0</v>
      </c>
      <c r="G513" s="218" t="s">
        <v>34</v>
      </c>
      <c r="H513" s="219">
        <f>SUM(H508:H512)</f>
        <v>755</v>
      </c>
      <c r="I513" s="219">
        <f>SUM(I508:I512)</f>
        <v>0</v>
      </c>
      <c r="J513" s="219">
        <f>SUM(J508:J512)</f>
        <v>0</v>
      </c>
      <c r="K513" s="219">
        <f>SUM(K508:K512)</f>
        <v>0</v>
      </c>
    </row>
    <row r="514" spans="1:11" x14ac:dyDescent="0.35">
      <c r="A514" s="220" t="s">
        <v>305</v>
      </c>
      <c r="B514" s="220">
        <f>+B513+C513+D513+E513</f>
        <v>150</v>
      </c>
      <c r="C514" s="220"/>
      <c r="D514" s="220"/>
      <c r="E514" s="220"/>
      <c r="G514" s="220" t="s">
        <v>305</v>
      </c>
      <c r="H514" s="220">
        <f>+H513+I513+J513+K513</f>
        <v>755</v>
      </c>
      <c r="I514" s="220"/>
      <c r="J514" s="220"/>
      <c r="K514" s="220"/>
    </row>
    <row r="515" spans="1:11" ht="15" thickBot="1" x14ac:dyDescent="0.4">
      <c r="A515" s="315" t="s">
        <v>298</v>
      </c>
      <c r="B515" s="315"/>
      <c r="C515" s="315"/>
      <c r="D515" s="315"/>
      <c r="E515" s="315"/>
      <c r="G515" s="315" t="s">
        <v>314</v>
      </c>
      <c r="H515" s="315"/>
      <c r="I515" s="315"/>
      <c r="J515" s="315"/>
      <c r="K515" s="315"/>
    </row>
    <row r="516" spans="1:11" ht="15" thickTop="1" x14ac:dyDescent="0.35">
      <c r="A516" s="313">
        <v>45343</v>
      </c>
      <c r="B516" s="314"/>
      <c r="C516" s="314"/>
      <c r="D516" s="314"/>
      <c r="E516" s="314"/>
      <c r="G516" s="313">
        <v>45343</v>
      </c>
      <c r="H516" s="314"/>
      <c r="I516" s="314"/>
      <c r="J516" s="314"/>
      <c r="K516" s="314"/>
    </row>
    <row r="517" spans="1:11" x14ac:dyDescent="0.35">
      <c r="A517" s="261" t="s">
        <v>159</v>
      </c>
      <c r="B517" s="262" t="s">
        <v>299</v>
      </c>
      <c r="C517" s="262" t="s">
        <v>300</v>
      </c>
      <c r="D517" s="262" t="s">
        <v>301</v>
      </c>
      <c r="E517" s="263" t="s">
        <v>302</v>
      </c>
      <c r="G517" s="264" t="s">
        <v>159</v>
      </c>
      <c r="H517" s="265" t="s">
        <v>299</v>
      </c>
      <c r="I517" s="265" t="s">
        <v>300</v>
      </c>
      <c r="J517" s="265" t="s">
        <v>301</v>
      </c>
      <c r="K517" s="266" t="s">
        <v>302</v>
      </c>
    </row>
    <row r="518" spans="1:11" x14ac:dyDescent="0.35">
      <c r="A518" s="221" t="s">
        <v>303</v>
      </c>
      <c r="B518" s="222">
        <v>2813</v>
      </c>
      <c r="C518" s="222"/>
      <c r="D518" s="222"/>
      <c r="E518" s="223"/>
      <c r="G518" s="221" t="s">
        <v>303</v>
      </c>
      <c r="H518" s="222"/>
      <c r="I518" s="222"/>
      <c r="J518" s="222"/>
      <c r="K518" s="223"/>
    </row>
    <row r="519" spans="1:11" x14ac:dyDescent="0.35">
      <c r="A519" s="225" t="s">
        <v>304</v>
      </c>
      <c r="B519" s="226"/>
      <c r="C519" s="226"/>
      <c r="D519" s="226"/>
      <c r="E519" s="227"/>
      <c r="G519" s="225"/>
      <c r="H519" s="226"/>
      <c r="I519" s="226"/>
      <c r="J519" s="226"/>
      <c r="K519" s="227"/>
    </row>
    <row r="520" spans="1:11" x14ac:dyDescent="0.35">
      <c r="A520" s="225"/>
      <c r="B520" s="226"/>
      <c r="C520" s="226"/>
      <c r="D520" s="226"/>
      <c r="E520" s="227"/>
      <c r="G520" s="225"/>
      <c r="H520" s="226"/>
      <c r="I520" s="226"/>
      <c r="J520" s="226"/>
      <c r="K520" s="227"/>
    </row>
    <row r="521" spans="1:11" x14ac:dyDescent="0.35">
      <c r="A521" s="221"/>
      <c r="B521" s="222"/>
      <c r="C521" s="222"/>
      <c r="D521" s="222"/>
      <c r="E521" s="223"/>
      <c r="G521" s="221"/>
      <c r="H521" s="222"/>
      <c r="I521" s="222"/>
      <c r="J521" s="222"/>
      <c r="K521" s="223"/>
    </row>
    <row r="522" spans="1:11" x14ac:dyDescent="0.35">
      <c r="A522" s="225"/>
      <c r="B522" s="226"/>
      <c r="C522" s="226"/>
      <c r="D522" s="226"/>
      <c r="E522" s="227"/>
      <c r="G522" s="225"/>
      <c r="H522" s="226"/>
      <c r="I522" s="226"/>
      <c r="J522" s="226"/>
      <c r="K522" s="227"/>
    </row>
    <row r="523" spans="1:11" ht="15" thickBot="1" x14ac:dyDescent="0.4">
      <c r="A523" s="218" t="s">
        <v>34</v>
      </c>
      <c r="B523" s="219">
        <f>SUM(B518:B522)</f>
        <v>2813</v>
      </c>
      <c r="C523" s="219">
        <f>SUM(C518:C522)</f>
        <v>0</v>
      </c>
      <c r="D523" s="219">
        <f>SUM(D518:D522)</f>
        <v>0</v>
      </c>
      <c r="E523" s="219">
        <f>SUM(E518:E522)</f>
        <v>0</v>
      </c>
      <c r="G523" s="218" t="s">
        <v>34</v>
      </c>
      <c r="H523" s="219">
        <f>SUM(H518:H522)</f>
        <v>0</v>
      </c>
      <c r="I523" s="219">
        <f>SUM(I518:I522)</f>
        <v>0</v>
      </c>
      <c r="J523" s="219">
        <f>SUM(J518:J522)</f>
        <v>0</v>
      </c>
      <c r="K523" s="219">
        <f>SUM(K518:K522)</f>
        <v>0</v>
      </c>
    </row>
    <row r="524" spans="1:11" x14ac:dyDescent="0.35">
      <c r="A524" s="220" t="s">
        <v>305</v>
      </c>
      <c r="B524" s="220">
        <f>+B523+C523+D523+E523</f>
        <v>2813</v>
      </c>
      <c r="C524" s="220"/>
      <c r="D524" s="220"/>
      <c r="E524" s="220"/>
      <c r="G524" s="220" t="s">
        <v>305</v>
      </c>
      <c r="H524" s="220">
        <f>+H523+I523+J523+K523</f>
        <v>0</v>
      </c>
      <c r="I524" s="220"/>
      <c r="J524" s="220"/>
      <c r="K524" s="220"/>
    </row>
    <row r="525" spans="1:11" ht="15" thickBot="1" x14ac:dyDescent="0.4">
      <c r="A525" s="315" t="s">
        <v>298</v>
      </c>
      <c r="B525" s="315"/>
      <c r="C525" s="315"/>
      <c r="D525" s="315"/>
      <c r="E525" s="315"/>
      <c r="G525" s="315" t="s">
        <v>314</v>
      </c>
      <c r="H525" s="315"/>
      <c r="I525" s="315"/>
      <c r="J525" s="315"/>
      <c r="K525" s="315"/>
    </row>
    <row r="526" spans="1:11" ht="15" thickTop="1" x14ac:dyDescent="0.35">
      <c r="A526" s="313">
        <v>45344</v>
      </c>
      <c r="B526" s="314"/>
      <c r="C526" s="314"/>
      <c r="D526" s="314"/>
      <c r="E526" s="314"/>
      <c r="G526" s="313">
        <v>45344</v>
      </c>
      <c r="H526" s="314"/>
      <c r="I526" s="314"/>
      <c r="J526" s="314"/>
      <c r="K526" s="314"/>
    </row>
    <row r="527" spans="1:11" x14ac:dyDescent="0.35">
      <c r="A527" s="261" t="s">
        <v>159</v>
      </c>
      <c r="B527" s="262" t="s">
        <v>299</v>
      </c>
      <c r="C527" s="262" t="s">
        <v>300</v>
      </c>
      <c r="D527" s="262" t="s">
        <v>301</v>
      </c>
      <c r="E527" s="263" t="s">
        <v>302</v>
      </c>
      <c r="G527" s="264" t="s">
        <v>159</v>
      </c>
      <c r="H527" s="265" t="s">
        <v>299</v>
      </c>
      <c r="I527" s="265" t="s">
        <v>300</v>
      </c>
      <c r="J527" s="265" t="s">
        <v>301</v>
      </c>
      <c r="K527" s="266" t="s">
        <v>302</v>
      </c>
    </row>
    <row r="528" spans="1:11" x14ac:dyDescent="0.35">
      <c r="A528" s="221" t="s">
        <v>303</v>
      </c>
      <c r="B528" s="222">
        <v>11708</v>
      </c>
      <c r="C528" s="222"/>
      <c r="D528" s="222"/>
      <c r="E528" s="223"/>
      <c r="G528" s="221" t="s">
        <v>303</v>
      </c>
      <c r="H528" s="222">
        <v>3775</v>
      </c>
      <c r="I528" s="222"/>
      <c r="J528" s="222"/>
      <c r="K528" s="223"/>
    </row>
    <row r="529" spans="1:11" x14ac:dyDescent="0.35">
      <c r="A529" s="225" t="s">
        <v>304</v>
      </c>
      <c r="B529" s="226">
        <v>1011</v>
      </c>
      <c r="C529" s="226"/>
      <c r="D529" s="226"/>
      <c r="E529" s="227"/>
      <c r="G529" s="225"/>
      <c r="H529" s="226"/>
      <c r="I529" s="226"/>
      <c r="J529" s="226"/>
      <c r="K529" s="227"/>
    </row>
    <row r="530" spans="1:11" x14ac:dyDescent="0.35">
      <c r="A530" s="225"/>
      <c r="B530" s="226"/>
      <c r="C530" s="226"/>
      <c r="D530" s="226"/>
      <c r="E530" s="227"/>
      <c r="G530" s="225"/>
      <c r="H530" s="226"/>
      <c r="I530" s="226"/>
      <c r="J530" s="226"/>
      <c r="K530" s="227"/>
    </row>
    <row r="531" spans="1:11" x14ac:dyDescent="0.35">
      <c r="A531" s="221"/>
      <c r="B531" s="222"/>
      <c r="C531" s="222"/>
      <c r="D531" s="222"/>
      <c r="E531" s="223"/>
      <c r="G531" s="221"/>
      <c r="H531" s="222"/>
      <c r="I531" s="222"/>
      <c r="J531" s="222"/>
      <c r="K531" s="223"/>
    </row>
    <row r="532" spans="1:11" x14ac:dyDescent="0.35">
      <c r="A532" s="225"/>
      <c r="B532" s="226"/>
      <c r="C532" s="226"/>
      <c r="D532" s="226"/>
      <c r="E532" s="227"/>
      <c r="G532" s="225"/>
      <c r="H532" s="226"/>
      <c r="I532" s="226"/>
      <c r="J532" s="226"/>
      <c r="K532" s="227"/>
    </row>
    <row r="533" spans="1:11" ht="15" thickBot="1" x14ac:dyDescent="0.4">
      <c r="A533" s="218" t="s">
        <v>34</v>
      </c>
      <c r="B533" s="219">
        <f>SUM(B528:B532)</f>
        <v>12719</v>
      </c>
      <c r="C533" s="219">
        <f>SUM(C528:C532)</f>
        <v>0</v>
      </c>
      <c r="D533" s="219">
        <f>SUM(D528:D532)</f>
        <v>0</v>
      </c>
      <c r="E533" s="219">
        <f>SUM(E528:E532)</f>
        <v>0</v>
      </c>
      <c r="G533" s="218" t="s">
        <v>34</v>
      </c>
      <c r="H533" s="219">
        <f>SUM(H528:H532)</f>
        <v>3775</v>
      </c>
      <c r="I533" s="219">
        <f>SUM(I528:I532)</f>
        <v>0</v>
      </c>
      <c r="J533" s="219">
        <f>SUM(J528:J532)</f>
        <v>0</v>
      </c>
      <c r="K533" s="219">
        <f>SUM(K528:K532)</f>
        <v>0</v>
      </c>
    </row>
    <row r="534" spans="1:11" x14ac:dyDescent="0.35">
      <c r="A534" s="220" t="s">
        <v>305</v>
      </c>
      <c r="B534" s="220">
        <f>+B533+C533+D533+E533</f>
        <v>12719</v>
      </c>
      <c r="C534" s="220"/>
      <c r="D534" s="220"/>
      <c r="E534" s="220"/>
      <c r="G534" s="220" t="s">
        <v>305</v>
      </c>
      <c r="H534" s="220">
        <f>+H533+I533+J533+K533</f>
        <v>3775</v>
      </c>
      <c r="I534" s="220"/>
      <c r="J534" s="220"/>
      <c r="K534" s="220"/>
    </row>
    <row r="535" spans="1:11" ht="15" thickBot="1" x14ac:dyDescent="0.4">
      <c r="A535" s="315" t="s">
        <v>298</v>
      </c>
      <c r="B535" s="315"/>
      <c r="C535" s="315"/>
      <c r="D535" s="315"/>
      <c r="E535" s="315"/>
      <c r="G535" s="315" t="s">
        <v>314</v>
      </c>
      <c r="H535" s="315"/>
      <c r="I535" s="315"/>
      <c r="J535" s="315"/>
      <c r="K535" s="315"/>
    </row>
    <row r="536" spans="1:11" ht="15" thickTop="1" x14ac:dyDescent="0.35">
      <c r="A536" s="313">
        <v>45345</v>
      </c>
      <c r="B536" s="314"/>
      <c r="C536" s="314"/>
      <c r="D536" s="314"/>
      <c r="E536" s="314"/>
      <c r="G536" s="313">
        <v>45345</v>
      </c>
      <c r="H536" s="314"/>
      <c r="I536" s="314"/>
      <c r="J536" s="314"/>
      <c r="K536" s="314"/>
    </row>
    <row r="537" spans="1:11" x14ac:dyDescent="0.35">
      <c r="A537" s="261" t="s">
        <v>159</v>
      </c>
      <c r="B537" s="262" t="s">
        <v>299</v>
      </c>
      <c r="C537" s="262" t="s">
        <v>300</v>
      </c>
      <c r="D537" s="262" t="s">
        <v>301</v>
      </c>
      <c r="E537" s="263" t="s">
        <v>302</v>
      </c>
      <c r="G537" s="264" t="s">
        <v>159</v>
      </c>
      <c r="H537" s="265" t="s">
        <v>299</v>
      </c>
      <c r="I537" s="265" t="s">
        <v>300</v>
      </c>
      <c r="J537" s="265" t="s">
        <v>301</v>
      </c>
      <c r="K537" s="266" t="s">
        <v>302</v>
      </c>
    </row>
    <row r="538" spans="1:11" x14ac:dyDescent="0.35">
      <c r="A538" s="221" t="s">
        <v>303</v>
      </c>
      <c r="B538" s="222">
        <v>26388</v>
      </c>
      <c r="C538" s="222"/>
      <c r="D538" s="222"/>
      <c r="E538" s="223"/>
      <c r="G538" s="221" t="s">
        <v>303</v>
      </c>
      <c r="H538" s="222">
        <v>12674</v>
      </c>
      <c r="I538" s="222"/>
      <c r="J538" s="222"/>
      <c r="K538" s="223"/>
    </row>
    <row r="539" spans="1:11" x14ac:dyDescent="0.35">
      <c r="A539" s="225" t="s">
        <v>304</v>
      </c>
      <c r="B539" s="226"/>
      <c r="C539" s="226"/>
      <c r="D539" s="226"/>
      <c r="E539" s="227"/>
      <c r="G539" s="225"/>
      <c r="H539" s="226"/>
      <c r="I539" s="226"/>
      <c r="J539" s="226"/>
      <c r="K539" s="227"/>
    </row>
    <row r="540" spans="1:11" x14ac:dyDescent="0.35">
      <c r="A540" s="225"/>
      <c r="B540" s="226"/>
      <c r="C540" s="226"/>
      <c r="D540" s="226"/>
      <c r="E540" s="227"/>
      <c r="G540" s="225"/>
      <c r="H540" s="226"/>
      <c r="I540" s="226"/>
      <c r="J540" s="226"/>
      <c r="K540" s="227"/>
    </row>
    <row r="541" spans="1:11" x14ac:dyDescent="0.35">
      <c r="A541" s="221"/>
      <c r="B541" s="222"/>
      <c r="C541" s="222"/>
      <c r="D541" s="222"/>
      <c r="E541" s="223"/>
      <c r="G541" s="221"/>
      <c r="H541" s="222"/>
      <c r="I541" s="222"/>
      <c r="J541" s="222"/>
      <c r="K541" s="223"/>
    </row>
    <row r="542" spans="1:11" x14ac:dyDescent="0.35">
      <c r="A542" s="225"/>
      <c r="B542" s="226"/>
      <c r="C542" s="226"/>
      <c r="D542" s="226"/>
      <c r="E542" s="227"/>
      <c r="G542" s="225"/>
      <c r="H542" s="226"/>
      <c r="I542" s="226"/>
      <c r="J542" s="226"/>
      <c r="K542" s="227"/>
    </row>
    <row r="543" spans="1:11" ht="15" thickBot="1" x14ac:dyDescent="0.4">
      <c r="A543" s="218" t="s">
        <v>34</v>
      </c>
      <c r="B543" s="219">
        <f>SUM(B538:B542)</f>
        <v>26388</v>
      </c>
      <c r="C543" s="219">
        <f>SUM(C538:C542)</f>
        <v>0</v>
      </c>
      <c r="D543" s="219">
        <f>SUM(D538:D542)</f>
        <v>0</v>
      </c>
      <c r="E543" s="219">
        <f>SUM(E538:E542)</f>
        <v>0</v>
      </c>
      <c r="G543" s="218" t="s">
        <v>34</v>
      </c>
      <c r="H543" s="219">
        <f>SUM(H538:H542)</f>
        <v>12674</v>
      </c>
      <c r="I543" s="219">
        <f>SUM(I538:I542)</f>
        <v>0</v>
      </c>
      <c r="J543" s="219">
        <f>SUM(J538:J542)</f>
        <v>0</v>
      </c>
      <c r="K543" s="219">
        <f>SUM(K538:K542)</f>
        <v>0</v>
      </c>
    </row>
    <row r="544" spans="1:11" x14ac:dyDescent="0.35">
      <c r="A544" s="220" t="s">
        <v>305</v>
      </c>
      <c r="B544" s="220">
        <f>+B543+C543+D543+E543</f>
        <v>26388</v>
      </c>
      <c r="C544" s="220"/>
      <c r="D544" s="220"/>
      <c r="E544" s="220"/>
      <c r="G544" s="220" t="s">
        <v>305</v>
      </c>
      <c r="H544" s="220">
        <f>+H543+I543+J543+K543</f>
        <v>12674</v>
      </c>
      <c r="I544" s="220"/>
      <c r="J544" s="220"/>
      <c r="K544" s="220"/>
    </row>
    <row r="545" spans="1:11" ht="15" thickBot="1" x14ac:dyDescent="0.4">
      <c r="A545" s="315" t="s">
        <v>298</v>
      </c>
      <c r="B545" s="315"/>
      <c r="C545" s="315"/>
      <c r="D545" s="315"/>
      <c r="E545" s="315"/>
      <c r="G545" s="315" t="s">
        <v>314</v>
      </c>
      <c r="H545" s="315"/>
      <c r="I545" s="315"/>
      <c r="J545" s="315"/>
      <c r="K545" s="315"/>
    </row>
    <row r="546" spans="1:11" ht="15" thickTop="1" x14ac:dyDescent="0.35">
      <c r="A546" s="313">
        <v>45346</v>
      </c>
      <c r="B546" s="314"/>
      <c r="C546" s="314"/>
      <c r="D546" s="314"/>
      <c r="E546" s="314"/>
      <c r="G546" s="313">
        <v>45346</v>
      </c>
      <c r="H546" s="314"/>
      <c r="I546" s="314"/>
      <c r="J546" s="314"/>
      <c r="K546" s="314"/>
    </row>
    <row r="547" spans="1:11" x14ac:dyDescent="0.35">
      <c r="A547" s="261" t="s">
        <v>159</v>
      </c>
      <c r="B547" s="262" t="s">
        <v>299</v>
      </c>
      <c r="C547" s="262" t="s">
        <v>300</v>
      </c>
      <c r="D547" s="262" t="s">
        <v>301</v>
      </c>
      <c r="E547" s="263" t="s">
        <v>302</v>
      </c>
      <c r="G547" s="264" t="s">
        <v>159</v>
      </c>
      <c r="H547" s="265" t="s">
        <v>299</v>
      </c>
      <c r="I547" s="265" t="s">
        <v>300</v>
      </c>
      <c r="J547" s="265" t="s">
        <v>301</v>
      </c>
      <c r="K547" s="266" t="s">
        <v>302</v>
      </c>
    </row>
    <row r="548" spans="1:11" x14ac:dyDescent="0.35">
      <c r="A548" s="221" t="s">
        <v>303</v>
      </c>
      <c r="B548" s="222">
        <v>14620</v>
      </c>
      <c r="C548" s="222"/>
      <c r="D548" s="222"/>
      <c r="E548" s="223"/>
      <c r="G548" s="221" t="s">
        <v>303</v>
      </c>
      <c r="H548" s="222">
        <v>3041</v>
      </c>
      <c r="I548" s="222"/>
      <c r="J548" s="222"/>
      <c r="K548" s="223"/>
    </row>
    <row r="549" spans="1:11" x14ac:dyDescent="0.35">
      <c r="A549" s="225" t="s">
        <v>304</v>
      </c>
      <c r="B549" s="226"/>
      <c r="C549" s="226"/>
      <c r="D549" s="226"/>
      <c r="E549" s="227"/>
      <c r="G549" s="225"/>
      <c r="H549" s="226"/>
      <c r="I549" s="226"/>
      <c r="J549" s="226"/>
      <c r="K549" s="227"/>
    </row>
    <row r="550" spans="1:11" x14ac:dyDescent="0.35">
      <c r="A550" s="225"/>
      <c r="B550" s="226"/>
      <c r="C550" s="226"/>
      <c r="D550" s="226"/>
      <c r="E550" s="227"/>
      <c r="G550" s="225"/>
      <c r="H550" s="226"/>
      <c r="I550" s="226"/>
      <c r="J550" s="226"/>
      <c r="K550" s="227"/>
    </row>
    <row r="551" spans="1:11" x14ac:dyDescent="0.35">
      <c r="A551" s="221"/>
      <c r="B551" s="222"/>
      <c r="C551" s="222"/>
      <c r="D551" s="222"/>
      <c r="E551" s="223"/>
      <c r="G551" s="221"/>
      <c r="H551" s="222"/>
      <c r="I551" s="222"/>
      <c r="J551" s="222"/>
      <c r="K551" s="223"/>
    </row>
    <row r="552" spans="1:11" x14ac:dyDescent="0.35">
      <c r="A552" s="225"/>
      <c r="B552" s="226"/>
      <c r="C552" s="226"/>
      <c r="D552" s="226"/>
      <c r="E552" s="227"/>
      <c r="G552" s="225"/>
      <c r="H552" s="226"/>
      <c r="I552" s="226"/>
      <c r="J552" s="226"/>
      <c r="K552" s="227"/>
    </row>
    <row r="553" spans="1:11" ht="15" thickBot="1" x14ac:dyDescent="0.4">
      <c r="A553" s="218" t="s">
        <v>34</v>
      </c>
      <c r="B553" s="219">
        <f>SUM(B548:B552)</f>
        <v>14620</v>
      </c>
      <c r="C553" s="219">
        <f>SUM(C548:C552)</f>
        <v>0</v>
      </c>
      <c r="D553" s="219">
        <f>SUM(D548:D552)</f>
        <v>0</v>
      </c>
      <c r="E553" s="219">
        <f>SUM(E548:E552)</f>
        <v>0</v>
      </c>
      <c r="G553" s="218" t="s">
        <v>34</v>
      </c>
      <c r="H553" s="219">
        <f>SUM(H548:H552)</f>
        <v>3041</v>
      </c>
      <c r="I553" s="219">
        <f>SUM(I548:I552)</f>
        <v>0</v>
      </c>
      <c r="J553" s="219">
        <f>SUM(J548:J552)</f>
        <v>0</v>
      </c>
      <c r="K553" s="219">
        <f>SUM(K548:K552)</f>
        <v>0</v>
      </c>
    </row>
    <row r="554" spans="1:11" x14ac:dyDescent="0.35">
      <c r="A554" s="220" t="s">
        <v>305</v>
      </c>
      <c r="B554" s="220">
        <f>+B553+C553+D553+E553</f>
        <v>14620</v>
      </c>
      <c r="C554" s="220"/>
      <c r="D554" s="220"/>
      <c r="E554" s="220"/>
      <c r="G554" s="220" t="s">
        <v>305</v>
      </c>
      <c r="H554" s="220">
        <f>+H553+I553+J553+K553</f>
        <v>3041</v>
      </c>
      <c r="I554" s="220"/>
      <c r="J554" s="220"/>
      <c r="K554" s="220"/>
    </row>
    <row r="555" spans="1:11" ht="15" thickBot="1" x14ac:dyDescent="0.4">
      <c r="A555" s="315" t="s">
        <v>298</v>
      </c>
      <c r="B555" s="315"/>
      <c r="C555" s="315"/>
      <c r="D555" s="315"/>
      <c r="E555" s="315"/>
      <c r="G555" s="315" t="s">
        <v>314</v>
      </c>
      <c r="H555" s="315"/>
      <c r="I555" s="315"/>
      <c r="J555" s="315"/>
      <c r="K555" s="315"/>
    </row>
    <row r="556" spans="1:11" ht="15" thickTop="1" x14ac:dyDescent="0.35">
      <c r="A556" s="313">
        <v>45347</v>
      </c>
      <c r="B556" s="314"/>
      <c r="C556" s="314"/>
      <c r="D556" s="314"/>
      <c r="E556" s="314"/>
      <c r="G556" s="313">
        <v>45347</v>
      </c>
      <c r="H556" s="314"/>
      <c r="I556" s="314"/>
      <c r="J556" s="314"/>
      <c r="K556" s="314"/>
    </row>
    <row r="557" spans="1:11" x14ac:dyDescent="0.35">
      <c r="A557" s="261" t="s">
        <v>159</v>
      </c>
      <c r="B557" s="262" t="s">
        <v>299</v>
      </c>
      <c r="C557" s="262" t="s">
        <v>300</v>
      </c>
      <c r="D557" s="262" t="s">
        <v>301</v>
      </c>
      <c r="E557" s="263" t="s">
        <v>302</v>
      </c>
      <c r="G557" s="264" t="s">
        <v>159</v>
      </c>
      <c r="H557" s="265" t="s">
        <v>299</v>
      </c>
      <c r="I557" s="265" t="s">
        <v>300</v>
      </c>
      <c r="J557" s="265" t="s">
        <v>301</v>
      </c>
      <c r="K557" s="266" t="s">
        <v>302</v>
      </c>
    </row>
    <row r="558" spans="1:11" x14ac:dyDescent="0.35">
      <c r="A558" s="221" t="s">
        <v>303</v>
      </c>
      <c r="B558" s="222">
        <v>23913</v>
      </c>
      <c r="C558" s="222"/>
      <c r="D558" s="222"/>
      <c r="E558" s="223"/>
      <c r="G558" s="221" t="s">
        <v>303</v>
      </c>
      <c r="H558" s="222">
        <v>6407</v>
      </c>
      <c r="I558" s="222"/>
      <c r="J558" s="222"/>
      <c r="K558" s="223"/>
    </row>
    <row r="559" spans="1:11" x14ac:dyDescent="0.35">
      <c r="A559" s="225" t="s">
        <v>304</v>
      </c>
      <c r="B559" s="226"/>
      <c r="C559" s="226"/>
      <c r="D559" s="226"/>
      <c r="E559" s="227"/>
      <c r="G559" s="225"/>
      <c r="H559" s="226"/>
      <c r="I559" s="226"/>
      <c r="J559" s="226"/>
      <c r="K559" s="227"/>
    </row>
    <row r="560" spans="1:11" x14ac:dyDescent="0.35">
      <c r="A560" s="225"/>
      <c r="B560" s="226"/>
      <c r="C560" s="226"/>
      <c r="D560" s="226"/>
      <c r="E560" s="227"/>
      <c r="G560" s="225"/>
      <c r="H560" s="226"/>
      <c r="I560" s="226"/>
      <c r="J560" s="226"/>
      <c r="K560" s="227"/>
    </row>
    <row r="561" spans="1:11" x14ac:dyDescent="0.35">
      <c r="A561" s="221"/>
      <c r="B561" s="222"/>
      <c r="C561" s="222"/>
      <c r="D561" s="222"/>
      <c r="E561" s="223"/>
      <c r="G561" s="221"/>
      <c r="H561" s="222"/>
      <c r="I561" s="222"/>
      <c r="J561" s="222"/>
      <c r="K561" s="223"/>
    </row>
    <row r="562" spans="1:11" x14ac:dyDescent="0.35">
      <c r="A562" s="225"/>
      <c r="B562" s="226"/>
      <c r="C562" s="226"/>
      <c r="D562" s="226"/>
      <c r="E562" s="227"/>
      <c r="G562" s="225"/>
      <c r="H562" s="226"/>
      <c r="I562" s="226"/>
      <c r="J562" s="226"/>
      <c r="K562" s="227"/>
    </row>
    <row r="563" spans="1:11" ht="15" thickBot="1" x14ac:dyDescent="0.4">
      <c r="A563" s="218" t="s">
        <v>34</v>
      </c>
      <c r="B563" s="219">
        <f>SUM(B558:B562)</f>
        <v>23913</v>
      </c>
      <c r="C563" s="219">
        <f>SUM(C558:C562)</f>
        <v>0</v>
      </c>
      <c r="D563" s="219">
        <f>SUM(D558:D562)</f>
        <v>0</v>
      </c>
      <c r="E563" s="219">
        <f>SUM(E558:E562)</f>
        <v>0</v>
      </c>
      <c r="G563" s="218" t="s">
        <v>34</v>
      </c>
      <c r="H563" s="219">
        <f>SUM(H558:H562)</f>
        <v>6407</v>
      </c>
      <c r="I563" s="219">
        <f>SUM(I558:I562)</f>
        <v>0</v>
      </c>
      <c r="J563" s="219">
        <f>SUM(J558:J562)</f>
        <v>0</v>
      </c>
      <c r="K563" s="219">
        <f>SUM(K558:K562)</f>
        <v>0</v>
      </c>
    </row>
    <row r="564" spans="1:11" x14ac:dyDescent="0.35">
      <c r="A564" s="220" t="s">
        <v>305</v>
      </c>
      <c r="B564" s="220">
        <f>+B563+C563+D563+E563</f>
        <v>23913</v>
      </c>
      <c r="C564" s="220"/>
      <c r="D564" s="220"/>
      <c r="E564" s="220"/>
      <c r="G564" s="220" t="s">
        <v>305</v>
      </c>
      <c r="H564" s="220">
        <f>+H563+I563+J563+K563</f>
        <v>6407</v>
      </c>
      <c r="I564" s="220"/>
      <c r="J564" s="220"/>
      <c r="K564" s="220"/>
    </row>
    <row r="565" spans="1:11" ht="15" thickBot="1" x14ac:dyDescent="0.4">
      <c r="A565" s="315" t="s">
        <v>298</v>
      </c>
      <c r="B565" s="315"/>
      <c r="C565" s="315"/>
      <c r="D565" s="315"/>
      <c r="E565" s="315"/>
      <c r="G565" s="315" t="s">
        <v>314</v>
      </c>
      <c r="H565" s="315"/>
      <c r="I565" s="315"/>
      <c r="J565" s="315"/>
      <c r="K565" s="315"/>
    </row>
    <row r="566" spans="1:11" ht="15" thickTop="1" x14ac:dyDescent="0.35">
      <c r="A566" s="313">
        <v>45348</v>
      </c>
      <c r="B566" s="314"/>
      <c r="C566" s="314"/>
      <c r="D566" s="314"/>
      <c r="E566" s="314"/>
      <c r="G566" s="313">
        <v>45348</v>
      </c>
      <c r="H566" s="314"/>
      <c r="I566" s="314"/>
      <c r="J566" s="314"/>
      <c r="K566" s="314"/>
    </row>
    <row r="567" spans="1:11" x14ac:dyDescent="0.35">
      <c r="A567" s="261" t="s">
        <v>159</v>
      </c>
      <c r="B567" s="262" t="s">
        <v>299</v>
      </c>
      <c r="C567" s="262" t="s">
        <v>300</v>
      </c>
      <c r="D567" s="262" t="s">
        <v>301</v>
      </c>
      <c r="E567" s="263" t="s">
        <v>302</v>
      </c>
      <c r="G567" s="264" t="s">
        <v>159</v>
      </c>
      <c r="H567" s="265" t="s">
        <v>299</v>
      </c>
      <c r="I567" s="265" t="s">
        <v>300</v>
      </c>
      <c r="J567" s="265" t="s">
        <v>301</v>
      </c>
      <c r="K567" s="266" t="s">
        <v>302</v>
      </c>
    </row>
    <row r="568" spans="1:11" x14ac:dyDescent="0.35">
      <c r="A568" s="221" t="s">
        <v>303</v>
      </c>
      <c r="B568" s="222">
        <v>3263</v>
      </c>
      <c r="C568" s="222"/>
      <c r="D568" s="222"/>
      <c r="E568" s="223"/>
      <c r="G568" s="221" t="s">
        <v>303</v>
      </c>
      <c r="H568" s="222">
        <v>469</v>
      </c>
      <c r="I568" s="222"/>
      <c r="J568" s="222"/>
      <c r="K568" s="223"/>
    </row>
    <row r="569" spans="1:11" x14ac:dyDescent="0.35">
      <c r="A569" s="225" t="s">
        <v>304</v>
      </c>
      <c r="B569" s="226">
        <v>9030</v>
      </c>
      <c r="C569" s="226"/>
      <c r="D569" s="226"/>
      <c r="E569" s="227"/>
      <c r="G569" s="225"/>
      <c r="H569" s="226"/>
      <c r="I569" s="226"/>
      <c r="J569" s="226"/>
      <c r="K569" s="227"/>
    </row>
    <row r="570" spans="1:11" x14ac:dyDescent="0.35">
      <c r="A570" s="225"/>
      <c r="B570" s="226"/>
      <c r="C570" s="226"/>
      <c r="D570" s="226"/>
      <c r="E570" s="227"/>
      <c r="G570" s="225"/>
      <c r="H570" s="226"/>
      <c r="I570" s="226"/>
      <c r="J570" s="226"/>
      <c r="K570" s="227"/>
    </row>
    <row r="571" spans="1:11" x14ac:dyDescent="0.35">
      <c r="A571" s="221"/>
      <c r="B571" s="222"/>
      <c r="C571" s="222"/>
      <c r="D571" s="222"/>
      <c r="E571" s="223"/>
      <c r="G571" s="221"/>
      <c r="H571" s="222"/>
      <c r="I571" s="222"/>
      <c r="J571" s="222"/>
      <c r="K571" s="223"/>
    </row>
    <row r="572" spans="1:11" x14ac:dyDescent="0.35">
      <c r="A572" s="225"/>
      <c r="B572" s="226"/>
      <c r="C572" s="226"/>
      <c r="D572" s="226"/>
      <c r="E572" s="227"/>
      <c r="G572" s="225"/>
      <c r="H572" s="226"/>
      <c r="I572" s="226"/>
      <c r="J572" s="226"/>
      <c r="K572" s="227"/>
    </row>
    <row r="573" spans="1:11" ht="15" thickBot="1" x14ac:dyDescent="0.4">
      <c r="A573" s="218" t="s">
        <v>34</v>
      </c>
      <c r="B573" s="219">
        <f>SUM(B568:B572)</f>
        <v>12293</v>
      </c>
      <c r="C573" s="219">
        <f>SUM(C568:C572)</f>
        <v>0</v>
      </c>
      <c r="D573" s="219">
        <f>SUM(D568:D572)</f>
        <v>0</v>
      </c>
      <c r="E573" s="219">
        <f>SUM(E568:E572)</f>
        <v>0</v>
      </c>
      <c r="G573" s="218" t="s">
        <v>34</v>
      </c>
      <c r="H573" s="219">
        <f>SUM(H568:H572)</f>
        <v>469</v>
      </c>
      <c r="I573" s="219">
        <f>SUM(I568:I572)</f>
        <v>0</v>
      </c>
      <c r="J573" s="219">
        <f>SUM(J568:J572)</f>
        <v>0</v>
      </c>
      <c r="K573" s="219">
        <f>SUM(K568:K572)</f>
        <v>0</v>
      </c>
    </row>
    <row r="574" spans="1:11" x14ac:dyDescent="0.35">
      <c r="A574" s="220" t="s">
        <v>305</v>
      </c>
      <c r="B574" s="220">
        <f>+B573+C573+D573+E573</f>
        <v>12293</v>
      </c>
      <c r="C574" s="220"/>
      <c r="D574" s="220"/>
      <c r="E574" s="220"/>
      <c r="G574" s="220" t="s">
        <v>305</v>
      </c>
      <c r="H574" s="220">
        <f>+H573+I573+J573+K573</f>
        <v>469</v>
      </c>
      <c r="I574" s="220"/>
      <c r="J574" s="220"/>
      <c r="K574" s="220"/>
    </row>
    <row r="575" spans="1:11" ht="15" thickBot="1" x14ac:dyDescent="0.4">
      <c r="A575" s="315" t="s">
        <v>298</v>
      </c>
      <c r="B575" s="315"/>
      <c r="C575" s="315"/>
      <c r="D575" s="315"/>
      <c r="E575" s="315"/>
      <c r="G575" s="315" t="s">
        <v>314</v>
      </c>
      <c r="H575" s="315"/>
      <c r="I575" s="315"/>
      <c r="J575" s="315"/>
      <c r="K575" s="315"/>
    </row>
    <row r="576" spans="1:11" ht="15" thickTop="1" x14ac:dyDescent="0.35">
      <c r="A576" s="313">
        <v>45349</v>
      </c>
      <c r="B576" s="314"/>
      <c r="C576" s="314"/>
      <c r="D576" s="314"/>
      <c r="E576" s="314"/>
      <c r="G576" s="313">
        <v>45349</v>
      </c>
      <c r="H576" s="314"/>
      <c r="I576" s="314"/>
      <c r="J576" s="314"/>
      <c r="K576" s="314"/>
    </row>
    <row r="577" spans="1:11" x14ac:dyDescent="0.35">
      <c r="A577" s="261" t="s">
        <v>159</v>
      </c>
      <c r="B577" s="262" t="s">
        <v>299</v>
      </c>
      <c r="C577" s="262" t="s">
        <v>300</v>
      </c>
      <c r="D577" s="262" t="s">
        <v>301</v>
      </c>
      <c r="E577" s="263" t="s">
        <v>302</v>
      </c>
      <c r="G577" s="264" t="s">
        <v>159</v>
      </c>
      <c r="H577" s="265" t="s">
        <v>299</v>
      </c>
      <c r="I577" s="265" t="s">
        <v>300</v>
      </c>
      <c r="J577" s="265" t="s">
        <v>301</v>
      </c>
      <c r="K577" s="266" t="s">
        <v>302</v>
      </c>
    </row>
    <row r="578" spans="1:11" x14ac:dyDescent="0.35">
      <c r="A578" s="221" t="s">
        <v>303</v>
      </c>
      <c r="B578" s="222">
        <v>790</v>
      </c>
      <c r="C578" s="222"/>
      <c r="D578" s="222"/>
      <c r="E578" s="223"/>
      <c r="G578" s="221" t="s">
        <v>303</v>
      </c>
      <c r="H578" s="222">
        <v>1105</v>
      </c>
      <c r="I578" s="222"/>
      <c r="J578" s="222"/>
      <c r="K578" s="223"/>
    </row>
    <row r="579" spans="1:11" x14ac:dyDescent="0.35">
      <c r="A579" s="225" t="s">
        <v>304</v>
      </c>
      <c r="B579" s="226"/>
      <c r="C579" s="226"/>
      <c r="D579" s="226"/>
      <c r="E579" s="227"/>
      <c r="G579" s="225"/>
      <c r="H579" s="226"/>
      <c r="I579" s="226"/>
      <c r="J579" s="226"/>
      <c r="K579" s="227"/>
    </row>
    <row r="580" spans="1:11" x14ac:dyDescent="0.35">
      <c r="A580" s="225"/>
      <c r="B580" s="226"/>
      <c r="C580" s="226"/>
      <c r="D580" s="226"/>
      <c r="E580" s="227"/>
      <c r="G580" s="225"/>
      <c r="H580" s="226"/>
      <c r="I580" s="226"/>
      <c r="J580" s="226"/>
      <c r="K580" s="227"/>
    </row>
    <row r="581" spans="1:11" x14ac:dyDescent="0.35">
      <c r="A581" s="221"/>
      <c r="B581" s="222"/>
      <c r="C581" s="222"/>
      <c r="D581" s="222"/>
      <c r="E581" s="223"/>
      <c r="G581" s="221"/>
      <c r="H581" s="222"/>
      <c r="I581" s="222"/>
      <c r="J581" s="222"/>
      <c r="K581" s="223"/>
    </row>
    <row r="582" spans="1:11" x14ac:dyDescent="0.35">
      <c r="A582" s="225"/>
      <c r="B582" s="226"/>
      <c r="C582" s="226"/>
      <c r="D582" s="226"/>
      <c r="E582" s="227"/>
      <c r="G582" s="225"/>
      <c r="H582" s="226"/>
      <c r="I582" s="226"/>
      <c r="J582" s="226"/>
      <c r="K582" s="227"/>
    </row>
    <row r="583" spans="1:11" ht="15" thickBot="1" x14ac:dyDescent="0.4">
      <c r="A583" s="218" t="s">
        <v>34</v>
      </c>
      <c r="B583" s="219">
        <f>SUM(B578:B582)</f>
        <v>790</v>
      </c>
      <c r="C583" s="219">
        <f>SUM(C578:C582)</f>
        <v>0</v>
      </c>
      <c r="D583" s="219">
        <f>SUM(D578:D582)</f>
        <v>0</v>
      </c>
      <c r="E583" s="219">
        <f>SUM(E578:E582)</f>
        <v>0</v>
      </c>
      <c r="G583" s="218" t="s">
        <v>34</v>
      </c>
      <c r="H583" s="219">
        <f>SUM(H578:H582)</f>
        <v>1105</v>
      </c>
      <c r="I583" s="219">
        <f>SUM(I578:I582)</f>
        <v>0</v>
      </c>
      <c r="J583" s="219">
        <f>SUM(J578:J582)</f>
        <v>0</v>
      </c>
      <c r="K583" s="219">
        <f>SUM(K578:K582)</f>
        <v>0</v>
      </c>
    </row>
    <row r="584" spans="1:11" x14ac:dyDescent="0.35">
      <c r="A584" s="220" t="s">
        <v>305</v>
      </c>
      <c r="B584" s="220">
        <f>+B583+C583+D583+E583</f>
        <v>790</v>
      </c>
      <c r="C584" s="220"/>
      <c r="D584" s="220"/>
      <c r="E584" s="220"/>
      <c r="G584" s="220" t="s">
        <v>305</v>
      </c>
      <c r="H584" s="220">
        <f>+H583+I583+J583+K583</f>
        <v>1105</v>
      </c>
      <c r="I584" s="220"/>
      <c r="J584" s="220"/>
      <c r="K584" s="220"/>
    </row>
    <row r="585" spans="1:11" ht="15" thickBot="1" x14ac:dyDescent="0.4">
      <c r="A585" s="315" t="s">
        <v>298</v>
      </c>
      <c r="B585" s="315"/>
      <c r="C585" s="315"/>
      <c r="D585" s="315"/>
      <c r="E585" s="315"/>
      <c r="G585" s="315" t="s">
        <v>314</v>
      </c>
      <c r="H585" s="315"/>
      <c r="I585" s="315"/>
      <c r="J585" s="315"/>
      <c r="K585" s="315"/>
    </row>
    <row r="586" spans="1:11" ht="15" thickTop="1" x14ac:dyDescent="0.35">
      <c r="A586" s="313">
        <v>45350</v>
      </c>
      <c r="B586" s="314"/>
      <c r="C586" s="314"/>
      <c r="D586" s="314"/>
      <c r="E586" s="314"/>
      <c r="G586" s="313">
        <v>45350</v>
      </c>
      <c r="H586" s="314"/>
      <c r="I586" s="314"/>
      <c r="J586" s="314"/>
      <c r="K586" s="314"/>
    </row>
    <row r="587" spans="1:11" x14ac:dyDescent="0.35">
      <c r="A587" s="261" t="s">
        <v>159</v>
      </c>
      <c r="B587" s="262" t="s">
        <v>299</v>
      </c>
      <c r="C587" s="262" t="s">
        <v>300</v>
      </c>
      <c r="D587" s="262" t="s">
        <v>301</v>
      </c>
      <c r="E587" s="263" t="s">
        <v>302</v>
      </c>
      <c r="G587" s="264" t="s">
        <v>159</v>
      </c>
      <c r="H587" s="265" t="s">
        <v>299</v>
      </c>
      <c r="I587" s="265" t="s">
        <v>300</v>
      </c>
      <c r="J587" s="265" t="s">
        <v>301</v>
      </c>
      <c r="K587" s="266" t="s">
        <v>302</v>
      </c>
    </row>
    <row r="588" spans="1:11" x14ac:dyDescent="0.35">
      <c r="A588" s="221" t="s">
        <v>303</v>
      </c>
      <c r="B588" s="222">
        <v>5024</v>
      </c>
      <c r="C588" s="222"/>
      <c r="D588" s="222"/>
      <c r="E588" s="223"/>
      <c r="G588" s="221" t="s">
        <v>303</v>
      </c>
      <c r="H588" s="222"/>
      <c r="I588" s="222"/>
      <c r="J588" s="222"/>
      <c r="K588" s="223"/>
    </row>
    <row r="589" spans="1:11" x14ac:dyDescent="0.35">
      <c r="A589" s="225" t="s">
        <v>304</v>
      </c>
      <c r="B589" s="226">
        <v>10000</v>
      </c>
      <c r="C589" s="226"/>
      <c r="D589" s="226"/>
      <c r="E589" s="227"/>
      <c r="G589" s="225"/>
      <c r="H589" s="226"/>
      <c r="I589" s="226"/>
      <c r="J589" s="226"/>
      <c r="K589" s="227"/>
    </row>
    <row r="590" spans="1:11" x14ac:dyDescent="0.35">
      <c r="A590" s="225"/>
      <c r="B590" s="226"/>
      <c r="C590" s="226"/>
      <c r="D590" s="226"/>
      <c r="E590" s="227"/>
      <c r="G590" s="225"/>
      <c r="H590" s="226"/>
      <c r="I590" s="226"/>
      <c r="J590" s="226"/>
      <c r="K590" s="227"/>
    </row>
    <row r="591" spans="1:11" x14ac:dyDescent="0.35">
      <c r="A591" s="221"/>
      <c r="B591" s="222"/>
      <c r="C591" s="222"/>
      <c r="D591" s="222"/>
      <c r="E591" s="223"/>
      <c r="G591" s="221"/>
      <c r="H591" s="222"/>
      <c r="I591" s="222"/>
      <c r="J591" s="222"/>
      <c r="K591" s="223"/>
    </row>
    <row r="592" spans="1:11" x14ac:dyDescent="0.35">
      <c r="A592" s="225"/>
      <c r="B592" s="226"/>
      <c r="C592" s="226"/>
      <c r="D592" s="226"/>
      <c r="E592" s="227"/>
      <c r="G592" s="225"/>
      <c r="H592" s="226"/>
      <c r="I592" s="226"/>
      <c r="J592" s="226"/>
      <c r="K592" s="227"/>
    </row>
    <row r="593" spans="1:13" ht="15" thickBot="1" x14ac:dyDescent="0.4">
      <c r="A593" s="218" t="s">
        <v>34</v>
      </c>
      <c r="B593" s="219">
        <f>SUM(B588:B592)</f>
        <v>15024</v>
      </c>
      <c r="C593" s="219">
        <f>SUM(C588:C592)</f>
        <v>0</v>
      </c>
      <c r="D593" s="219">
        <f>SUM(D588:D592)</f>
        <v>0</v>
      </c>
      <c r="E593" s="219">
        <f>SUM(E588:E592)</f>
        <v>0</v>
      </c>
      <c r="G593" s="218" t="s">
        <v>34</v>
      </c>
      <c r="H593" s="219">
        <f>SUM(H588:H592)</f>
        <v>0</v>
      </c>
      <c r="I593" s="219">
        <f>SUM(I588:I592)</f>
        <v>0</v>
      </c>
      <c r="J593" s="219">
        <f>SUM(J588:J592)</f>
        <v>0</v>
      </c>
      <c r="K593" s="219">
        <f>SUM(K588:K592)</f>
        <v>0</v>
      </c>
    </row>
    <row r="594" spans="1:13" x14ac:dyDescent="0.35">
      <c r="A594" s="220" t="s">
        <v>305</v>
      </c>
      <c r="B594" s="220">
        <f>+B593+C593+D593+E593</f>
        <v>15024</v>
      </c>
      <c r="C594" s="220"/>
      <c r="D594" s="220"/>
      <c r="E594" s="220"/>
      <c r="G594" s="220" t="s">
        <v>305</v>
      </c>
      <c r="H594" s="220">
        <f>+H593+I593+J593+K593</f>
        <v>0</v>
      </c>
      <c r="I594" s="220"/>
      <c r="J594" s="220"/>
      <c r="K594" s="220"/>
    </row>
    <row r="595" spans="1:13" ht="15" thickBot="1" x14ac:dyDescent="0.4">
      <c r="A595" s="315" t="s">
        <v>298</v>
      </c>
      <c r="B595" s="315"/>
      <c r="C595" s="315"/>
      <c r="D595" s="315"/>
      <c r="E595" s="315"/>
      <c r="G595" s="315" t="s">
        <v>314</v>
      </c>
      <c r="H595" s="315"/>
      <c r="I595" s="315"/>
      <c r="J595" s="315"/>
      <c r="K595" s="315"/>
    </row>
    <row r="596" spans="1:13" ht="15" thickTop="1" x14ac:dyDescent="0.35">
      <c r="A596" s="313">
        <v>45351</v>
      </c>
      <c r="B596" s="314"/>
      <c r="C596" s="314"/>
      <c r="D596" s="314"/>
      <c r="E596" s="314"/>
      <c r="G596" s="313">
        <v>45351</v>
      </c>
      <c r="H596" s="314"/>
      <c r="I596" s="314"/>
      <c r="J596" s="314"/>
      <c r="K596" s="314"/>
    </row>
    <row r="597" spans="1:13" x14ac:dyDescent="0.35">
      <c r="A597" s="261" t="s">
        <v>159</v>
      </c>
      <c r="B597" s="262" t="s">
        <v>299</v>
      </c>
      <c r="C597" s="262" t="s">
        <v>300</v>
      </c>
      <c r="D597" s="262" t="s">
        <v>301</v>
      </c>
      <c r="E597" s="263" t="s">
        <v>302</v>
      </c>
      <c r="G597" s="264" t="s">
        <v>159</v>
      </c>
      <c r="H597" s="265" t="s">
        <v>299</v>
      </c>
      <c r="I597" s="265" t="s">
        <v>300</v>
      </c>
      <c r="J597" s="265" t="s">
        <v>301</v>
      </c>
      <c r="K597" s="266" t="s">
        <v>302</v>
      </c>
    </row>
    <row r="598" spans="1:13" x14ac:dyDescent="0.35">
      <c r="A598" s="221" t="s">
        <v>303</v>
      </c>
      <c r="B598" s="222">
        <v>10454</v>
      </c>
      <c r="C598" s="222"/>
      <c r="D598" s="222"/>
      <c r="E598" s="223"/>
      <c r="G598" s="221" t="s">
        <v>303</v>
      </c>
      <c r="H598" s="222">
        <v>3432</v>
      </c>
      <c r="I598" s="222"/>
      <c r="J598" s="222"/>
      <c r="K598" s="223"/>
    </row>
    <row r="599" spans="1:13" x14ac:dyDescent="0.35">
      <c r="A599" s="225" t="s">
        <v>304</v>
      </c>
      <c r="B599" s="226">
        <v>3870</v>
      </c>
      <c r="C599" s="226"/>
      <c r="D599" s="226"/>
      <c r="E599" s="227"/>
      <c r="G599" s="225"/>
      <c r="H599" s="226"/>
      <c r="I599" s="226"/>
      <c r="J599" s="226"/>
      <c r="K599" s="227"/>
    </row>
    <row r="600" spans="1:13" x14ac:dyDescent="0.35">
      <c r="A600" s="225"/>
      <c r="B600" s="226"/>
      <c r="C600" s="226"/>
      <c r="D600" s="226"/>
      <c r="E600" s="227"/>
      <c r="G600" s="225"/>
      <c r="H600" s="226"/>
      <c r="I600" s="226"/>
      <c r="J600" s="226"/>
      <c r="K600" s="227"/>
    </row>
    <row r="601" spans="1:13" x14ac:dyDescent="0.35">
      <c r="A601" s="221"/>
      <c r="B601" s="222"/>
      <c r="C601" s="222"/>
      <c r="D601" s="222"/>
      <c r="E601" s="223"/>
      <c r="G601" s="221"/>
      <c r="H601" s="222"/>
      <c r="I601" s="222"/>
      <c r="J601" s="222"/>
      <c r="K601" s="223"/>
    </row>
    <row r="602" spans="1:13" x14ac:dyDescent="0.35">
      <c r="A602" s="225"/>
      <c r="B602" s="226"/>
      <c r="C602" s="226"/>
      <c r="D602" s="226"/>
      <c r="E602" s="227"/>
      <c r="G602" s="225"/>
      <c r="H602" s="226"/>
      <c r="I602" s="226"/>
      <c r="J602" s="226"/>
      <c r="K602" s="227"/>
    </row>
    <row r="603" spans="1:13" ht="15" thickBot="1" x14ac:dyDescent="0.4">
      <c r="A603" s="218" t="s">
        <v>34</v>
      </c>
      <c r="B603" s="219">
        <f>SUM(B598:B602)</f>
        <v>14324</v>
      </c>
      <c r="C603" s="219">
        <f>SUM(C598:C602)</f>
        <v>0</v>
      </c>
      <c r="D603" s="219">
        <f>SUM(D598:D602)</f>
        <v>0</v>
      </c>
      <c r="E603" s="219">
        <f>SUM(E598:E602)</f>
        <v>0</v>
      </c>
      <c r="G603" s="218" t="s">
        <v>34</v>
      </c>
      <c r="H603" s="219">
        <f>SUM(H598:H602)</f>
        <v>3432</v>
      </c>
      <c r="I603" s="219">
        <f>SUM(I598:I602)</f>
        <v>0</v>
      </c>
      <c r="J603" s="219">
        <f>SUM(J598:J602)</f>
        <v>0</v>
      </c>
      <c r="K603" s="219">
        <f>SUM(K598:K602)</f>
        <v>0</v>
      </c>
    </row>
    <row r="604" spans="1:13" x14ac:dyDescent="0.35">
      <c r="A604" s="220" t="s">
        <v>305</v>
      </c>
      <c r="B604" s="220">
        <f>+B603+C603+D603+E603</f>
        <v>14324</v>
      </c>
      <c r="C604" s="220"/>
      <c r="D604" s="220"/>
      <c r="E604" s="220"/>
      <c r="G604" s="220" t="s">
        <v>305</v>
      </c>
      <c r="H604" s="220">
        <f>+H603+I603+J603+K603</f>
        <v>3432</v>
      </c>
      <c r="I604" s="220"/>
      <c r="J604" s="220"/>
      <c r="K604" s="220"/>
    </row>
    <row r="606" spans="1:13" ht="15" thickBot="1" x14ac:dyDescent="0.4"/>
    <row r="607" spans="1:13" ht="30" customHeight="1" thickBot="1" x14ac:dyDescent="0.4">
      <c r="A607" s="316" t="s">
        <v>343</v>
      </c>
      <c r="B607" s="317"/>
      <c r="C607" s="317"/>
      <c r="D607" s="317"/>
      <c r="E607" s="317"/>
      <c r="F607" s="318"/>
      <c r="G607" s="319">
        <f>SUMIF($A317:M$605,"*"&amp;K607&amp;"*",$B317:N$605)</f>
        <v>498010</v>
      </c>
      <c r="H607" s="319"/>
      <c r="I607" s="319"/>
      <c r="J607" s="319"/>
      <c r="K607" s="320" t="s">
        <v>305</v>
      </c>
      <c r="L607" s="321"/>
      <c r="M607" s="228">
        <f>+G607</f>
        <v>498010</v>
      </c>
    </row>
    <row r="610" spans="1:11" ht="15" thickBot="1" x14ac:dyDescent="0.4">
      <c r="A610" s="315" t="s">
        <v>298</v>
      </c>
      <c r="B610" s="315"/>
      <c r="C610" s="315"/>
      <c r="D610" s="315"/>
      <c r="E610" s="315"/>
      <c r="G610" s="315" t="s">
        <v>314</v>
      </c>
      <c r="H610" s="315"/>
      <c r="I610" s="315"/>
      <c r="J610" s="315"/>
      <c r="K610" s="315"/>
    </row>
    <row r="611" spans="1:11" ht="15" thickTop="1" x14ac:dyDescent="0.35">
      <c r="A611" s="313">
        <v>45352</v>
      </c>
      <c r="B611" s="314"/>
      <c r="C611" s="314"/>
      <c r="D611" s="314"/>
      <c r="E611" s="314"/>
      <c r="G611" s="313">
        <v>45352</v>
      </c>
      <c r="H611" s="314"/>
      <c r="I611" s="314"/>
      <c r="J611" s="314"/>
      <c r="K611" s="314"/>
    </row>
    <row r="612" spans="1:11" x14ac:dyDescent="0.35">
      <c r="A612" s="261" t="s">
        <v>159</v>
      </c>
      <c r="B612" s="262" t="s">
        <v>299</v>
      </c>
      <c r="C612" s="262" t="s">
        <v>300</v>
      </c>
      <c r="D612" s="262" t="s">
        <v>301</v>
      </c>
      <c r="E612" s="263" t="s">
        <v>302</v>
      </c>
      <c r="G612" s="264" t="s">
        <v>159</v>
      </c>
      <c r="H612" s="265" t="s">
        <v>299</v>
      </c>
      <c r="I612" s="265" t="s">
        <v>300</v>
      </c>
      <c r="J612" s="265" t="s">
        <v>301</v>
      </c>
      <c r="K612" s="266" t="s">
        <v>302</v>
      </c>
    </row>
    <row r="613" spans="1:11" x14ac:dyDescent="0.35">
      <c r="A613" s="221" t="s">
        <v>303</v>
      </c>
      <c r="B613" s="222">
        <v>19133</v>
      </c>
      <c r="C613" s="222"/>
      <c r="D613" s="222"/>
      <c r="E613" s="223"/>
      <c r="G613" s="221" t="s">
        <v>303</v>
      </c>
      <c r="H613" s="222">
        <v>6913</v>
      </c>
      <c r="I613" s="222"/>
      <c r="J613" s="222"/>
      <c r="K613" s="223"/>
    </row>
    <row r="614" spans="1:11" x14ac:dyDescent="0.35">
      <c r="A614" s="225" t="s">
        <v>304</v>
      </c>
      <c r="B614" s="226"/>
      <c r="C614" s="226"/>
      <c r="D614" s="226"/>
      <c r="E614" s="227"/>
      <c r="G614" s="225"/>
      <c r="H614" s="226"/>
      <c r="I614" s="226"/>
      <c r="J614" s="226"/>
      <c r="K614" s="227"/>
    </row>
    <row r="615" spans="1:11" x14ac:dyDescent="0.35">
      <c r="A615" s="225"/>
      <c r="B615" s="226"/>
      <c r="C615" s="226"/>
      <c r="D615" s="226"/>
      <c r="E615" s="227"/>
      <c r="G615" s="225"/>
      <c r="H615" s="226"/>
      <c r="I615" s="226"/>
      <c r="J615" s="226"/>
      <c r="K615" s="227"/>
    </row>
    <row r="616" spans="1:11" x14ac:dyDescent="0.35">
      <c r="A616" s="221"/>
      <c r="B616" s="222"/>
      <c r="C616" s="222"/>
      <c r="D616" s="222"/>
      <c r="E616" s="223"/>
      <c r="G616" s="221"/>
      <c r="H616" s="222"/>
      <c r="I616" s="222"/>
      <c r="J616" s="222"/>
      <c r="K616" s="223"/>
    </row>
    <row r="617" spans="1:11" x14ac:dyDescent="0.35">
      <c r="A617" s="225"/>
      <c r="B617" s="226"/>
      <c r="C617" s="226"/>
      <c r="D617" s="226"/>
      <c r="E617" s="227"/>
      <c r="G617" s="225"/>
      <c r="H617" s="226"/>
      <c r="I617" s="226"/>
      <c r="J617" s="226"/>
      <c r="K617" s="227"/>
    </row>
    <row r="618" spans="1:11" ht="15" thickBot="1" x14ac:dyDescent="0.4">
      <c r="A618" s="218" t="s">
        <v>34</v>
      </c>
      <c r="B618" s="219">
        <f>SUM(B613:B617)</f>
        <v>19133</v>
      </c>
      <c r="C618" s="219">
        <f>SUM(C613:C617)</f>
        <v>0</v>
      </c>
      <c r="D618" s="219">
        <f>SUM(D613:D617)</f>
        <v>0</v>
      </c>
      <c r="E618" s="219">
        <f>SUM(E613:E617)</f>
        <v>0</v>
      </c>
      <c r="G618" s="218" t="s">
        <v>34</v>
      </c>
      <c r="H618" s="219">
        <f>SUM(H613:H617)</f>
        <v>6913</v>
      </c>
      <c r="I618" s="219">
        <f>SUM(I613:I617)</f>
        <v>0</v>
      </c>
      <c r="J618" s="219">
        <f>SUM(J613:J617)</f>
        <v>0</v>
      </c>
      <c r="K618" s="219">
        <f>SUM(K613:K617)</f>
        <v>0</v>
      </c>
    </row>
    <row r="619" spans="1:11" x14ac:dyDescent="0.35">
      <c r="A619" s="220" t="s">
        <v>305</v>
      </c>
      <c r="B619" s="220">
        <f>+B618+C618+D618+E618</f>
        <v>19133</v>
      </c>
      <c r="C619" s="220"/>
      <c r="D619" s="220"/>
      <c r="E619" s="220"/>
      <c r="G619" s="220" t="s">
        <v>305</v>
      </c>
      <c r="H619" s="220">
        <f>+H618+I618+J618+K618</f>
        <v>6913</v>
      </c>
      <c r="I619" s="220"/>
      <c r="J619" s="220"/>
      <c r="K619" s="220"/>
    </row>
    <row r="620" spans="1:11" ht="15" thickBot="1" x14ac:dyDescent="0.4">
      <c r="A620" s="315" t="s">
        <v>298</v>
      </c>
      <c r="B620" s="315"/>
      <c r="C620" s="315"/>
      <c r="D620" s="315"/>
      <c r="E620" s="315"/>
      <c r="G620" s="315" t="s">
        <v>314</v>
      </c>
      <c r="H620" s="315"/>
      <c r="I620" s="315"/>
      <c r="J620" s="315"/>
      <c r="K620" s="315"/>
    </row>
    <row r="621" spans="1:11" ht="15" thickTop="1" x14ac:dyDescent="0.35">
      <c r="A621" s="313">
        <v>45353</v>
      </c>
      <c r="B621" s="314"/>
      <c r="C621" s="314"/>
      <c r="D621" s="314"/>
      <c r="E621" s="314"/>
      <c r="G621" s="313">
        <v>45353</v>
      </c>
      <c r="H621" s="314"/>
      <c r="I621" s="314"/>
      <c r="J621" s="314"/>
      <c r="K621" s="314"/>
    </row>
    <row r="622" spans="1:11" x14ac:dyDescent="0.35">
      <c r="A622" s="261" t="s">
        <v>159</v>
      </c>
      <c r="B622" s="262" t="s">
        <v>299</v>
      </c>
      <c r="C622" s="262" t="s">
        <v>300</v>
      </c>
      <c r="D622" s="262" t="s">
        <v>301</v>
      </c>
      <c r="E622" s="263" t="s">
        <v>302</v>
      </c>
      <c r="G622" s="264" t="s">
        <v>159</v>
      </c>
      <c r="H622" s="265" t="s">
        <v>299</v>
      </c>
      <c r="I622" s="265" t="s">
        <v>300</v>
      </c>
      <c r="J622" s="265" t="s">
        <v>301</v>
      </c>
      <c r="K622" s="266" t="s">
        <v>302</v>
      </c>
    </row>
    <row r="623" spans="1:11" x14ac:dyDescent="0.35">
      <c r="A623" s="221" t="s">
        <v>303</v>
      </c>
      <c r="B623" s="222">
        <v>14397</v>
      </c>
      <c r="C623" s="222"/>
      <c r="D623" s="222"/>
      <c r="E623" s="223"/>
      <c r="G623" s="221" t="s">
        <v>303</v>
      </c>
      <c r="H623" s="222">
        <v>4999</v>
      </c>
      <c r="I623" s="222"/>
      <c r="J623" s="222"/>
      <c r="K623" s="223"/>
    </row>
    <row r="624" spans="1:11" x14ac:dyDescent="0.35">
      <c r="A624" s="225" t="s">
        <v>304</v>
      </c>
      <c r="B624" s="226">
        <v>15372</v>
      </c>
      <c r="C624" s="226"/>
      <c r="D624" s="226"/>
      <c r="E624" s="227"/>
      <c r="G624" s="225"/>
      <c r="H624" s="226"/>
      <c r="I624" s="226"/>
      <c r="J624" s="226"/>
      <c r="K624" s="227"/>
    </row>
    <row r="625" spans="1:11" x14ac:dyDescent="0.35">
      <c r="A625" s="225"/>
      <c r="B625" s="226"/>
      <c r="C625" s="226"/>
      <c r="D625" s="226"/>
      <c r="E625" s="227"/>
      <c r="G625" s="225"/>
      <c r="H625" s="226"/>
      <c r="I625" s="226"/>
      <c r="J625" s="226"/>
      <c r="K625" s="227"/>
    </row>
    <row r="626" spans="1:11" x14ac:dyDescent="0.35">
      <c r="A626" s="221"/>
      <c r="B626" s="222"/>
      <c r="C626" s="222"/>
      <c r="D626" s="222"/>
      <c r="E626" s="223"/>
      <c r="G626" s="221"/>
      <c r="H626" s="222"/>
      <c r="I626" s="222"/>
      <c r="J626" s="222"/>
      <c r="K626" s="223"/>
    </row>
    <row r="627" spans="1:11" x14ac:dyDescent="0.35">
      <c r="A627" s="225"/>
      <c r="B627" s="226"/>
      <c r="C627" s="226"/>
      <c r="D627" s="226"/>
      <c r="E627" s="227"/>
      <c r="G627" s="225"/>
      <c r="H627" s="226"/>
      <c r="I627" s="226"/>
      <c r="J627" s="226"/>
      <c r="K627" s="227"/>
    </row>
    <row r="628" spans="1:11" ht="15" thickBot="1" x14ac:dyDescent="0.4">
      <c r="A628" s="218" t="s">
        <v>34</v>
      </c>
      <c r="B628" s="219">
        <f>SUM(B623:B627)</f>
        <v>29769</v>
      </c>
      <c r="C628" s="219">
        <f>SUM(C623:C627)</f>
        <v>0</v>
      </c>
      <c r="D628" s="219">
        <f>SUM(D623:D627)</f>
        <v>0</v>
      </c>
      <c r="E628" s="219">
        <f>SUM(E623:E627)</f>
        <v>0</v>
      </c>
      <c r="G628" s="218" t="s">
        <v>34</v>
      </c>
      <c r="H628" s="219">
        <f>SUM(H623:H627)</f>
        <v>4999</v>
      </c>
      <c r="I628" s="219">
        <f>SUM(I623:I627)</f>
        <v>0</v>
      </c>
      <c r="J628" s="219">
        <f>SUM(J623:J627)</f>
        <v>0</v>
      </c>
      <c r="K628" s="219">
        <f>SUM(K623:K627)</f>
        <v>0</v>
      </c>
    </row>
    <row r="629" spans="1:11" x14ac:dyDescent="0.35">
      <c r="A629" s="220" t="s">
        <v>305</v>
      </c>
      <c r="B629" s="220">
        <f>+B628+C628+D628+E628</f>
        <v>29769</v>
      </c>
      <c r="C629" s="220"/>
      <c r="D629" s="220"/>
      <c r="E629" s="220"/>
      <c r="G629" s="220" t="s">
        <v>305</v>
      </c>
      <c r="H629" s="220">
        <f>+H628+I628+J628+K628</f>
        <v>4999</v>
      </c>
      <c r="I629" s="220"/>
      <c r="J629" s="220"/>
      <c r="K629" s="220"/>
    </row>
    <row r="630" spans="1:11" ht="15" thickBot="1" x14ac:dyDescent="0.4">
      <c r="A630" s="315" t="s">
        <v>298</v>
      </c>
      <c r="B630" s="315"/>
      <c r="C630" s="315"/>
      <c r="D630" s="315"/>
      <c r="E630" s="315"/>
      <c r="G630" s="315" t="s">
        <v>314</v>
      </c>
      <c r="H630" s="315"/>
      <c r="I630" s="315"/>
      <c r="J630" s="315"/>
      <c r="K630" s="315"/>
    </row>
    <row r="631" spans="1:11" ht="15" thickTop="1" x14ac:dyDescent="0.35">
      <c r="A631" s="313">
        <v>45354</v>
      </c>
      <c r="B631" s="314"/>
      <c r="C631" s="314"/>
      <c r="D631" s="314"/>
      <c r="E631" s="314"/>
      <c r="G631" s="313">
        <v>45354</v>
      </c>
      <c r="H631" s="314"/>
      <c r="I631" s="314"/>
      <c r="J631" s="314"/>
      <c r="K631" s="314"/>
    </row>
    <row r="632" spans="1:11" x14ac:dyDescent="0.35">
      <c r="A632" s="261" t="s">
        <v>159</v>
      </c>
      <c r="B632" s="262" t="s">
        <v>299</v>
      </c>
      <c r="C632" s="262" t="s">
        <v>300</v>
      </c>
      <c r="D632" s="262" t="s">
        <v>301</v>
      </c>
      <c r="E632" s="263" t="s">
        <v>302</v>
      </c>
      <c r="G632" s="264" t="s">
        <v>159</v>
      </c>
      <c r="H632" s="265" t="s">
        <v>299</v>
      </c>
      <c r="I632" s="265" t="s">
        <v>300</v>
      </c>
      <c r="J632" s="265" t="s">
        <v>301</v>
      </c>
      <c r="K632" s="266" t="s">
        <v>302</v>
      </c>
    </row>
    <row r="633" spans="1:11" x14ac:dyDescent="0.35">
      <c r="A633" s="221" t="s">
        <v>303</v>
      </c>
      <c r="B633" s="222">
        <v>22187</v>
      </c>
      <c r="C633" s="222"/>
      <c r="D633" s="222"/>
      <c r="E633" s="223"/>
      <c r="G633" s="221" t="s">
        <v>303</v>
      </c>
      <c r="H633" s="222">
        <v>6735</v>
      </c>
      <c r="I633" s="222"/>
      <c r="J633" s="222"/>
      <c r="K633" s="223"/>
    </row>
    <row r="634" spans="1:11" x14ac:dyDescent="0.35">
      <c r="A634" s="225" t="s">
        <v>304</v>
      </c>
      <c r="B634" s="226"/>
      <c r="C634" s="226"/>
      <c r="D634" s="226"/>
      <c r="E634" s="227"/>
      <c r="G634" s="225"/>
      <c r="H634" s="226"/>
      <c r="I634" s="226"/>
      <c r="J634" s="226"/>
      <c r="K634" s="227"/>
    </row>
    <row r="635" spans="1:11" x14ac:dyDescent="0.35">
      <c r="A635" s="225"/>
      <c r="B635" s="226"/>
      <c r="C635" s="226"/>
      <c r="D635" s="226"/>
      <c r="E635" s="227"/>
      <c r="G635" s="225"/>
      <c r="H635" s="226"/>
      <c r="I635" s="226"/>
      <c r="J635" s="226"/>
      <c r="K635" s="227"/>
    </row>
    <row r="636" spans="1:11" x14ac:dyDescent="0.35">
      <c r="A636" s="221"/>
      <c r="B636" s="222"/>
      <c r="C636" s="222"/>
      <c r="D636" s="222"/>
      <c r="E636" s="223"/>
      <c r="G636" s="221"/>
      <c r="H636" s="222"/>
      <c r="I636" s="222"/>
      <c r="J636" s="222"/>
      <c r="K636" s="223"/>
    </row>
    <row r="637" spans="1:11" x14ac:dyDescent="0.35">
      <c r="A637" s="225"/>
      <c r="B637" s="226"/>
      <c r="C637" s="226"/>
      <c r="D637" s="226"/>
      <c r="E637" s="227"/>
      <c r="G637" s="225"/>
      <c r="H637" s="226"/>
      <c r="I637" s="226"/>
      <c r="J637" s="226"/>
      <c r="K637" s="227"/>
    </row>
    <row r="638" spans="1:11" ht="15" thickBot="1" x14ac:dyDescent="0.4">
      <c r="A638" s="218" t="s">
        <v>34</v>
      </c>
      <c r="B638" s="219">
        <f>SUM(B633:B637)</f>
        <v>22187</v>
      </c>
      <c r="C638" s="219">
        <f>SUM(C633:C637)</f>
        <v>0</v>
      </c>
      <c r="D638" s="219">
        <f>SUM(D633:D637)</f>
        <v>0</v>
      </c>
      <c r="E638" s="219">
        <f>SUM(E633:E637)</f>
        <v>0</v>
      </c>
      <c r="G638" s="218" t="s">
        <v>34</v>
      </c>
      <c r="H638" s="219">
        <f>SUM(H633:H637)</f>
        <v>6735</v>
      </c>
      <c r="I638" s="219">
        <f>SUM(I633:I637)</f>
        <v>0</v>
      </c>
      <c r="J638" s="219">
        <f>SUM(J633:J637)</f>
        <v>0</v>
      </c>
      <c r="K638" s="219">
        <f>SUM(K633:K637)</f>
        <v>0</v>
      </c>
    </row>
    <row r="639" spans="1:11" x14ac:dyDescent="0.35">
      <c r="A639" s="220" t="s">
        <v>305</v>
      </c>
      <c r="B639" s="220">
        <f>+B638+C638+D638+E638</f>
        <v>22187</v>
      </c>
      <c r="C639" s="220"/>
      <c r="D639" s="220"/>
      <c r="E639" s="220"/>
      <c r="G639" s="220" t="s">
        <v>305</v>
      </c>
      <c r="H639" s="220">
        <f>+H638+I638+J638+K638</f>
        <v>6735</v>
      </c>
      <c r="I639" s="220"/>
      <c r="J639" s="220"/>
      <c r="K639" s="220"/>
    </row>
    <row r="640" spans="1:11" ht="15" thickBot="1" x14ac:dyDescent="0.4">
      <c r="A640" s="315" t="s">
        <v>298</v>
      </c>
      <c r="B640" s="315"/>
      <c r="C640" s="315"/>
      <c r="D640" s="315"/>
      <c r="E640" s="315"/>
      <c r="G640" s="315" t="s">
        <v>314</v>
      </c>
      <c r="H640" s="315"/>
      <c r="I640" s="315"/>
      <c r="J640" s="315"/>
      <c r="K640" s="315"/>
    </row>
    <row r="641" spans="1:11" ht="15" thickTop="1" x14ac:dyDescent="0.35">
      <c r="A641" s="313">
        <v>45355</v>
      </c>
      <c r="B641" s="314"/>
      <c r="C641" s="314"/>
      <c r="D641" s="314"/>
      <c r="E641" s="314"/>
      <c r="G641" s="313">
        <v>45355</v>
      </c>
      <c r="H641" s="314"/>
      <c r="I641" s="314"/>
      <c r="J641" s="314"/>
      <c r="K641" s="314"/>
    </row>
    <row r="642" spans="1:11" x14ac:dyDescent="0.35">
      <c r="A642" s="261" t="s">
        <v>159</v>
      </c>
      <c r="B642" s="262" t="s">
        <v>299</v>
      </c>
      <c r="C642" s="262" t="s">
        <v>300</v>
      </c>
      <c r="D642" s="262" t="s">
        <v>301</v>
      </c>
      <c r="E642" s="263" t="s">
        <v>302</v>
      </c>
      <c r="G642" s="264" t="s">
        <v>159</v>
      </c>
      <c r="H642" s="265" t="s">
        <v>299</v>
      </c>
      <c r="I642" s="265" t="s">
        <v>300</v>
      </c>
      <c r="J642" s="265" t="s">
        <v>301</v>
      </c>
      <c r="K642" s="266" t="s">
        <v>302</v>
      </c>
    </row>
    <row r="643" spans="1:11" x14ac:dyDescent="0.35">
      <c r="A643" s="221" t="s">
        <v>303</v>
      </c>
      <c r="B643" s="222">
        <v>5444</v>
      </c>
      <c r="C643" s="222"/>
      <c r="D643" s="222"/>
      <c r="E643" s="223"/>
      <c r="G643" s="221" t="s">
        <v>303</v>
      </c>
      <c r="H643" s="222">
        <v>750</v>
      </c>
      <c r="I643" s="222"/>
      <c r="J643" s="222"/>
      <c r="K643" s="223"/>
    </row>
    <row r="644" spans="1:11" x14ac:dyDescent="0.35">
      <c r="A644" s="225" t="s">
        <v>304</v>
      </c>
      <c r="B644" s="226"/>
      <c r="C644" s="226"/>
      <c r="D644" s="226"/>
      <c r="E644" s="227"/>
      <c r="G644" s="225"/>
      <c r="H644" s="226"/>
      <c r="I644" s="226"/>
      <c r="J644" s="226"/>
      <c r="K644" s="227"/>
    </row>
    <row r="645" spans="1:11" x14ac:dyDescent="0.35">
      <c r="A645" s="225"/>
      <c r="B645" s="226"/>
      <c r="C645" s="226"/>
      <c r="D645" s="226"/>
      <c r="E645" s="227"/>
      <c r="G645" s="225"/>
      <c r="H645" s="226"/>
      <c r="I645" s="226"/>
      <c r="J645" s="226"/>
      <c r="K645" s="227"/>
    </row>
    <row r="646" spans="1:11" x14ac:dyDescent="0.35">
      <c r="A646" s="221"/>
      <c r="B646" s="222"/>
      <c r="C646" s="222"/>
      <c r="D646" s="222"/>
      <c r="E646" s="223"/>
      <c r="G646" s="221"/>
      <c r="H646" s="222"/>
      <c r="I646" s="222"/>
      <c r="J646" s="222"/>
      <c r="K646" s="223"/>
    </row>
    <row r="647" spans="1:11" x14ac:dyDescent="0.35">
      <c r="A647" s="225"/>
      <c r="B647" s="226"/>
      <c r="C647" s="226"/>
      <c r="D647" s="226"/>
      <c r="E647" s="227"/>
      <c r="G647" s="225"/>
      <c r="H647" s="226"/>
      <c r="I647" s="226"/>
      <c r="J647" s="226"/>
      <c r="K647" s="227"/>
    </row>
    <row r="648" spans="1:11" ht="15" thickBot="1" x14ac:dyDescent="0.4">
      <c r="A648" s="218" t="s">
        <v>34</v>
      </c>
      <c r="B648" s="219">
        <f>SUM(B643:B647)</f>
        <v>5444</v>
      </c>
      <c r="C648" s="219">
        <f>SUM(C643:C647)</f>
        <v>0</v>
      </c>
      <c r="D648" s="219">
        <f>SUM(D643:D647)</f>
        <v>0</v>
      </c>
      <c r="E648" s="219">
        <f>SUM(E643:E647)</f>
        <v>0</v>
      </c>
      <c r="G648" s="218" t="s">
        <v>34</v>
      </c>
      <c r="H648" s="219">
        <f>SUM(H643:H647)</f>
        <v>750</v>
      </c>
      <c r="I648" s="219">
        <f>SUM(I643:I647)</f>
        <v>0</v>
      </c>
      <c r="J648" s="219">
        <f>SUM(J643:J647)</f>
        <v>0</v>
      </c>
      <c r="K648" s="219">
        <f>SUM(K643:K647)</f>
        <v>0</v>
      </c>
    </row>
    <row r="649" spans="1:11" x14ac:dyDescent="0.35">
      <c r="A649" s="220" t="s">
        <v>305</v>
      </c>
      <c r="B649" s="220">
        <f>+B648+C648+D648+E648</f>
        <v>5444</v>
      </c>
      <c r="C649" s="220"/>
      <c r="D649" s="220"/>
      <c r="E649" s="220"/>
      <c r="G649" s="220" t="s">
        <v>305</v>
      </c>
      <c r="H649" s="220">
        <f>+H648+I648+J648+K648</f>
        <v>750</v>
      </c>
      <c r="I649" s="220"/>
      <c r="J649" s="220"/>
      <c r="K649" s="220"/>
    </row>
    <row r="650" spans="1:11" ht="15" thickBot="1" x14ac:dyDescent="0.4">
      <c r="A650" s="315" t="s">
        <v>298</v>
      </c>
      <c r="B650" s="315"/>
      <c r="C650" s="315"/>
      <c r="D650" s="315"/>
      <c r="E650" s="315"/>
      <c r="G650" s="315" t="s">
        <v>314</v>
      </c>
      <c r="H650" s="315"/>
      <c r="I650" s="315"/>
      <c r="J650" s="315"/>
      <c r="K650" s="315"/>
    </row>
    <row r="651" spans="1:11" ht="15" thickTop="1" x14ac:dyDescent="0.35">
      <c r="A651" s="313">
        <v>45356</v>
      </c>
      <c r="B651" s="314"/>
      <c r="C651" s="314"/>
      <c r="D651" s="314"/>
      <c r="E651" s="314"/>
      <c r="G651" s="313">
        <v>45356</v>
      </c>
      <c r="H651" s="314"/>
      <c r="I651" s="314"/>
      <c r="J651" s="314"/>
      <c r="K651" s="314"/>
    </row>
    <row r="652" spans="1:11" x14ac:dyDescent="0.35">
      <c r="A652" s="261" t="s">
        <v>159</v>
      </c>
      <c r="B652" s="262" t="s">
        <v>299</v>
      </c>
      <c r="C652" s="262" t="s">
        <v>300</v>
      </c>
      <c r="D652" s="262" t="s">
        <v>301</v>
      </c>
      <c r="E652" s="263" t="s">
        <v>302</v>
      </c>
      <c r="G652" s="264" t="s">
        <v>159</v>
      </c>
      <c r="H652" s="265" t="s">
        <v>299</v>
      </c>
      <c r="I652" s="265" t="s">
        <v>300</v>
      </c>
      <c r="J652" s="265" t="s">
        <v>301</v>
      </c>
      <c r="K652" s="266" t="s">
        <v>302</v>
      </c>
    </row>
    <row r="653" spans="1:11" x14ac:dyDescent="0.35">
      <c r="A653" s="221" t="s">
        <v>303</v>
      </c>
      <c r="B653" s="222">
        <v>8943</v>
      </c>
      <c r="C653" s="222"/>
      <c r="D653" s="222"/>
      <c r="E653" s="223"/>
      <c r="G653" s="221" t="s">
        <v>303</v>
      </c>
      <c r="H653" s="222">
        <v>397</v>
      </c>
      <c r="I653" s="222"/>
      <c r="J653" s="222"/>
      <c r="K653" s="223"/>
    </row>
    <row r="654" spans="1:11" x14ac:dyDescent="0.35">
      <c r="A654" s="225" t="s">
        <v>304</v>
      </c>
      <c r="B654" s="226"/>
      <c r="C654" s="226"/>
      <c r="D654" s="226"/>
      <c r="E654" s="227"/>
      <c r="G654" s="225"/>
      <c r="H654" s="226"/>
      <c r="I654" s="226"/>
      <c r="J654" s="226"/>
      <c r="K654" s="227"/>
    </row>
    <row r="655" spans="1:11" x14ac:dyDescent="0.35">
      <c r="A655" s="225"/>
      <c r="B655" s="226"/>
      <c r="C655" s="226"/>
      <c r="D655" s="226"/>
      <c r="E655" s="227"/>
      <c r="G655" s="225"/>
      <c r="H655" s="226"/>
      <c r="I655" s="226"/>
      <c r="J655" s="226"/>
      <c r="K655" s="227"/>
    </row>
    <row r="656" spans="1:11" x14ac:dyDescent="0.35">
      <c r="A656" s="221"/>
      <c r="B656" s="222"/>
      <c r="C656" s="222"/>
      <c r="D656" s="222"/>
      <c r="E656" s="223"/>
      <c r="G656" s="221"/>
      <c r="H656" s="222"/>
      <c r="I656" s="222"/>
      <c r="J656" s="222"/>
      <c r="K656" s="223"/>
    </row>
    <row r="657" spans="1:11" x14ac:dyDescent="0.35">
      <c r="A657" s="225"/>
      <c r="B657" s="226"/>
      <c r="C657" s="226"/>
      <c r="D657" s="226"/>
      <c r="E657" s="227"/>
      <c r="G657" s="225"/>
      <c r="H657" s="226"/>
      <c r="I657" s="226"/>
      <c r="J657" s="226"/>
      <c r="K657" s="227"/>
    </row>
    <row r="658" spans="1:11" ht="15" thickBot="1" x14ac:dyDescent="0.4">
      <c r="A658" s="218" t="s">
        <v>34</v>
      </c>
      <c r="B658" s="219">
        <f>SUM(B653:B657)</f>
        <v>8943</v>
      </c>
      <c r="C658" s="219">
        <f>SUM(C653:C657)</f>
        <v>0</v>
      </c>
      <c r="D658" s="219">
        <f>SUM(D653:D657)</f>
        <v>0</v>
      </c>
      <c r="E658" s="219">
        <f>SUM(E653:E657)</f>
        <v>0</v>
      </c>
      <c r="G658" s="218" t="s">
        <v>34</v>
      </c>
      <c r="H658" s="219">
        <f>SUM(H653:H657)</f>
        <v>397</v>
      </c>
      <c r="I658" s="219">
        <f>SUM(I653:I657)</f>
        <v>0</v>
      </c>
      <c r="J658" s="219">
        <f>SUM(J653:J657)</f>
        <v>0</v>
      </c>
      <c r="K658" s="219">
        <f>SUM(K653:K657)</f>
        <v>0</v>
      </c>
    </row>
    <row r="659" spans="1:11" x14ac:dyDescent="0.35">
      <c r="A659" s="220" t="s">
        <v>305</v>
      </c>
      <c r="B659" s="220">
        <f>+B658+C658+D658+E658</f>
        <v>8943</v>
      </c>
      <c r="C659" s="220"/>
      <c r="D659" s="220"/>
      <c r="E659" s="220"/>
      <c r="G659" s="220" t="s">
        <v>305</v>
      </c>
      <c r="H659" s="220">
        <f>+H658+I658+J658+K658</f>
        <v>397</v>
      </c>
      <c r="I659" s="220"/>
      <c r="J659" s="220"/>
      <c r="K659" s="220"/>
    </row>
    <row r="660" spans="1:11" ht="15" thickBot="1" x14ac:dyDescent="0.4">
      <c r="A660" s="315" t="s">
        <v>298</v>
      </c>
      <c r="B660" s="315"/>
      <c r="C660" s="315"/>
      <c r="D660" s="315"/>
      <c r="E660" s="315"/>
      <c r="G660" s="315" t="s">
        <v>314</v>
      </c>
      <c r="H660" s="315"/>
      <c r="I660" s="315"/>
      <c r="J660" s="315"/>
      <c r="K660" s="315"/>
    </row>
    <row r="661" spans="1:11" ht="15" thickTop="1" x14ac:dyDescent="0.35">
      <c r="A661" s="313">
        <v>45357</v>
      </c>
      <c r="B661" s="314"/>
      <c r="C661" s="314"/>
      <c r="D661" s="314"/>
      <c r="E661" s="314"/>
      <c r="G661" s="313">
        <v>45357</v>
      </c>
      <c r="H661" s="314"/>
      <c r="I661" s="314"/>
      <c r="J661" s="314"/>
      <c r="K661" s="314"/>
    </row>
    <row r="662" spans="1:11" x14ac:dyDescent="0.35">
      <c r="A662" s="261" t="s">
        <v>159</v>
      </c>
      <c r="B662" s="262" t="s">
        <v>299</v>
      </c>
      <c r="C662" s="262" t="s">
        <v>300</v>
      </c>
      <c r="D662" s="262" t="s">
        <v>301</v>
      </c>
      <c r="E662" s="263" t="s">
        <v>302</v>
      </c>
      <c r="G662" s="264" t="s">
        <v>159</v>
      </c>
      <c r="H662" s="265" t="s">
        <v>299</v>
      </c>
      <c r="I662" s="265" t="s">
        <v>300</v>
      </c>
      <c r="J662" s="265" t="s">
        <v>301</v>
      </c>
      <c r="K662" s="266" t="s">
        <v>302</v>
      </c>
    </row>
    <row r="663" spans="1:11" x14ac:dyDescent="0.35">
      <c r="A663" s="221" t="s">
        <v>303</v>
      </c>
      <c r="B663" s="222">
        <v>3610</v>
      </c>
      <c r="C663" s="222"/>
      <c r="D663" s="222"/>
      <c r="E663" s="223"/>
      <c r="G663" s="221" t="s">
        <v>303</v>
      </c>
      <c r="H663" s="222"/>
      <c r="I663" s="222"/>
      <c r="J663" s="222"/>
      <c r="K663" s="223"/>
    </row>
    <row r="664" spans="1:11" x14ac:dyDescent="0.35">
      <c r="A664" s="225" t="s">
        <v>304</v>
      </c>
      <c r="B664" s="226">
        <v>160</v>
      </c>
      <c r="C664" s="226"/>
      <c r="D664" s="226"/>
      <c r="E664" s="227"/>
      <c r="G664" s="225"/>
      <c r="H664" s="226"/>
      <c r="I664" s="226"/>
      <c r="J664" s="226"/>
      <c r="K664" s="227"/>
    </row>
    <row r="665" spans="1:11" x14ac:dyDescent="0.35">
      <c r="A665" s="225"/>
      <c r="B665" s="226"/>
      <c r="C665" s="226"/>
      <c r="D665" s="226"/>
      <c r="E665" s="227"/>
      <c r="G665" s="225"/>
      <c r="H665" s="226"/>
      <c r="I665" s="226"/>
      <c r="J665" s="226"/>
      <c r="K665" s="227"/>
    </row>
    <row r="666" spans="1:11" x14ac:dyDescent="0.35">
      <c r="A666" s="221"/>
      <c r="B666" s="222"/>
      <c r="C666" s="222"/>
      <c r="D666" s="222"/>
      <c r="E666" s="223"/>
      <c r="G666" s="221"/>
      <c r="H666" s="222"/>
      <c r="I666" s="222"/>
      <c r="J666" s="222"/>
      <c r="K666" s="223"/>
    </row>
    <row r="667" spans="1:11" x14ac:dyDescent="0.35">
      <c r="A667" s="225"/>
      <c r="B667" s="226"/>
      <c r="C667" s="226"/>
      <c r="D667" s="226"/>
      <c r="E667" s="227"/>
      <c r="G667" s="225"/>
      <c r="H667" s="226"/>
      <c r="I667" s="226"/>
      <c r="J667" s="226"/>
      <c r="K667" s="227"/>
    </row>
    <row r="668" spans="1:11" ht="15" thickBot="1" x14ac:dyDescent="0.4">
      <c r="A668" s="218" t="s">
        <v>34</v>
      </c>
      <c r="B668" s="219">
        <f>SUM(B663:B667)</f>
        <v>3770</v>
      </c>
      <c r="C668" s="219">
        <f>SUM(C663:C667)</f>
        <v>0</v>
      </c>
      <c r="D668" s="219">
        <f>SUM(D663:D667)</f>
        <v>0</v>
      </c>
      <c r="E668" s="219">
        <f>SUM(E663:E667)</f>
        <v>0</v>
      </c>
      <c r="G668" s="218" t="s">
        <v>34</v>
      </c>
      <c r="H668" s="219">
        <f>SUM(H663:H667)</f>
        <v>0</v>
      </c>
      <c r="I668" s="219">
        <f>SUM(I663:I667)</f>
        <v>0</v>
      </c>
      <c r="J668" s="219">
        <f>SUM(J663:J667)</f>
        <v>0</v>
      </c>
      <c r="K668" s="219">
        <f>SUM(K663:K667)</f>
        <v>0</v>
      </c>
    </row>
    <row r="669" spans="1:11" x14ac:dyDescent="0.35">
      <c r="A669" s="220" t="s">
        <v>305</v>
      </c>
      <c r="B669" s="220">
        <f>+B668+C668+D668+E668</f>
        <v>3770</v>
      </c>
      <c r="C669" s="220"/>
      <c r="D669" s="220"/>
      <c r="E669" s="220"/>
      <c r="G669" s="220" t="s">
        <v>305</v>
      </c>
      <c r="H669" s="220">
        <f>+H668+I668+J668+K668</f>
        <v>0</v>
      </c>
      <c r="I669" s="220"/>
      <c r="J669" s="220"/>
      <c r="K669" s="220"/>
    </row>
    <row r="670" spans="1:11" ht="15" thickBot="1" x14ac:dyDescent="0.4">
      <c r="A670" s="315" t="s">
        <v>298</v>
      </c>
      <c r="B670" s="315"/>
      <c r="C670" s="315"/>
      <c r="D670" s="315"/>
      <c r="E670" s="315"/>
      <c r="G670" s="315" t="s">
        <v>314</v>
      </c>
      <c r="H670" s="315"/>
      <c r="I670" s="315"/>
      <c r="J670" s="315"/>
      <c r="K670" s="315"/>
    </row>
    <row r="671" spans="1:11" ht="15" thickTop="1" x14ac:dyDescent="0.35">
      <c r="A671" s="313">
        <v>45358</v>
      </c>
      <c r="B671" s="314"/>
      <c r="C671" s="314"/>
      <c r="D671" s="314"/>
      <c r="E671" s="314"/>
      <c r="G671" s="313">
        <v>45358</v>
      </c>
      <c r="H671" s="314"/>
      <c r="I671" s="314"/>
      <c r="J671" s="314"/>
      <c r="K671" s="314"/>
    </row>
    <row r="672" spans="1:11" x14ac:dyDescent="0.35">
      <c r="A672" s="261" t="s">
        <v>159</v>
      </c>
      <c r="B672" s="262" t="s">
        <v>299</v>
      </c>
      <c r="C672" s="262" t="s">
        <v>300</v>
      </c>
      <c r="D672" s="262" t="s">
        <v>301</v>
      </c>
      <c r="E672" s="263" t="s">
        <v>302</v>
      </c>
      <c r="G672" s="264" t="s">
        <v>159</v>
      </c>
      <c r="H672" s="265" t="s">
        <v>299</v>
      </c>
      <c r="I672" s="265" t="s">
        <v>300</v>
      </c>
      <c r="J672" s="265" t="s">
        <v>301</v>
      </c>
      <c r="K672" s="266" t="s">
        <v>302</v>
      </c>
    </row>
    <row r="673" spans="1:11" x14ac:dyDescent="0.35">
      <c r="A673" s="221" t="s">
        <v>303</v>
      </c>
      <c r="B673" s="222">
        <v>7056</v>
      </c>
      <c r="C673" s="222"/>
      <c r="D673" s="222"/>
      <c r="E673" s="223"/>
      <c r="G673" s="221" t="s">
        <v>303</v>
      </c>
      <c r="H673" s="222">
        <v>1435</v>
      </c>
      <c r="I673" s="222"/>
      <c r="J673" s="222"/>
      <c r="K673" s="223"/>
    </row>
    <row r="674" spans="1:11" x14ac:dyDescent="0.35">
      <c r="A674" s="225" t="s">
        <v>304</v>
      </c>
      <c r="B674" s="226"/>
      <c r="C674" s="226"/>
      <c r="D674" s="226"/>
      <c r="E674" s="227"/>
      <c r="G674" s="225"/>
      <c r="H674" s="226"/>
      <c r="I674" s="226"/>
      <c r="J674" s="226"/>
      <c r="K674" s="227"/>
    </row>
    <row r="675" spans="1:11" x14ac:dyDescent="0.35">
      <c r="A675" s="225"/>
      <c r="B675" s="226"/>
      <c r="C675" s="226"/>
      <c r="D675" s="226"/>
      <c r="E675" s="227"/>
      <c r="G675" s="225"/>
      <c r="H675" s="226"/>
      <c r="I675" s="226"/>
      <c r="J675" s="226"/>
      <c r="K675" s="227"/>
    </row>
    <row r="676" spans="1:11" x14ac:dyDescent="0.35">
      <c r="A676" s="221"/>
      <c r="B676" s="222"/>
      <c r="C676" s="222"/>
      <c r="D676" s="222"/>
      <c r="E676" s="223"/>
      <c r="G676" s="221"/>
      <c r="H676" s="222"/>
      <c r="I676" s="222"/>
      <c r="J676" s="222"/>
      <c r="K676" s="223"/>
    </row>
    <row r="677" spans="1:11" x14ac:dyDescent="0.35">
      <c r="A677" s="225"/>
      <c r="B677" s="226"/>
      <c r="C677" s="226"/>
      <c r="D677" s="226"/>
      <c r="E677" s="227"/>
      <c r="G677" s="225"/>
      <c r="H677" s="226"/>
      <c r="I677" s="226"/>
      <c r="J677" s="226"/>
      <c r="K677" s="227"/>
    </row>
    <row r="678" spans="1:11" ht="15" thickBot="1" x14ac:dyDescent="0.4">
      <c r="A678" s="218" t="s">
        <v>34</v>
      </c>
      <c r="B678" s="219">
        <f>SUM(B673:B677)</f>
        <v>7056</v>
      </c>
      <c r="C678" s="219">
        <f>SUM(C673:C677)</f>
        <v>0</v>
      </c>
      <c r="D678" s="219">
        <f>SUM(D673:D677)</f>
        <v>0</v>
      </c>
      <c r="E678" s="219">
        <f>SUM(E673:E677)</f>
        <v>0</v>
      </c>
      <c r="G678" s="218" t="s">
        <v>34</v>
      </c>
      <c r="H678" s="219">
        <f>SUM(H673:H677)</f>
        <v>1435</v>
      </c>
      <c r="I678" s="219">
        <f>SUM(I673:I677)</f>
        <v>0</v>
      </c>
      <c r="J678" s="219">
        <f>SUM(J673:J677)</f>
        <v>0</v>
      </c>
      <c r="K678" s="219">
        <f>SUM(K673:K677)</f>
        <v>0</v>
      </c>
    </row>
    <row r="679" spans="1:11" x14ac:dyDescent="0.35">
      <c r="A679" s="220" t="s">
        <v>305</v>
      </c>
      <c r="B679" s="220">
        <f>+B678+C678+D678+E678</f>
        <v>7056</v>
      </c>
      <c r="C679" s="220"/>
      <c r="D679" s="220"/>
      <c r="E679" s="220"/>
      <c r="G679" s="220" t="s">
        <v>305</v>
      </c>
      <c r="H679" s="220">
        <f>+H678+I678+J678+K678</f>
        <v>1435</v>
      </c>
      <c r="I679" s="220"/>
      <c r="J679" s="220"/>
      <c r="K679" s="220"/>
    </row>
    <row r="680" spans="1:11" ht="15" thickBot="1" x14ac:dyDescent="0.4">
      <c r="A680" s="315" t="s">
        <v>298</v>
      </c>
      <c r="B680" s="315"/>
      <c r="C680" s="315"/>
      <c r="D680" s="315"/>
      <c r="E680" s="315"/>
      <c r="G680" s="315" t="s">
        <v>314</v>
      </c>
      <c r="H680" s="315"/>
      <c r="I680" s="315"/>
      <c r="J680" s="315"/>
      <c r="K680" s="315"/>
    </row>
    <row r="681" spans="1:11" ht="15" thickTop="1" x14ac:dyDescent="0.35">
      <c r="A681" s="313">
        <v>45359</v>
      </c>
      <c r="B681" s="314"/>
      <c r="C681" s="314"/>
      <c r="D681" s="314"/>
      <c r="E681" s="314"/>
      <c r="G681" s="313">
        <v>45359</v>
      </c>
      <c r="H681" s="314"/>
      <c r="I681" s="314"/>
      <c r="J681" s="314"/>
      <c r="K681" s="314"/>
    </row>
    <row r="682" spans="1:11" x14ac:dyDescent="0.35">
      <c r="A682" s="261" t="s">
        <v>159</v>
      </c>
      <c r="B682" s="262" t="s">
        <v>299</v>
      </c>
      <c r="C682" s="262" t="s">
        <v>300</v>
      </c>
      <c r="D682" s="262" t="s">
        <v>301</v>
      </c>
      <c r="E682" s="263" t="s">
        <v>302</v>
      </c>
      <c r="G682" s="264" t="s">
        <v>159</v>
      </c>
      <c r="H682" s="265" t="s">
        <v>299</v>
      </c>
      <c r="I682" s="265" t="s">
        <v>300</v>
      </c>
      <c r="J682" s="265" t="s">
        <v>301</v>
      </c>
      <c r="K682" s="266" t="s">
        <v>302</v>
      </c>
    </row>
    <row r="683" spans="1:11" x14ac:dyDescent="0.35">
      <c r="A683" s="221" t="s">
        <v>303</v>
      </c>
      <c r="B683" s="222">
        <v>23156</v>
      </c>
      <c r="C683" s="222"/>
      <c r="D683" s="222"/>
      <c r="E683" s="223"/>
      <c r="G683" s="221" t="s">
        <v>303</v>
      </c>
      <c r="H683" s="222">
        <v>6667</v>
      </c>
      <c r="I683" s="222"/>
      <c r="J683" s="222"/>
      <c r="K683" s="223"/>
    </row>
    <row r="684" spans="1:11" x14ac:dyDescent="0.35">
      <c r="A684" s="225" t="s">
        <v>304</v>
      </c>
      <c r="B684" s="226">
        <v>583</v>
      </c>
      <c r="C684" s="226"/>
      <c r="D684" s="226"/>
      <c r="E684" s="227"/>
      <c r="G684" s="225"/>
      <c r="H684" s="226"/>
      <c r="I684" s="226"/>
      <c r="J684" s="226"/>
      <c r="K684" s="227"/>
    </row>
    <row r="685" spans="1:11" x14ac:dyDescent="0.35">
      <c r="A685" s="225"/>
      <c r="B685" s="226"/>
      <c r="C685" s="226"/>
      <c r="D685" s="226"/>
      <c r="E685" s="227"/>
      <c r="G685" s="225"/>
      <c r="H685" s="226"/>
      <c r="I685" s="226"/>
      <c r="J685" s="226"/>
      <c r="K685" s="227"/>
    </row>
    <row r="686" spans="1:11" x14ac:dyDescent="0.35">
      <c r="A686" s="221"/>
      <c r="B686" s="222"/>
      <c r="C686" s="222"/>
      <c r="D686" s="222"/>
      <c r="E686" s="223"/>
      <c r="G686" s="221"/>
      <c r="H686" s="222"/>
      <c r="I686" s="222"/>
      <c r="J686" s="222"/>
      <c r="K686" s="223"/>
    </row>
    <row r="687" spans="1:11" x14ac:dyDescent="0.35">
      <c r="A687" s="225"/>
      <c r="B687" s="226"/>
      <c r="C687" s="226"/>
      <c r="D687" s="226"/>
      <c r="E687" s="227"/>
      <c r="G687" s="225"/>
      <c r="H687" s="226"/>
      <c r="I687" s="226"/>
      <c r="J687" s="226"/>
      <c r="K687" s="227"/>
    </row>
    <row r="688" spans="1:11" ht="15" thickBot="1" x14ac:dyDescent="0.4">
      <c r="A688" s="218" t="s">
        <v>34</v>
      </c>
      <c r="B688" s="219">
        <f>SUM(B683:B687)</f>
        <v>23739</v>
      </c>
      <c r="C688" s="219">
        <f>SUM(C683:C687)</f>
        <v>0</v>
      </c>
      <c r="D688" s="219">
        <f>SUM(D683:D687)</f>
        <v>0</v>
      </c>
      <c r="E688" s="219">
        <f>SUM(E683:E687)</f>
        <v>0</v>
      </c>
      <c r="G688" s="218" t="s">
        <v>34</v>
      </c>
      <c r="H688" s="219">
        <f>SUM(H683:H687)</f>
        <v>6667</v>
      </c>
      <c r="I688" s="219">
        <f>SUM(I683:I687)</f>
        <v>0</v>
      </c>
      <c r="J688" s="219">
        <f>SUM(J683:J687)</f>
        <v>0</v>
      </c>
      <c r="K688" s="219">
        <f>SUM(K683:K687)</f>
        <v>0</v>
      </c>
    </row>
    <row r="689" spans="1:11" x14ac:dyDescent="0.35">
      <c r="A689" s="220" t="s">
        <v>305</v>
      </c>
      <c r="B689" s="220">
        <f>+B688+C688+D688+E688</f>
        <v>23739</v>
      </c>
      <c r="C689" s="220"/>
      <c r="D689" s="220"/>
      <c r="E689" s="220"/>
      <c r="G689" s="220" t="s">
        <v>305</v>
      </c>
      <c r="H689" s="220">
        <f>+H688+I688+J688+K688</f>
        <v>6667</v>
      </c>
      <c r="I689" s="220"/>
      <c r="J689" s="220"/>
      <c r="K689" s="220"/>
    </row>
    <row r="690" spans="1:11" ht="15" thickBot="1" x14ac:dyDescent="0.4">
      <c r="A690" s="315" t="s">
        <v>298</v>
      </c>
      <c r="B690" s="315"/>
      <c r="C690" s="315"/>
      <c r="D690" s="315"/>
      <c r="E690" s="315"/>
      <c r="G690" s="315" t="s">
        <v>314</v>
      </c>
      <c r="H690" s="315"/>
      <c r="I690" s="315"/>
      <c r="J690" s="315"/>
      <c r="K690" s="315"/>
    </row>
    <row r="691" spans="1:11" ht="15" thickTop="1" x14ac:dyDescent="0.35">
      <c r="A691" s="313">
        <v>45360</v>
      </c>
      <c r="B691" s="314"/>
      <c r="C691" s="314"/>
      <c r="D691" s="314"/>
      <c r="E691" s="314"/>
      <c r="G691" s="313">
        <v>45360</v>
      </c>
      <c r="H691" s="314"/>
      <c r="I691" s="314"/>
      <c r="J691" s="314"/>
      <c r="K691" s="314"/>
    </row>
    <row r="692" spans="1:11" x14ac:dyDescent="0.35">
      <c r="A692" s="261" t="s">
        <v>159</v>
      </c>
      <c r="B692" s="262" t="s">
        <v>299</v>
      </c>
      <c r="C692" s="262" t="s">
        <v>300</v>
      </c>
      <c r="D692" s="262" t="s">
        <v>301</v>
      </c>
      <c r="E692" s="263" t="s">
        <v>302</v>
      </c>
      <c r="G692" s="264" t="s">
        <v>159</v>
      </c>
      <c r="H692" s="265" t="s">
        <v>299</v>
      </c>
      <c r="I692" s="265" t="s">
        <v>300</v>
      </c>
      <c r="J692" s="265" t="s">
        <v>301</v>
      </c>
      <c r="K692" s="266" t="s">
        <v>302</v>
      </c>
    </row>
    <row r="693" spans="1:11" x14ac:dyDescent="0.35">
      <c r="A693" s="221" t="s">
        <v>303</v>
      </c>
      <c r="B693" s="222">
        <v>13744</v>
      </c>
      <c r="C693" s="222"/>
      <c r="D693" s="222"/>
      <c r="E693" s="223"/>
      <c r="G693" s="221" t="s">
        <v>303</v>
      </c>
      <c r="H693" s="222">
        <v>3099</v>
      </c>
      <c r="I693" s="222"/>
      <c r="J693" s="222"/>
      <c r="K693" s="223"/>
    </row>
    <row r="694" spans="1:11" x14ac:dyDescent="0.35">
      <c r="A694" s="225" t="s">
        <v>304</v>
      </c>
      <c r="B694" s="226">
        <v>805</v>
      </c>
      <c r="C694" s="226"/>
      <c r="D694" s="226"/>
      <c r="E694" s="227"/>
      <c r="G694" s="225"/>
      <c r="H694" s="226"/>
      <c r="I694" s="226"/>
      <c r="J694" s="226"/>
      <c r="K694" s="227"/>
    </row>
    <row r="695" spans="1:11" x14ac:dyDescent="0.35">
      <c r="A695" s="225"/>
      <c r="B695" s="226"/>
      <c r="C695" s="226"/>
      <c r="D695" s="226"/>
      <c r="E695" s="227"/>
      <c r="G695" s="225"/>
      <c r="H695" s="226"/>
      <c r="I695" s="226"/>
      <c r="J695" s="226"/>
      <c r="K695" s="227"/>
    </row>
    <row r="696" spans="1:11" x14ac:dyDescent="0.35">
      <c r="A696" s="221"/>
      <c r="B696" s="222"/>
      <c r="C696" s="222"/>
      <c r="D696" s="222"/>
      <c r="E696" s="223"/>
      <c r="G696" s="221"/>
      <c r="H696" s="222"/>
      <c r="I696" s="222"/>
      <c r="J696" s="222"/>
      <c r="K696" s="223"/>
    </row>
    <row r="697" spans="1:11" x14ac:dyDescent="0.35">
      <c r="A697" s="225"/>
      <c r="B697" s="226"/>
      <c r="C697" s="226"/>
      <c r="D697" s="226"/>
      <c r="E697" s="227"/>
      <c r="G697" s="225"/>
      <c r="H697" s="226"/>
      <c r="I697" s="226"/>
      <c r="J697" s="226"/>
      <c r="K697" s="227"/>
    </row>
    <row r="698" spans="1:11" ht="15" thickBot="1" x14ac:dyDescent="0.4">
      <c r="A698" s="218" t="s">
        <v>34</v>
      </c>
      <c r="B698" s="219">
        <f>SUM(B693:B697)</f>
        <v>14549</v>
      </c>
      <c r="C698" s="219">
        <f>SUM(C693:C697)</f>
        <v>0</v>
      </c>
      <c r="D698" s="219">
        <f>SUM(D693:D697)</f>
        <v>0</v>
      </c>
      <c r="E698" s="219">
        <f>SUM(E693:E697)</f>
        <v>0</v>
      </c>
      <c r="G698" s="218" t="s">
        <v>34</v>
      </c>
      <c r="H698" s="219">
        <f>SUM(H693:H697)</f>
        <v>3099</v>
      </c>
      <c r="I698" s="219">
        <f>SUM(I693:I697)</f>
        <v>0</v>
      </c>
      <c r="J698" s="219">
        <f>SUM(J693:J697)</f>
        <v>0</v>
      </c>
      <c r="K698" s="219">
        <f>SUM(K693:K697)</f>
        <v>0</v>
      </c>
    </row>
    <row r="699" spans="1:11" x14ac:dyDescent="0.35">
      <c r="A699" s="220" t="s">
        <v>305</v>
      </c>
      <c r="B699" s="220">
        <f>+B698+C698+D698+E698</f>
        <v>14549</v>
      </c>
      <c r="C699" s="220"/>
      <c r="D699" s="220"/>
      <c r="E699" s="220"/>
      <c r="G699" s="220" t="s">
        <v>305</v>
      </c>
      <c r="H699" s="220">
        <f>+H698+I698+J698+K698</f>
        <v>3099</v>
      </c>
      <c r="I699" s="220"/>
      <c r="J699" s="220"/>
      <c r="K699" s="220"/>
    </row>
    <row r="700" spans="1:11" ht="15" thickBot="1" x14ac:dyDescent="0.4">
      <c r="A700" s="315" t="s">
        <v>298</v>
      </c>
      <c r="B700" s="315"/>
      <c r="C700" s="315"/>
      <c r="D700" s="315"/>
      <c r="E700" s="315"/>
      <c r="G700" s="315" t="s">
        <v>314</v>
      </c>
      <c r="H700" s="315"/>
      <c r="I700" s="315"/>
      <c r="J700" s="315"/>
      <c r="K700" s="315"/>
    </row>
    <row r="701" spans="1:11" ht="15" thickTop="1" x14ac:dyDescent="0.35">
      <c r="A701" s="313">
        <v>45361</v>
      </c>
      <c r="B701" s="314"/>
      <c r="C701" s="314"/>
      <c r="D701" s="314"/>
      <c r="E701" s="314"/>
      <c r="G701" s="313">
        <v>45361</v>
      </c>
      <c r="H701" s="314"/>
      <c r="I701" s="314"/>
      <c r="J701" s="314"/>
      <c r="K701" s="314"/>
    </row>
    <row r="702" spans="1:11" x14ac:dyDescent="0.35">
      <c r="A702" s="261" t="s">
        <v>159</v>
      </c>
      <c r="B702" s="262" t="s">
        <v>299</v>
      </c>
      <c r="C702" s="262" t="s">
        <v>300</v>
      </c>
      <c r="D702" s="262" t="s">
        <v>301</v>
      </c>
      <c r="E702" s="263" t="s">
        <v>302</v>
      </c>
      <c r="G702" s="264" t="s">
        <v>159</v>
      </c>
      <c r="H702" s="265" t="s">
        <v>299</v>
      </c>
      <c r="I702" s="265" t="s">
        <v>300</v>
      </c>
      <c r="J702" s="265" t="s">
        <v>301</v>
      </c>
      <c r="K702" s="266" t="s">
        <v>302</v>
      </c>
    </row>
    <row r="703" spans="1:11" x14ac:dyDescent="0.35">
      <c r="A703" s="221" t="s">
        <v>303</v>
      </c>
      <c r="B703" s="222">
        <v>18813</v>
      </c>
      <c r="C703" s="222"/>
      <c r="D703" s="222"/>
      <c r="E703" s="223"/>
      <c r="G703" s="221" t="s">
        <v>303</v>
      </c>
      <c r="H703" s="222">
        <v>3820</v>
      </c>
      <c r="I703" s="222"/>
      <c r="J703" s="222"/>
      <c r="K703" s="223"/>
    </row>
    <row r="704" spans="1:11" x14ac:dyDescent="0.35">
      <c r="A704" s="225" t="s">
        <v>304</v>
      </c>
      <c r="B704" s="226">
        <v>11669</v>
      </c>
      <c r="C704" s="226"/>
      <c r="D704" s="226"/>
      <c r="E704" s="227"/>
      <c r="G704" s="225"/>
      <c r="H704" s="226"/>
      <c r="I704" s="226"/>
      <c r="J704" s="226"/>
      <c r="K704" s="227"/>
    </row>
    <row r="705" spans="1:11" x14ac:dyDescent="0.35">
      <c r="A705" s="225"/>
      <c r="B705" s="226"/>
      <c r="C705" s="226"/>
      <c r="D705" s="226"/>
      <c r="E705" s="227"/>
      <c r="G705" s="225"/>
      <c r="H705" s="226"/>
      <c r="I705" s="226"/>
      <c r="J705" s="226"/>
      <c r="K705" s="227"/>
    </row>
    <row r="706" spans="1:11" x14ac:dyDescent="0.35">
      <c r="A706" s="221"/>
      <c r="B706" s="222"/>
      <c r="C706" s="222"/>
      <c r="D706" s="222"/>
      <c r="E706" s="223"/>
      <c r="G706" s="221"/>
      <c r="H706" s="222"/>
      <c r="I706" s="222"/>
      <c r="J706" s="222"/>
      <c r="K706" s="223"/>
    </row>
    <row r="707" spans="1:11" x14ac:dyDescent="0.35">
      <c r="A707" s="225"/>
      <c r="B707" s="226"/>
      <c r="C707" s="226"/>
      <c r="D707" s="226"/>
      <c r="E707" s="227"/>
      <c r="G707" s="225"/>
      <c r="H707" s="226"/>
      <c r="I707" s="226"/>
      <c r="J707" s="226"/>
      <c r="K707" s="227"/>
    </row>
    <row r="708" spans="1:11" ht="15" thickBot="1" x14ac:dyDescent="0.4">
      <c r="A708" s="218" t="s">
        <v>34</v>
      </c>
      <c r="B708" s="219">
        <f>SUM(B703:B707)</f>
        <v>30482</v>
      </c>
      <c r="C708" s="219">
        <f>SUM(C703:C707)</f>
        <v>0</v>
      </c>
      <c r="D708" s="219">
        <f>SUM(D703:D707)</f>
        <v>0</v>
      </c>
      <c r="E708" s="219">
        <f>SUM(E703:E707)</f>
        <v>0</v>
      </c>
      <c r="G708" s="218" t="s">
        <v>34</v>
      </c>
      <c r="H708" s="219">
        <f>SUM(H703:H707)</f>
        <v>3820</v>
      </c>
      <c r="I708" s="219">
        <f>SUM(I703:I707)</f>
        <v>0</v>
      </c>
      <c r="J708" s="219">
        <f>SUM(J703:J707)</f>
        <v>0</v>
      </c>
      <c r="K708" s="219">
        <f>SUM(K703:K707)</f>
        <v>0</v>
      </c>
    </row>
    <row r="709" spans="1:11" x14ac:dyDescent="0.35">
      <c r="A709" s="220" t="s">
        <v>305</v>
      </c>
      <c r="B709" s="220">
        <f>+B708+C708+D708+E708</f>
        <v>30482</v>
      </c>
      <c r="C709" s="220"/>
      <c r="D709" s="220"/>
      <c r="E709" s="220"/>
      <c r="G709" s="220" t="s">
        <v>305</v>
      </c>
      <c r="H709" s="220">
        <f>+H708+I708+J708+K708</f>
        <v>3820</v>
      </c>
      <c r="I709" s="220"/>
      <c r="J709" s="220"/>
      <c r="K709" s="220"/>
    </row>
    <row r="710" spans="1:11" ht="15" thickBot="1" x14ac:dyDescent="0.4">
      <c r="A710" s="315" t="s">
        <v>298</v>
      </c>
      <c r="B710" s="315"/>
      <c r="C710" s="315"/>
      <c r="D710" s="315"/>
      <c r="E710" s="315"/>
      <c r="G710" s="315" t="s">
        <v>314</v>
      </c>
      <c r="H710" s="315"/>
      <c r="I710" s="315"/>
      <c r="J710" s="315"/>
      <c r="K710" s="315"/>
    </row>
    <row r="711" spans="1:11" ht="15" thickTop="1" x14ac:dyDescent="0.35">
      <c r="A711" s="313">
        <v>45362</v>
      </c>
      <c r="B711" s="314"/>
      <c r="C711" s="314"/>
      <c r="D711" s="314"/>
      <c r="E711" s="314"/>
      <c r="G711" s="313">
        <v>45362</v>
      </c>
      <c r="H711" s="314"/>
      <c r="I711" s="314"/>
      <c r="J711" s="314"/>
      <c r="K711" s="314"/>
    </row>
    <row r="712" spans="1:11" x14ac:dyDescent="0.35">
      <c r="A712" s="261" t="s">
        <v>159</v>
      </c>
      <c r="B712" s="262" t="s">
        <v>299</v>
      </c>
      <c r="C712" s="262" t="s">
        <v>300</v>
      </c>
      <c r="D712" s="262" t="s">
        <v>301</v>
      </c>
      <c r="E712" s="263" t="s">
        <v>302</v>
      </c>
      <c r="G712" s="264" t="s">
        <v>159</v>
      </c>
      <c r="H712" s="265" t="s">
        <v>299</v>
      </c>
      <c r="I712" s="265" t="s">
        <v>300</v>
      </c>
      <c r="J712" s="265" t="s">
        <v>301</v>
      </c>
      <c r="K712" s="266" t="s">
        <v>302</v>
      </c>
    </row>
    <row r="713" spans="1:11" x14ac:dyDescent="0.35">
      <c r="A713" s="221" t="s">
        <v>303</v>
      </c>
      <c r="B713" s="222">
        <v>3599</v>
      </c>
      <c r="C713" s="222"/>
      <c r="D713" s="222"/>
      <c r="E713" s="223"/>
      <c r="G713" s="221" t="s">
        <v>303</v>
      </c>
      <c r="H713" s="222"/>
      <c r="I713" s="222"/>
      <c r="J713" s="222"/>
      <c r="K713" s="223"/>
    </row>
    <row r="714" spans="1:11" x14ac:dyDescent="0.35">
      <c r="A714" s="225" t="s">
        <v>304</v>
      </c>
      <c r="B714" s="226">
        <v>4488</v>
      </c>
      <c r="C714" s="226"/>
      <c r="D714" s="226"/>
      <c r="E714" s="227"/>
      <c r="G714" s="225"/>
      <c r="H714" s="226"/>
      <c r="I714" s="226"/>
      <c r="J714" s="226"/>
      <c r="K714" s="227"/>
    </row>
    <row r="715" spans="1:11" x14ac:dyDescent="0.35">
      <c r="A715" s="225"/>
      <c r="B715" s="226"/>
      <c r="C715" s="226"/>
      <c r="D715" s="226"/>
      <c r="E715" s="227"/>
      <c r="G715" s="225"/>
      <c r="H715" s="226"/>
      <c r="I715" s="226"/>
      <c r="J715" s="226"/>
      <c r="K715" s="227"/>
    </row>
    <row r="716" spans="1:11" x14ac:dyDescent="0.35">
      <c r="A716" s="221"/>
      <c r="B716" s="222"/>
      <c r="C716" s="222"/>
      <c r="D716" s="222"/>
      <c r="E716" s="223"/>
      <c r="G716" s="221"/>
      <c r="H716" s="222"/>
      <c r="I716" s="222"/>
      <c r="J716" s="222"/>
      <c r="K716" s="223"/>
    </row>
    <row r="717" spans="1:11" x14ac:dyDescent="0.35">
      <c r="A717" s="225"/>
      <c r="B717" s="226"/>
      <c r="C717" s="226"/>
      <c r="D717" s="226"/>
      <c r="E717" s="227"/>
      <c r="G717" s="225"/>
      <c r="H717" s="226"/>
      <c r="I717" s="226"/>
      <c r="J717" s="226"/>
      <c r="K717" s="227"/>
    </row>
    <row r="718" spans="1:11" ht="15" thickBot="1" x14ac:dyDescent="0.4">
      <c r="A718" s="218" t="s">
        <v>34</v>
      </c>
      <c r="B718" s="219">
        <f>SUM(B713:B717)</f>
        <v>8087</v>
      </c>
      <c r="C718" s="219">
        <f>SUM(C713:C717)</f>
        <v>0</v>
      </c>
      <c r="D718" s="219">
        <f>SUM(D713:D717)</f>
        <v>0</v>
      </c>
      <c r="E718" s="219">
        <f>SUM(E713:E717)</f>
        <v>0</v>
      </c>
      <c r="G718" s="218" t="s">
        <v>34</v>
      </c>
      <c r="H718" s="219">
        <f>SUM(H713:H717)</f>
        <v>0</v>
      </c>
      <c r="I718" s="219">
        <f>SUM(I713:I717)</f>
        <v>0</v>
      </c>
      <c r="J718" s="219">
        <f>SUM(J713:J717)</f>
        <v>0</v>
      </c>
      <c r="K718" s="219">
        <f>SUM(K713:K717)</f>
        <v>0</v>
      </c>
    </row>
    <row r="719" spans="1:11" x14ac:dyDescent="0.35">
      <c r="A719" s="220" t="s">
        <v>305</v>
      </c>
      <c r="B719" s="220">
        <f>+B718+C718+D718+E718</f>
        <v>8087</v>
      </c>
      <c r="C719" s="220"/>
      <c r="D719" s="220"/>
      <c r="E719" s="220"/>
      <c r="G719" s="220" t="s">
        <v>305</v>
      </c>
      <c r="H719" s="220">
        <f>+H718+I718+J718+K718</f>
        <v>0</v>
      </c>
      <c r="I719" s="220"/>
      <c r="J719" s="220"/>
      <c r="K719" s="220"/>
    </row>
    <row r="720" spans="1:11" ht="15" thickBot="1" x14ac:dyDescent="0.4">
      <c r="A720" s="315" t="s">
        <v>298</v>
      </c>
      <c r="B720" s="315"/>
      <c r="C720" s="315"/>
      <c r="D720" s="315"/>
      <c r="E720" s="315"/>
      <c r="G720" s="315" t="s">
        <v>314</v>
      </c>
      <c r="H720" s="315"/>
      <c r="I720" s="315"/>
      <c r="J720" s="315"/>
      <c r="K720" s="315"/>
    </row>
    <row r="721" spans="1:11" ht="15" thickTop="1" x14ac:dyDescent="0.35">
      <c r="A721" s="313">
        <v>45363</v>
      </c>
      <c r="B721" s="314"/>
      <c r="C721" s="314"/>
      <c r="D721" s="314"/>
      <c r="E721" s="314"/>
      <c r="G721" s="313">
        <v>45363</v>
      </c>
      <c r="H721" s="314"/>
      <c r="I721" s="314"/>
      <c r="J721" s="314"/>
      <c r="K721" s="314"/>
    </row>
    <row r="722" spans="1:11" x14ac:dyDescent="0.35">
      <c r="A722" s="261" t="s">
        <v>159</v>
      </c>
      <c r="B722" s="262" t="s">
        <v>299</v>
      </c>
      <c r="C722" s="262" t="s">
        <v>300</v>
      </c>
      <c r="D722" s="262" t="s">
        <v>301</v>
      </c>
      <c r="E722" s="263" t="s">
        <v>302</v>
      </c>
      <c r="G722" s="264" t="s">
        <v>159</v>
      </c>
      <c r="H722" s="265" t="s">
        <v>299</v>
      </c>
      <c r="I722" s="265" t="s">
        <v>300</v>
      </c>
      <c r="J722" s="265" t="s">
        <v>301</v>
      </c>
      <c r="K722" s="266" t="s">
        <v>302</v>
      </c>
    </row>
    <row r="723" spans="1:11" x14ac:dyDescent="0.35">
      <c r="A723" s="221" t="s">
        <v>303</v>
      </c>
      <c r="B723" s="222"/>
      <c r="C723" s="222"/>
      <c r="D723" s="222"/>
      <c r="E723" s="223"/>
      <c r="G723" s="221" t="s">
        <v>303</v>
      </c>
      <c r="H723" s="222"/>
      <c r="I723" s="222"/>
      <c r="J723" s="222"/>
      <c r="K723" s="223"/>
    </row>
    <row r="724" spans="1:11" x14ac:dyDescent="0.35">
      <c r="A724" s="225" t="s">
        <v>304</v>
      </c>
      <c r="B724" s="226"/>
      <c r="C724" s="226"/>
      <c r="D724" s="226"/>
      <c r="E724" s="227"/>
      <c r="G724" s="225"/>
      <c r="H724" s="226"/>
      <c r="I724" s="226"/>
      <c r="J724" s="226"/>
      <c r="K724" s="227"/>
    </row>
    <row r="725" spans="1:11" x14ac:dyDescent="0.35">
      <c r="A725" s="225"/>
      <c r="B725" s="226"/>
      <c r="C725" s="226"/>
      <c r="D725" s="226"/>
      <c r="E725" s="227"/>
      <c r="G725" s="225"/>
      <c r="H725" s="226"/>
      <c r="I725" s="226"/>
      <c r="J725" s="226"/>
      <c r="K725" s="227"/>
    </row>
    <row r="726" spans="1:11" x14ac:dyDescent="0.35">
      <c r="A726" s="221"/>
      <c r="B726" s="222"/>
      <c r="C726" s="222"/>
      <c r="D726" s="222"/>
      <c r="E726" s="223"/>
      <c r="G726" s="221"/>
      <c r="H726" s="222"/>
      <c r="I726" s="222"/>
      <c r="J726" s="222"/>
      <c r="K726" s="223"/>
    </row>
    <row r="727" spans="1:11" x14ac:dyDescent="0.35">
      <c r="A727" s="225"/>
      <c r="B727" s="226"/>
      <c r="C727" s="226"/>
      <c r="D727" s="226"/>
      <c r="E727" s="227"/>
      <c r="G727" s="225"/>
      <c r="H727" s="226"/>
      <c r="I727" s="226"/>
      <c r="J727" s="226"/>
      <c r="K727" s="227"/>
    </row>
    <row r="728" spans="1:11" ht="15" thickBot="1" x14ac:dyDescent="0.4">
      <c r="A728" s="218" t="s">
        <v>34</v>
      </c>
      <c r="B728" s="219">
        <f>SUM(B723:B727)</f>
        <v>0</v>
      </c>
      <c r="C728" s="219">
        <f>SUM(C723:C727)</f>
        <v>0</v>
      </c>
      <c r="D728" s="219">
        <f>SUM(D723:D727)</f>
        <v>0</v>
      </c>
      <c r="E728" s="219">
        <f>SUM(E723:E727)</f>
        <v>0</v>
      </c>
      <c r="G728" s="218" t="s">
        <v>34</v>
      </c>
      <c r="H728" s="219">
        <f>SUM(H723:H727)</f>
        <v>0</v>
      </c>
      <c r="I728" s="219">
        <f>SUM(I723:I727)</f>
        <v>0</v>
      </c>
      <c r="J728" s="219">
        <f>SUM(J723:J727)</f>
        <v>0</v>
      </c>
      <c r="K728" s="219">
        <f>SUM(K723:K727)</f>
        <v>0</v>
      </c>
    </row>
    <row r="729" spans="1:11" x14ac:dyDescent="0.35">
      <c r="A729" s="220" t="s">
        <v>305</v>
      </c>
      <c r="B729" s="220">
        <f>+B728+C728+D728+E728</f>
        <v>0</v>
      </c>
      <c r="C729" s="220"/>
      <c r="D729" s="220"/>
      <c r="E729" s="220"/>
      <c r="G729" s="220" t="s">
        <v>305</v>
      </c>
      <c r="H729" s="220">
        <f>+H728+I728+J728+K728</f>
        <v>0</v>
      </c>
      <c r="I729" s="220"/>
      <c r="J729" s="220"/>
      <c r="K729" s="220"/>
    </row>
    <row r="730" spans="1:11" ht="15" thickBot="1" x14ac:dyDescent="0.4">
      <c r="A730" s="315" t="s">
        <v>298</v>
      </c>
      <c r="B730" s="315"/>
      <c r="C730" s="315"/>
      <c r="D730" s="315"/>
      <c r="E730" s="315"/>
      <c r="G730" s="315" t="s">
        <v>314</v>
      </c>
      <c r="H730" s="315"/>
      <c r="I730" s="315"/>
      <c r="J730" s="315"/>
      <c r="K730" s="315"/>
    </row>
    <row r="731" spans="1:11" ht="15" thickTop="1" x14ac:dyDescent="0.35">
      <c r="A731" s="313">
        <v>45364</v>
      </c>
      <c r="B731" s="314"/>
      <c r="C731" s="314"/>
      <c r="D731" s="314"/>
      <c r="E731" s="314"/>
      <c r="G731" s="313">
        <v>45364</v>
      </c>
      <c r="H731" s="314"/>
      <c r="I731" s="314"/>
      <c r="J731" s="314"/>
      <c r="K731" s="314"/>
    </row>
    <row r="732" spans="1:11" x14ac:dyDescent="0.35">
      <c r="A732" s="261" t="s">
        <v>159</v>
      </c>
      <c r="B732" s="262" t="s">
        <v>299</v>
      </c>
      <c r="C732" s="262" t="s">
        <v>300</v>
      </c>
      <c r="D732" s="262" t="s">
        <v>301</v>
      </c>
      <c r="E732" s="263" t="s">
        <v>302</v>
      </c>
      <c r="G732" s="264" t="s">
        <v>159</v>
      </c>
      <c r="H732" s="265" t="s">
        <v>299</v>
      </c>
      <c r="I732" s="265" t="s">
        <v>300</v>
      </c>
      <c r="J732" s="265" t="s">
        <v>301</v>
      </c>
      <c r="K732" s="266" t="s">
        <v>302</v>
      </c>
    </row>
    <row r="733" spans="1:11" x14ac:dyDescent="0.35">
      <c r="A733" s="221" t="s">
        <v>303</v>
      </c>
      <c r="B733" s="222">
        <v>3672</v>
      </c>
      <c r="C733" s="222"/>
      <c r="D733" s="222"/>
      <c r="E733" s="223"/>
      <c r="G733" s="221" t="s">
        <v>303</v>
      </c>
      <c r="H733" s="222"/>
      <c r="I733" s="222"/>
      <c r="J733" s="222"/>
      <c r="K733" s="223"/>
    </row>
    <row r="734" spans="1:11" x14ac:dyDescent="0.35">
      <c r="A734" s="225" t="s">
        <v>304</v>
      </c>
      <c r="B734" s="226"/>
      <c r="C734" s="226"/>
      <c r="D734" s="226"/>
      <c r="E734" s="227"/>
      <c r="G734" s="225"/>
      <c r="H734" s="226"/>
      <c r="I734" s="226"/>
      <c r="J734" s="226"/>
      <c r="K734" s="227"/>
    </row>
    <row r="735" spans="1:11" x14ac:dyDescent="0.35">
      <c r="A735" s="225"/>
      <c r="B735" s="226"/>
      <c r="C735" s="226"/>
      <c r="D735" s="226"/>
      <c r="E735" s="227"/>
      <c r="G735" s="225"/>
      <c r="H735" s="226"/>
      <c r="I735" s="226"/>
      <c r="J735" s="226"/>
      <c r="K735" s="227"/>
    </row>
    <row r="736" spans="1:11" x14ac:dyDescent="0.35">
      <c r="A736" s="221"/>
      <c r="B736" s="222"/>
      <c r="C736" s="222"/>
      <c r="D736" s="222"/>
      <c r="E736" s="223"/>
      <c r="G736" s="221"/>
      <c r="H736" s="222"/>
      <c r="I736" s="222"/>
      <c r="J736" s="222"/>
      <c r="K736" s="223"/>
    </row>
    <row r="737" spans="1:11" x14ac:dyDescent="0.35">
      <c r="A737" s="225"/>
      <c r="B737" s="226"/>
      <c r="C737" s="226"/>
      <c r="D737" s="226"/>
      <c r="E737" s="227"/>
      <c r="G737" s="225"/>
      <c r="H737" s="226"/>
      <c r="I737" s="226"/>
      <c r="J737" s="226"/>
      <c r="K737" s="227"/>
    </row>
    <row r="738" spans="1:11" ht="15" thickBot="1" x14ac:dyDescent="0.4">
      <c r="A738" s="218" t="s">
        <v>34</v>
      </c>
      <c r="B738" s="219">
        <f>SUM(B733:B737)</f>
        <v>3672</v>
      </c>
      <c r="C738" s="219">
        <f>SUM(C733:C737)</f>
        <v>0</v>
      </c>
      <c r="D738" s="219">
        <f>SUM(D733:D737)</f>
        <v>0</v>
      </c>
      <c r="E738" s="219">
        <f>SUM(E733:E737)</f>
        <v>0</v>
      </c>
      <c r="G738" s="218" t="s">
        <v>34</v>
      </c>
      <c r="H738" s="219">
        <f>SUM(H733:H737)</f>
        <v>0</v>
      </c>
      <c r="I738" s="219">
        <f>SUM(I733:I737)</f>
        <v>0</v>
      </c>
      <c r="J738" s="219">
        <f>SUM(J733:J737)</f>
        <v>0</v>
      </c>
      <c r="K738" s="219">
        <f>SUM(K733:K737)</f>
        <v>0</v>
      </c>
    </row>
    <row r="739" spans="1:11" x14ac:dyDescent="0.35">
      <c r="A739" s="220" t="s">
        <v>305</v>
      </c>
      <c r="B739" s="220">
        <f>+B738+C738+D738+E738</f>
        <v>3672</v>
      </c>
      <c r="C739" s="220"/>
      <c r="D739" s="220"/>
      <c r="E739" s="220"/>
      <c r="G739" s="220" t="s">
        <v>305</v>
      </c>
      <c r="H739" s="220">
        <f>+H738+I738+J738+K738</f>
        <v>0</v>
      </c>
      <c r="I739" s="220"/>
      <c r="J739" s="220"/>
      <c r="K739" s="220"/>
    </row>
    <row r="740" spans="1:11" ht="15" thickBot="1" x14ac:dyDescent="0.4">
      <c r="A740" s="315" t="s">
        <v>298</v>
      </c>
      <c r="B740" s="315"/>
      <c r="C740" s="315"/>
      <c r="D740" s="315"/>
      <c r="E740" s="315"/>
      <c r="G740" s="315" t="s">
        <v>314</v>
      </c>
      <c r="H740" s="315"/>
      <c r="I740" s="315"/>
      <c r="J740" s="315"/>
      <c r="K740" s="315"/>
    </row>
    <row r="741" spans="1:11" ht="15" thickTop="1" x14ac:dyDescent="0.35">
      <c r="A741" s="313">
        <v>45365</v>
      </c>
      <c r="B741" s="314"/>
      <c r="C741" s="314"/>
      <c r="D741" s="314"/>
      <c r="E741" s="314"/>
      <c r="G741" s="313">
        <v>45365</v>
      </c>
      <c r="H741" s="314"/>
      <c r="I741" s="314"/>
      <c r="J741" s="314"/>
      <c r="K741" s="314"/>
    </row>
    <row r="742" spans="1:11" x14ac:dyDescent="0.35">
      <c r="A742" s="261" t="s">
        <v>159</v>
      </c>
      <c r="B742" s="262" t="s">
        <v>299</v>
      </c>
      <c r="C742" s="262" t="s">
        <v>300</v>
      </c>
      <c r="D742" s="262" t="s">
        <v>301</v>
      </c>
      <c r="E742" s="263" t="s">
        <v>302</v>
      </c>
      <c r="G742" s="264" t="s">
        <v>159</v>
      </c>
      <c r="H742" s="265" t="s">
        <v>299</v>
      </c>
      <c r="I742" s="265" t="s">
        <v>300</v>
      </c>
      <c r="J742" s="265" t="s">
        <v>301</v>
      </c>
      <c r="K742" s="266" t="s">
        <v>302</v>
      </c>
    </row>
    <row r="743" spans="1:11" x14ac:dyDescent="0.35">
      <c r="A743" s="221" t="s">
        <v>303</v>
      </c>
      <c r="B743" s="222">
        <v>7459</v>
      </c>
      <c r="C743" s="222"/>
      <c r="D743" s="222"/>
      <c r="E743" s="223"/>
      <c r="G743" s="221" t="s">
        <v>303</v>
      </c>
      <c r="H743" s="222">
        <v>4524</v>
      </c>
      <c r="I743" s="222"/>
      <c r="J743" s="222"/>
      <c r="K743" s="223"/>
    </row>
    <row r="744" spans="1:11" x14ac:dyDescent="0.35">
      <c r="A744" s="225" t="s">
        <v>304</v>
      </c>
      <c r="B744" s="226"/>
      <c r="C744" s="226"/>
      <c r="D744" s="226"/>
      <c r="E744" s="227"/>
      <c r="G744" s="225"/>
      <c r="H744" s="226"/>
      <c r="I744" s="226"/>
      <c r="J744" s="226"/>
      <c r="K744" s="227"/>
    </row>
    <row r="745" spans="1:11" x14ac:dyDescent="0.35">
      <c r="A745" s="225"/>
      <c r="B745" s="226"/>
      <c r="C745" s="226"/>
      <c r="D745" s="226"/>
      <c r="E745" s="227"/>
      <c r="G745" s="225"/>
      <c r="H745" s="226"/>
      <c r="I745" s="226"/>
      <c r="J745" s="226"/>
      <c r="K745" s="227"/>
    </row>
    <row r="746" spans="1:11" x14ac:dyDescent="0.35">
      <c r="A746" s="221"/>
      <c r="B746" s="222"/>
      <c r="C746" s="222"/>
      <c r="D746" s="222"/>
      <c r="E746" s="223"/>
      <c r="G746" s="221"/>
      <c r="H746" s="222"/>
      <c r="I746" s="222"/>
      <c r="J746" s="222"/>
      <c r="K746" s="223"/>
    </row>
    <row r="747" spans="1:11" x14ac:dyDescent="0.35">
      <c r="A747" s="225"/>
      <c r="B747" s="226"/>
      <c r="C747" s="226"/>
      <c r="D747" s="226"/>
      <c r="E747" s="227"/>
      <c r="G747" s="225"/>
      <c r="H747" s="226"/>
      <c r="I747" s="226"/>
      <c r="J747" s="226"/>
      <c r="K747" s="227"/>
    </row>
    <row r="748" spans="1:11" ht="15" thickBot="1" x14ac:dyDescent="0.4">
      <c r="A748" s="218" t="s">
        <v>34</v>
      </c>
      <c r="B748" s="219">
        <f>SUM(B743:B747)</f>
        <v>7459</v>
      </c>
      <c r="C748" s="219">
        <f>SUM(C743:C747)</f>
        <v>0</v>
      </c>
      <c r="D748" s="219">
        <f>SUM(D743:D747)</f>
        <v>0</v>
      </c>
      <c r="E748" s="219">
        <f>SUM(E743:E747)</f>
        <v>0</v>
      </c>
      <c r="G748" s="218" t="s">
        <v>34</v>
      </c>
      <c r="H748" s="219">
        <f>SUM(H743:H747)</f>
        <v>4524</v>
      </c>
      <c r="I748" s="219">
        <f>SUM(I743:I747)</f>
        <v>0</v>
      </c>
      <c r="J748" s="219">
        <f>SUM(J743:J747)</f>
        <v>0</v>
      </c>
      <c r="K748" s="219">
        <f>SUM(K743:K747)</f>
        <v>0</v>
      </c>
    </row>
    <row r="749" spans="1:11" x14ac:dyDescent="0.35">
      <c r="A749" s="220" t="s">
        <v>305</v>
      </c>
      <c r="B749" s="220">
        <f>+B748+C748+D748+E748</f>
        <v>7459</v>
      </c>
      <c r="C749" s="220"/>
      <c r="D749" s="220"/>
      <c r="E749" s="220"/>
      <c r="G749" s="220" t="s">
        <v>305</v>
      </c>
      <c r="H749" s="220">
        <f>+H748+I748+J748+K748</f>
        <v>4524</v>
      </c>
      <c r="I749" s="220"/>
      <c r="J749" s="220"/>
      <c r="K749" s="220"/>
    </row>
    <row r="750" spans="1:11" ht="15" thickBot="1" x14ac:dyDescent="0.4">
      <c r="A750" s="315" t="s">
        <v>298</v>
      </c>
      <c r="B750" s="315"/>
      <c r="C750" s="315"/>
      <c r="D750" s="315"/>
      <c r="E750" s="315"/>
      <c r="G750" s="315" t="s">
        <v>314</v>
      </c>
      <c r="H750" s="315"/>
      <c r="I750" s="315"/>
      <c r="J750" s="315"/>
      <c r="K750" s="315"/>
    </row>
    <row r="751" spans="1:11" ht="15" thickTop="1" x14ac:dyDescent="0.35">
      <c r="A751" s="313">
        <v>45366</v>
      </c>
      <c r="B751" s="314"/>
      <c r="C751" s="314"/>
      <c r="D751" s="314"/>
      <c r="E751" s="314"/>
      <c r="G751" s="313">
        <v>45366</v>
      </c>
      <c r="H751" s="314"/>
      <c r="I751" s="314"/>
      <c r="J751" s="314"/>
      <c r="K751" s="314"/>
    </row>
    <row r="752" spans="1:11" x14ac:dyDescent="0.35">
      <c r="A752" s="261" t="s">
        <v>159</v>
      </c>
      <c r="B752" s="262" t="s">
        <v>299</v>
      </c>
      <c r="C752" s="262" t="s">
        <v>300</v>
      </c>
      <c r="D752" s="262" t="s">
        <v>301</v>
      </c>
      <c r="E752" s="263" t="s">
        <v>302</v>
      </c>
      <c r="G752" s="264" t="s">
        <v>159</v>
      </c>
      <c r="H752" s="265" t="s">
        <v>299</v>
      </c>
      <c r="I752" s="265" t="s">
        <v>300</v>
      </c>
      <c r="J752" s="265" t="s">
        <v>301</v>
      </c>
      <c r="K752" s="266" t="s">
        <v>302</v>
      </c>
    </row>
    <row r="753" spans="1:11" x14ac:dyDescent="0.35">
      <c r="A753" s="221" t="s">
        <v>303</v>
      </c>
      <c r="B753" s="222">
        <v>22488</v>
      </c>
      <c r="C753" s="222"/>
      <c r="D753" s="222"/>
      <c r="E753" s="223"/>
      <c r="G753" s="221" t="s">
        <v>303</v>
      </c>
      <c r="H753" s="222">
        <v>5297</v>
      </c>
      <c r="I753" s="222"/>
      <c r="J753" s="222"/>
      <c r="K753" s="223"/>
    </row>
    <row r="754" spans="1:11" x14ac:dyDescent="0.35">
      <c r="A754" s="225" t="s">
        <v>304</v>
      </c>
      <c r="B754" s="226"/>
      <c r="C754" s="226"/>
      <c r="D754" s="226"/>
      <c r="E754" s="227"/>
      <c r="G754" s="225"/>
      <c r="H754" s="226"/>
      <c r="I754" s="226"/>
      <c r="J754" s="226"/>
      <c r="K754" s="227"/>
    </row>
    <row r="755" spans="1:11" x14ac:dyDescent="0.35">
      <c r="A755" s="225"/>
      <c r="B755" s="226"/>
      <c r="C755" s="226"/>
      <c r="D755" s="226"/>
      <c r="E755" s="227"/>
      <c r="G755" s="225"/>
      <c r="H755" s="226"/>
      <c r="I755" s="226"/>
      <c r="J755" s="226"/>
      <c r="K755" s="227"/>
    </row>
    <row r="756" spans="1:11" x14ac:dyDescent="0.35">
      <c r="A756" s="221"/>
      <c r="B756" s="222"/>
      <c r="C756" s="222"/>
      <c r="D756" s="222"/>
      <c r="E756" s="223"/>
      <c r="G756" s="221"/>
      <c r="H756" s="222"/>
      <c r="I756" s="222"/>
      <c r="J756" s="222"/>
      <c r="K756" s="223"/>
    </row>
    <row r="757" spans="1:11" x14ac:dyDescent="0.35">
      <c r="A757" s="225"/>
      <c r="B757" s="226"/>
      <c r="C757" s="226"/>
      <c r="D757" s="226"/>
      <c r="E757" s="227"/>
      <c r="G757" s="225"/>
      <c r="H757" s="226"/>
      <c r="I757" s="226"/>
      <c r="J757" s="226"/>
      <c r="K757" s="227"/>
    </row>
    <row r="758" spans="1:11" ht="15" thickBot="1" x14ac:dyDescent="0.4">
      <c r="A758" s="218" t="s">
        <v>34</v>
      </c>
      <c r="B758" s="219">
        <f>SUM(B753:B757)</f>
        <v>22488</v>
      </c>
      <c r="C758" s="219">
        <f>SUM(C753:C757)</f>
        <v>0</v>
      </c>
      <c r="D758" s="219">
        <f>SUM(D753:D757)</f>
        <v>0</v>
      </c>
      <c r="E758" s="219">
        <f>SUM(E753:E757)</f>
        <v>0</v>
      </c>
      <c r="G758" s="218" t="s">
        <v>34</v>
      </c>
      <c r="H758" s="219">
        <f>SUM(H753:H757)</f>
        <v>5297</v>
      </c>
      <c r="I758" s="219">
        <f>SUM(I753:I757)</f>
        <v>0</v>
      </c>
      <c r="J758" s="219">
        <f>SUM(J753:J757)</f>
        <v>0</v>
      </c>
      <c r="K758" s="219">
        <f>SUM(K753:K757)</f>
        <v>0</v>
      </c>
    </row>
    <row r="759" spans="1:11" x14ac:dyDescent="0.35">
      <c r="A759" s="220" t="s">
        <v>305</v>
      </c>
      <c r="B759" s="220">
        <f>+B758+C758+D758+E758</f>
        <v>22488</v>
      </c>
      <c r="C759" s="220"/>
      <c r="D759" s="220"/>
      <c r="E759" s="220"/>
      <c r="G759" s="220" t="s">
        <v>305</v>
      </c>
      <c r="H759" s="220">
        <f>+H758+I758+J758+K758</f>
        <v>5297</v>
      </c>
      <c r="I759" s="220"/>
      <c r="J759" s="220"/>
      <c r="K759" s="220"/>
    </row>
    <row r="760" spans="1:11" ht="15" thickBot="1" x14ac:dyDescent="0.4">
      <c r="A760" s="315" t="s">
        <v>298</v>
      </c>
      <c r="B760" s="315"/>
      <c r="C760" s="315"/>
      <c r="D760" s="315"/>
      <c r="E760" s="315"/>
      <c r="G760" s="315" t="s">
        <v>314</v>
      </c>
      <c r="H760" s="315"/>
      <c r="I760" s="315"/>
      <c r="J760" s="315"/>
      <c r="K760" s="315"/>
    </row>
    <row r="761" spans="1:11" ht="15" thickTop="1" x14ac:dyDescent="0.35">
      <c r="A761" s="313">
        <v>45367</v>
      </c>
      <c r="B761" s="314"/>
      <c r="C761" s="314"/>
      <c r="D761" s="314"/>
      <c r="E761" s="314"/>
      <c r="G761" s="313">
        <v>45367</v>
      </c>
      <c r="H761" s="314"/>
      <c r="I761" s="314"/>
      <c r="J761" s="314"/>
      <c r="K761" s="314"/>
    </row>
    <row r="762" spans="1:11" x14ac:dyDescent="0.35">
      <c r="A762" s="261" t="s">
        <v>159</v>
      </c>
      <c r="B762" s="262" t="s">
        <v>299</v>
      </c>
      <c r="C762" s="262" t="s">
        <v>300</v>
      </c>
      <c r="D762" s="262" t="s">
        <v>301</v>
      </c>
      <c r="E762" s="263" t="s">
        <v>302</v>
      </c>
      <c r="G762" s="264" t="s">
        <v>159</v>
      </c>
      <c r="H762" s="265" t="s">
        <v>299</v>
      </c>
      <c r="I762" s="265" t="s">
        <v>300</v>
      </c>
      <c r="J762" s="265" t="s">
        <v>301</v>
      </c>
      <c r="K762" s="266" t="s">
        <v>302</v>
      </c>
    </row>
    <row r="763" spans="1:11" x14ac:dyDescent="0.35">
      <c r="A763" s="221" t="s">
        <v>303</v>
      </c>
      <c r="B763" s="222">
        <v>25720</v>
      </c>
      <c r="C763" s="222"/>
      <c r="D763" s="222"/>
      <c r="E763" s="223"/>
      <c r="G763" s="221" t="s">
        <v>303</v>
      </c>
      <c r="H763" s="222">
        <v>2323</v>
      </c>
      <c r="I763" s="222"/>
      <c r="J763" s="222"/>
      <c r="K763" s="223"/>
    </row>
    <row r="764" spans="1:11" x14ac:dyDescent="0.35">
      <c r="A764" s="225" t="s">
        <v>304</v>
      </c>
      <c r="B764" s="226"/>
      <c r="C764" s="226"/>
      <c r="D764" s="226"/>
      <c r="E764" s="227"/>
      <c r="G764" s="225"/>
      <c r="H764" s="226"/>
      <c r="I764" s="226"/>
      <c r="J764" s="226"/>
      <c r="K764" s="227"/>
    </row>
    <row r="765" spans="1:11" x14ac:dyDescent="0.35">
      <c r="A765" s="225"/>
      <c r="B765" s="226"/>
      <c r="C765" s="226"/>
      <c r="D765" s="226"/>
      <c r="E765" s="227"/>
      <c r="G765" s="225"/>
      <c r="H765" s="226"/>
      <c r="I765" s="226"/>
      <c r="J765" s="226"/>
      <c r="K765" s="227"/>
    </row>
    <row r="766" spans="1:11" x14ac:dyDescent="0.35">
      <c r="A766" s="221"/>
      <c r="B766" s="222"/>
      <c r="C766" s="222"/>
      <c r="D766" s="222"/>
      <c r="E766" s="223"/>
      <c r="G766" s="221"/>
      <c r="H766" s="222"/>
      <c r="I766" s="222"/>
      <c r="J766" s="222"/>
      <c r="K766" s="223"/>
    </row>
    <row r="767" spans="1:11" x14ac:dyDescent="0.35">
      <c r="A767" s="225"/>
      <c r="B767" s="226"/>
      <c r="C767" s="226"/>
      <c r="D767" s="226"/>
      <c r="E767" s="227"/>
      <c r="G767" s="225"/>
      <c r="H767" s="226"/>
      <c r="I767" s="226"/>
      <c r="J767" s="226"/>
      <c r="K767" s="227"/>
    </row>
    <row r="768" spans="1:11" ht="15" thickBot="1" x14ac:dyDescent="0.4">
      <c r="A768" s="218" t="s">
        <v>34</v>
      </c>
      <c r="B768" s="219">
        <f>SUM(B763:B767)</f>
        <v>25720</v>
      </c>
      <c r="C768" s="219">
        <f>SUM(C763:C767)</f>
        <v>0</v>
      </c>
      <c r="D768" s="219">
        <f>SUM(D763:D767)</f>
        <v>0</v>
      </c>
      <c r="E768" s="219">
        <f>SUM(E763:E767)</f>
        <v>0</v>
      </c>
      <c r="G768" s="218" t="s">
        <v>34</v>
      </c>
      <c r="H768" s="219">
        <f>SUM(H763:H767)</f>
        <v>2323</v>
      </c>
      <c r="I768" s="219">
        <f>SUM(I763:I767)</f>
        <v>0</v>
      </c>
      <c r="J768" s="219">
        <f>SUM(J763:J767)</f>
        <v>0</v>
      </c>
      <c r="K768" s="219">
        <f>SUM(K763:K767)</f>
        <v>0</v>
      </c>
    </row>
    <row r="769" spans="1:11" x14ac:dyDescent="0.35">
      <c r="A769" s="220" t="s">
        <v>305</v>
      </c>
      <c r="B769" s="220">
        <f>+B768+C768+D768+E768</f>
        <v>25720</v>
      </c>
      <c r="C769" s="220"/>
      <c r="D769" s="220"/>
      <c r="E769" s="220"/>
      <c r="G769" s="220" t="s">
        <v>305</v>
      </c>
      <c r="H769" s="220">
        <f>+H768+I768+J768+K768</f>
        <v>2323</v>
      </c>
      <c r="I769" s="220"/>
      <c r="J769" s="220"/>
      <c r="K769" s="220"/>
    </row>
    <row r="770" spans="1:11" ht="15" thickBot="1" x14ac:dyDescent="0.4">
      <c r="A770" s="315" t="s">
        <v>298</v>
      </c>
      <c r="B770" s="315"/>
      <c r="C770" s="315"/>
      <c r="D770" s="315"/>
      <c r="E770" s="315"/>
      <c r="G770" s="315" t="s">
        <v>314</v>
      </c>
      <c r="H770" s="315"/>
      <c r="I770" s="315"/>
      <c r="J770" s="315"/>
      <c r="K770" s="315"/>
    </row>
    <row r="771" spans="1:11" ht="15" thickTop="1" x14ac:dyDescent="0.35">
      <c r="A771" s="313">
        <v>45368</v>
      </c>
      <c r="B771" s="314"/>
      <c r="C771" s="314"/>
      <c r="D771" s="314"/>
      <c r="E771" s="314"/>
      <c r="G771" s="313">
        <v>45368</v>
      </c>
      <c r="H771" s="314"/>
      <c r="I771" s="314"/>
      <c r="J771" s="314"/>
      <c r="K771" s="314"/>
    </row>
    <row r="772" spans="1:11" x14ac:dyDescent="0.35">
      <c r="A772" s="261" t="s">
        <v>159</v>
      </c>
      <c r="B772" s="262" t="s">
        <v>299</v>
      </c>
      <c r="C772" s="262" t="s">
        <v>300</v>
      </c>
      <c r="D772" s="262" t="s">
        <v>301</v>
      </c>
      <c r="E772" s="263" t="s">
        <v>302</v>
      </c>
      <c r="G772" s="264" t="s">
        <v>159</v>
      </c>
      <c r="H772" s="265" t="s">
        <v>299</v>
      </c>
      <c r="I772" s="265" t="s">
        <v>300</v>
      </c>
      <c r="J772" s="265" t="s">
        <v>301</v>
      </c>
      <c r="K772" s="266" t="s">
        <v>302</v>
      </c>
    </row>
    <row r="773" spans="1:11" x14ac:dyDescent="0.35">
      <c r="A773" s="221" t="s">
        <v>303</v>
      </c>
      <c r="B773" s="222">
        <v>22947</v>
      </c>
      <c r="C773" s="222"/>
      <c r="D773" s="222"/>
      <c r="E773" s="223"/>
      <c r="G773" s="221" t="s">
        <v>303</v>
      </c>
      <c r="H773" s="222">
        <v>6116</v>
      </c>
      <c r="I773" s="222"/>
      <c r="J773" s="222"/>
      <c r="K773" s="223"/>
    </row>
    <row r="774" spans="1:11" x14ac:dyDescent="0.35">
      <c r="A774" s="225" t="s">
        <v>304</v>
      </c>
      <c r="B774" s="226">
        <v>1730</v>
      </c>
      <c r="C774" s="226"/>
      <c r="D774" s="226"/>
      <c r="E774" s="227"/>
      <c r="G774" s="225"/>
      <c r="H774" s="226"/>
      <c r="I774" s="226"/>
      <c r="J774" s="226"/>
      <c r="K774" s="227"/>
    </row>
    <row r="775" spans="1:11" x14ac:dyDescent="0.35">
      <c r="A775" s="225"/>
      <c r="B775" s="226"/>
      <c r="C775" s="226"/>
      <c r="D775" s="226"/>
      <c r="E775" s="227"/>
      <c r="G775" s="225"/>
      <c r="H775" s="226"/>
      <c r="I775" s="226"/>
      <c r="J775" s="226"/>
      <c r="K775" s="227"/>
    </row>
    <row r="776" spans="1:11" x14ac:dyDescent="0.35">
      <c r="A776" s="221"/>
      <c r="B776" s="222"/>
      <c r="C776" s="222"/>
      <c r="D776" s="222"/>
      <c r="E776" s="223"/>
      <c r="G776" s="221"/>
      <c r="H776" s="222"/>
      <c r="I776" s="222"/>
      <c r="J776" s="222"/>
      <c r="K776" s="223"/>
    </row>
    <row r="777" spans="1:11" x14ac:dyDescent="0.35">
      <c r="A777" s="225"/>
      <c r="B777" s="226"/>
      <c r="C777" s="226"/>
      <c r="D777" s="226"/>
      <c r="E777" s="227"/>
      <c r="G777" s="225"/>
      <c r="H777" s="226"/>
      <c r="I777" s="226"/>
      <c r="J777" s="226"/>
      <c r="K777" s="227"/>
    </row>
    <row r="778" spans="1:11" ht="15" thickBot="1" x14ac:dyDescent="0.4">
      <c r="A778" s="218" t="s">
        <v>34</v>
      </c>
      <c r="B778" s="219">
        <f>SUM(B773:B777)</f>
        <v>24677</v>
      </c>
      <c r="C778" s="219">
        <f>SUM(C773:C777)</f>
        <v>0</v>
      </c>
      <c r="D778" s="219">
        <f>SUM(D773:D777)</f>
        <v>0</v>
      </c>
      <c r="E778" s="219">
        <f>SUM(E773:E777)</f>
        <v>0</v>
      </c>
      <c r="G778" s="218" t="s">
        <v>34</v>
      </c>
      <c r="H778" s="219">
        <f>SUM(H773:H777)</f>
        <v>6116</v>
      </c>
      <c r="I778" s="219">
        <f>SUM(I773:I777)</f>
        <v>0</v>
      </c>
      <c r="J778" s="219">
        <f>SUM(J773:J777)</f>
        <v>0</v>
      </c>
      <c r="K778" s="219">
        <f>SUM(K773:K777)</f>
        <v>0</v>
      </c>
    </row>
    <row r="779" spans="1:11" x14ac:dyDescent="0.35">
      <c r="A779" s="220" t="s">
        <v>305</v>
      </c>
      <c r="B779" s="220">
        <f>+B778+C778+D778+E778</f>
        <v>24677</v>
      </c>
      <c r="C779" s="220"/>
      <c r="D779" s="220"/>
      <c r="E779" s="220"/>
      <c r="G779" s="220" t="s">
        <v>305</v>
      </c>
      <c r="H779" s="220">
        <f>+H778+I778+J778+K778</f>
        <v>6116</v>
      </c>
      <c r="I779" s="220"/>
      <c r="J779" s="220"/>
      <c r="K779" s="220"/>
    </row>
    <row r="780" spans="1:11" ht="15" thickBot="1" x14ac:dyDescent="0.4">
      <c r="A780" s="315" t="s">
        <v>298</v>
      </c>
      <c r="B780" s="315"/>
      <c r="C780" s="315"/>
      <c r="D780" s="315"/>
      <c r="E780" s="315"/>
      <c r="G780" s="315" t="s">
        <v>314</v>
      </c>
      <c r="H780" s="315"/>
      <c r="I780" s="315"/>
      <c r="J780" s="315"/>
      <c r="K780" s="315"/>
    </row>
    <row r="781" spans="1:11" ht="15" thickTop="1" x14ac:dyDescent="0.35">
      <c r="A781" s="313">
        <v>45369</v>
      </c>
      <c r="B781" s="314"/>
      <c r="C781" s="314"/>
      <c r="D781" s="314"/>
      <c r="E781" s="314"/>
      <c r="G781" s="313">
        <v>45369</v>
      </c>
      <c r="H781" s="314"/>
      <c r="I781" s="314"/>
      <c r="J781" s="314"/>
      <c r="K781" s="314"/>
    </row>
    <row r="782" spans="1:11" x14ac:dyDescent="0.35">
      <c r="A782" s="261" t="s">
        <v>159</v>
      </c>
      <c r="B782" s="262" t="s">
        <v>299</v>
      </c>
      <c r="C782" s="262" t="s">
        <v>300</v>
      </c>
      <c r="D782" s="262" t="s">
        <v>301</v>
      </c>
      <c r="E782" s="263" t="s">
        <v>302</v>
      </c>
      <c r="G782" s="264" t="s">
        <v>159</v>
      </c>
      <c r="H782" s="265" t="s">
        <v>299</v>
      </c>
      <c r="I782" s="265" t="s">
        <v>300</v>
      </c>
      <c r="J782" s="265" t="s">
        <v>301</v>
      </c>
      <c r="K782" s="266" t="s">
        <v>302</v>
      </c>
    </row>
    <row r="783" spans="1:11" x14ac:dyDescent="0.35">
      <c r="A783" s="221" t="s">
        <v>303</v>
      </c>
      <c r="B783" s="222">
        <v>13036</v>
      </c>
      <c r="C783" s="222"/>
      <c r="D783" s="222"/>
      <c r="E783" s="223"/>
      <c r="G783" s="221" t="s">
        <v>303</v>
      </c>
      <c r="H783" s="222">
        <v>1434</v>
      </c>
      <c r="I783" s="222"/>
      <c r="J783" s="222"/>
      <c r="K783" s="223"/>
    </row>
    <row r="784" spans="1:11" x14ac:dyDescent="0.35">
      <c r="A784" s="225" t="s">
        <v>304</v>
      </c>
      <c r="B784" s="226">
        <v>24393</v>
      </c>
      <c r="C784" s="226"/>
      <c r="D784" s="226"/>
      <c r="E784" s="227"/>
      <c r="G784" s="225"/>
      <c r="H784" s="226"/>
      <c r="I784" s="226"/>
      <c r="J784" s="226"/>
      <c r="K784" s="227"/>
    </row>
    <row r="785" spans="1:11" x14ac:dyDescent="0.35">
      <c r="A785" s="225"/>
      <c r="B785" s="226"/>
      <c r="C785" s="226"/>
      <c r="D785" s="226"/>
      <c r="E785" s="227"/>
      <c r="G785" s="225"/>
      <c r="H785" s="226"/>
      <c r="I785" s="226"/>
      <c r="J785" s="226"/>
      <c r="K785" s="227"/>
    </row>
    <row r="786" spans="1:11" x14ac:dyDescent="0.35">
      <c r="A786" s="221"/>
      <c r="B786" s="222"/>
      <c r="C786" s="222"/>
      <c r="D786" s="222"/>
      <c r="E786" s="223"/>
      <c r="G786" s="221"/>
      <c r="H786" s="222"/>
      <c r="I786" s="222"/>
      <c r="J786" s="222"/>
      <c r="K786" s="223"/>
    </row>
    <row r="787" spans="1:11" x14ac:dyDescent="0.35">
      <c r="A787" s="225"/>
      <c r="B787" s="226"/>
      <c r="C787" s="226"/>
      <c r="D787" s="226"/>
      <c r="E787" s="227"/>
      <c r="G787" s="225"/>
      <c r="H787" s="226"/>
      <c r="I787" s="226"/>
      <c r="J787" s="226"/>
      <c r="K787" s="227"/>
    </row>
    <row r="788" spans="1:11" ht="15" thickBot="1" x14ac:dyDescent="0.4">
      <c r="A788" s="218" t="s">
        <v>34</v>
      </c>
      <c r="B788" s="219">
        <f>SUM(B783:B787)</f>
        <v>37429</v>
      </c>
      <c r="C788" s="219">
        <f>SUM(C783:C787)</f>
        <v>0</v>
      </c>
      <c r="D788" s="219">
        <f>SUM(D783:D787)</f>
        <v>0</v>
      </c>
      <c r="E788" s="219">
        <f>SUM(E783:E787)</f>
        <v>0</v>
      </c>
      <c r="G788" s="218" t="s">
        <v>34</v>
      </c>
      <c r="H788" s="219">
        <f>SUM(H783:H787)</f>
        <v>1434</v>
      </c>
      <c r="I788" s="219">
        <f>SUM(I783:I787)</f>
        <v>0</v>
      </c>
      <c r="J788" s="219">
        <f>SUM(J783:J787)</f>
        <v>0</v>
      </c>
      <c r="K788" s="219">
        <f>SUM(K783:K787)</f>
        <v>0</v>
      </c>
    </row>
    <row r="789" spans="1:11" x14ac:dyDescent="0.35">
      <c r="A789" s="220" t="s">
        <v>305</v>
      </c>
      <c r="B789" s="220">
        <f>+B788+C788+D788+E788</f>
        <v>37429</v>
      </c>
      <c r="C789" s="220"/>
      <c r="D789" s="220"/>
      <c r="E789" s="220"/>
      <c r="G789" s="220" t="s">
        <v>305</v>
      </c>
      <c r="H789" s="220">
        <f>+H788+I788+J788+K788</f>
        <v>1434</v>
      </c>
      <c r="I789" s="220"/>
      <c r="J789" s="220"/>
      <c r="K789" s="220"/>
    </row>
    <row r="790" spans="1:11" ht="15" thickBot="1" x14ac:dyDescent="0.4">
      <c r="A790" s="315" t="s">
        <v>298</v>
      </c>
      <c r="B790" s="315"/>
      <c r="C790" s="315"/>
      <c r="D790" s="315"/>
      <c r="E790" s="315"/>
      <c r="G790" s="315" t="s">
        <v>314</v>
      </c>
      <c r="H790" s="315"/>
      <c r="I790" s="315"/>
      <c r="J790" s="315"/>
      <c r="K790" s="315"/>
    </row>
    <row r="791" spans="1:11" ht="15" thickTop="1" x14ac:dyDescent="0.35">
      <c r="A791" s="313">
        <v>45370</v>
      </c>
      <c r="B791" s="314"/>
      <c r="C791" s="314"/>
      <c r="D791" s="314"/>
      <c r="E791" s="314"/>
      <c r="G791" s="313">
        <v>45370</v>
      </c>
      <c r="H791" s="314"/>
      <c r="I791" s="314"/>
      <c r="J791" s="314"/>
      <c r="K791" s="314"/>
    </row>
    <row r="792" spans="1:11" x14ac:dyDescent="0.35">
      <c r="A792" s="261" t="s">
        <v>159</v>
      </c>
      <c r="B792" s="262" t="s">
        <v>299</v>
      </c>
      <c r="C792" s="262" t="s">
        <v>300</v>
      </c>
      <c r="D792" s="262" t="s">
        <v>301</v>
      </c>
      <c r="E792" s="263" t="s">
        <v>302</v>
      </c>
      <c r="G792" s="264" t="s">
        <v>159</v>
      </c>
      <c r="H792" s="265" t="s">
        <v>299</v>
      </c>
      <c r="I792" s="265" t="s">
        <v>300</v>
      </c>
      <c r="J792" s="265" t="s">
        <v>301</v>
      </c>
      <c r="K792" s="266" t="s">
        <v>302</v>
      </c>
    </row>
    <row r="793" spans="1:11" x14ac:dyDescent="0.35">
      <c r="A793" s="221" t="s">
        <v>303</v>
      </c>
      <c r="B793" s="222">
        <v>180</v>
      </c>
      <c r="C793" s="222"/>
      <c r="D793" s="222"/>
      <c r="E793" s="223"/>
      <c r="G793" s="221" t="s">
        <v>303</v>
      </c>
      <c r="H793" s="222">
        <v>480</v>
      </c>
      <c r="I793" s="222"/>
      <c r="J793" s="222"/>
      <c r="K793" s="223"/>
    </row>
    <row r="794" spans="1:11" x14ac:dyDescent="0.35">
      <c r="A794" s="225" t="s">
        <v>304</v>
      </c>
      <c r="B794" s="226">
        <v>28134</v>
      </c>
      <c r="C794" s="226"/>
      <c r="D794" s="226"/>
      <c r="E794" s="227"/>
      <c r="G794" s="225"/>
      <c r="H794" s="226"/>
      <c r="I794" s="226"/>
      <c r="J794" s="226"/>
      <c r="K794" s="227"/>
    </row>
    <row r="795" spans="1:11" x14ac:dyDescent="0.35">
      <c r="A795" s="225"/>
      <c r="B795" s="226"/>
      <c r="C795" s="226"/>
      <c r="D795" s="226"/>
      <c r="E795" s="227"/>
      <c r="G795" s="225"/>
      <c r="H795" s="226"/>
      <c r="I795" s="226"/>
      <c r="J795" s="226"/>
      <c r="K795" s="227"/>
    </row>
    <row r="796" spans="1:11" x14ac:dyDescent="0.35">
      <c r="A796" s="221"/>
      <c r="B796" s="222"/>
      <c r="C796" s="222"/>
      <c r="D796" s="222"/>
      <c r="E796" s="223"/>
      <c r="G796" s="221"/>
      <c r="H796" s="222"/>
      <c r="I796" s="222"/>
      <c r="J796" s="222"/>
      <c r="K796" s="223"/>
    </row>
    <row r="797" spans="1:11" x14ac:dyDescent="0.35">
      <c r="A797" s="225"/>
      <c r="B797" s="226"/>
      <c r="C797" s="226"/>
      <c r="D797" s="226"/>
      <c r="E797" s="227"/>
      <c r="G797" s="225"/>
      <c r="H797" s="226"/>
      <c r="I797" s="226"/>
      <c r="J797" s="226"/>
      <c r="K797" s="227"/>
    </row>
    <row r="798" spans="1:11" ht="15" thickBot="1" x14ac:dyDescent="0.4">
      <c r="A798" s="218" t="s">
        <v>34</v>
      </c>
      <c r="B798" s="219">
        <f>SUM(B793:B797)</f>
        <v>28314</v>
      </c>
      <c r="C798" s="219">
        <f>SUM(C793:C797)</f>
        <v>0</v>
      </c>
      <c r="D798" s="219">
        <f>SUM(D793:D797)</f>
        <v>0</v>
      </c>
      <c r="E798" s="219">
        <f>SUM(E793:E797)</f>
        <v>0</v>
      </c>
      <c r="G798" s="218" t="s">
        <v>34</v>
      </c>
      <c r="H798" s="219">
        <f>SUM(H793:H797)</f>
        <v>480</v>
      </c>
      <c r="I798" s="219">
        <f>SUM(I793:I797)</f>
        <v>0</v>
      </c>
      <c r="J798" s="219">
        <f>SUM(J793:J797)</f>
        <v>0</v>
      </c>
      <c r="K798" s="219">
        <f>SUM(K793:K797)</f>
        <v>0</v>
      </c>
    </row>
    <row r="799" spans="1:11" x14ac:dyDescent="0.35">
      <c r="A799" s="220" t="s">
        <v>305</v>
      </c>
      <c r="B799" s="220">
        <f>+B798+C798+D798+E798</f>
        <v>28314</v>
      </c>
      <c r="C799" s="220"/>
      <c r="D799" s="220"/>
      <c r="E799" s="220"/>
      <c r="G799" s="220" t="s">
        <v>305</v>
      </c>
      <c r="H799" s="220">
        <f>+H798+I798+J798+K798</f>
        <v>480</v>
      </c>
      <c r="I799" s="220"/>
      <c r="J799" s="220"/>
      <c r="K799" s="220"/>
    </row>
    <row r="800" spans="1:11" ht="15" thickBot="1" x14ac:dyDescent="0.4">
      <c r="A800" s="315" t="s">
        <v>298</v>
      </c>
      <c r="B800" s="315"/>
      <c r="C800" s="315"/>
      <c r="D800" s="315"/>
      <c r="E800" s="315"/>
      <c r="G800" s="315" t="s">
        <v>314</v>
      </c>
      <c r="H800" s="315"/>
      <c r="I800" s="315"/>
      <c r="J800" s="315"/>
      <c r="K800" s="315"/>
    </row>
    <row r="801" spans="1:11" ht="15" thickTop="1" x14ac:dyDescent="0.35">
      <c r="A801" s="313">
        <v>45371</v>
      </c>
      <c r="B801" s="314"/>
      <c r="C801" s="314"/>
      <c r="D801" s="314"/>
      <c r="E801" s="314"/>
      <c r="G801" s="313">
        <v>45371</v>
      </c>
      <c r="H801" s="314"/>
      <c r="I801" s="314"/>
      <c r="J801" s="314"/>
      <c r="K801" s="314"/>
    </row>
    <row r="802" spans="1:11" x14ac:dyDescent="0.35">
      <c r="A802" s="261" t="s">
        <v>159</v>
      </c>
      <c r="B802" s="262" t="s">
        <v>299</v>
      </c>
      <c r="C802" s="262" t="s">
        <v>300</v>
      </c>
      <c r="D802" s="262" t="s">
        <v>301</v>
      </c>
      <c r="E802" s="263" t="s">
        <v>302</v>
      </c>
      <c r="G802" s="264" t="s">
        <v>159</v>
      </c>
      <c r="H802" s="265" t="s">
        <v>299</v>
      </c>
      <c r="I802" s="265" t="s">
        <v>300</v>
      </c>
      <c r="J802" s="265" t="s">
        <v>301</v>
      </c>
      <c r="K802" s="266" t="s">
        <v>302</v>
      </c>
    </row>
    <row r="803" spans="1:11" x14ac:dyDescent="0.35">
      <c r="A803" s="221" t="s">
        <v>303</v>
      </c>
      <c r="B803" s="222">
        <v>1872</v>
      </c>
      <c r="C803" s="222"/>
      <c r="D803" s="222"/>
      <c r="E803" s="223"/>
      <c r="G803" s="221" t="s">
        <v>303</v>
      </c>
      <c r="H803" s="222"/>
      <c r="I803" s="222"/>
      <c r="J803" s="222"/>
      <c r="K803" s="223"/>
    </row>
    <row r="804" spans="1:11" x14ac:dyDescent="0.35">
      <c r="A804" s="225" t="s">
        <v>304</v>
      </c>
      <c r="B804" s="226"/>
      <c r="C804" s="226"/>
      <c r="D804" s="226"/>
      <c r="E804" s="227"/>
      <c r="G804" s="225"/>
      <c r="H804" s="226"/>
      <c r="I804" s="226"/>
      <c r="J804" s="226"/>
      <c r="K804" s="227"/>
    </row>
    <row r="805" spans="1:11" x14ac:dyDescent="0.35">
      <c r="A805" s="225"/>
      <c r="B805" s="226"/>
      <c r="C805" s="226"/>
      <c r="D805" s="226"/>
      <c r="E805" s="227"/>
      <c r="G805" s="225"/>
      <c r="H805" s="226"/>
      <c r="I805" s="226"/>
      <c r="J805" s="226"/>
      <c r="K805" s="227"/>
    </row>
    <row r="806" spans="1:11" x14ac:dyDescent="0.35">
      <c r="A806" s="221"/>
      <c r="B806" s="222"/>
      <c r="C806" s="222"/>
      <c r="D806" s="222"/>
      <c r="E806" s="223"/>
      <c r="G806" s="221"/>
      <c r="H806" s="222"/>
      <c r="I806" s="222"/>
      <c r="J806" s="222"/>
      <c r="K806" s="223"/>
    </row>
    <row r="807" spans="1:11" x14ac:dyDescent="0.35">
      <c r="A807" s="225"/>
      <c r="B807" s="226"/>
      <c r="C807" s="226"/>
      <c r="D807" s="226"/>
      <c r="E807" s="227"/>
      <c r="G807" s="225"/>
      <c r="H807" s="226"/>
      <c r="I807" s="226"/>
      <c r="J807" s="226"/>
      <c r="K807" s="227"/>
    </row>
    <row r="808" spans="1:11" ht="15" thickBot="1" x14ac:dyDescent="0.4">
      <c r="A808" s="218" t="s">
        <v>34</v>
      </c>
      <c r="B808" s="219">
        <f>SUM(B803:B807)</f>
        <v>1872</v>
      </c>
      <c r="C808" s="219">
        <f>SUM(C803:C807)</f>
        <v>0</v>
      </c>
      <c r="D808" s="219">
        <f>SUM(D803:D807)</f>
        <v>0</v>
      </c>
      <c r="E808" s="219">
        <f>SUM(E803:E807)</f>
        <v>0</v>
      </c>
      <c r="G808" s="218" t="s">
        <v>34</v>
      </c>
      <c r="H808" s="219">
        <f>SUM(H803:H807)</f>
        <v>0</v>
      </c>
      <c r="I808" s="219">
        <f>SUM(I803:I807)</f>
        <v>0</v>
      </c>
      <c r="J808" s="219">
        <f>SUM(J803:J807)</f>
        <v>0</v>
      </c>
      <c r="K808" s="219">
        <f>SUM(K803:K807)</f>
        <v>0</v>
      </c>
    </row>
    <row r="809" spans="1:11" x14ac:dyDescent="0.35">
      <c r="A809" s="220" t="s">
        <v>305</v>
      </c>
      <c r="B809" s="220">
        <f>+B808+C808+D808+E808</f>
        <v>1872</v>
      </c>
      <c r="C809" s="220"/>
      <c r="D809" s="220"/>
      <c r="E809" s="220"/>
      <c r="G809" s="220" t="s">
        <v>305</v>
      </c>
      <c r="H809" s="220">
        <f>+H808+I808+J808+K808</f>
        <v>0</v>
      </c>
      <c r="I809" s="220"/>
      <c r="J809" s="220"/>
      <c r="K809" s="220"/>
    </row>
    <row r="810" spans="1:11" ht="15" thickBot="1" x14ac:dyDescent="0.4">
      <c r="A810" s="315" t="s">
        <v>298</v>
      </c>
      <c r="B810" s="315"/>
      <c r="C810" s="315"/>
      <c r="D810" s="315"/>
      <c r="E810" s="315"/>
      <c r="G810" s="315" t="s">
        <v>314</v>
      </c>
      <c r="H810" s="315"/>
      <c r="I810" s="315"/>
      <c r="J810" s="315"/>
      <c r="K810" s="315"/>
    </row>
    <row r="811" spans="1:11" ht="15" thickTop="1" x14ac:dyDescent="0.35">
      <c r="A811" s="313">
        <v>45372</v>
      </c>
      <c r="B811" s="314"/>
      <c r="C811" s="314"/>
      <c r="D811" s="314"/>
      <c r="E811" s="314"/>
      <c r="G811" s="313">
        <v>45372</v>
      </c>
      <c r="H811" s="314"/>
      <c r="I811" s="314"/>
      <c r="J811" s="314"/>
      <c r="K811" s="314"/>
    </row>
    <row r="812" spans="1:11" x14ac:dyDescent="0.35">
      <c r="A812" s="261" t="s">
        <v>159</v>
      </c>
      <c r="B812" s="262" t="s">
        <v>299</v>
      </c>
      <c r="C812" s="262" t="s">
        <v>300</v>
      </c>
      <c r="D812" s="262" t="s">
        <v>301</v>
      </c>
      <c r="E812" s="263" t="s">
        <v>302</v>
      </c>
      <c r="G812" s="264" t="s">
        <v>159</v>
      </c>
      <c r="H812" s="265" t="s">
        <v>299</v>
      </c>
      <c r="I812" s="265" t="s">
        <v>300</v>
      </c>
      <c r="J812" s="265" t="s">
        <v>301</v>
      </c>
      <c r="K812" s="266" t="s">
        <v>302</v>
      </c>
    </row>
    <row r="813" spans="1:11" x14ac:dyDescent="0.35">
      <c r="A813" s="221" t="s">
        <v>303</v>
      </c>
      <c r="B813" s="222">
        <v>9211</v>
      </c>
      <c r="C813" s="222"/>
      <c r="D813" s="222"/>
      <c r="E813" s="223"/>
      <c r="G813" s="221" t="s">
        <v>303</v>
      </c>
      <c r="H813" s="222">
        <v>3912</v>
      </c>
      <c r="I813" s="222"/>
      <c r="J813" s="222"/>
      <c r="K813" s="223"/>
    </row>
    <row r="814" spans="1:11" x14ac:dyDescent="0.35">
      <c r="A814" s="225" t="s">
        <v>304</v>
      </c>
      <c r="B814" s="226"/>
      <c r="C814" s="226"/>
      <c r="D814" s="226"/>
      <c r="E814" s="227"/>
      <c r="G814" s="225"/>
      <c r="H814" s="226"/>
      <c r="I814" s="226"/>
      <c r="J814" s="226"/>
      <c r="K814" s="227"/>
    </row>
    <row r="815" spans="1:11" x14ac:dyDescent="0.35">
      <c r="A815" s="225"/>
      <c r="B815" s="226"/>
      <c r="C815" s="226"/>
      <c r="D815" s="226"/>
      <c r="E815" s="227"/>
      <c r="G815" s="225"/>
      <c r="H815" s="226"/>
      <c r="I815" s="226"/>
      <c r="J815" s="226"/>
      <c r="K815" s="227"/>
    </row>
    <row r="816" spans="1:11" x14ac:dyDescent="0.35">
      <c r="A816" s="221"/>
      <c r="B816" s="222"/>
      <c r="C816" s="222"/>
      <c r="D816" s="222"/>
      <c r="E816" s="223"/>
      <c r="G816" s="221"/>
      <c r="H816" s="222"/>
      <c r="I816" s="222"/>
      <c r="J816" s="222"/>
      <c r="K816" s="223"/>
    </row>
    <row r="817" spans="1:11" x14ac:dyDescent="0.35">
      <c r="A817" s="225"/>
      <c r="B817" s="226"/>
      <c r="C817" s="226"/>
      <c r="D817" s="226"/>
      <c r="E817" s="227"/>
      <c r="G817" s="225"/>
      <c r="H817" s="226"/>
      <c r="I817" s="226"/>
      <c r="J817" s="226"/>
      <c r="K817" s="227"/>
    </row>
    <row r="818" spans="1:11" ht="15" thickBot="1" x14ac:dyDescent="0.4">
      <c r="A818" s="218" t="s">
        <v>34</v>
      </c>
      <c r="B818" s="219">
        <f>SUM(B813:B817)</f>
        <v>9211</v>
      </c>
      <c r="C818" s="219">
        <f>SUM(C813:C817)</f>
        <v>0</v>
      </c>
      <c r="D818" s="219">
        <f>SUM(D813:D817)</f>
        <v>0</v>
      </c>
      <c r="E818" s="219">
        <f>SUM(E813:E817)</f>
        <v>0</v>
      </c>
      <c r="G818" s="218" t="s">
        <v>34</v>
      </c>
      <c r="H818" s="219">
        <f>SUM(H813:H817)</f>
        <v>3912</v>
      </c>
      <c r="I818" s="219">
        <f>SUM(I813:I817)</f>
        <v>0</v>
      </c>
      <c r="J818" s="219">
        <f>SUM(J813:J817)</f>
        <v>0</v>
      </c>
      <c r="K818" s="219">
        <f>SUM(K813:K817)</f>
        <v>0</v>
      </c>
    </row>
    <row r="819" spans="1:11" x14ac:dyDescent="0.35">
      <c r="A819" s="220" t="s">
        <v>305</v>
      </c>
      <c r="B819" s="220">
        <f>+B818+C818+D818+E818</f>
        <v>9211</v>
      </c>
      <c r="C819" s="220"/>
      <c r="D819" s="220"/>
      <c r="E819" s="220"/>
      <c r="G819" s="220" t="s">
        <v>305</v>
      </c>
      <c r="H819" s="220">
        <f>+H818+I818+J818+K818</f>
        <v>3912</v>
      </c>
      <c r="I819" s="220"/>
      <c r="J819" s="220"/>
      <c r="K819" s="220"/>
    </row>
    <row r="820" spans="1:11" ht="15" thickBot="1" x14ac:dyDescent="0.4">
      <c r="A820" s="315" t="s">
        <v>298</v>
      </c>
      <c r="B820" s="315"/>
      <c r="C820" s="315"/>
      <c r="D820" s="315"/>
      <c r="E820" s="315"/>
      <c r="G820" s="315" t="s">
        <v>314</v>
      </c>
      <c r="H820" s="315"/>
      <c r="I820" s="315"/>
      <c r="J820" s="315"/>
      <c r="K820" s="315"/>
    </row>
    <row r="821" spans="1:11" ht="15" thickTop="1" x14ac:dyDescent="0.35">
      <c r="A821" s="313">
        <v>45373</v>
      </c>
      <c r="B821" s="314"/>
      <c r="C821" s="314"/>
      <c r="D821" s="314"/>
      <c r="E821" s="314"/>
      <c r="G821" s="313">
        <v>45373</v>
      </c>
      <c r="H821" s="314"/>
      <c r="I821" s="314"/>
      <c r="J821" s="314"/>
      <c r="K821" s="314"/>
    </row>
    <row r="822" spans="1:11" x14ac:dyDescent="0.35">
      <c r="A822" s="261" t="s">
        <v>159</v>
      </c>
      <c r="B822" s="262" t="s">
        <v>299</v>
      </c>
      <c r="C822" s="262" t="s">
        <v>300</v>
      </c>
      <c r="D822" s="262" t="s">
        <v>301</v>
      </c>
      <c r="E822" s="263" t="s">
        <v>302</v>
      </c>
      <c r="G822" s="264" t="s">
        <v>159</v>
      </c>
      <c r="H822" s="265" t="s">
        <v>299</v>
      </c>
      <c r="I822" s="265" t="s">
        <v>300</v>
      </c>
      <c r="J822" s="265" t="s">
        <v>301</v>
      </c>
      <c r="K822" s="266" t="s">
        <v>302</v>
      </c>
    </row>
    <row r="823" spans="1:11" x14ac:dyDescent="0.35">
      <c r="A823" s="221" t="s">
        <v>303</v>
      </c>
      <c r="B823" s="222">
        <v>22923</v>
      </c>
      <c r="C823" s="222"/>
      <c r="D823" s="222"/>
      <c r="E823" s="223"/>
      <c r="G823" s="221" t="s">
        <v>303</v>
      </c>
      <c r="H823" s="222">
        <v>8317</v>
      </c>
      <c r="I823" s="222"/>
      <c r="J823" s="222"/>
      <c r="K823" s="223"/>
    </row>
    <row r="824" spans="1:11" x14ac:dyDescent="0.35">
      <c r="A824" s="225" t="s">
        <v>304</v>
      </c>
      <c r="B824" s="226"/>
      <c r="C824" s="226"/>
      <c r="D824" s="226"/>
      <c r="E824" s="227"/>
      <c r="G824" s="225"/>
      <c r="H824" s="226"/>
      <c r="I824" s="226"/>
      <c r="J824" s="226"/>
      <c r="K824" s="227"/>
    </row>
    <row r="825" spans="1:11" x14ac:dyDescent="0.35">
      <c r="A825" s="225"/>
      <c r="B825" s="226"/>
      <c r="C825" s="226"/>
      <c r="D825" s="226"/>
      <c r="E825" s="227"/>
      <c r="G825" s="225"/>
      <c r="H825" s="226"/>
      <c r="I825" s="226"/>
      <c r="J825" s="226"/>
      <c r="K825" s="227"/>
    </row>
    <row r="826" spans="1:11" x14ac:dyDescent="0.35">
      <c r="A826" s="221"/>
      <c r="B826" s="222"/>
      <c r="C826" s="222"/>
      <c r="D826" s="222"/>
      <c r="E826" s="223"/>
      <c r="G826" s="221"/>
      <c r="H826" s="222"/>
      <c r="I826" s="222"/>
      <c r="J826" s="222"/>
      <c r="K826" s="223"/>
    </row>
    <row r="827" spans="1:11" x14ac:dyDescent="0.35">
      <c r="A827" s="225"/>
      <c r="B827" s="226"/>
      <c r="C827" s="226"/>
      <c r="D827" s="226"/>
      <c r="E827" s="227"/>
      <c r="G827" s="225"/>
      <c r="H827" s="226"/>
      <c r="I827" s="226"/>
      <c r="J827" s="226"/>
      <c r="K827" s="227"/>
    </row>
    <row r="828" spans="1:11" ht="15" thickBot="1" x14ac:dyDescent="0.4">
      <c r="A828" s="218" t="s">
        <v>34</v>
      </c>
      <c r="B828" s="219">
        <f>SUM(B823:B827)</f>
        <v>22923</v>
      </c>
      <c r="C828" s="219">
        <f>SUM(C823:C827)</f>
        <v>0</v>
      </c>
      <c r="D828" s="219">
        <f>SUM(D823:D827)</f>
        <v>0</v>
      </c>
      <c r="E828" s="219">
        <f>SUM(E823:E827)</f>
        <v>0</v>
      </c>
      <c r="G828" s="218" t="s">
        <v>34</v>
      </c>
      <c r="H828" s="219">
        <f>SUM(H823:H827)</f>
        <v>8317</v>
      </c>
      <c r="I828" s="219">
        <f>SUM(I823:I827)</f>
        <v>0</v>
      </c>
      <c r="J828" s="219">
        <f>SUM(J823:J827)</f>
        <v>0</v>
      </c>
      <c r="K828" s="219">
        <f>SUM(K823:K827)</f>
        <v>0</v>
      </c>
    </row>
    <row r="829" spans="1:11" x14ac:dyDescent="0.35">
      <c r="A829" s="220" t="s">
        <v>305</v>
      </c>
      <c r="B829" s="220">
        <f>+B828+C828+D828+E828</f>
        <v>22923</v>
      </c>
      <c r="C829" s="220"/>
      <c r="D829" s="220"/>
      <c r="E829" s="220"/>
      <c r="G829" s="220" t="s">
        <v>305</v>
      </c>
      <c r="H829" s="220">
        <f>+H828+I828+J828+K828</f>
        <v>8317</v>
      </c>
      <c r="I829" s="220"/>
      <c r="J829" s="220"/>
      <c r="K829" s="220"/>
    </row>
    <row r="830" spans="1:11" ht="15" thickBot="1" x14ac:dyDescent="0.4">
      <c r="A830" s="315" t="s">
        <v>298</v>
      </c>
      <c r="B830" s="315"/>
      <c r="C830" s="315"/>
      <c r="D830" s="315"/>
      <c r="E830" s="315"/>
      <c r="G830" s="315" t="s">
        <v>314</v>
      </c>
      <c r="H830" s="315"/>
      <c r="I830" s="315"/>
      <c r="J830" s="315"/>
      <c r="K830" s="315"/>
    </row>
    <row r="831" spans="1:11" ht="15" thickTop="1" x14ac:dyDescent="0.35">
      <c r="A831" s="313">
        <v>45374</v>
      </c>
      <c r="B831" s="314"/>
      <c r="C831" s="314"/>
      <c r="D831" s="314"/>
      <c r="E831" s="314"/>
      <c r="G831" s="313">
        <v>45374</v>
      </c>
      <c r="H831" s="314"/>
      <c r="I831" s="314"/>
      <c r="J831" s="314"/>
      <c r="K831" s="314"/>
    </row>
    <row r="832" spans="1:11" x14ac:dyDescent="0.35">
      <c r="A832" s="261" t="s">
        <v>159</v>
      </c>
      <c r="B832" s="262" t="s">
        <v>299</v>
      </c>
      <c r="C832" s="262" t="s">
        <v>300</v>
      </c>
      <c r="D832" s="262" t="s">
        <v>301</v>
      </c>
      <c r="E832" s="263" t="s">
        <v>302</v>
      </c>
      <c r="G832" s="264" t="s">
        <v>159</v>
      </c>
      <c r="H832" s="265" t="s">
        <v>299</v>
      </c>
      <c r="I832" s="265" t="s">
        <v>300</v>
      </c>
      <c r="J832" s="265" t="s">
        <v>301</v>
      </c>
      <c r="K832" s="266" t="s">
        <v>302</v>
      </c>
    </row>
    <row r="833" spans="1:11" x14ac:dyDescent="0.35">
      <c r="A833" s="221" t="s">
        <v>303</v>
      </c>
      <c r="B833" s="222">
        <v>13914</v>
      </c>
      <c r="C833" s="222"/>
      <c r="D833" s="222"/>
      <c r="E833" s="223"/>
      <c r="G833" s="221" t="s">
        <v>303</v>
      </c>
      <c r="H833" s="222">
        <v>3998</v>
      </c>
      <c r="I833" s="222"/>
      <c r="J833" s="222"/>
      <c r="K833" s="223"/>
    </row>
    <row r="834" spans="1:11" x14ac:dyDescent="0.35">
      <c r="A834" s="225" t="s">
        <v>304</v>
      </c>
      <c r="B834" s="226">
        <v>1000</v>
      </c>
      <c r="C834" s="226"/>
      <c r="D834" s="226"/>
      <c r="E834" s="227"/>
      <c r="G834" s="225"/>
      <c r="H834" s="226"/>
      <c r="I834" s="226"/>
      <c r="J834" s="226"/>
      <c r="K834" s="227"/>
    </row>
    <row r="835" spans="1:11" x14ac:dyDescent="0.35">
      <c r="A835" s="225"/>
      <c r="B835" s="226"/>
      <c r="C835" s="226"/>
      <c r="D835" s="226"/>
      <c r="E835" s="227"/>
      <c r="G835" s="225"/>
      <c r="H835" s="226"/>
      <c r="I835" s="226"/>
      <c r="J835" s="226"/>
      <c r="K835" s="227"/>
    </row>
    <row r="836" spans="1:11" x14ac:dyDescent="0.35">
      <c r="A836" s="221"/>
      <c r="B836" s="222"/>
      <c r="C836" s="222"/>
      <c r="D836" s="222"/>
      <c r="E836" s="223"/>
      <c r="G836" s="221"/>
      <c r="H836" s="222"/>
      <c r="I836" s="222"/>
      <c r="J836" s="222"/>
      <c r="K836" s="223"/>
    </row>
    <row r="837" spans="1:11" x14ac:dyDescent="0.35">
      <c r="A837" s="225"/>
      <c r="B837" s="226"/>
      <c r="C837" s="226"/>
      <c r="D837" s="226"/>
      <c r="E837" s="227"/>
      <c r="G837" s="225"/>
      <c r="H837" s="226"/>
      <c r="I837" s="226"/>
      <c r="J837" s="226"/>
      <c r="K837" s="227"/>
    </row>
    <row r="838" spans="1:11" ht="15" thickBot="1" x14ac:dyDescent="0.4">
      <c r="A838" s="218" t="s">
        <v>34</v>
      </c>
      <c r="B838" s="219">
        <f>SUM(B833:B837)</f>
        <v>14914</v>
      </c>
      <c r="C838" s="219">
        <f>SUM(C833:C837)</f>
        <v>0</v>
      </c>
      <c r="D838" s="219">
        <f>SUM(D833:D837)</f>
        <v>0</v>
      </c>
      <c r="E838" s="219">
        <f>SUM(E833:E837)</f>
        <v>0</v>
      </c>
      <c r="G838" s="218" t="s">
        <v>34</v>
      </c>
      <c r="H838" s="219">
        <f>SUM(H833:H837)</f>
        <v>3998</v>
      </c>
      <c r="I838" s="219">
        <f>SUM(I833:I837)</f>
        <v>0</v>
      </c>
      <c r="J838" s="219">
        <f>SUM(J833:J837)</f>
        <v>0</v>
      </c>
      <c r="K838" s="219">
        <f>SUM(K833:K837)</f>
        <v>0</v>
      </c>
    </row>
    <row r="839" spans="1:11" x14ac:dyDescent="0.35">
      <c r="A839" s="220" t="s">
        <v>305</v>
      </c>
      <c r="B839" s="220">
        <f>+B838+C838+D838+E838</f>
        <v>14914</v>
      </c>
      <c r="C839" s="220"/>
      <c r="D839" s="220"/>
      <c r="E839" s="220"/>
      <c r="G839" s="220" t="s">
        <v>305</v>
      </c>
      <c r="H839" s="220">
        <f>+H838+I838+J838+K838</f>
        <v>3998</v>
      </c>
      <c r="I839" s="220"/>
      <c r="J839" s="220"/>
      <c r="K839" s="220"/>
    </row>
    <row r="840" spans="1:11" ht="15" thickBot="1" x14ac:dyDescent="0.4">
      <c r="A840" s="315" t="s">
        <v>298</v>
      </c>
      <c r="B840" s="315"/>
      <c r="C840" s="315"/>
      <c r="D840" s="315"/>
      <c r="E840" s="315"/>
      <c r="G840" s="315" t="s">
        <v>314</v>
      </c>
      <c r="H840" s="315"/>
      <c r="I840" s="315"/>
      <c r="J840" s="315"/>
      <c r="K840" s="315"/>
    </row>
    <row r="841" spans="1:11" ht="15" thickTop="1" x14ac:dyDescent="0.35">
      <c r="A841" s="313">
        <v>45375</v>
      </c>
      <c r="B841" s="314"/>
      <c r="C841" s="314"/>
      <c r="D841" s="314"/>
      <c r="E841" s="314"/>
      <c r="G841" s="313">
        <v>45375</v>
      </c>
      <c r="H841" s="314"/>
      <c r="I841" s="314"/>
      <c r="J841" s="314"/>
      <c r="K841" s="314"/>
    </row>
    <row r="842" spans="1:11" x14ac:dyDescent="0.35">
      <c r="A842" s="261" t="s">
        <v>159</v>
      </c>
      <c r="B842" s="262" t="s">
        <v>299</v>
      </c>
      <c r="C842" s="262" t="s">
        <v>300</v>
      </c>
      <c r="D842" s="262" t="s">
        <v>301</v>
      </c>
      <c r="E842" s="263" t="s">
        <v>302</v>
      </c>
      <c r="G842" s="264" t="s">
        <v>159</v>
      </c>
      <c r="H842" s="265" t="s">
        <v>299</v>
      </c>
      <c r="I842" s="265" t="s">
        <v>300</v>
      </c>
      <c r="J842" s="265" t="s">
        <v>301</v>
      </c>
      <c r="K842" s="266" t="s">
        <v>302</v>
      </c>
    </row>
    <row r="843" spans="1:11" x14ac:dyDescent="0.35">
      <c r="A843" s="221" t="s">
        <v>303</v>
      </c>
      <c r="B843" s="222">
        <v>25569</v>
      </c>
      <c r="C843" s="222"/>
      <c r="D843" s="222"/>
      <c r="E843" s="223"/>
      <c r="G843" s="221" t="s">
        <v>303</v>
      </c>
      <c r="H843" s="222">
        <v>4344</v>
      </c>
      <c r="I843" s="222"/>
      <c r="J843" s="222"/>
      <c r="K843" s="223"/>
    </row>
    <row r="844" spans="1:11" x14ac:dyDescent="0.35">
      <c r="A844" s="225" t="s">
        <v>304</v>
      </c>
      <c r="B844" s="226">
        <v>6469</v>
      </c>
      <c r="C844" s="226"/>
      <c r="D844" s="226"/>
      <c r="E844" s="227"/>
      <c r="G844" s="225"/>
      <c r="H844" s="226"/>
      <c r="I844" s="226"/>
      <c r="J844" s="226"/>
      <c r="K844" s="227"/>
    </row>
    <row r="845" spans="1:11" x14ac:dyDescent="0.35">
      <c r="A845" s="225"/>
      <c r="B845" s="226"/>
      <c r="C845" s="226"/>
      <c r="D845" s="226"/>
      <c r="E845" s="227"/>
      <c r="G845" s="225"/>
      <c r="H845" s="226"/>
      <c r="I845" s="226"/>
      <c r="J845" s="226"/>
      <c r="K845" s="227"/>
    </row>
    <row r="846" spans="1:11" x14ac:dyDescent="0.35">
      <c r="A846" s="221"/>
      <c r="B846" s="222"/>
      <c r="C846" s="222"/>
      <c r="D846" s="222"/>
      <c r="E846" s="223"/>
      <c r="G846" s="221"/>
      <c r="H846" s="222"/>
      <c r="I846" s="222"/>
      <c r="J846" s="222"/>
      <c r="K846" s="223"/>
    </row>
    <row r="847" spans="1:11" x14ac:dyDescent="0.35">
      <c r="A847" s="225"/>
      <c r="B847" s="226"/>
      <c r="C847" s="226"/>
      <c r="D847" s="226"/>
      <c r="E847" s="227"/>
      <c r="G847" s="225"/>
      <c r="H847" s="226"/>
      <c r="I847" s="226"/>
      <c r="J847" s="226"/>
      <c r="K847" s="227"/>
    </row>
    <row r="848" spans="1:11" ht="15" thickBot="1" x14ac:dyDescent="0.4">
      <c r="A848" s="218" t="s">
        <v>34</v>
      </c>
      <c r="B848" s="219">
        <f>SUM(B843:B847)</f>
        <v>32038</v>
      </c>
      <c r="C848" s="219">
        <f>SUM(C843:C847)</f>
        <v>0</v>
      </c>
      <c r="D848" s="219">
        <f>SUM(D843:D847)</f>
        <v>0</v>
      </c>
      <c r="E848" s="219">
        <f>SUM(E843:E847)</f>
        <v>0</v>
      </c>
      <c r="G848" s="218" t="s">
        <v>34</v>
      </c>
      <c r="H848" s="219">
        <f>SUM(H843:H847)</f>
        <v>4344</v>
      </c>
      <c r="I848" s="219">
        <f>SUM(I843:I847)</f>
        <v>0</v>
      </c>
      <c r="J848" s="219">
        <f>SUM(J843:J847)</f>
        <v>0</v>
      </c>
      <c r="K848" s="219">
        <f>SUM(K843:K847)</f>
        <v>0</v>
      </c>
    </row>
    <row r="849" spans="1:11" x14ac:dyDescent="0.35">
      <c r="A849" s="220" t="s">
        <v>305</v>
      </c>
      <c r="B849" s="220">
        <f>+B848+C848+D848+E848</f>
        <v>32038</v>
      </c>
      <c r="C849" s="220"/>
      <c r="D849" s="220"/>
      <c r="E849" s="220"/>
      <c r="G849" s="220" t="s">
        <v>305</v>
      </c>
      <c r="H849" s="220">
        <f>+H848+I848+J848+K848</f>
        <v>4344</v>
      </c>
      <c r="I849" s="220"/>
      <c r="J849" s="220"/>
      <c r="K849" s="220"/>
    </row>
    <row r="850" spans="1:11" ht="15" thickBot="1" x14ac:dyDescent="0.4">
      <c r="A850" s="315" t="s">
        <v>298</v>
      </c>
      <c r="B850" s="315"/>
      <c r="C850" s="315"/>
      <c r="D850" s="315"/>
      <c r="E850" s="315"/>
      <c r="G850" s="315" t="s">
        <v>314</v>
      </c>
      <c r="H850" s="315"/>
      <c r="I850" s="315"/>
      <c r="J850" s="315"/>
      <c r="K850" s="315"/>
    </row>
    <row r="851" spans="1:11" ht="15" thickTop="1" x14ac:dyDescent="0.35">
      <c r="A851" s="313">
        <v>45376</v>
      </c>
      <c r="B851" s="314"/>
      <c r="C851" s="314"/>
      <c r="D851" s="314"/>
      <c r="E851" s="314"/>
      <c r="G851" s="313">
        <v>45376</v>
      </c>
      <c r="H851" s="314"/>
      <c r="I851" s="314"/>
      <c r="J851" s="314"/>
      <c r="K851" s="314"/>
    </row>
    <row r="852" spans="1:11" x14ac:dyDescent="0.35">
      <c r="A852" s="261" t="s">
        <v>159</v>
      </c>
      <c r="B852" s="262" t="s">
        <v>299</v>
      </c>
      <c r="C852" s="262" t="s">
        <v>300</v>
      </c>
      <c r="D852" s="262" t="s">
        <v>301</v>
      </c>
      <c r="E852" s="263" t="s">
        <v>302</v>
      </c>
      <c r="G852" s="264" t="s">
        <v>159</v>
      </c>
      <c r="H852" s="265" t="s">
        <v>299</v>
      </c>
      <c r="I852" s="265" t="s">
        <v>300</v>
      </c>
      <c r="J852" s="265" t="s">
        <v>301</v>
      </c>
      <c r="K852" s="266" t="s">
        <v>302</v>
      </c>
    </row>
    <row r="853" spans="1:11" x14ac:dyDescent="0.35">
      <c r="A853" s="221" t="s">
        <v>303</v>
      </c>
      <c r="B853" s="222">
        <v>7506</v>
      </c>
      <c r="C853" s="222"/>
      <c r="D853" s="222"/>
      <c r="E853" s="223"/>
      <c r="G853" s="221" t="s">
        <v>303</v>
      </c>
      <c r="H853" s="222">
        <v>2133</v>
      </c>
      <c r="I853" s="222"/>
      <c r="J853" s="222"/>
      <c r="K853" s="223"/>
    </row>
    <row r="854" spans="1:11" x14ac:dyDescent="0.35">
      <c r="A854" s="225" t="s">
        <v>304</v>
      </c>
      <c r="B854" s="226">
        <v>6754</v>
      </c>
      <c r="C854" s="226"/>
      <c r="D854" s="226"/>
      <c r="E854" s="227"/>
      <c r="G854" s="225"/>
      <c r="H854" s="226"/>
      <c r="I854" s="226"/>
      <c r="J854" s="226"/>
      <c r="K854" s="227"/>
    </row>
    <row r="855" spans="1:11" x14ac:dyDescent="0.35">
      <c r="A855" s="225"/>
      <c r="B855" s="226"/>
      <c r="C855" s="226"/>
      <c r="D855" s="226"/>
      <c r="E855" s="227"/>
      <c r="G855" s="225"/>
      <c r="H855" s="226"/>
      <c r="I855" s="226"/>
      <c r="J855" s="226"/>
      <c r="K855" s="227"/>
    </row>
    <row r="856" spans="1:11" x14ac:dyDescent="0.35">
      <c r="A856" s="221"/>
      <c r="B856" s="222"/>
      <c r="C856" s="222"/>
      <c r="D856" s="222"/>
      <c r="E856" s="223"/>
      <c r="G856" s="221"/>
      <c r="H856" s="222"/>
      <c r="I856" s="222"/>
      <c r="J856" s="222"/>
      <c r="K856" s="223"/>
    </row>
    <row r="857" spans="1:11" x14ac:dyDescent="0.35">
      <c r="A857" s="225"/>
      <c r="B857" s="226"/>
      <c r="C857" s="226"/>
      <c r="D857" s="226"/>
      <c r="E857" s="227"/>
      <c r="G857" s="225"/>
      <c r="H857" s="226"/>
      <c r="I857" s="226"/>
      <c r="J857" s="226"/>
      <c r="K857" s="227"/>
    </row>
    <row r="858" spans="1:11" ht="15" thickBot="1" x14ac:dyDescent="0.4">
      <c r="A858" s="218" t="s">
        <v>34</v>
      </c>
      <c r="B858" s="219">
        <f>SUM(B853:B857)</f>
        <v>14260</v>
      </c>
      <c r="C858" s="219">
        <f>SUM(C853:C857)</f>
        <v>0</v>
      </c>
      <c r="D858" s="219">
        <f>SUM(D853:D857)</f>
        <v>0</v>
      </c>
      <c r="E858" s="219">
        <f>SUM(E853:E857)</f>
        <v>0</v>
      </c>
      <c r="G858" s="218" t="s">
        <v>34</v>
      </c>
      <c r="H858" s="219">
        <f>SUM(H853:H857)</f>
        <v>2133</v>
      </c>
      <c r="I858" s="219">
        <f>SUM(I853:I857)</f>
        <v>0</v>
      </c>
      <c r="J858" s="219">
        <f>SUM(J853:J857)</f>
        <v>0</v>
      </c>
      <c r="K858" s="219">
        <f>SUM(K853:K857)</f>
        <v>0</v>
      </c>
    </row>
    <row r="859" spans="1:11" x14ac:dyDescent="0.35">
      <c r="A859" s="220" t="s">
        <v>305</v>
      </c>
      <c r="B859" s="220">
        <f>+B858+C858+D858+E858</f>
        <v>14260</v>
      </c>
      <c r="C859" s="220"/>
      <c r="D859" s="220"/>
      <c r="E859" s="220"/>
      <c r="G859" s="220" t="s">
        <v>305</v>
      </c>
      <c r="H859" s="220">
        <f>+H858+I858+J858+K858</f>
        <v>2133</v>
      </c>
      <c r="I859" s="220"/>
      <c r="J859" s="220"/>
      <c r="K859" s="220"/>
    </row>
    <row r="860" spans="1:11" ht="15" thickBot="1" x14ac:dyDescent="0.4">
      <c r="A860" s="315" t="s">
        <v>298</v>
      </c>
      <c r="B860" s="315"/>
      <c r="C860" s="315"/>
      <c r="D860" s="315"/>
      <c r="E860" s="315"/>
      <c r="G860" s="315" t="s">
        <v>314</v>
      </c>
      <c r="H860" s="315"/>
      <c r="I860" s="315"/>
      <c r="J860" s="315"/>
      <c r="K860" s="315"/>
    </row>
    <row r="861" spans="1:11" ht="15" thickTop="1" x14ac:dyDescent="0.35">
      <c r="A861" s="313">
        <v>45377</v>
      </c>
      <c r="B861" s="314"/>
      <c r="C861" s="314"/>
      <c r="D861" s="314"/>
      <c r="E861" s="314"/>
      <c r="G861" s="313">
        <v>45377</v>
      </c>
      <c r="H861" s="314"/>
      <c r="I861" s="314"/>
      <c r="J861" s="314"/>
      <c r="K861" s="314"/>
    </row>
    <row r="862" spans="1:11" x14ac:dyDescent="0.35">
      <c r="A862" s="261" t="s">
        <v>159</v>
      </c>
      <c r="B862" s="262" t="s">
        <v>299</v>
      </c>
      <c r="C862" s="262" t="s">
        <v>300</v>
      </c>
      <c r="D862" s="262" t="s">
        <v>301</v>
      </c>
      <c r="E862" s="263" t="s">
        <v>302</v>
      </c>
      <c r="G862" s="264" t="s">
        <v>159</v>
      </c>
      <c r="H862" s="265" t="s">
        <v>299</v>
      </c>
      <c r="I862" s="265" t="s">
        <v>300</v>
      </c>
      <c r="J862" s="265" t="s">
        <v>301</v>
      </c>
      <c r="K862" s="266" t="s">
        <v>302</v>
      </c>
    </row>
    <row r="863" spans="1:11" x14ac:dyDescent="0.35">
      <c r="A863" s="221" t="s">
        <v>303</v>
      </c>
      <c r="B863" s="222">
        <v>8595</v>
      </c>
      <c r="C863" s="222"/>
      <c r="D863" s="222"/>
      <c r="E863" s="223"/>
      <c r="G863" s="221" t="s">
        <v>303</v>
      </c>
      <c r="H863" s="222">
        <v>1423</v>
      </c>
      <c r="I863" s="222"/>
      <c r="J863" s="222"/>
      <c r="K863" s="223"/>
    </row>
    <row r="864" spans="1:11" x14ac:dyDescent="0.35">
      <c r="A864" s="225" t="s">
        <v>304</v>
      </c>
      <c r="B864" s="226"/>
      <c r="C864" s="226"/>
      <c r="D864" s="226"/>
      <c r="E864" s="227"/>
      <c r="G864" s="225"/>
      <c r="H864" s="226"/>
      <c r="I864" s="226"/>
      <c r="J864" s="226"/>
      <c r="K864" s="227"/>
    </row>
    <row r="865" spans="1:11" x14ac:dyDescent="0.35">
      <c r="A865" s="225"/>
      <c r="B865" s="226"/>
      <c r="C865" s="226"/>
      <c r="D865" s="226"/>
      <c r="E865" s="227"/>
      <c r="G865" s="225"/>
      <c r="H865" s="226"/>
      <c r="I865" s="226"/>
      <c r="J865" s="226"/>
      <c r="K865" s="227"/>
    </row>
    <row r="866" spans="1:11" x14ac:dyDescent="0.35">
      <c r="A866" s="221"/>
      <c r="B866" s="222"/>
      <c r="C866" s="222"/>
      <c r="D866" s="222"/>
      <c r="E866" s="223"/>
      <c r="G866" s="221"/>
      <c r="H866" s="222"/>
      <c r="I866" s="222"/>
      <c r="J866" s="222"/>
      <c r="K866" s="223"/>
    </row>
    <row r="867" spans="1:11" x14ac:dyDescent="0.35">
      <c r="A867" s="225"/>
      <c r="B867" s="226"/>
      <c r="C867" s="226"/>
      <c r="D867" s="226"/>
      <c r="E867" s="227"/>
      <c r="G867" s="225"/>
      <c r="H867" s="226"/>
      <c r="I867" s="226"/>
      <c r="J867" s="226"/>
      <c r="K867" s="227"/>
    </row>
    <row r="868" spans="1:11" ht="15" thickBot="1" x14ac:dyDescent="0.4">
      <c r="A868" s="218" t="s">
        <v>34</v>
      </c>
      <c r="B868" s="219">
        <f>SUM(B863:B867)</f>
        <v>8595</v>
      </c>
      <c r="C868" s="219">
        <f>SUM(C863:C867)</f>
        <v>0</v>
      </c>
      <c r="D868" s="219">
        <f>SUM(D863:D867)</f>
        <v>0</v>
      </c>
      <c r="E868" s="219">
        <f>SUM(E863:E867)</f>
        <v>0</v>
      </c>
      <c r="G868" s="218" t="s">
        <v>34</v>
      </c>
      <c r="H868" s="219">
        <f>SUM(H863:H867)</f>
        <v>1423</v>
      </c>
      <c r="I868" s="219">
        <f>SUM(I863:I867)</f>
        <v>0</v>
      </c>
      <c r="J868" s="219">
        <f>SUM(J863:J867)</f>
        <v>0</v>
      </c>
      <c r="K868" s="219">
        <f>SUM(K863:K867)</f>
        <v>0</v>
      </c>
    </row>
    <row r="869" spans="1:11" x14ac:dyDescent="0.35">
      <c r="A869" s="220" t="s">
        <v>305</v>
      </c>
      <c r="B869" s="220">
        <f>+B868+C868+D868+E868</f>
        <v>8595</v>
      </c>
      <c r="C869" s="220"/>
      <c r="D869" s="220"/>
      <c r="E869" s="220"/>
      <c r="G869" s="220" t="s">
        <v>305</v>
      </c>
      <c r="H869" s="220">
        <f>+H868+I868+J868+K868</f>
        <v>1423</v>
      </c>
      <c r="I869" s="220"/>
      <c r="J869" s="220"/>
      <c r="K869" s="220"/>
    </row>
    <row r="870" spans="1:11" ht="15" thickBot="1" x14ac:dyDescent="0.4">
      <c r="A870" s="315" t="s">
        <v>298</v>
      </c>
      <c r="B870" s="315"/>
      <c r="C870" s="315"/>
      <c r="D870" s="315"/>
      <c r="E870" s="315"/>
      <c r="G870" s="315" t="s">
        <v>314</v>
      </c>
      <c r="H870" s="315"/>
      <c r="I870" s="315"/>
      <c r="J870" s="315"/>
      <c r="K870" s="315"/>
    </row>
    <row r="871" spans="1:11" ht="15" thickTop="1" x14ac:dyDescent="0.35">
      <c r="A871" s="313">
        <v>45378</v>
      </c>
      <c r="B871" s="314"/>
      <c r="C871" s="314"/>
      <c r="D871" s="314"/>
      <c r="E871" s="314"/>
      <c r="G871" s="313">
        <v>45378</v>
      </c>
      <c r="H871" s="314"/>
      <c r="I871" s="314"/>
      <c r="J871" s="314"/>
      <c r="K871" s="314"/>
    </row>
    <row r="872" spans="1:11" x14ac:dyDescent="0.35">
      <c r="A872" s="261" t="s">
        <v>159</v>
      </c>
      <c r="B872" s="262" t="s">
        <v>299</v>
      </c>
      <c r="C872" s="262" t="s">
        <v>300</v>
      </c>
      <c r="D872" s="262" t="s">
        <v>301</v>
      </c>
      <c r="E872" s="263" t="s">
        <v>302</v>
      </c>
      <c r="G872" s="264" t="s">
        <v>159</v>
      </c>
      <c r="H872" s="265" t="s">
        <v>299</v>
      </c>
      <c r="I872" s="265" t="s">
        <v>300</v>
      </c>
      <c r="J872" s="265" t="s">
        <v>301</v>
      </c>
      <c r="K872" s="266" t="s">
        <v>302</v>
      </c>
    </row>
    <row r="873" spans="1:11" x14ac:dyDescent="0.35">
      <c r="A873" s="221" t="s">
        <v>303</v>
      </c>
      <c r="B873" s="222">
        <v>18965</v>
      </c>
      <c r="C873" s="222"/>
      <c r="D873" s="222"/>
      <c r="E873" s="223"/>
      <c r="G873" s="221" t="s">
        <v>303</v>
      </c>
      <c r="H873" s="222">
        <v>14065</v>
      </c>
      <c r="I873" s="222"/>
      <c r="J873" s="222"/>
      <c r="K873" s="223"/>
    </row>
    <row r="874" spans="1:11" x14ac:dyDescent="0.35">
      <c r="A874" s="225" t="s">
        <v>304</v>
      </c>
      <c r="B874" s="226"/>
      <c r="C874" s="226"/>
      <c r="D874" s="226"/>
      <c r="E874" s="227"/>
      <c r="G874" s="225"/>
      <c r="H874" s="226"/>
      <c r="I874" s="226"/>
      <c r="J874" s="226"/>
      <c r="K874" s="227"/>
    </row>
    <row r="875" spans="1:11" x14ac:dyDescent="0.35">
      <c r="A875" s="225"/>
      <c r="B875" s="226"/>
      <c r="C875" s="226"/>
      <c r="D875" s="226"/>
      <c r="E875" s="227"/>
      <c r="G875" s="225"/>
      <c r="H875" s="226"/>
      <c r="I875" s="226"/>
      <c r="J875" s="226"/>
      <c r="K875" s="227"/>
    </row>
    <row r="876" spans="1:11" x14ac:dyDescent="0.35">
      <c r="A876" s="221"/>
      <c r="B876" s="222"/>
      <c r="C876" s="222"/>
      <c r="D876" s="222"/>
      <c r="E876" s="223"/>
      <c r="G876" s="221"/>
      <c r="H876" s="222"/>
      <c r="I876" s="222"/>
      <c r="J876" s="222"/>
      <c r="K876" s="223"/>
    </row>
    <row r="877" spans="1:11" x14ac:dyDescent="0.35">
      <c r="A877" s="225"/>
      <c r="B877" s="226"/>
      <c r="C877" s="226"/>
      <c r="D877" s="226"/>
      <c r="E877" s="227"/>
      <c r="G877" s="225"/>
      <c r="H877" s="226"/>
      <c r="I877" s="226"/>
      <c r="J877" s="226"/>
      <c r="K877" s="227"/>
    </row>
    <row r="878" spans="1:11" ht="15" thickBot="1" x14ac:dyDescent="0.4">
      <c r="A878" s="218" t="s">
        <v>34</v>
      </c>
      <c r="B878" s="219">
        <f>SUM(B873:B877)</f>
        <v>18965</v>
      </c>
      <c r="C878" s="219">
        <f>SUM(C873:C877)</f>
        <v>0</v>
      </c>
      <c r="D878" s="219">
        <f>SUM(D873:D877)</f>
        <v>0</v>
      </c>
      <c r="E878" s="219">
        <f>SUM(E873:E877)</f>
        <v>0</v>
      </c>
      <c r="G878" s="218" t="s">
        <v>34</v>
      </c>
      <c r="H878" s="219">
        <f>SUM(H873:H877)</f>
        <v>14065</v>
      </c>
      <c r="I878" s="219">
        <f>SUM(I873:I877)</f>
        <v>0</v>
      </c>
      <c r="J878" s="219">
        <f>SUM(J873:J877)</f>
        <v>0</v>
      </c>
      <c r="K878" s="219">
        <f>SUM(K873:K877)</f>
        <v>0</v>
      </c>
    </row>
    <row r="879" spans="1:11" x14ac:dyDescent="0.35">
      <c r="A879" s="220" t="s">
        <v>305</v>
      </c>
      <c r="B879" s="220">
        <f>+B878+C878+D878+E878</f>
        <v>18965</v>
      </c>
      <c r="C879" s="220"/>
      <c r="D879" s="220"/>
      <c r="E879" s="220"/>
      <c r="G879" s="220" t="s">
        <v>305</v>
      </c>
      <c r="H879" s="220">
        <f>+H878+I878+J878+K878</f>
        <v>14065</v>
      </c>
      <c r="I879" s="220"/>
      <c r="J879" s="220"/>
      <c r="K879" s="220"/>
    </row>
    <row r="880" spans="1:11" ht="15" thickBot="1" x14ac:dyDescent="0.4">
      <c r="A880" s="315" t="s">
        <v>298</v>
      </c>
      <c r="B880" s="315"/>
      <c r="C880" s="315"/>
      <c r="D880" s="315"/>
      <c r="E880" s="315"/>
      <c r="G880" s="315" t="s">
        <v>314</v>
      </c>
      <c r="H880" s="315"/>
      <c r="I880" s="315"/>
      <c r="J880" s="315"/>
      <c r="K880" s="315"/>
    </row>
    <row r="881" spans="1:11" ht="15" thickTop="1" x14ac:dyDescent="0.35">
      <c r="A881" s="313">
        <v>45379</v>
      </c>
      <c r="B881" s="314"/>
      <c r="C881" s="314"/>
      <c r="D881" s="314"/>
      <c r="E881" s="314"/>
      <c r="G881" s="313">
        <v>45379</v>
      </c>
      <c r="H881" s="314"/>
      <c r="I881" s="314"/>
      <c r="J881" s="314"/>
      <c r="K881" s="314"/>
    </row>
    <row r="882" spans="1:11" x14ac:dyDescent="0.35">
      <c r="A882" s="261" t="s">
        <v>159</v>
      </c>
      <c r="B882" s="262" t="s">
        <v>299</v>
      </c>
      <c r="C882" s="262" t="s">
        <v>300</v>
      </c>
      <c r="D882" s="262" t="s">
        <v>301</v>
      </c>
      <c r="E882" s="263" t="s">
        <v>302</v>
      </c>
      <c r="G882" s="264" t="s">
        <v>159</v>
      </c>
      <c r="H882" s="265" t="s">
        <v>299</v>
      </c>
      <c r="I882" s="265" t="s">
        <v>300</v>
      </c>
      <c r="J882" s="265" t="s">
        <v>301</v>
      </c>
      <c r="K882" s="266" t="s">
        <v>302</v>
      </c>
    </row>
    <row r="883" spans="1:11" x14ac:dyDescent="0.35">
      <c r="A883" s="221" t="s">
        <v>303</v>
      </c>
      <c r="B883" s="222">
        <v>89217</v>
      </c>
      <c r="C883" s="222"/>
      <c r="D883" s="222"/>
      <c r="E883" s="223"/>
      <c r="G883" s="221" t="s">
        <v>303</v>
      </c>
      <c r="H883" s="222">
        <v>31321</v>
      </c>
      <c r="I883" s="222"/>
      <c r="J883" s="222"/>
      <c r="K883" s="223"/>
    </row>
    <row r="884" spans="1:11" x14ac:dyDescent="0.35">
      <c r="A884" s="225" t="s">
        <v>304</v>
      </c>
      <c r="B884" s="226"/>
      <c r="C884" s="226"/>
      <c r="D884" s="226"/>
      <c r="E884" s="227"/>
      <c r="G884" s="225"/>
      <c r="H884" s="226"/>
      <c r="I884" s="226"/>
      <c r="J884" s="226"/>
      <c r="K884" s="227"/>
    </row>
    <row r="885" spans="1:11" x14ac:dyDescent="0.35">
      <c r="A885" s="225"/>
      <c r="B885" s="226"/>
      <c r="C885" s="226"/>
      <c r="D885" s="226"/>
      <c r="E885" s="227"/>
      <c r="G885" s="225"/>
      <c r="H885" s="226"/>
      <c r="I885" s="226"/>
      <c r="J885" s="226"/>
      <c r="K885" s="227"/>
    </row>
    <row r="886" spans="1:11" x14ac:dyDescent="0.35">
      <c r="A886" s="221"/>
      <c r="B886" s="222"/>
      <c r="C886" s="222"/>
      <c r="D886" s="222"/>
      <c r="E886" s="223"/>
      <c r="G886" s="221"/>
      <c r="H886" s="222"/>
      <c r="I886" s="222"/>
      <c r="J886" s="222"/>
      <c r="K886" s="223"/>
    </row>
    <row r="887" spans="1:11" x14ac:dyDescent="0.35">
      <c r="A887" s="225"/>
      <c r="B887" s="226"/>
      <c r="C887" s="226"/>
      <c r="D887" s="226"/>
      <c r="E887" s="227"/>
      <c r="G887" s="225"/>
      <c r="H887" s="226"/>
      <c r="I887" s="226"/>
      <c r="J887" s="226"/>
      <c r="K887" s="227"/>
    </row>
    <row r="888" spans="1:11" ht="15" thickBot="1" x14ac:dyDescent="0.4">
      <c r="A888" s="218" t="s">
        <v>34</v>
      </c>
      <c r="B888" s="219">
        <f>SUM(B883:B887)</f>
        <v>89217</v>
      </c>
      <c r="C888" s="219">
        <f>SUM(C883:C887)</f>
        <v>0</v>
      </c>
      <c r="D888" s="219">
        <f>SUM(D883:D887)</f>
        <v>0</v>
      </c>
      <c r="E888" s="219">
        <f>SUM(E883:E887)</f>
        <v>0</v>
      </c>
      <c r="G888" s="218" t="s">
        <v>34</v>
      </c>
      <c r="H888" s="219">
        <f>SUM(H883:H887)</f>
        <v>31321</v>
      </c>
      <c r="I888" s="219">
        <f>SUM(I883:I887)</f>
        <v>0</v>
      </c>
      <c r="J888" s="219">
        <f>SUM(J883:J887)</f>
        <v>0</v>
      </c>
      <c r="K888" s="219">
        <f>SUM(K883:K887)</f>
        <v>0</v>
      </c>
    </row>
    <row r="889" spans="1:11" x14ac:dyDescent="0.35">
      <c r="A889" s="220" t="s">
        <v>305</v>
      </c>
      <c r="B889" s="220">
        <f>+B888+C888+D888+E888</f>
        <v>89217</v>
      </c>
      <c r="C889" s="220"/>
      <c r="D889" s="220"/>
      <c r="E889" s="220"/>
      <c r="G889" s="220" t="s">
        <v>305</v>
      </c>
      <c r="H889" s="220">
        <f>+H888+I888+J888+K888</f>
        <v>31321</v>
      </c>
      <c r="I889" s="220"/>
      <c r="J889" s="220"/>
      <c r="K889" s="220"/>
    </row>
    <row r="890" spans="1:11" ht="15" thickBot="1" x14ac:dyDescent="0.4">
      <c r="A890" s="315" t="s">
        <v>298</v>
      </c>
      <c r="B890" s="315"/>
      <c r="C890" s="315"/>
      <c r="D890" s="315"/>
      <c r="E890" s="315"/>
      <c r="G890" s="315" t="s">
        <v>314</v>
      </c>
      <c r="H890" s="315"/>
      <c r="I890" s="315"/>
      <c r="J890" s="315"/>
      <c r="K890" s="315"/>
    </row>
    <row r="891" spans="1:11" ht="15" thickTop="1" x14ac:dyDescent="0.35">
      <c r="A891" s="313">
        <v>45380</v>
      </c>
      <c r="B891" s="314"/>
      <c r="C891" s="314"/>
      <c r="D891" s="314"/>
      <c r="E891" s="314"/>
      <c r="G891" s="313">
        <v>45380</v>
      </c>
      <c r="H891" s="314"/>
      <c r="I891" s="314"/>
      <c r="J891" s="314"/>
      <c r="K891" s="314"/>
    </row>
    <row r="892" spans="1:11" x14ac:dyDescent="0.35">
      <c r="A892" s="261" t="s">
        <v>159</v>
      </c>
      <c r="B892" s="262" t="s">
        <v>299</v>
      </c>
      <c r="C892" s="262" t="s">
        <v>300</v>
      </c>
      <c r="D892" s="262" t="s">
        <v>301</v>
      </c>
      <c r="E892" s="263" t="s">
        <v>302</v>
      </c>
      <c r="G892" s="264" t="s">
        <v>159</v>
      </c>
      <c r="H892" s="265" t="s">
        <v>299</v>
      </c>
      <c r="I892" s="265" t="s">
        <v>300</v>
      </c>
      <c r="J892" s="265" t="s">
        <v>301</v>
      </c>
      <c r="K892" s="266" t="s">
        <v>302</v>
      </c>
    </row>
    <row r="893" spans="1:11" x14ac:dyDescent="0.35">
      <c r="A893" s="221" t="s">
        <v>303</v>
      </c>
      <c r="B893" s="222">
        <v>47793</v>
      </c>
      <c r="C893" s="222"/>
      <c r="D893" s="222"/>
      <c r="E893" s="223"/>
      <c r="G893" s="221" t="s">
        <v>303</v>
      </c>
      <c r="H893" s="222">
        <v>13262</v>
      </c>
      <c r="I893" s="222"/>
      <c r="J893" s="222"/>
      <c r="K893" s="223"/>
    </row>
    <row r="894" spans="1:11" x14ac:dyDescent="0.35">
      <c r="A894" s="225" t="s">
        <v>304</v>
      </c>
      <c r="B894" s="226"/>
      <c r="C894" s="226"/>
      <c r="D894" s="226"/>
      <c r="E894" s="227"/>
      <c r="G894" s="225"/>
      <c r="H894" s="226"/>
      <c r="I894" s="226"/>
      <c r="J894" s="226"/>
      <c r="K894" s="227"/>
    </row>
    <row r="895" spans="1:11" x14ac:dyDescent="0.35">
      <c r="A895" s="225"/>
      <c r="B895" s="226"/>
      <c r="C895" s="226"/>
      <c r="D895" s="226"/>
      <c r="E895" s="227"/>
      <c r="G895" s="225"/>
      <c r="H895" s="226"/>
      <c r="I895" s="226"/>
      <c r="J895" s="226"/>
      <c r="K895" s="227"/>
    </row>
    <row r="896" spans="1:11" x14ac:dyDescent="0.35">
      <c r="A896" s="221"/>
      <c r="B896" s="222"/>
      <c r="C896" s="222"/>
      <c r="D896" s="222"/>
      <c r="E896" s="223"/>
      <c r="G896" s="221"/>
      <c r="H896" s="222"/>
      <c r="I896" s="222"/>
      <c r="J896" s="222"/>
      <c r="K896" s="223"/>
    </row>
    <row r="897" spans="1:11" x14ac:dyDescent="0.35">
      <c r="A897" s="225"/>
      <c r="B897" s="226"/>
      <c r="C897" s="226"/>
      <c r="D897" s="226"/>
      <c r="E897" s="227"/>
      <c r="G897" s="225"/>
      <c r="H897" s="226"/>
      <c r="I897" s="226"/>
      <c r="J897" s="226"/>
      <c r="K897" s="227"/>
    </row>
    <row r="898" spans="1:11" ht="15" thickBot="1" x14ac:dyDescent="0.4">
      <c r="A898" s="218" t="s">
        <v>34</v>
      </c>
      <c r="B898" s="219">
        <f>SUM(B893:B897)</f>
        <v>47793</v>
      </c>
      <c r="C898" s="219">
        <f>SUM(C893:C897)</f>
        <v>0</v>
      </c>
      <c r="D898" s="219">
        <f>SUM(D893:D897)</f>
        <v>0</v>
      </c>
      <c r="E898" s="219">
        <f>SUM(E893:E897)</f>
        <v>0</v>
      </c>
      <c r="G898" s="218" t="s">
        <v>34</v>
      </c>
      <c r="H898" s="219">
        <f>SUM(H893:H897)</f>
        <v>13262</v>
      </c>
      <c r="I898" s="219">
        <f>SUM(I893:I897)</f>
        <v>0</v>
      </c>
      <c r="J898" s="219">
        <f>SUM(J893:J897)</f>
        <v>0</v>
      </c>
      <c r="K898" s="219">
        <f>SUM(K893:K897)</f>
        <v>0</v>
      </c>
    </row>
    <row r="899" spans="1:11" x14ac:dyDescent="0.35">
      <c r="A899" s="220" t="s">
        <v>305</v>
      </c>
      <c r="B899" s="220">
        <f>+B898+C898+D898+E898</f>
        <v>47793</v>
      </c>
      <c r="C899" s="220"/>
      <c r="D899" s="220"/>
      <c r="E899" s="220"/>
      <c r="G899" s="220" t="s">
        <v>305</v>
      </c>
      <c r="H899" s="220">
        <f>+H898+I898+J898+K898</f>
        <v>13262</v>
      </c>
      <c r="I899" s="220"/>
      <c r="J899" s="220"/>
      <c r="K899" s="220"/>
    </row>
    <row r="900" spans="1:11" ht="15" thickBot="1" x14ac:dyDescent="0.4">
      <c r="A900" s="315" t="s">
        <v>298</v>
      </c>
      <c r="B900" s="315"/>
      <c r="C900" s="315"/>
      <c r="D900" s="315"/>
      <c r="E900" s="315"/>
      <c r="G900" s="315" t="s">
        <v>314</v>
      </c>
      <c r="H900" s="315"/>
      <c r="I900" s="315"/>
      <c r="J900" s="315"/>
      <c r="K900" s="315"/>
    </row>
    <row r="901" spans="1:11" ht="15" thickTop="1" x14ac:dyDescent="0.35">
      <c r="A901" s="313">
        <v>45381</v>
      </c>
      <c r="B901" s="314"/>
      <c r="C901" s="314"/>
      <c r="D901" s="314"/>
      <c r="E901" s="314"/>
      <c r="G901" s="313">
        <v>45381</v>
      </c>
      <c r="H901" s="314"/>
      <c r="I901" s="314"/>
      <c r="J901" s="314"/>
      <c r="K901" s="314"/>
    </row>
    <row r="902" spans="1:11" x14ac:dyDescent="0.35">
      <c r="A902" s="261" t="s">
        <v>159</v>
      </c>
      <c r="B902" s="262" t="s">
        <v>299</v>
      </c>
      <c r="C902" s="262" t="s">
        <v>300</v>
      </c>
      <c r="D902" s="262" t="s">
        <v>301</v>
      </c>
      <c r="E902" s="263" t="s">
        <v>302</v>
      </c>
      <c r="G902" s="264" t="s">
        <v>159</v>
      </c>
      <c r="H902" s="265" t="s">
        <v>299</v>
      </c>
      <c r="I902" s="265" t="s">
        <v>300</v>
      </c>
      <c r="J902" s="265" t="s">
        <v>301</v>
      </c>
      <c r="K902" s="266" t="s">
        <v>302</v>
      </c>
    </row>
    <row r="903" spans="1:11" x14ac:dyDescent="0.35">
      <c r="A903" s="221" t="s">
        <v>303</v>
      </c>
      <c r="B903" s="222">
        <v>30448</v>
      </c>
      <c r="C903" s="222"/>
      <c r="D903" s="222"/>
      <c r="E903" s="223"/>
      <c r="G903" s="221" t="s">
        <v>303</v>
      </c>
      <c r="H903" s="222">
        <v>6279</v>
      </c>
      <c r="I903" s="222"/>
      <c r="J903" s="222"/>
      <c r="K903" s="223"/>
    </row>
    <row r="904" spans="1:11" x14ac:dyDescent="0.35">
      <c r="A904" s="225" t="s">
        <v>304</v>
      </c>
      <c r="B904" s="226"/>
      <c r="C904" s="226"/>
      <c r="D904" s="226"/>
      <c r="E904" s="227"/>
      <c r="G904" s="225"/>
      <c r="H904" s="226"/>
      <c r="I904" s="226"/>
      <c r="J904" s="226"/>
      <c r="K904" s="227"/>
    </row>
    <row r="905" spans="1:11" x14ac:dyDescent="0.35">
      <c r="A905" s="225"/>
      <c r="B905" s="226"/>
      <c r="C905" s="226"/>
      <c r="D905" s="226"/>
      <c r="E905" s="227"/>
      <c r="G905" s="225"/>
      <c r="H905" s="226"/>
      <c r="I905" s="226"/>
      <c r="J905" s="226"/>
      <c r="K905" s="227"/>
    </row>
    <row r="906" spans="1:11" x14ac:dyDescent="0.35">
      <c r="A906" s="221"/>
      <c r="B906" s="222"/>
      <c r="C906" s="222"/>
      <c r="D906" s="222"/>
      <c r="E906" s="223"/>
      <c r="G906" s="221"/>
      <c r="H906" s="222"/>
      <c r="I906" s="222"/>
      <c r="J906" s="222"/>
      <c r="K906" s="223"/>
    </row>
    <row r="907" spans="1:11" x14ac:dyDescent="0.35">
      <c r="A907" s="225"/>
      <c r="B907" s="226"/>
      <c r="C907" s="226"/>
      <c r="D907" s="226"/>
      <c r="E907" s="227"/>
      <c r="G907" s="225"/>
      <c r="H907" s="226"/>
      <c r="I907" s="226"/>
      <c r="J907" s="226"/>
      <c r="K907" s="227"/>
    </row>
    <row r="908" spans="1:11" ht="15" thickBot="1" x14ac:dyDescent="0.4">
      <c r="A908" s="218" t="s">
        <v>34</v>
      </c>
      <c r="B908" s="219">
        <f>SUM(B903:B907)</f>
        <v>30448</v>
      </c>
      <c r="C908" s="219">
        <f>SUM(C903:C907)</f>
        <v>0</v>
      </c>
      <c r="D908" s="219">
        <f>SUM(D903:D907)</f>
        <v>0</v>
      </c>
      <c r="E908" s="219">
        <f>SUM(E903:E907)</f>
        <v>0</v>
      </c>
      <c r="G908" s="218" t="s">
        <v>34</v>
      </c>
      <c r="H908" s="219">
        <f>SUM(H903:H907)</f>
        <v>6279</v>
      </c>
      <c r="I908" s="219">
        <f>SUM(I903:I907)</f>
        <v>0</v>
      </c>
      <c r="J908" s="219">
        <f>SUM(J903:J907)</f>
        <v>0</v>
      </c>
      <c r="K908" s="219">
        <f>SUM(K903:K907)</f>
        <v>0</v>
      </c>
    </row>
    <row r="909" spans="1:11" x14ac:dyDescent="0.35">
      <c r="A909" s="220" t="s">
        <v>305</v>
      </c>
      <c r="B909" s="220">
        <f>+B908+C908+D908+E908</f>
        <v>30448</v>
      </c>
      <c r="C909" s="220"/>
      <c r="D909" s="220"/>
      <c r="E909" s="220"/>
      <c r="G909" s="220" t="s">
        <v>305</v>
      </c>
      <c r="H909" s="220">
        <f>+H908+I908+J908+K908</f>
        <v>6279</v>
      </c>
      <c r="I909" s="220"/>
      <c r="J909" s="220"/>
      <c r="K909" s="220"/>
    </row>
    <row r="910" spans="1:11" ht="15" thickBot="1" x14ac:dyDescent="0.4">
      <c r="A910" s="315" t="s">
        <v>298</v>
      </c>
      <c r="B910" s="315"/>
      <c r="C910" s="315"/>
      <c r="D910" s="315"/>
      <c r="E910" s="315"/>
      <c r="G910" s="315" t="s">
        <v>314</v>
      </c>
      <c r="H910" s="315"/>
      <c r="I910" s="315"/>
      <c r="J910" s="315"/>
      <c r="K910" s="315"/>
    </row>
    <row r="911" spans="1:11" ht="15" thickTop="1" x14ac:dyDescent="0.35">
      <c r="A911" s="313">
        <v>45382</v>
      </c>
      <c r="B911" s="314"/>
      <c r="C911" s="314"/>
      <c r="D911" s="314"/>
      <c r="E911" s="314"/>
      <c r="G911" s="313">
        <v>45382</v>
      </c>
      <c r="H911" s="314"/>
      <c r="I911" s="314"/>
      <c r="J911" s="314"/>
      <c r="K911" s="314"/>
    </row>
    <row r="912" spans="1:11" x14ac:dyDescent="0.35">
      <c r="A912" s="261" t="s">
        <v>159</v>
      </c>
      <c r="B912" s="262" t="s">
        <v>299</v>
      </c>
      <c r="C912" s="262" t="s">
        <v>300</v>
      </c>
      <c r="D912" s="262" t="s">
        <v>301</v>
      </c>
      <c r="E912" s="263" t="s">
        <v>302</v>
      </c>
      <c r="G912" s="264" t="s">
        <v>159</v>
      </c>
      <c r="H912" s="265" t="s">
        <v>299</v>
      </c>
      <c r="I912" s="265" t="s">
        <v>300</v>
      </c>
      <c r="J912" s="265" t="s">
        <v>301</v>
      </c>
      <c r="K912" s="266" t="s">
        <v>302</v>
      </c>
    </row>
    <row r="913" spans="1:13" x14ac:dyDescent="0.35">
      <c r="A913" s="221" t="s">
        <v>303</v>
      </c>
      <c r="B913" s="222">
        <v>14099</v>
      </c>
      <c r="C913" s="222"/>
      <c r="D913" s="222"/>
      <c r="E913" s="223"/>
      <c r="G913" s="221" t="s">
        <v>303</v>
      </c>
      <c r="H913" s="222">
        <v>1633</v>
      </c>
      <c r="I913" s="222"/>
      <c r="J913" s="222"/>
      <c r="K913" s="223"/>
    </row>
    <row r="914" spans="1:13" x14ac:dyDescent="0.35">
      <c r="A914" s="225" t="s">
        <v>304</v>
      </c>
      <c r="B914" s="226"/>
      <c r="C914" s="226"/>
      <c r="D914" s="226"/>
      <c r="E914" s="227"/>
      <c r="G914" s="225"/>
      <c r="H914" s="226"/>
      <c r="I914" s="226"/>
      <c r="J914" s="226"/>
      <c r="K914" s="227"/>
    </row>
    <row r="915" spans="1:13" x14ac:dyDescent="0.35">
      <c r="A915" s="225"/>
      <c r="B915" s="226"/>
      <c r="C915" s="226"/>
      <c r="D915" s="226"/>
      <c r="E915" s="227"/>
      <c r="G915" s="225"/>
      <c r="H915" s="226"/>
      <c r="I915" s="226"/>
      <c r="J915" s="226"/>
      <c r="K915" s="227"/>
    </row>
    <row r="916" spans="1:13" x14ac:dyDescent="0.35">
      <c r="A916" s="221"/>
      <c r="B916" s="222"/>
      <c r="C916" s="222"/>
      <c r="D916" s="222"/>
      <c r="E916" s="223"/>
      <c r="G916" s="221"/>
      <c r="H916" s="222"/>
      <c r="I916" s="222"/>
      <c r="J916" s="222"/>
      <c r="K916" s="223"/>
    </row>
    <row r="917" spans="1:13" x14ac:dyDescent="0.35">
      <c r="A917" s="225"/>
      <c r="B917" s="226"/>
      <c r="C917" s="226"/>
      <c r="D917" s="226"/>
      <c r="E917" s="227"/>
      <c r="G917" s="225"/>
      <c r="H917" s="226"/>
      <c r="I917" s="226"/>
      <c r="J917" s="226"/>
      <c r="K917" s="227"/>
    </row>
    <row r="918" spans="1:13" ht="15" thickBot="1" x14ac:dyDescent="0.4">
      <c r="A918" s="218" t="s">
        <v>34</v>
      </c>
      <c r="B918" s="219">
        <f>SUM(B913:B917)</f>
        <v>14099</v>
      </c>
      <c r="C918" s="219">
        <f>SUM(C913:C917)</f>
        <v>0</v>
      </c>
      <c r="D918" s="219">
        <f>SUM(D913:D917)</f>
        <v>0</v>
      </c>
      <c r="E918" s="219">
        <f>SUM(E913:E917)</f>
        <v>0</v>
      </c>
      <c r="G918" s="218" t="s">
        <v>34</v>
      </c>
      <c r="H918" s="219">
        <f>SUM(H913:H917)</f>
        <v>1633</v>
      </c>
      <c r="I918" s="219">
        <f>SUM(I913:I917)</f>
        <v>0</v>
      </c>
      <c r="J918" s="219">
        <f>SUM(J913:J917)</f>
        <v>0</v>
      </c>
      <c r="K918" s="219">
        <f>SUM(K913:K917)</f>
        <v>0</v>
      </c>
    </row>
    <row r="919" spans="1:13" x14ac:dyDescent="0.35">
      <c r="A919" s="220" t="s">
        <v>305</v>
      </c>
      <c r="B919" s="220">
        <f>+B918+C918+D918+E918</f>
        <v>14099</v>
      </c>
      <c r="C919" s="220"/>
      <c r="D919" s="220"/>
      <c r="E919" s="220"/>
      <c r="G919" s="220" t="s">
        <v>305</v>
      </c>
      <c r="H919" s="220">
        <f>+H918+I918+J918+K918</f>
        <v>1633</v>
      </c>
      <c r="I919" s="220"/>
      <c r="J919" s="220"/>
      <c r="K919" s="220"/>
    </row>
    <row r="921" spans="1:13" ht="15" thickBot="1" x14ac:dyDescent="0.4"/>
    <row r="922" spans="1:13" ht="31" customHeight="1" thickBot="1" x14ac:dyDescent="0.4">
      <c r="A922" s="316" t="s">
        <v>306</v>
      </c>
      <c r="B922" s="317"/>
      <c r="C922" s="317"/>
      <c r="D922" s="317"/>
      <c r="E922" s="317"/>
      <c r="F922" s="318"/>
      <c r="G922" s="319">
        <f>SUMIF($A$610:M920,"*"&amp;K922&amp;"*",$B$610:N920)</f>
        <v>772929</v>
      </c>
      <c r="H922" s="319"/>
      <c r="I922" s="319"/>
      <c r="J922" s="319"/>
      <c r="K922" s="320" t="s">
        <v>305</v>
      </c>
      <c r="L922" s="321"/>
      <c r="M922" s="228">
        <f>+G922</f>
        <v>772929</v>
      </c>
    </row>
    <row r="924" spans="1:13" ht="15" thickBot="1" x14ac:dyDescent="0.4">
      <c r="A924" s="315" t="s">
        <v>298</v>
      </c>
      <c r="B924" s="315"/>
      <c r="C924" s="315"/>
      <c r="D924" s="315"/>
      <c r="E924" s="315"/>
      <c r="G924" s="315" t="s">
        <v>314</v>
      </c>
      <c r="H924" s="315"/>
      <c r="I924" s="315"/>
      <c r="J924" s="315"/>
      <c r="K924" s="315"/>
    </row>
    <row r="925" spans="1:13" ht="15" thickTop="1" x14ac:dyDescent="0.35">
      <c r="A925" s="313">
        <v>45383</v>
      </c>
      <c r="B925" s="314"/>
      <c r="C925" s="314"/>
      <c r="D925" s="314"/>
      <c r="E925" s="314"/>
      <c r="G925" s="313">
        <v>45383</v>
      </c>
      <c r="H925" s="314"/>
      <c r="I925" s="314"/>
      <c r="J925" s="314"/>
      <c r="K925" s="314"/>
    </row>
    <row r="926" spans="1:13" x14ac:dyDescent="0.35">
      <c r="A926" s="261" t="s">
        <v>159</v>
      </c>
      <c r="B926" s="262" t="s">
        <v>299</v>
      </c>
      <c r="C926" s="262" t="s">
        <v>300</v>
      </c>
      <c r="D926" s="262" t="s">
        <v>301</v>
      </c>
      <c r="E926" s="263" t="s">
        <v>302</v>
      </c>
      <c r="G926" s="264" t="s">
        <v>159</v>
      </c>
      <c r="H926" s="265" t="s">
        <v>299</v>
      </c>
      <c r="I926" s="265" t="s">
        <v>300</v>
      </c>
      <c r="J926" s="265" t="s">
        <v>301</v>
      </c>
      <c r="K926" s="266" t="s">
        <v>302</v>
      </c>
    </row>
    <row r="927" spans="1:13" x14ac:dyDescent="0.35">
      <c r="A927" s="221" t="s">
        <v>303</v>
      </c>
      <c r="B927" s="222">
        <v>3267</v>
      </c>
      <c r="C927" s="222"/>
      <c r="D927" s="222"/>
      <c r="E927" s="223"/>
      <c r="G927" s="221" t="s">
        <v>303</v>
      </c>
      <c r="H927" s="222">
        <v>894</v>
      </c>
      <c r="I927" s="222"/>
      <c r="J927" s="222"/>
      <c r="K927" s="223"/>
    </row>
    <row r="928" spans="1:13" x14ac:dyDescent="0.35">
      <c r="A928" s="225" t="s">
        <v>304</v>
      </c>
      <c r="B928" s="226"/>
      <c r="C928" s="226"/>
      <c r="D928" s="226"/>
      <c r="E928" s="227"/>
      <c r="G928" s="225"/>
      <c r="H928" s="226"/>
      <c r="I928" s="226"/>
      <c r="J928" s="226"/>
      <c r="K928" s="227"/>
    </row>
    <row r="929" spans="1:11" x14ac:dyDescent="0.35">
      <c r="A929" s="225"/>
      <c r="B929" s="226"/>
      <c r="C929" s="226"/>
      <c r="D929" s="226"/>
      <c r="E929" s="227"/>
      <c r="G929" s="225"/>
      <c r="H929" s="226"/>
      <c r="I929" s="226"/>
      <c r="J929" s="226"/>
      <c r="K929" s="227"/>
    </row>
    <row r="930" spans="1:11" x14ac:dyDescent="0.35">
      <c r="A930" s="221"/>
      <c r="B930" s="222"/>
      <c r="C930" s="222"/>
      <c r="D930" s="222"/>
      <c r="E930" s="223"/>
      <c r="G930" s="221"/>
      <c r="H930" s="222"/>
      <c r="I930" s="222"/>
      <c r="J930" s="222"/>
      <c r="K930" s="223"/>
    </row>
    <row r="931" spans="1:11" x14ac:dyDescent="0.35">
      <c r="A931" s="225"/>
      <c r="B931" s="226"/>
      <c r="C931" s="226"/>
      <c r="D931" s="226"/>
      <c r="E931" s="227"/>
      <c r="G931" s="225"/>
      <c r="H931" s="226"/>
      <c r="I931" s="226"/>
      <c r="J931" s="226"/>
      <c r="K931" s="227"/>
    </row>
    <row r="932" spans="1:11" ht="15" thickBot="1" x14ac:dyDescent="0.4">
      <c r="A932" s="218" t="s">
        <v>34</v>
      </c>
      <c r="B932" s="219">
        <f>SUM(B927:B931)</f>
        <v>3267</v>
      </c>
      <c r="C932" s="219">
        <f>SUM(C927:C931)</f>
        <v>0</v>
      </c>
      <c r="D932" s="219">
        <f>SUM(D927:D931)</f>
        <v>0</v>
      </c>
      <c r="E932" s="219">
        <f>SUM(E927:E931)</f>
        <v>0</v>
      </c>
      <c r="G932" s="218" t="s">
        <v>34</v>
      </c>
      <c r="H932" s="219">
        <f>SUM(H927:H931)</f>
        <v>894</v>
      </c>
      <c r="I932" s="219">
        <f>SUM(I927:I931)</f>
        <v>0</v>
      </c>
      <c r="J932" s="219">
        <f>SUM(J927:J931)</f>
        <v>0</v>
      </c>
      <c r="K932" s="219">
        <f>SUM(K927:K931)</f>
        <v>0</v>
      </c>
    </row>
    <row r="933" spans="1:11" x14ac:dyDescent="0.35">
      <c r="A933" s="220" t="s">
        <v>305</v>
      </c>
      <c r="B933" s="220">
        <f>+B932+C932+D932+E932</f>
        <v>3267</v>
      </c>
      <c r="C933" s="220"/>
      <c r="D933" s="220"/>
      <c r="E933" s="220"/>
      <c r="G933" s="220" t="s">
        <v>305</v>
      </c>
      <c r="H933" s="220">
        <f>+H932+I932+J932+K932</f>
        <v>894</v>
      </c>
      <c r="I933" s="220"/>
      <c r="J933" s="220"/>
      <c r="K933" s="220"/>
    </row>
    <row r="934" spans="1:11" ht="15" thickBot="1" x14ac:dyDescent="0.4">
      <c r="A934" s="315" t="s">
        <v>298</v>
      </c>
      <c r="B934" s="315"/>
      <c r="C934" s="315"/>
      <c r="D934" s="315"/>
      <c r="E934" s="315"/>
      <c r="G934" s="315" t="s">
        <v>314</v>
      </c>
      <c r="H934" s="315"/>
      <c r="I934" s="315"/>
      <c r="J934" s="315"/>
      <c r="K934" s="315"/>
    </row>
    <row r="935" spans="1:11" ht="15" thickTop="1" x14ac:dyDescent="0.35">
      <c r="A935" s="313">
        <v>45384</v>
      </c>
      <c r="B935" s="314"/>
      <c r="C935" s="314"/>
      <c r="D935" s="314"/>
      <c r="E935" s="314"/>
      <c r="G935" s="313">
        <v>45384</v>
      </c>
      <c r="H935" s="314"/>
      <c r="I935" s="314"/>
      <c r="J935" s="314"/>
      <c r="K935" s="314"/>
    </row>
    <row r="936" spans="1:11" x14ac:dyDescent="0.35">
      <c r="A936" s="261" t="s">
        <v>159</v>
      </c>
      <c r="B936" s="262" t="s">
        <v>299</v>
      </c>
      <c r="C936" s="262" t="s">
        <v>300</v>
      </c>
      <c r="D936" s="262" t="s">
        <v>301</v>
      </c>
      <c r="E936" s="263" t="s">
        <v>302</v>
      </c>
      <c r="G936" s="264" t="s">
        <v>159</v>
      </c>
      <c r="H936" s="265" t="s">
        <v>299</v>
      </c>
      <c r="I936" s="265" t="s">
        <v>300</v>
      </c>
      <c r="J936" s="265" t="s">
        <v>301</v>
      </c>
      <c r="K936" s="266" t="s">
        <v>302</v>
      </c>
    </row>
    <row r="937" spans="1:11" x14ac:dyDescent="0.35">
      <c r="A937" s="221" t="s">
        <v>303</v>
      </c>
      <c r="B937" s="222">
        <v>1108</v>
      </c>
      <c r="C937" s="222"/>
      <c r="D937" s="222"/>
      <c r="E937" s="223"/>
      <c r="G937" s="221" t="s">
        <v>303</v>
      </c>
      <c r="H937" s="222"/>
      <c r="I937" s="222"/>
      <c r="J937" s="222"/>
      <c r="K937" s="223"/>
    </row>
    <row r="938" spans="1:11" x14ac:dyDescent="0.35">
      <c r="A938" s="225" t="s">
        <v>304</v>
      </c>
      <c r="B938" s="226">
        <v>38000</v>
      </c>
      <c r="C938" s="226"/>
      <c r="D938" s="226"/>
      <c r="E938" s="227"/>
      <c r="G938" s="225"/>
      <c r="H938" s="226"/>
      <c r="I938" s="226"/>
      <c r="J938" s="226"/>
      <c r="K938" s="227"/>
    </row>
    <row r="939" spans="1:11" x14ac:dyDescent="0.35">
      <c r="A939" s="225"/>
      <c r="B939" s="226"/>
      <c r="C939" s="226"/>
      <c r="D939" s="226"/>
      <c r="E939" s="227"/>
      <c r="G939" s="225"/>
      <c r="H939" s="226"/>
      <c r="I939" s="226"/>
      <c r="J939" s="226"/>
      <c r="K939" s="227"/>
    </row>
    <row r="940" spans="1:11" x14ac:dyDescent="0.35">
      <c r="A940" s="221"/>
      <c r="B940" s="222"/>
      <c r="C940" s="222"/>
      <c r="D940" s="222"/>
      <c r="E940" s="223"/>
      <c r="G940" s="221"/>
      <c r="H940" s="222"/>
      <c r="I940" s="222"/>
      <c r="J940" s="222"/>
      <c r="K940" s="223"/>
    </row>
    <row r="941" spans="1:11" x14ac:dyDescent="0.35">
      <c r="A941" s="225"/>
      <c r="B941" s="226"/>
      <c r="C941" s="226"/>
      <c r="D941" s="226"/>
      <c r="E941" s="227"/>
      <c r="G941" s="225"/>
      <c r="H941" s="226"/>
      <c r="I941" s="226"/>
      <c r="J941" s="226"/>
      <c r="K941" s="227"/>
    </row>
    <row r="942" spans="1:11" ht="15" thickBot="1" x14ac:dyDescent="0.4">
      <c r="A942" s="218" t="s">
        <v>34</v>
      </c>
      <c r="B942" s="219">
        <f>SUM(B937:B941)</f>
        <v>39108</v>
      </c>
      <c r="C942" s="219">
        <f>SUM(C937:C941)</f>
        <v>0</v>
      </c>
      <c r="D942" s="219">
        <f>SUM(D937:D941)</f>
        <v>0</v>
      </c>
      <c r="E942" s="219">
        <f>SUM(E937:E941)</f>
        <v>0</v>
      </c>
      <c r="G942" s="218" t="s">
        <v>34</v>
      </c>
      <c r="H942" s="219">
        <f>SUM(H937:H941)</f>
        <v>0</v>
      </c>
      <c r="I942" s="219">
        <f>SUM(I937:I941)</f>
        <v>0</v>
      </c>
      <c r="J942" s="219">
        <f>SUM(J937:J941)</f>
        <v>0</v>
      </c>
      <c r="K942" s="219">
        <f>SUM(K937:K941)</f>
        <v>0</v>
      </c>
    </row>
    <row r="943" spans="1:11" x14ac:dyDescent="0.35">
      <c r="A943" s="220" t="s">
        <v>305</v>
      </c>
      <c r="B943" s="220">
        <f>+B942+C942+D942+E942</f>
        <v>39108</v>
      </c>
      <c r="C943" s="220"/>
      <c r="D943" s="220"/>
      <c r="E943" s="220"/>
      <c r="G943" s="220" t="s">
        <v>305</v>
      </c>
      <c r="H943" s="220">
        <f>+H942+I942+J942+K942</f>
        <v>0</v>
      </c>
      <c r="I943" s="220"/>
      <c r="J943" s="220"/>
      <c r="K943" s="220"/>
    </row>
    <row r="944" spans="1:11" ht="15" thickBot="1" x14ac:dyDescent="0.4">
      <c r="A944" s="315" t="s">
        <v>298</v>
      </c>
      <c r="B944" s="315"/>
      <c r="C944" s="315"/>
      <c r="D944" s="315"/>
      <c r="E944" s="315"/>
      <c r="G944" s="315" t="s">
        <v>314</v>
      </c>
      <c r="H944" s="315"/>
      <c r="I944" s="315"/>
      <c r="J944" s="315"/>
      <c r="K944" s="315"/>
    </row>
    <row r="945" spans="1:11" ht="15" thickTop="1" x14ac:dyDescent="0.35">
      <c r="A945" s="313">
        <v>45385</v>
      </c>
      <c r="B945" s="314"/>
      <c r="C945" s="314"/>
      <c r="D945" s="314"/>
      <c r="E945" s="314"/>
      <c r="G945" s="313">
        <v>45385</v>
      </c>
      <c r="H945" s="314"/>
      <c r="I945" s="314"/>
      <c r="J945" s="314"/>
      <c r="K945" s="314"/>
    </row>
    <row r="946" spans="1:11" x14ac:dyDescent="0.35">
      <c r="A946" s="261" t="s">
        <v>159</v>
      </c>
      <c r="B946" s="262" t="s">
        <v>299</v>
      </c>
      <c r="C946" s="262" t="s">
        <v>300</v>
      </c>
      <c r="D946" s="262" t="s">
        <v>301</v>
      </c>
      <c r="E946" s="263" t="s">
        <v>302</v>
      </c>
      <c r="G946" s="264" t="s">
        <v>159</v>
      </c>
      <c r="H946" s="265" t="s">
        <v>299</v>
      </c>
      <c r="I946" s="265" t="s">
        <v>300</v>
      </c>
      <c r="J946" s="265" t="s">
        <v>301</v>
      </c>
      <c r="K946" s="266" t="s">
        <v>302</v>
      </c>
    </row>
    <row r="947" spans="1:11" x14ac:dyDescent="0.35">
      <c r="A947" s="221" t="s">
        <v>303</v>
      </c>
      <c r="B947" s="222">
        <v>1740</v>
      </c>
      <c r="C947" s="222"/>
      <c r="D947" s="222"/>
      <c r="E947" s="223"/>
      <c r="G947" s="221" t="s">
        <v>303</v>
      </c>
      <c r="H947" s="222"/>
      <c r="I947" s="222"/>
      <c r="J947" s="222"/>
      <c r="K947" s="223"/>
    </row>
    <row r="948" spans="1:11" x14ac:dyDescent="0.35">
      <c r="A948" s="225" t="s">
        <v>304</v>
      </c>
      <c r="B948" s="226"/>
      <c r="C948" s="226"/>
      <c r="D948" s="226"/>
      <c r="E948" s="227"/>
      <c r="G948" s="225"/>
      <c r="H948" s="226"/>
      <c r="I948" s="226"/>
      <c r="J948" s="226"/>
      <c r="K948" s="227"/>
    </row>
    <row r="949" spans="1:11" x14ac:dyDescent="0.35">
      <c r="A949" s="225"/>
      <c r="B949" s="226"/>
      <c r="C949" s="226"/>
      <c r="D949" s="226"/>
      <c r="E949" s="227"/>
      <c r="G949" s="225"/>
      <c r="H949" s="226"/>
      <c r="I949" s="226"/>
      <c r="J949" s="226"/>
      <c r="K949" s="227"/>
    </row>
    <row r="950" spans="1:11" x14ac:dyDescent="0.35">
      <c r="A950" s="221"/>
      <c r="B950" s="222"/>
      <c r="C950" s="222"/>
      <c r="D950" s="222"/>
      <c r="E950" s="223"/>
      <c r="G950" s="221"/>
      <c r="H950" s="222"/>
      <c r="I950" s="222"/>
      <c r="J950" s="222"/>
      <c r="K950" s="223"/>
    </row>
    <row r="951" spans="1:11" x14ac:dyDescent="0.35">
      <c r="A951" s="225"/>
      <c r="B951" s="226"/>
      <c r="C951" s="226"/>
      <c r="D951" s="226"/>
      <c r="E951" s="227"/>
      <c r="G951" s="225"/>
      <c r="H951" s="226"/>
      <c r="I951" s="226"/>
      <c r="J951" s="226"/>
      <c r="K951" s="227"/>
    </row>
    <row r="952" spans="1:11" ht="15" thickBot="1" x14ac:dyDescent="0.4">
      <c r="A952" s="218" t="s">
        <v>34</v>
      </c>
      <c r="B952" s="219">
        <f>SUM(B947:B951)</f>
        <v>1740</v>
      </c>
      <c r="C952" s="219">
        <f>SUM(C947:C951)</f>
        <v>0</v>
      </c>
      <c r="D952" s="219">
        <f>SUM(D947:D951)</f>
        <v>0</v>
      </c>
      <c r="E952" s="219">
        <f>SUM(E947:E951)</f>
        <v>0</v>
      </c>
      <c r="G952" s="218" t="s">
        <v>34</v>
      </c>
      <c r="H952" s="219">
        <f>SUM(H947:H951)</f>
        <v>0</v>
      </c>
      <c r="I952" s="219">
        <f>SUM(I947:I951)</f>
        <v>0</v>
      </c>
      <c r="J952" s="219">
        <f>SUM(J947:J951)</f>
        <v>0</v>
      </c>
      <c r="K952" s="219">
        <f>SUM(K947:K951)</f>
        <v>0</v>
      </c>
    </row>
    <row r="953" spans="1:11" x14ac:dyDescent="0.35">
      <c r="A953" s="220" t="s">
        <v>305</v>
      </c>
      <c r="B953" s="220">
        <f>+B952+C952+D952+E952</f>
        <v>1740</v>
      </c>
      <c r="C953" s="220"/>
      <c r="D953" s="220"/>
      <c r="E953" s="220"/>
      <c r="G953" s="220" t="s">
        <v>305</v>
      </c>
      <c r="H953" s="220">
        <f>+H952+I952+J952+K952</f>
        <v>0</v>
      </c>
      <c r="I953" s="220"/>
      <c r="J953" s="220"/>
      <c r="K953" s="220"/>
    </row>
    <row r="954" spans="1:11" ht="15" thickBot="1" x14ac:dyDescent="0.4">
      <c r="A954" s="315" t="s">
        <v>298</v>
      </c>
      <c r="B954" s="315"/>
      <c r="C954" s="315"/>
      <c r="D954" s="315"/>
      <c r="E954" s="315"/>
      <c r="G954" s="315" t="s">
        <v>314</v>
      </c>
      <c r="H954" s="315"/>
      <c r="I954" s="315"/>
      <c r="J954" s="315"/>
      <c r="K954" s="315"/>
    </row>
    <row r="955" spans="1:11" ht="15" thickTop="1" x14ac:dyDescent="0.35">
      <c r="A955" s="313">
        <v>45386</v>
      </c>
      <c r="B955" s="314"/>
      <c r="C955" s="314"/>
      <c r="D955" s="314"/>
      <c r="E955" s="314"/>
      <c r="G955" s="313">
        <v>45386</v>
      </c>
      <c r="H955" s="314"/>
      <c r="I955" s="314"/>
      <c r="J955" s="314"/>
      <c r="K955" s="314"/>
    </row>
    <row r="956" spans="1:11" x14ac:dyDescent="0.35">
      <c r="A956" s="261" t="s">
        <v>159</v>
      </c>
      <c r="B956" s="262" t="s">
        <v>299</v>
      </c>
      <c r="C956" s="262" t="s">
        <v>300</v>
      </c>
      <c r="D956" s="262" t="s">
        <v>301</v>
      </c>
      <c r="E956" s="263" t="s">
        <v>302</v>
      </c>
      <c r="G956" s="264" t="s">
        <v>159</v>
      </c>
      <c r="H956" s="265" t="s">
        <v>299</v>
      </c>
      <c r="I956" s="265" t="s">
        <v>300</v>
      </c>
      <c r="J956" s="265" t="s">
        <v>301</v>
      </c>
      <c r="K956" s="266" t="s">
        <v>302</v>
      </c>
    </row>
    <row r="957" spans="1:11" x14ac:dyDescent="0.35">
      <c r="A957" s="221" t="s">
        <v>303</v>
      </c>
      <c r="B957" s="222">
        <v>4819</v>
      </c>
      <c r="C957" s="222"/>
      <c r="D957" s="222"/>
      <c r="E957" s="223"/>
      <c r="G957" s="221" t="s">
        <v>303</v>
      </c>
      <c r="H957" s="222">
        <v>1428</v>
      </c>
      <c r="I957" s="222"/>
      <c r="J957" s="222"/>
      <c r="K957" s="223"/>
    </row>
    <row r="958" spans="1:11" x14ac:dyDescent="0.35">
      <c r="A958" s="225" t="s">
        <v>304</v>
      </c>
      <c r="B958" s="226">
        <v>9082</v>
      </c>
      <c r="C958" s="226"/>
      <c r="D958" s="226"/>
      <c r="E958" s="227"/>
      <c r="G958" s="225"/>
      <c r="H958" s="226"/>
      <c r="I958" s="226"/>
      <c r="J958" s="226"/>
      <c r="K958" s="227"/>
    </row>
    <row r="959" spans="1:11" x14ac:dyDescent="0.35">
      <c r="A959" s="225"/>
      <c r="B959" s="226"/>
      <c r="C959" s="226"/>
      <c r="D959" s="226"/>
      <c r="E959" s="227"/>
      <c r="G959" s="225"/>
      <c r="H959" s="226"/>
      <c r="I959" s="226"/>
      <c r="J959" s="226"/>
      <c r="K959" s="227"/>
    </row>
    <row r="960" spans="1:11" x14ac:dyDescent="0.35">
      <c r="A960" s="221"/>
      <c r="B960" s="222"/>
      <c r="C960" s="222"/>
      <c r="D960" s="222"/>
      <c r="E960" s="223"/>
      <c r="G960" s="221"/>
      <c r="H960" s="222"/>
      <c r="I960" s="222"/>
      <c r="J960" s="222"/>
      <c r="K960" s="223"/>
    </row>
    <row r="961" spans="1:11" x14ac:dyDescent="0.35">
      <c r="A961" s="225"/>
      <c r="B961" s="226"/>
      <c r="C961" s="226"/>
      <c r="D961" s="226"/>
      <c r="E961" s="227"/>
      <c r="G961" s="225"/>
      <c r="H961" s="226"/>
      <c r="I961" s="226"/>
      <c r="J961" s="226"/>
      <c r="K961" s="227"/>
    </row>
    <row r="962" spans="1:11" ht="15" thickBot="1" x14ac:dyDescent="0.4">
      <c r="A962" s="218" t="s">
        <v>34</v>
      </c>
      <c r="B962" s="219">
        <f>SUM(B957:B961)</f>
        <v>13901</v>
      </c>
      <c r="C962" s="219">
        <f>SUM(C957:C961)</f>
        <v>0</v>
      </c>
      <c r="D962" s="219">
        <f>SUM(D957:D961)</f>
        <v>0</v>
      </c>
      <c r="E962" s="219">
        <f>SUM(E957:E961)</f>
        <v>0</v>
      </c>
      <c r="G962" s="218" t="s">
        <v>34</v>
      </c>
      <c r="H962" s="219">
        <f>SUM(H957:H961)</f>
        <v>1428</v>
      </c>
      <c r="I962" s="219">
        <f>SUM(I957:I961)</f>
        <v>0</v>
      </c>
      <c r="J962" s="219">
        <f>SUM(J957:J961)</f>
        <v>0</v>
      </c>
      <c r="K962" s="219">
        <f>SUM(K957:K961)</f>
        <v>0</v>
      </c>
    </row>
    <row r="963" spans="1:11" x14ac:dyDescent="0.35">
      <c r="A963" s="220" t="s">
        <v>305</v>
      </c>
      <c r="B963" s="220">
        <f>+B962+C962+D962+E962</f>
        <v>13901</v>
      </c>
      <c r="C963" s="220"/>
      <c r="D963" s="220"/>
      <c r="E963" s="220"/>
      <c r="G963" s="220" t="s">
        <v>305</v>
      </c>
      <c r="H963" s="220">
        <f>+H962+I962+J962+K962</f>
        <v>1428</v>
      </c>
      <c r="I963" s="220"/>
      <c r="J963" s="220"/>
      <c r="K963" s="220"/>
    </row>
    <row r="964" spans="1:11" ht="15" thickBot="1" x14ac:dyDescent="0.4">
      <c r="A964" s="315" t="s">
        <v>298</v>
      </c>
      <c r="B964" s="315"/>
      <c r="C964" s="315"/>
      <c r="D964" s="315"/>
      <c r="E964" s="315"/>
      <c r="G964" s="315" t="s">
        <v>314</v>
      </c>
      <c r="H964" s="315"/>
      <c r="I964" s="315"/>
      <c r="J964" s="315"/>
      <c r="K964" s="315"/>
    </row>
    <row r="965" spans="1:11" ht="15" thickTop="1" x14ac:dyDescent="0.35">
      <c r="A965" s="313">
        <v>45387</v>
      </c>
      <c r="B965" s="314"/>
      <c r="C965" s="314"/>
      <c r="D965" s="314"/>
      <c r="E965" s="314"/>
      <c r="G965" s="313">
        <v>45387</v>
      </c>
      <c r="H965" s="314"/>
      <c r="I965" s="314"/>
      <c r="J965" s="314"/>
      <c r="K965" s="314"/>
    </row>
    <row r="966" spans="1:11" x14ac:dyDescent="0.35">
      <c r="A966" s="261" t="s">
        <v>159</v>
      </c>
      <c r="B966" s="262" t="s">
        <v>299</v>
      </c>
      <c r="C966" s="262" t="s">
        <v>300</v>
      </c>
      <c r="D966" s="262" t="s">
        <v>301</v>
      </c>
      <c r="E966" s="263" t="s">
        <v>302</v>
      </c>
      <c r="G966" s="264" t="s">
        <v>159</v>
      </c>
      <c r="H966" s="265" t="s">
        <v>299</v>
      </c>
      <c r="I966" s="265" t="s">
        <v>300</v>
      </c>
      <c r="J966" s="265" t="s">
        <v>301</v>
      </c>
      <c r="K966" s="266" t="s">
        <v>302</v>
      </c>
    </row>
    <row r="967" spans="1:11" x14ac:dyDescent="0.35">
      <c r="A967" s="221" t="s">
        <v>303</v>
      </c>
      <c r="B967" s="222">
        <v>4671</v>
      </c>
      <c r="C967" s="222"/>
      <c r="D967" s="222"/>
      <c r="E967" s="223"/>
      <c r="G967" s="221" t="s">
        <v>303</v>
      </c>
      <c r="H967" s="222">
        <v>810</v>
      </c>
      <c r="I967" s="222"/>
      <c r="J967" s="222"/>
      <c r="K967" s="223"/>
    </row>
    <row r="968" spans="1:11" x14ac:dyDescent="0.35">
      <c r="A968" s="225" t="s">
        <v>304</v>
      </c>
      <c r="B968" s="226">
        <v>693</v>
      </c>
      <c r="C968" s="226"/>
      <c r="D968" s="226"/>
      <c r="E968" s="227"/>
      <c r="G968" s="225"/>
      <c r="H968" s="226"/>
      <c r="I968" s="226"/>
      <c r="J968" s="226"/>
      <c r="K968" s="227"/>
    </row>
    <row r="969" spans="1:11" x14ac:dyDescent="0.35">
      <c r="A969" s="225"/>
      <c r="B969" s="226"/>
      <c r="C969" s="226"/>
      <c r="D969" s="226"/>
      <c r="E969" s="227"/>
      <c r="G969" s="225"/>
      <c r="H969" s="226"/>
      <c r="I969" s="226"/>
      <c r="J969" s="226"/>
      <c r="K969" s="227"/>
    </row>
    <row r="970" spans="1:11" x14ac:dyDescent="0.35">
      <c r="A970" s="221"/>
      <c r="B970" s="222"/>
      <c r="C970" s="222"/>
      <c r="D970" s="222"/>
      <c r="E970" s="223"/>
      <c r="G970" s="221"/>
      <c r="H970" s="222"/>
      <c r="I970" s="222"/>
      <c r="J970" s="222"/>
      <c r="K970" s="223"/>
    </row>
    <row r="971" spans="1:11" x14ac:dyDescent="0.35">
      <c r="A971" s="225"/>
      <c r="B971" s="226"/>
      <c r="C971" s="226"/>
      <c r="D971" s="226"/>
      <c r="E971" s="227"/>
      <c r="G971" s="225"/>
      <c r="H971" s="226"/>
      <c r="I971" s="226"/>
      <c r="J971" s="226"/>
      <c r="K971" s="227"/>
    </row>
    <row r="972" spans="1:11" ht="15" thickBot="1" x14ac:dyDescent="0.4">
      <c r="A972" s="218" t="s">
        <v>34</v>
      </c>
      <c r="B972" s="219">
        <f>SUM(B967:B971)</f>
        <v>5364</v>
      </c>
      <c r="C972" s="219">
        <f>SUM(C967:C971)</f>
        <v>0</v>
      </c>
      <c r="D972" s="219">
        <f>SUM(D967:D971)</f>
        <v>0</v>
      </c>
      <c r="E972" s="219">
        <f>SUM(E967:E971)</f>
        <v>0</v>
      </c>
      <c r="G972" s="218" t="s">
        <v>34</v>
      </c>
      <c r="H972" s="219">
        <f>SUM(H967:H971)</f>
        <v>810</v>
      </c>
      <c r="I972" s="219">
        <f>SUM(I967:I971)</f>
        <v>0</v>
      </c>
      <c r="J972" s="219">
        <f>SUM(J967:J971)</f>
        <v>0</v>
      </c>
      <c r="K972" s="219">
        <f>SUM(K967:K971)</f>
        <v>0</v>
      </c>
    </row>
    <row r="973" spans="1:11" x14ac:dyDescent="0.35">
      <c r="A973" s="220" t="s">
        <v>305</v>
      </c>
      <c r="B973" s="220">
        <f>+B972+C972+D972+E972</f>
        <v>5364</v>
      </c>
      <c r="C973" s="220"/>
      <c r="D973" s="220"/>
      <c r="E973" s="220"/>
      <c r="G973" s="220" t="s">
        <v>305</v>
      </c>
      <c r="H973" s="220">
        <f>+H972+I972+J972+K972</f>
        <v>810</v>
      </c>
      <c r="I973" s="220"/>
      <c r="J973" s="220"/>
      <c r="K973" s="220"/>
    </row>
    <row r="974" spans="1:11" ht="15" thickBot="1" x14ac:dyDescent="0.4">
      <c r="A974" s="315" t="s">
        <v>298</v>
      </c>
      <c r="B974" s="315"/>
      <c r="C974" s="315"/>
      <c r="D974" s="315"/>
      <c r="E974" s="315"/>
      <c r="G974" s="315" t="s">
        <v>314</v>
      </c>
      <c r="H974" s="315"/>
      <c r="I974" s="315"/>
      <c r="J974" s="315"/>
      <c r="K974" s="315"/>
    </row>
    <row r="975" spans="1:11" ht="15" thickTop="1" x14ac:dyDescent="0.35">
      <c r="A975" s="313">
        <v>45388</v>
      </c>
      <c r="B975" s="314"/>
      <c r="C975" s="314"/>
      <c r="D975" s="314"/>
      <c r="E975" s="314"/>
      <c r="G975" s="313">
        <v>45388</v>
      </c>
      <c r="H975" s="314"/>
      <c r="I975" s="314"/>
      <c r="J975" s="314"/>
      <c r="K975" s="314"/>
    </row>
    <row r="976" spans="1:11" x14ac:dyDescent="0.35">
      <c r="A976" s="261" t="s">
        <v>159</v>
      </c>
      <c r="B976" s="262" t="s">
        <v>299</v>
      </c>
      <c r="C976" s="262" t="s">
        <v>300</v>
      </c>
      <c r="D976" s="262" t="s">
        <v>301</v>
      </c>
      <c r="E976" s="263" t="s">
        <v>302</v>
      </c>
      <c r="G976" s="264" t="s">
        <v>159</v>
      </c>
      <c r="H976" s="265" t="s">
        <v>299</v>
      </c>
      <c r="I976" s="265" t="s">
        <v>300</v>
      </c>
      <c r="J976" s="265" t="s">
        <v>301</v>
      </c>
      <c r="K976" s="266" t="s">
        <v>302</v>
      </c>
    </row>
    <row r="977" spans="1:11" x14ac:dyDescent="0.35">
      <c r="A977" s="221" t="s">
        <v>303</v>
      </c>
      <c r="B977" s="222">
        <v>10244</v>
      </c>
      <c r="C977" s="222"/>
      <c r="D977" s="222"/>
      <c r="E977" s="223"/>
      <c r="G977" s="221" t="s">
        <v>303</v>
      </c>
      <c r="H977" s="222">
        <v>2499</v>
      </c>
      <c r="I977" s="222"/>
      <c r="J977" s="222"/>
      <c r="K977" s="223"/>
    </row>
    <row r="978" spans="1:11" x14ac:dyDescent="0.35">
      <c r="A978" s="225" t="s">
        <v>304</v>
      </c>
      <c r="B978" s="226"/>
      <c r="C978" s="226"/>
      <c r="D978" s="226"/>
      <c r="E978" s="227"/>
      <c r="G978" s="225"/>
      <c r="H978" s="226"/>
      <c r="I978" s="226"/>
      <c r="J978" s="226"/>
      <c r="K978" s="227"/>
    </row>
    <row r="979" spans="1:11" x14ac:dyDescent="0.35">
      <c r="A979" s="225"/>
      <c r="B979" s="226"/>
      <c r="C979" s="226"/>
      <c r="D979" s="226"/>
      <c r="E979" s="227"/>
      <c r="G979" s="225"/>
      <c r="H979" s="226"/>
      <c r="I979" s="226"/>
      <c r="J979" s="226"/>
      <c r="K979" s="227"/>
    </row>
    <row r="980" spans="1:11" x14ac:dyDescent="0.35">
      <c r="A980" s="221"/>
      <c r="B980" s="222"/>
      <c r="C980" s="222"/>
      <c r="D980" s="222"/>
      <c r="E980" s="223"/>
      <c r="G980" s="221"/>
      <c r="H980" s="222"/>
      <c r="I980" s="222"/>
      <c r="J980" s="222"/>
      <c r="K980" s="223"/>
    </row>
    <row r="981" spans="1:11" x14ac:dyDescent="0.35">
      <c r="A981" s="225"/>
      <c r="B981" s="226"/>
      <c r="C981" s="226"/>
      <c r="D981" s="226"/>
      <c r="E981" s="227"/>
      <c r="G981" s="225"/>
      <c r="H981" s="226"/>
      <c r="I981" s="226"/>
      <c r="J981" s="226"/>
      <c r="K981" s="227"/>
    </row>
    <row r="982" spans="1:11" ht="15" thickBot="1" x14ac:dyDescent="0.4">
      <c r="A982" s="218" t="s">
        <v>34</v>
      </c>
      <c r="B982" s="219">
        <f>SUM(B977:B981)</f>
        <v>10244</v>
      </c>
      <c r="C982" s="219">
        <f>SUM(C977:C981)</f>
        <v>0</v>
      </c>
      <c r="D982" s="219">
        <f>SUM(D977:D981)</f>
        <v>0</v>
      </c>
      <c r="E982" s="219">
        <f>SUM(E977:E981)</f>
        <v>0</v>
      </c>
      <c r="G982" s="218" t="s">
        <v>34</v>
      </c>
      <c r="H982" s="219">
        <f>SUM(H977:H981)</f>
        <v>2499</v>
      </c>
      <c r="I982" s="219">
        <f>SUM(I977:I981)</f>
        <v>0</v>
      </c>
      <c r="J982" s="219">
        <f>SUM(J977:J981)</f>
        <v>0</v>
      </c>
      <c r="K982" s="219">
        <f>SUM(K977:K981)</f>
        <v>0</v>
      </c>
    </row>
    <row r="983" spans="1:11" x14ac:dyDescent="0.35">
      <c r="A983" s="220" t="s">
        <v>305</v>
      </c>
      <c r="B983" s="220">
        <f>+B982+C982+D982+E982</f>
        <v>10244</v>
      </c>
      <c r="C983" s="220"/>
      <c r="D983" s="220"/>
      <c r="E983" s="220"/>
      <c r="G983" s="220" t="s">
        <v>305</v>
      </c>
      <c r="H983" s="220">
        <f>+H982+I982+J982+K982</f>
        <v>2499</v>
      </c>
      <c r="I983" s="220"/>
      <c r="J983" s="220"/>
      <c r="K983" s="220"/>
    </row>
    <row r="984" spans="1:11" ht="15" thickBot="1" x14ac:dyDescent="0.4">
      <c r="A984" s="315" t="s">
        <v>298</v>
      </c>
      <c r="B984" s="315"/>
      <c r="C984" s="315"/>
      <c r="D984" s="315"/>
      <c r="E984" s="315"/>
      <c r="G984" s="315" t="s">
        <v>314</v>
      </c>
      <c r="H984" s="315"/>
      <c r="I984" s="315"/>
      <c r="J984" s="315"/>
      <c r="K984" s="315"/>
    </row>
    <row r="985" spans="1:11" ht="15" thickTop="1" x14ac:dyDescent="0.35">
      <c r="A985" s="313">
        <v>45389</v>
      </c>
      <c r="B985" s="314"/>
      <c r="C985" s="314"/>
      <c r="D985" s="314"/>
      <c r="E985" s="314"/>
      <c r="G985" s="313">
        <v>45389</v>
      </c>
      <c r="H985" s="314"/>
      <c r="I985" s="314"/>
      <c r="J985" s="314"/>
      <c r="K985" s="314"/>
    </row>
    <row r="986" spans="1:11" x14ac:dyDescent="0.35">
      <c r="A986" s="261" t="s">
        <v>159</v>
      </c>
      <c r="B986" s="262" t="s">
        <v>299</v>
      </c>
      <c r="C986" s="262" t="s">
        <v>300</v>
      </c>
      <c r="D986" s="262" t="s">
        <v>301</v>
      </c>
      <c r="E986" s="263" t="s">
        <v>302</v>
      </c>
      <c r="G986" s="264" t="s">
        <v>159</v>
      </c>
      <c r="H986" s="265" t="s">
        <v>299</v>
      </c>
      <c r="I986" s="265" t="s">
        <v>300</v>
      </c>
      <c r="J986" s="265" t="s">
        <v>301</v>
      </c>
      <c r="K986" s="266" t="s">
        <v>302</v>
      </c>
    </row>
    <row r="987" spans="1:11" x14ac:dyDescent="0.35">
      <c r="A987" s="221" t="s">
        <v>303</v>
      </c>
      <c r="B987" s="222">
        <v>13518</v>
      </c>
      <c r="C987" s="222"/>
      <c r="D987" s="222"/>
      <c r="E987" s="223"/>
      <c r="G987" s="221" t="s">
        <v>303</v>
      </c>
      <c r="H987" s="222">
        <v>4802</v>
      </c>
      <c r="I987" s="222"/>
      <c r="J987" s="222"/>
      <c r="K987" s="223"/>
    </row>
    <row r="988" spans="1:11" x14ac:dyDescent="0.35">
      <c r="A988" s="225" t="s">
        <v>304</v>
      </c>
      <c r="B988" s="226">
        <v>14066</v>
      </c>
      <c r="C988" s="226"/>
      <c r="D988" s="226"/>
      <c r="E988" s="227"/>
      <c r="G988" s="225"/>
      <c r="H988" s="226"/>
      <c r="I988" s="226"/>
      <c r="J988" s="226"/>
      <c r="K988" s="227"/>
    </row>
    <row r="989" spans="1:11" x14ac:dyDescent="0.35">
      <c r="A989" s="225"/>
      <c r="B989" s="226"/>
      <c r="C989" s="226"/>
      <c r="D989" s="226"/>
      <c r="E989" s="227"/>
      <c r="G989" s="225"/>
      <c r="H989" s="226"/>
      <c r="I989" s="226"/>
      <c r="J989" s="226"/>
      <c r="K989" s="227"/>
    </row>
    <row r="990" spans="1:11" x14ac:dyDescent="0.35">
      <c r="A990" s="221"/>
      <c r="B990" s="222"/>
      <c r="C990" s="222"/>
      <c r="D990" s="222"/>
      <c r="E990" s="223"/>
      <c r="G990" s="221"/>
      <c r="H990" s="222"/>
      <c r="I990" s="222"/>
      <c r="J990" s="222"/>
      <c r="K990" s="223"/>
    </row>
    <row r="991" spans="1:11" x14ac:dyDescent="0.35">
      <c r="A991" s="225"/>
      <c r="B991" s="226"/>
      <c r="C991" s="226"/>
      <c r="D991" s="226"/>
      <c r="E991" s="227"/>
      <c r="G991" s="225"/>
      <c r="H991" s="226"/>
      <c r="I991" s="226"/>
      <c r="J991" s="226"/>
      <c r="K991" s="227"/>
    </row>
    <row r="992" spans="1:11" ht="15" thickBot="1" x14ac:dyDescent="0.4">
      <c r="A992" s="218" t="s">
        <v>34</v>
      </c>
      <c r="B992" s="219">
        <f>SUM(B987:B991)</f>
        <v>27584</v>
      </c>
      <c r="C992" s="219">
        <f>SUM(C987:C991)</f>
        <v>0</v>
      </c>
      <c r="D992" s="219">
        <f>SUM(D987:D991)</f>
        <v>0</v>
      </c>
      <c r="E992" s="219">
        <f>SUM(E987:E991)</f>
        <v>0</v>
      </c>
      <c r="G992" s="218" t="s">
        <v>34</v>
      </c>
      <c r="H992" s="219">
        <f>SUM(H987:H991)</f>
        <v>4802</v>
      </c>
      <c r="I992" s="219">
        <f>SUM(I987:I991)</f>
        <v>0</v>
      </c>
      <c r="J992" s="219">
        <f>SUM(J987:J991)</f>
        <v>0</v>
      </c>
      <c r="K992" s="219">
        <f>SUM(K987:K991)</f>
        <v>0</v>
      </c>
    </row>
    <row r="993" spans="1:11" x14ac:dyDescent="0.35">
      <c r="A993" s="220" t="s">
        <v>305</v>
      </c>
      <c r="B993" s="220">
        <f>+B992+C992+D992+E992</f>
        <v>27584</v>
      </c>
      <c r="C993" s="220"/>
      <c r="D993" s="220"/>
      <c r="E993" s="220"/>
      <c r="G993" s="220" t="s">
        <v>305</v>
      </c>
      <c r="H993" s="220">
        <f>+H992+I992+J992+K992</f>
        <v>4802</v>
      </c>
      <c r="I993" s="220"/>
      <c r="J993" s="220"/>
      <c r="K993" s="220"/>
    </row>
    <row r="994" spans="1:11" ht="15" thickBot="1" x14ac:dyDescent="0.4">
      <c r="A994" s="315" t="s">
        <v>298</v>
      </c>
      <c r="B994" s="315"/>
      <c r="C994" s="315"/>
      <c r="D994" s="315"/>
      <c r="E994" s="315"/>
      <c r="G994" s="315" t="s">
        <v>314</v>
      </c>
      <c r="H994" s="315"/>
      <c r="I994" s="315"/>
      <c r="J994" s="315"/>
      <c r="K994" s="315"/>
    </row>
    <row r="995" spans="1:11" ht="15" thickTop="1" x14ac:dyDescent="0.35">
      <c r="A995" s="313">
        <v>45390</v>
      </c>
      <c r="B995" s="314"/>
      <c r="C995" s="314"/>
      <c r="D995" s="314"/>
      <c r="E995" s="314"/>
      <c r="G995" s="313">
        <v>45390</v>
      </c>
      <c r="H995" s="314"/>
      <c r="I995" s="314"/>
      <c r="J995" s="314"/>
      <c r="K995" s="314"/>
    </row>
    <row r="996" spans="1:11" x14ac:dyDescent="0.35">
      <c r="A996" s="261" t="s">
        <v>159</v>
      </c>
      <c r="B996" s="262" t="s">
        <v>299</v>
      </c>
      <c r="C996" s="262" t="s">
        <v>300</v>
      </c>
      <c r="D996" s="262" t="s">
        <v>301</v>
      </c>
      <c r="E996" s="263" t="s">
        <v>302</v>
      </c>
      <c r="G996" s="264" t="s">
        <v>159</v>
      </c>
      <c r="H996" s="265" t="s">
        <v>299</v>
      </c>
      <c r="I996" s="265" t="s">
        <v>300</v>
      </c>
      <c r="J996" s="265" t="s">
        <v>301</v>
      </c>
      <c r="K996" s="266" t="s">
        <v>302</v>
      </c>
    </row>
    <row r="997" spans="1:11" x14ac:dyDescent="0.35">
      <c r="A997" s="221" t="s">
        <v>303</v>
      </c>
      <c r="B997" s="222">
        <v>4842</v>
      </c>
      <c r="C997" s="222"/>
      <c r="D997" s="222"/>
      <c r="E997" s="223"/>
      <c r="G997" s="221" t="s">
        <v>303</v>
      </c>
      <c r="H997" s="222">
        <v>470</v>
      </c>
      <c r="I997" s="222"/>
      <c r="J997" s="222"/>
      <c r="K997" s="223"/>
    </row>
    <row r="998" spans="1:11" x14ac:dyDescent="0.35">
      <c r="A998" s="225" t="s">
        <v>304</v>
      </c>
      <c r="B998" s="226">
        <v>5812</v>
      </c>
      <c r="C998" s="226"/>
      <c r="D998" s="226"/>
      <c r="E998" s="227"/>
      <c r="G998" s="225"/>
      <c r="H998" s="226"/>
      <c r="I998" s="226"/>
      <c r="J998" s="226"/>
      <c r="K998" s="227"/>
    </row>
    <row r="999" spans="1:11" x14ac:dyDescent="0.35">
      <c r="A999" s="225"/>
      <c r="B999" s="226"/>
      <c r="C999" s="226"/>
      <c r="D999" s="226"/>
      <c r="E999" s="227"/>
      <c r="G999" s="225"/>
      <c r="H999" s="226"/>
      <c r="I999" s="226"/>
      <c r="J999" s="226"/>
      <c r="K999" s="227"/>
    </row>
    <row r="1000" spans="1:11" x14ac:dyDescent="0.35">
      <c r="A1000" s="221"/>
      <c r="B1000" s="222"/>
      <c r="C1000" s="222"/>
      <c r="D1000" s="222"/>
      <c r="E1000" s="223"/>
      <c r="G1000" s="221"/>
      <c r="H1000" s="222"/>
      <c r="I1000" s="222"/>
      <c r="J1000" s="222"/>
      <c r="K1000" s="223"/>
    </row>
    <row r="1001" spans="1:11" x14ac:dyDescent="0.35">
      <c r="A1001" s="225"/>
      <c r="B1001" s="226"/>
      <c r="C1001" s="226"/>
      <c r="D1001" s="226"/>
      <c r="E1001" s="227"/>
      <c r="G1001" s="225"/>
      <c r="H1001" s="226"/>
      <c r="I1001" s="226"/>
      <c r="J1001" s="226"/>
      <c r="K1001" s="227"/>
    </row>
    <row r="1002" spans="1:11" ht="15" thickBot="1" x14ac:dyDescent="0.4">
      <c r="A1002" s="218" t="s">
        <v>34</v>
      </c>
      <c r="B1002" s="219">
        <f>SUM(B997:B1001)</f>
        <v>10654</v>
      </c>
      <c r="C1002" s="219">
        <f>SUM(C997:C1001)</f>
        <v>0</v>
      </c>
      <c r="D1002" s="219">
        <f>SUM(D997:D1001)</f>
        <v>0</v>
      </c>
      <c r="E1002" s="219">
        <f>SUM(E997:E1001)</f>
        <v>0</v>
      </c>
      <c r="G1002" s="218" t="s">
        <v>34</v>
      </c>
      <c r="H1002" s="219">
        <f>SUM(H997:H1001)</f>
        <v>470</v>
      </c>
      <c r="I1002" s="219">
        <f>SUM(I997:I1001)</f>
        <v>0</v>
      </c>
      <c r="J1002" s="219">
        <f>SUM(J997:J1001)</f>
        <v>0</v>
      </c>
      <c r="K1002" s="219">
        <f>SUM(K997:K1001)</f>
        <v>0</v>
      </c>
    </row>
    <row r="1003" spans="1:11" x14ac:dyDescent="0.35">
      <c r="A1003" s="220" t="s">
        <v>305</v>
      </c>
      <c r="B1003" s="220">
        <f>+B1002+C1002+D1002+E1002</f>
        <v>10654</v>
      </c>
      <c r="C1003" s="220"/>
      <c r="D1003" s="220"/>
      <c r="E1003" s="220"/>
      <c r="G1003" s="220" t="s">
        <v>305</v>
      </c>
      <c r="H1003" s="220">
        <f>+H1002+I1002+J1002+K1002</f>
        <v>470</v>
      </c>
      <c r="I1003" s="220"/>
      <c r="J1003" s="220"/>
      <c r="K1003" s="220"/>
    </row>
    <row r="1004" spans="1:11" ht="15" thickBot="1" x14ac:dyDescent="0.4">
      <c r="A1004" s="315" t="s">
        <v>298</v>
      </c>
      <c r="B1004" s="315"/>
      <c r="C1004" s="315"/>
      <c r="D1004" s="315"/>
      <c r="E1004" s="315"/>
      <c r="G1004" s="315" t="s">
        <v>314</v>
      </c>
      <c r="H1004" s="315"/>
      <c r="I1004" s="315"/>
      <c r="J1004" s="315"/>
      <c r="K1004" s="315"/>
    </row>
    <row r="1005" spans="1:11" ht="15" thickTop="1" x14ac:dyDescent="0.35">
      <c r="A1005" s="313">
        <v>45391</v>
      </c>
      <c r="B1005" s="314"/>
      <c r="C1005" s="314"/>
      <c r="D1005" s="314"/>
      <c r="E1005" s="314"/>
      <c r="G1005" s="313">
        <v>45391</v>
      </c>
      <c r="H1005" s="314"/>
      <c r="I1005" s="314"/>
      <c r="J1005" s="314"/>
      <c r="K1005" s="314"/>
    </row>
    <row r="1006" spans="1:11" x14ac:dyDescent="0.35">
      <c r="A1006" s="261" t="s">
        <v>159</v>
      </c>
      <c r="B1006" s="262" t="s">
        <v>299</v>
      </c>
      <c r="C1006" s="262" t="s">
        <v>300</v>
      </c>
      <c r="D1006" s="262" t="s">
        <v>301</v>
      </c>
      <c r="E1006" s="263" t="s">
        <v>302</v>
      </c>
      <c r="G1006" s="264" t="s">
        <v>159</v>
      </c>
      <c r="H1006" s="265" t="s">
        <v>299</v>
      </c>
      <c r="I1006" s="265" t="s">
        <v>300</v>
      </c>
      <c r="J1006" s="265" t="s">
        <v>301</v>
      </c>
      <c r="K1006" s="266" t="s">
        <v>302</v>
      </c>
    </row>
    <row r="1007" spans="1:11" x14ac:dyDescent="0.35">
      <c r="A1007" s="221" t="s">
        <v>303</v>
      </c>
      <c r="B1007" s="222">
        <v>7779</v>
      </c>
      <c r="C1007" s="222"/>
      <c r="D1007" s="222"/>
      <c r="E1007" s="223"/>
      <c r="G1007" s="221" t="s">
        <v>303</v>
      </c>
      <c r="H1007" s="222">
        <v>98</v>
      </c>
      <c r="I1007" s="222"/>
      <c r="J1007" s="222"/>
      <c r="K1007" s="223"/>
    </row>
    <row r="1008" spans="1:11" x14ac:dyDescent="0.35">
      <c r="A1008" s="225" t="s">
        <v>304</v>
      </c>
      <c r="B1008" s="226"/>
      <c r="C1008" s="226"/>
      <c r="D1008" s="226"/>
      <c r="E1008" s="227"/>
      <c r="G1008" s="225"/>
      <c r="H1008" s="226"/>
      <c r="I1008" s="226"/>
      <c r="J1008" s="226"/>
      <c r="K1008" s="227"/>
    </row>
    <row r="1009" spans="1:11" x14ac:dyDescent="0.35">
      <c r="A1009" s="225"/>
      <c r="B1009" s="226"/>
      <c r="C1009" s="226"/>
      <c r="D1009" s="226"/>
      <c r="E1009" s="227"/>
      <c r="G1009" s="225"/>
      <c r="H1009" s="226"/>
      <c r="I1009" s="226"/>
      <c r="J1009" s="226"/>
      <c r="K1009" s="227"/>
    </row>
    <row r="1010" spans="1:11" x14ac:dyDescent="0.35">
      <c r="A1010" s="221"/>
      <c r="B1010" s="222"/>
      <c r="C1010" s="222"/>
      <c r="D1010" s="222"/>
      <c r="E1010" s="223"/>
      <c r="G1010" s="221"/>
      <c r="H1010" s="222"/>
      <c r="I1010" s="222"/>
      <c r="J1010" s="222"/>
      <c r="K1010" s="223"/>
    </row>
    <row r="1011" spans="1:11" x14ac:dyDescent="0.35">
      <c r="A1011" s="225"/>
      <c r="B1011" s="226"/>
      <c r="C1011" s="226"/>
      <c r="D1011" s="226"/>
      <c r="E1011" s="227"/>
      <c r="G1011" s="225"/>
      <c r="H1011" s="226"/>
      <c r="I1011" s="226"/>
      <c r="J1011" s="226"/>
      <c r="K1011" s="227"/>
    </row>
    <row r="1012" spans="1:11" ht="15" thickBot="1" x14ac:dyDescent="0.4">
      <c r="A1012" s="218" t="s">
        <v>34</v>
      </c>
      <c r="B1012" s="219">
        <f>SUM(B1007:B1011)</f>
        <v>7779</v>
      </c>
      <c r="C1012" s="219">
        <f>SUM(C1007:C1011)</f>
        <v>0</v>
      </c>
      <c r="D1012" s="219">
        <f>SUM(D1007:D1011)</f>
        <v>0</v>
      </c>
      <c r="E1012" s="219">
        <f>SUM(E1007:E1011)</f>
        <v>0</v>
      </c>
      <c r="G1012" s="218" t="s">
        <v>34</v>
      </c>
      <c r="H1012" s="219">
        <f>SUM(H1007:H1011)</f>
        <v>98</v>
      </c>
      <c r="I1012" s="219">
        <f>SUM(I1007:I1011)</f>
        <v>0</v>
      </c>
      <c r="J1012" s="219">
        <f>SUM(J1007:J1011)</f>
        <v>0</v>
      </c>
      <c r="K1012" s="219">
        <f>SUM(K1007:K1011)</f>
        <v>0</v>
      </c>
    </row>
    <row r="1013" spans="1:11" x14ac:dyDescent="0.35">
      <c r="A1013" s="220" t="s">
        <v>305</v>
      </c>
      <c r="B1013" s="220">
        <f>+B1012+C1012+D1012+E1012</f>
        <v>7779</v>
      </c>
      <c r="C1013" s="220"/>
      <c r="D1013" s="220"/>
      <c r="E1013" s="220"/>
      <c r="G1013" s="220" t="s">
        <v>305</v>
      </c>
      <c r="H1013" s="220">
        <f>+H1012+I1012+J1012+K1012</f>
        <v>98</v>
      </c>
      <c r="I1013" s="220"/>
      <c r="J1013" s="220"/>
      <c r="K1013" s="220"/>
    </row>
    <row r="1014" spans="1:11" ht="15" thickBot="1" x14ac:dyDescent="0.4">
      <c r="A1014" s="315" t="s">
        <v>298</v>
      </c>
      <c r="B1014" s="315"/>
      <c r="C1014" s="315"/>
      <c r="D1014" s="315"/>
      <c r="E1014" s="315"/>
      <c r="G1014" s="315" t="s">
        <v>314</v>
      </c>
      <c r="H1014" s="315"/>
      <c r="I1014" s="315"/>
      <c r="J1014" s="315"/>
      <c r="K1014" s="315"/>
    </row>
    <row r="1015" spans="1:11" ht="15" thickTop="1" x14ac:dyDescent="0.35">
      <c r="A1015" s="313">
        <v>45392</v>
      </c>
      <c r="B1015" s="314"/>
      <c r="C1015" s="314"/>
      <c r="D1015" s="314"/>
      <c r="E1015" s="314"/>
      <c r="G1015" s="313">
        <v>45392</v>
      </c>
      <c r="H1015" s="314"/>
      <c r="I1015" s="314"/>
      <c r="J1015" s="314"/>
      <c r="K1015" s="314"/>
    </row>
    <row r="1016" spans="1:11" x14ac:dyDescent="0.35">
      <c r="A1016" s="261" t="s">
        <v>159</v>
      </c>
      <c r="B1016" s="262" t="s">
        <v>299</v>
      </c>
      <c r="C1016" s="262" t="s">
        <v>300</v>
      </c>
      <c r="D1016" s="262" t="s">
        <v>301</v>
      </c>
      <c r="E1016" s="263" t="s">
        <v>302</v>
      </c>
      <c r="G1016" s="264" t="s">
        <v>159</v>
      </c>
      <c r="H1016" s="265" t="s">
        <v>299</v>
      </c>
      <c r="I1016" s="265" t="s">
        <v>300</v>
      </c>
      <c r="J1016" s="265" t="s">
        <v>301</v>
      </c>
      <c r="K1016" s="266" t="s">
        <v>302</v>
      </c>
    </row>
    <row r="1017" spans="1:11" x14ac:dyDescent="0.35">
      <c r="A1017" s="221" t="s">
        <v>303</v>
      </c>
      <c r="B1017" s="222">
        <v>3363</v>
      </c>
      <c r="C1017" s="222"/>
      <c r="D1017" s="222"/>
      <c r="E1017" s="223"/>
      <c r="G1017" s="221" t="s">
        <v>303</v>
      </c>
      <c r="H1017" s="222"/>
      <c r="I1017" s="222"/>
      <c r="J1017" s="222"/>
      <c r="K1017" s="223"/>
    </row>
    <row r="1018" spans="1:11" x14ac:dyDescent="0.35">
      <c r="A1018" s="225" t="s">
        <v>304</v>
      </c>
      <c r="B1018" s="226">
        <v>2200</v>
      </c>
      <c r="C1018" s="226"/>
      <c r="D1018" s="226"/>
      <c r="E1018" s="227"/>
      <c r="G1018" s="225"/>
      <c r="H1018" s="226"/>
      <c r="I1018" s="226"/>
      <c r="J1018" s="226"/>
      <c r="K1018" s="227"/>
    </row>
    <row r="1019" spans="1:11" x14ac:dyDescent="0.35">
      <c r="A1019" s="225"/>
      <c r="B1019" s="226"/>
      <c r="C1019" s="226"/>
      <c r="D1019" s="226"/>
      <c r="E1019" s="227"/>
      <c r="G1019" s="225"/>
      <c r="H1019" s="226"/>
      <c r="I1019" s="226"/>
      <c r="J1019" s="226"/>
      <c r="K1019" s="227"/>
    </row>
    <row r="1020" spans="1:11" x14ac:dyDescent="0.35">
      <c r="A1020" s="221"/>
      <c r="B1020" s="222"/>
      <c r="C1020" s="222"/>
      <c r="D1020" s="222"/>
      <c r="E1020" s="223"/>
      <c r="G1020" s="221"/>
      <c r="H1020" s="222"/>
      <c r="I1020" s="222"/>
      <c r="J1020" s="222"/>
      <c r="K1020" s="223"/>
    </row>
    <row r="1021" spans="1:11" x14ac:dyDescent="0.35">
      <c r="A1021" s="225"/>
      <c r="B1021" s="226"/>
      <c r="C1021" s="226"/>
      <c r="D1021" s="226"/>
      <c r="E1021" s="227"/>
      <c r="G1021" s="225"/>
      <c r="H1021" s="226"/>
      <c r="I1021" s="226"/>
      <c r="J1021" s="226"/>
      <c r="K1021" s="227"/>
    </row>
    <row r="1022" spans="1:11" ht="15" thickBot="1" x14ac:dyDescent="0.4">
      <c r="A1022" s="218" t="s">
        <v>34</v>
      </c>
      <c r="B1022" s="219">
        <f>SUM(B1017:B1021)</f>
        <v>5563</v>
      </c>
      <c r="C1022" s="219">
        <f>SUM(C1017:C1021)</f>
        <v>0</v>
      </c>
      <c r="D1022" s="219">
        <f>SUM(D1017:D1021)</f>
        <v>0</v>
      </c>
      <c r="E1022" s="219">
        <f>SUM(E1017:E1021)</f>
        <v>0</v>
      </c>
      <c r="G1022" s="218" t="s">
        <v>34</v>
      </c>
      <c r="H1022" s="219">
        <f>SUM(H1017:H1021)</f>
        <v>0</v>
      </c>
      <c r="I1022" s="219">
        <f>SUM(I1017:I1021)</f>
        <v>0</v>
      </c>
      <c r="J1022" s="219">
        <f>SUM(J1017:J1021)</f>
        <v>0</v>
      </c>
      <c r="K1022" s="219">
        <f>SUM(K1017:K1021)</f>
        <v>0</v>
      </c>
    </row>
    <row r="1023" spans="1:11" x14ac:dyDescent="0.35">
      <c r="A1023" s="220" t="s">
        <v>305</v>
      </c>
      <c r="B1023" s="220">
        <f>+B1022+C1022+D1022+E1022</f>
        <v>5563</v>
      </c>
      <c r="C1023" s="220"/>
      <c r="D1023" s="220"/>
      <c r="E1023" s="220"/>
      <c r="G1023" s="220" t="s">
        <v>305</v>
      </c>
      <c r="H1023" s="220">
        <f>+H1022+I1022+J1022+K1022</f>
        <v>0</v>
      </c>
      <c r="I1023" s="220"/>
      <c r="J1023" s="220"/>
      <c r="K1023" s="220"/>
    </row>
    <row r="1024" spans="1:11" ht="15" thickBot="1" x14ac:dyDescent="0.4">
      <c r="A1024" s="315" t="s">
        <v>298</v>
      </c>
      <c r="B1024" s="315"/>
      <c r="C1024" s="315"/>
      <c r="D1024" s="315"/>
      <c r="E1024" s="315"/>
      <c r="G1024" s="315" t="s">
        <v>314</v>
      </c>
      <c r="H1024" s="315"/>
      <c r="I1024" s="315"/>
      <c r="J1024" s="315"/>
      <c r="K1024" s="315"/>
    </row>
    <row r="1025" spans="1:11" ht="15" thickTop="1" x14ac:dyDescent="0.35">
      <c r="A1025" s="313">
        <v>45393</v>
      </c>
      <c r="B1025" s="314"/>
      <c r="C1025" s="314"/>
      <c r="D1025" s="314"/>
      <c r="E1025" s="314"/>
      <c r="G1025" s="313">
        <v>45393</v>
      </c>
      <c r="H1025" s="314"/>
      <c r="I1025" s="314"/>
      <c r="J1025" s="314"/>
      <c r="K1025" s="314"/>
    </row>
    <row r="1026" spans="1:11" x14ac:dyDescent="0.35">
      <c r="A1026" s="261" t="s">
        <v>159</v>
      </c>
      <c r="B1026" s="262" t="s">
        <v>299</v>
      </c>
      <c r="C1026" s="262" t="s">
        <v>300</v>
      </c>
      <c r="D1026" s="262" t="s">
        <v>301</v>
      </c>
      <c r="E1026" s="263" t="s">
        <v>302</v>
      </c>
      <c r="G1026" s="264" t="s">
        <v>159</v>
      </c>
      <c r="H1026" s="265" t="s">
        <v>299</v>
      </c>
      <c r="I1026" s="265" t="s">
        <v>300</v>
      </c>
      <c r="J1026" s="265" t="s">
        <v>301</v>
      </c>
      <c r="K1026" s="266" t="s">
        <v>302</v>
      </c>
    </row>
    <row r="1027" spans="1:11" x14ac:dyDescent="0.35">
      <c r="A1027" s="221" t="s">
        <v>303</v>
      </c>
      <c r="B1027" s="222">
        <v>5491</v>
      </c>
      <c r="C1027" s="222"/>
      <c r="D1027" s="222"/>
      <c r="E1027" s="223"/>
      <c r="G1027" s="221" t="s">
        <v>303</v>
      </c>
      <c r="H1027" s="222">
        <v>990</v>
      </c>
      <c r="I1027" s="222"/>
      <c r="J1027" s="222"/>
      <c r="K1027" s="223"/>
    </row>
    <row r="1028" spans="1:11" x14ac:dyDescent="0.35">
      <c r="A1028" s="225" t="s">
        <v>304</v>
      </c>
      <c r="B1028" s="226"/>
      <c r="C1028" s="226"/>
      <c r="D1028" s="226"/>
      <c r="E1028" s="227"/>
      <c r="G1028" s="225"/>
      <c r="H1028" s="226"/>
      <c r="I1028" s="226"/>
      <c r="J1028" s="226"/>
      <c r="K1028" s="227"/>
    </row>
    <row r="1029" spans="1:11" x14ac:dyDescent="0.35">
      <c r="A1029" s="225"/>
      <c r="B1029" s="226"/>
      <c r="C1029" s="226"/>
      <c r="D1029" s="226"/>
      <c r="E1029" s="227"/>
      <c r="G1029" s="225"/>
      <c r="H1029" s="226"/>
      <c r="I1029" s="226"/>
      <c r="J1029" s="226"/>
      <c r="K1029" s="227"/>
    </row>
    <row r="1030" spans="1:11" x14ac:dyDescent="0.35">
      <c r="A1030" s="221"/>
      <c r="B1030" s="222"/>
      <c r="C1030" s="222"/>
      <c r="D1030" s="222"/>
      <c r="E1030" s="223"/>
      <c r="G1030" s="221"/>
      <c r="H1030" s="222"/>
      <c r="I1030" s="222"/>
      <c r="J1030" s="222"/>
      <c r="K1030" s="223"/>
    </row>
    <row r="1031" spans="1:11" x14ac:dyDescent="0.35">
      <c r="A1031" s="225"/>
      <c r="B1031" s="226"/>
      <c r="C1031" s="226"/>
      <c r="D1031" s="226"/>
      <c r="E1031" s="227"/>
      <c r="G1031" s="225"/>
      <c r="H1031" s="226"/>
      <c r="I1031" s="226"/>
      <c r="J1031" s="226"/>
      <c r="K1031" s="227"/>
    </row>
    <row r="1032" spans="1:11" ht="15" thickBot="1" x14ac:dyDescent="0.4">
      <c r="A1032" s="218" t="s">
        <v>34</v>
      </c>
      <c r="B1032" s="219">
        <f>SUM(B1027:B1031)</f>
        <v>5491</v>
      </c>
      <c r="C1032" s="219">
        <f>SUM(C1027:C1031)</f>
        <v>0</v>
      </c>
      <c r="D1032" s="219">
        <f>SUM(D1027:D1031)</f>
        <v>0</v>
      </c>
      <c r="E1032" s="219">
        <f>SUM(E1027:E1031)</f>
        <v>0</v>
      </c>
      <c r="G1032" s="218" t="s">
        <v>34</v>
      </c>
      <c r="H1032" s="219">
        <f>SUM(H1027:H1031)</f>
        <v>990</v>
      </c>
      <c r="I1032" s="219">
        <f>SUM(I1027:I1031)</f>
        <v>0</v>
      </c>
      <c r="J1032" s="219">
        <f>SUM(J1027:J1031)</f>
        <v>0</v>
      </c>
      <c r="K1032" s="219">
        <f>SUM(K1027:K1031)</f>
        <v>0</v>
      </c>
    </row>
    <row r="1033" spans="1:11" x14ac:dyDescent="0.35">
      <c r="A1033" s="220" t="s">
        <v>305</v>
      </c>
      <c r="B1033" s="220">
        <f>+B1032+C1032+D1032+E1032</f>
        <v>5491</v>
      </c>
      <c r="C1033" s="220"/>
      <c r="D1033" s="220"/>
      <c r="E1033" s="220"/>
      <c r="G1033" s="220" t="s">
        <v>305</v>
      </c>
      <c r="H1033" s="220">
        <f>+H1032+I1032+J1032+K1032</f>
        <v>990</v>
      </c>
      <c r="I1033" s="220"/>
      <c r="J1033" s="220"/>
      <c r="K1033" s="220"/>
    </row>
    <row r="1034" spans="1:11" ht="15" thickBot="1" x14ac:dyDescent="0.4">
      <c r="A1034" s="315" t="s">
        <v>298</v>
      </c>
      <c r="B1034" s="315"/>
      <c r="C1034" s="315"/>
      <c r="D1034" s="315"/>
      <c r="E1034" s="315"/>
      <c r="G1034" s="315" t="s">
        <v>314</v>
      </c>
      <c r="H1034" s="315"/>
      <c r="I1034" s="315"/>
      <c r="J1034" s="315"/>
      <c r="K1034" s="315"/>
    </row>
    <row r="1035" spans="1:11" ht="15" thickTop="1" x14ac:dyDescent="0.35">
      <c r="A1035" s="313">
        <v>45394</v>
      </c>
      <c r="B1035" s="314"/>
      <c r="C1035" s="314"/>
      <c r="D1035" s="314"/>
      <c r="E1035" s="314"/>
      <c r="G1035" s="313">
        <v>45394</v>
      </c>
      <c r="H1035" s="314"/>
      <c r="I1035" s="314"/>
      <c r="J1035" s="314"/>
      <c r="K1035" s="314"/>
    </row>
    <row r="1036" spans="1:11" x14ac:dyDescent="0.35">
      <c r="A1036" s="261" t="s">
        <v>159</v>
      </c>
      <c r="B1036" s="262" t="s">
        <v>299</v>
      </c>
      <c r="C1036" s="262" t="s">
        <v>300</v>
      </c>
      <c r="D1036" s="262" t="s">
        <v>301</v>
      </c>
      <c r="E1036" s="263" t="s">
        <v>302</v>
      </c>
      <c r="G1036" s="264" t="s">
        <v>159</v>
      </c>
      <c r="H1036" s="265" t="s">
        <v>299</v>
      </c>
      <c r="I1036" s="265" t="s">
        <v>300</v>
      </c>
      <c r="J1036" s="265" t="s">
        <v>301</v>
      </c>
      <c r="K1036" s="266" t="s">
        <v>302</v>
      </c>
    </row>
    <row r="1037" spans="1:11" x14ac:dyDescent="0.35">
      <c r="A1037" s="221" t="s">
        <v>303</v>
      </c>
      <c r="B1037" s="222">
        <v>6221</v>
      </c>
      <c r="C1037" s="222"/>
      <c r="D1037" s="222"/>
      <c r="E1037" s="223"/>
      <c r="G1037" s="221" t="s">
        <v>303</v>
      </c>
      <c r="H1037" s="222">
        <v>2997</v>
      </c>
      <c r="I1037" s="222"/>
      <c r="J1037" s="222"/>
      <c r="K1037" s="223"/>
    </row>
    <row r="1038" spans="1:11" x14ac:dyDescent="0.35">
      <c r="A1038" s="225" t="s">
        <v>304</v>
      </c>
      <c r="B1038" s="226"/>
      <c r="C1038" s="226"/>
      <c r="D1038" s="226"/>
      <c r="E1038" s="227"/>
      <c r="G1038" s="225"/>
      <c r="H1038" s="226"/>
      <c r="I1038" s="226"/>
      <c r="J1038" s="226"/>
      <c r="K1038" s="227"/>
    </row>
    <row r="1039" spans="1:11" x14ac:dyDescent="0.35">
      <c r="A1039" s="225"/>
      <c r="B1039" s="226"/>
      <c r="C1039" s="226"/>
      <c r="D1039" s="226"/>
      <c r="E1039" s="227"/>
      <c r="G1039" s="225"/>
      <c r="H1039" s="226"/>
      <c r="I1039" s="226"/>
      <c r="J1039" s="226"/>
      <c r="K1039" s="227"/>
    </row>
    <row r="1040" spans="1:11" x14ac:dyDescent="0.35">
      <c r="A1040" s="221"/>
      <c r="B1040" s="222"/>
      <c r="C1040" s="222"/>
      <c r="D1040" s="222"/>
      <c r="E1040" s="223"/>
      <c r="G1040" s="221"/>
      <c r="H1040" s="222"/>
      <c r="I1040" s="222"/>
      <c r="J1040" s="222"/>
      <c r="K1040" s="223"/>
    </row>
    <row r="1041" spans="1:11" x14ac:dyDescent="0.35">
      <c r="A1041" s="225"/>
      <c r="B1041" s="226"/>
      <c r="C1041" s="226"/>
      <c r="D1041" s="226"/>
      <c r="E1041" s="227"/>
      <c r="G1041" s="225"/>
      <c r="H1041" s="226"/>
      <c r="I1041" s="226"/>
      <c r="J1041" s="226"/>
      <c r="K1041" s="227"/>
    </row>
    <row r="1042" spans="1:11" ht="15" thickBot="1" x14ac:dyDescent="0.4">
      <c r="A1042" s="218" t="s">
        <v>34</v>
      </c>
      <c r="B1042" s="219">
        <f>SUM(B1037:B1041)</f>
        <v>6221</v>
      </c>
      <c r="C1042" s="219">
        <f>SUM(C1037:C1041)</f>
        <v>0</v>
      </c>
      <c r="D1042" s="219">
        <f>SUM(D1037:D1041)</f>
        <v>0</v>
      </c>
      <c r="E1042" s="219">
        <f>SUM(E1037:E1041)</f>
        <v>0</v>
      </c>
      <c r="G1042" s="218" t="s">
        <v>34</v>
      </c>
      <c r="H1042" s="219">
        <f>SUM(H1037:H1041)</f>
        <v>2997</v>
      </c>
      <c r="I1042" s="219">
        <f>SUM(I1037:I1041)</f>
        <v>0</v>
      </c>
      <c r="J1042" s="219">
        <f>SUM(J1037:J1041)</f>
        <v>0</v>
      </c>
      <c r="K1042" s="219">
        <f>SUM(K1037:K1041)</f>
        <v>0</v>
      </c>
    </row>
    <row r="1043" spans="1:11" x14ac:dyDescent="0.35">
      <c r="A1043" s="220" t="s">
        <v>305</v>
      </c>
      <c r="B1043" s="220">
        <f>+B1042+C1042+D1042+E1042</f>
        <v>6221</v>
      </c>
      <c r="C1043" s="220"/>
      <c r="D1043" s="220"/>
      <c r="E1043" s="220"/>
      <c r="G1043" s="220" t="s">
        <v>305</v>
      </c>
      <c r="H1043" s="220">
        <f>+H1042+I1042+J1042+K1042</f>
        <v>2997</v>
      </c>
      <c r="I1043" s="220"/>
      <c r="J1043" s="220"/>
      <c r="K1043" s="220"/>
    </row>
    <row r="1044" spans="1:11" ht="15" thickBot="1" x14ac:dyDescent="0.4">
      <c r="A1044" s="315" t="s">
        <v>298</v>
      </c>
      <c r="B1044" s="315"/>
      <c r="C1044" s="315"/>
      <c r="D1044" s="315"/>
      <c r="E1044" s="315"/>
      <c r="G1044" s="315" t="s">
        <v>314</v>
      </c>
      <c r="H1044" s="315"/>
      <c r="I1044" s="315"/>
      <c r="J1044" s="315"/>
      <c r="K1044" s="315"/>
    </row>
    <row r="1045" spans="1:11" ht="15" thickTop="1" x14ac:dyDescent="0.35">
      <c r="A1045" s="313">
        <v>45395</v>
      </c>
      <c r="B1045" s="314"/>
      <c r="C1045" s="314"/>
      <c r="D1045" s="314"/>
      <c r="E1045" s="314"/>
      <c r="G1045" s="313">
        <v>45395</v>
      </c>
      <c r="H1045" s="314"/>
      <c r="I1045" s="314"/>
      <c r="J1045" s="314"/>
      <c r="K1045" s="314"/>
    </row>
    <row r="1046" spans="1:11" x14ac:dyDescent="0.35">
      <c r="A1046" s="261" t="s">
        <v>159</v>
      </c>
      <c r="B1046" s="262" t="s">
        <v>299</v>
      </c>
      <c r="C1046" s="262" t="s">
        <v>300</v>
      </c>
      <c r="D1046" s="262" t="s">
        <v>301</v>
      </c>
      <c r="E1046" s="263" t="s">
        <v>302</v>
      </c>
      <c r="G1046" s="264" t="s">
        <v>159</v>
      </c>
      <c r="H1046" s="265" t="s">
        <v>299</v>
      </c>
      <c r="I1046" s="265" t="s">
        <v>300</v>
      </c>
      <c r="J1046" s="265" t="s">
        <v>301</v>
      </c>
      <c r="K1046" s="266" t="s">
        <v>302</v>
      </c>
    </row>
    <row r="1047" spans="1:11" x14ac:dyDescent="0.35">
      <c r="A1047" s="221" t="s">
        <v>303</v>
      </c>
      <c r="B1047" s="222">
        <v>7603</v>
      </c>
      <c r="C1047" s="222"/>
      <c r="D1047" s="222"/>
      <c r="E1047" s="223"/>
      <c r="G1047" s="221" t="s">
        <v>303</v>
      </c>
      <c r="H1047" s="222">
        <v>2565</v>
      </c>
      <c r="I1047" s="222"/>
      <c r="J1047" s="222"/>
      <c r="K1047" s="223"/>
    </row>
    <row r="1048" spans="1:11" x14ac:dyDescent="0.35">
      <c r="A1048" s="225" t="s">
        <v>304</v>
      </c>
      <c r="B1048" s="226"/>
      <c r="C1048" s="226"/>
      <c r="D1048" s="226"/>
      <c r="E1048" s="227"/>
      <c r="G1048" s="225"/>
      <c r="H1048" s="226"/>
      <c r="I1048" s="226"/>
      <c r="J1048" s="226"/>
      <c r="K1048" s="227"/>
    </row>
    <row r="1049" spans="1:11" x14ac:dyDescent="0.35">
      <c r="A1049" s="225"/>
      <c r="B1049" s="226"/>
      <c r="C1049" s="226"/>
      <c r="D1049" s="226"/>
      <c r="E1049" s="227"/>
      <c r="G1049" s="225"/>
      <c r="H1049" s="226"/>
      <c r="I1049" s="226"/>
      <c r="J1049" s="226"/>
      <c r="K1049" s="227"/>
    </row>
    <row r="1050" spans="1:11" x14ac:dyDescent="0.35">
      <c r="A1050" s="221"/>
      <c r="B1050" s="222"/>
      <c r="C1050" s="222"/>
      <c r="D1050" s="222"/>
      <c r="E1050" s="223"/>
      <c r="G1050" s="221"/>
      <c r="H1050" s="222"/>
      <c r="I1050" s="222"/>
      <c r="J1050" s="222"/>
      <c r="K1050" s="223"/>
    </row>
    <row r="1051" spans="1:11" x14ac:dyDescent="0.35">
      <c r="A1051" s="225"/>
      <c r="B1051" s="226"/>
      <c r="C1051" s="226"/>
      <c r="D1051" s="226"/>
      <c r="E1051" s="227"/>
      <c r="G1051" s="225"/>
      <c r="H1051" s="226"/>
      <c r="I1051" s="226"/>
      <c r="J1051" s="226"/>
      <c r="K1051" s="227"/>
    </row>
    <row r="1052" spans="1:11" ht="15" thickBot="1" x14ac:dyDescent="0.4">
      <c r="A1052" s="218" t="s">
        <v>34</v>
      </c>
      <c r="B1052" s="219">
        <f>SUM(B1047:B1051)</f>
        <v>7603</v>
      </c>
      <c r="C1052" s="219">
        <f>SUM(C1047:C1051)</f>
        <v>0</v>
      </c>
      <c r="D1052" s="219">
        <f>SUM(D1047:D1051)</f>
        <v>0</v>
      </c>
      <c r="E1052" s="219">
        <f>SUM(E1047:E1051)</f>
        <v>0</v>
      </c>
      <c r="G1052" s="218" t="s">
        <v>34</v>
      </c>
      <c r="H1052" s="219">
        <f>SUM(H1047:H1051)</f>
        <v>2565</v>
      </c>
      <c r="I1052" s="219">
        <f>SUM(I1047:I1051)</f>
        <v>0</v>
      </c>
      <c r="J1052" s="219">
        <f>SUM(J1047:J1051)</f>
        <v>0</v>
      </c>
      <c r="K1052" s="219">
        <f>SUM(K1047:K1051)</f>
        <v>0</v>
      </c>
    </row>
    <row r="1053" spans="1:11" x14ac:dyDescent="0.35">
      <c r="A1053" s="220" t="s">
        <v>305</v>
      </c>
      <c r="B1053" s="220">
        <f>+B1052+C1052+D1052+E1052</f>
        <v>7603</v>
      </c>
      <c r="C1053" s="220"/>
      <c r="D1053" s="220"/>
      <c r="E1053" s="220"/>
      <c r="G1053" s="220" t="s">
        <v>305</v>
      </c>
      <c r="H1053" s="220">
        <f>+H1052+I1052+J1052+K1052</f>
        <v>2565</v>
      </c>
      <c r="I1053" s="220"/>
      <c r="J1053" s="220"/>
      <c r="K1053" s="220"/>
    </row>
    <row r="1054" spans="1:11" ht="15" thickBot="1" x14ac:dyDescent="0.4">
      <c r="A1054" s="315" t="s">
        <v>298</v>
      </c>
      <c r="B1054" s="315"/>
      <c r="C1054" s="315"/>
      <c r="D1054" s="315"/>
      <c r="E1054" s="315"/>
      <c r="G1054" s="315" t="s">
        <v>314</v>
      </c>
      <c r="H1054" s="315"/>
      <c r="I1054" s="315"/>
      <c r="J1054" s="315"/>
      <c r="K1054" s="315"/>
    </row>
    <row r="1055" spans="1:11" ht="15" thickTop="1" x14ac:dyDescent="0.35">
      <c r="A1055" s="313">
        <v>45396</v>
      </c>
      <c r="B1055" s="314"/>
      <c r="C1055" s="314"/>
      <c r="D1055" s="314"/>
      <c r="E1055" s="314"/>
      <c r="G1055" s="313">
        <v>45396</v>
      </c>
      <c r="H1055" s="314"/>
      <c r="I1055" s="314"/>
      <c r="J1055" s="314"/>
      <c r="K1055" s="314"/>
    </row>
    <row r="1056" spans="1:11" x14ac:dyDescent="0.35">
      <c r="A1056" s="261" t="s">
        <v>159</v>
      </c>
      <c r="B1056" s="262" t="s">
        <v>299</v>
      </c>
      <c r="C1056" s="262" t="s">
        <v>300</v>
      </c>
      <c r="D1056" s="262" t="s">
        <v>301</v>
      </c>
      <c r="E1056" s="263" t="s">
        <v>302</v>
      </c>
      <c r="G1056" s="264" t="s">
        <v>159</v>
      </c>
      <c r="H1056" s="265" t="s">
        <v>299</v>
      </c>
      <c r="I1056" s="265" t="s">
        <v>300</v>
      </c>
      <c r="J1056" s="265" t="s">
        <v>301</v>
      </c>
      <c r="K1056" s="266" t="s">
        <v>302</v>
      </c>
    </row>
    <row r="1057" spans="1:11" x14ac:dyDescent="0.35">
      <c r="A1057" s="221" t="s">
        <v>303</v>
      </c>
      <c r="B1057" s="222">
        <v>14375</v>
      </c>
      <c r="C1057" s="222"/>
      <c r="D1057" s="222"/>
      <c r="E1057" s="223"/>
      <c r="G1057" s="221" t="s">
        <v>303</v>
      </c>
      <c r="H1057" s="222">
        <v>3651</v>
      </c>
      <c r="I1057" s="222"/>
      <c r="J1057" s="222"/>
      <c r="K1057" s="223"/>
    </row>
    <row r="1058" spans="1:11" x14ac:dyDescent="0.35">
      <c r="A1058" s="225" t="s">
        <v>304</v>
      </c>
      <c r="B1058" s="226"/>
      <c r="C1058" s="226"/>
      <c r="D1058" s="226"/>
      <c r="E1058" s="227"/>
      <c r="G1058" s="225"/>
      <c r="H1058" s="226"/>
      <c r="I1058" s="226"/>
      <c r="J1058" s="226"/>
      <c r="K1058" s="227"/>
    </row>
    <row r="1059" spans="1:11" x14ac:dyDescent="0.35">
      <c r="A1059" s="225"/>
      <c r="B1059" s="226"/>
      <c r="C1059" s="226"/>
      <c r="D1059" s="226"/>
      <c r="E1059" s="227"/>
      <c r="G1059" s="225"/>
      <c r="H1059" s="226"/>
      <c r="I1059" s="226"/>
      <c r="J1059" s="226"/>
      <c r="K1059" s="227"/>
    </row>
    <row r="1060" spans="1:11" x14ac:dyDescent="0.35">
      <c r="A1060" s="221"/>
      <c r="B1060" s="222"/>
      <c r="C1060" s="222"/>
      <c r="D1060" s="222"/>
      <c r="E1060" s="223"/>
      <c r="G1060" s="221"/>
      <c r="H1060" s="222"/>
      <c r="I1060" s="222"/>
      <c r="J1060" s="222"/>
      <c r="K1060" s="223"/>
    </row>
    <row r="1061" spans="1:11" x14ac:dyDescent="0.35">
      <c r="A1061" s="225"/>
      <c r="B1061" s="226"/>
      <c r="C1061" s="226"/>
      <c r="D1061" s="226"/>
      <c r="E1061" s="227"/>
      <c r="G1061" s="225"/>
      <c r="H1061" s="226"/>
      <c r="I1061" s="226"/>
      <c r="J1061" s="226"/>
      <c r="K1061" s="227"/>
    </row>
    <row r="1062" spans="1:11" ht="15" thickBot="1" x14ac:dyDescent="0.4">
      <c r="A1062" s="218" t="s">
        <v>34</v>
      </c>
      <c r="B1062" s="219">
        <f>SUM(B1057:B1061)</f>
        <v>14375</v>
      </c>
      <c r="C1062" s="219">
        <f>SUM(C1057:C1061)</f>
        <v>0</v>
      </c>
      <c r="D1062" s="219">
        <f>SUM(D1057:D1061)</f>
        <v>0</v>
      </c>
      <c r="E1062" s="219">
        <f>SUM(E1057:E1061)</f>
        <v>0</v>
      </c>
      <c r="G1062" s="218" t="s">
        <v>34</v>
      </c>
      <c r="H1062" s="219">
        <f>SUM(H1057:H1061)</f>
        <v>3651</v>
      </c>
      <c r="I1062" s="219">
        <f>SUM(I1057:I1061)</f>
        <v>0</v>
      </c>
      <c r="J1062" s="219">
        <f>SUM(J1057:J1061)</f>
        <v>0</v>
      </c>
      <c r="K1062" s="219">
        <f>SUM(K1057:K1061)</f>
        <v>0</v>
      </c>
    </row>
    <row r="1063" spans="1:11" x14ac:dyDescent="0.35">
      <c r="A1063" s="220" t="s">
        <v>305</v>
      </c>
      <c r="B1063" s="220">
        <f>+B1062+C1062+D1062+E1062</f>
        <v>14375</v>
      </c>
      <c r="C1063" s="220"/>
      <c r="D1063" s="220"/>
      <c r="E1063" s="220"/>
      <c r="G1063" s="220" t="s">
        <v>305</v>
      </c>
      <c r="H1063" s="220">
        <f>+H1062+I1062+J1062+K1062</f>
        <v>3651</v>
      </c>
      <c r="I1063" s="220"/>
      <c r="J1063" s="220"/>
      <c r="K1063" s="220"/>
    </row>
    <row r="1064" spans="1:11" ht="15" thickBot="1" x14ac:dyDescent="0.4">
      <c r="A1064" s="315" t="s">
        <v>298</v>
      </c>
      <c r="B1064" s="315"/>
      <c r="C1064" s="315"/>
      <c r="D1064" s="315"/>
      <c r="E1064" s="315"/>
      <c r="G1064" s="315" t="s">
        <v>314</v>
      </c>
      <c r="H1064" s="315"/>
      <c r="I1064" s="315"/>
      <c r="J1064" s="315"/>
      <c r="K1064" s="315"/>
    </row>
    <row r="1065" spans="1:11" ht="15" thickTop="1" x14ac:dyDescent="0.35">
      <c r="A1065" s="313">
        <v>45397</v>
      </c>
      <c r="B1065" s="314"/>
      <c r="C1065" s="314"/>
      <c r="D1065" s="314"/>
      <c r="E1065" s="314"/>
      <c r="G1065" s="313">
        <v>45397</v>
      </c>
      <c r="H1065" s="314"/>
      <c r="I1065" s="314"/>
      <c r="J1065" s="314"/>
      <c r="K1065" s="314"/>
    </row>
    <row r="1066" spans="1:11" x14ac:dyDescent="0.35">
      <c r="A1066" s="261" t="s">
        <v>159</v>
      </c>
      <c r="B1066" s="262" t="s">
        <v>299</v>
      </c>
      <c r="C1066" s="262" t="s">
        <v>300</v>
      </c>
      <c r="D1066" s="262" t="s">
        <v>301</v>
      </c>
      <c r="E1066" s="263" t="s">
        <v>302</v>
      </c>
      <c r="G1066" s="264" t="s">
        <v>159</v>
      </c>
      <c r="H1066" s="265" t="s">
        <v>299</v>
      </c>
      <c r="I1066" s="265" t="s">
        <v>300</v>
      </c>
      <c r="J1066" s="265" t="s">
        <v>301</v>
      </c>
      <c r="K1066" s="266" t="s">
        <v>302</v>
      </c>
    </row>
    <row r="1067" spans="1:11" x14ac:dyDescent="0.35">
      <c r="A1067" s="221" t="s">
        <v>303</v>
      </c>
      <c r="B1067" s="222">
        <v>5078</v>
      </c>
      <c r="C1067" s="222"/>
      <c r="D1067" s="222"/>
      <c r="E1067" s="223"/>
      <c r="G1067" s="221" t="s">
        <v>303</v>
      </c>
      <c r="H1067" s="222">
        <v>1209</v>
      </c>
      <c r="I1067" s="222"/>
      <c r="J1067" s="222"/>
      <c r="K1067" s="223"/>
    </row>
    <row r="1068" spans="1:11" x14ac:dyDescent="0.35">
      <c r="A1068" s="225" t="s">
        <v>304</v>
      </c>
      <c r="B1068" s="226">
        <v>5423</v>
      </c>
      <c r="C1068" s="226"/>
      <c r="D1068" s="226"/>
      <c r="E1068" s="227"/>
      <c r="G1068" s="225"/>
      <c r="H1068" s="226"/>
      <c r="I1068" s="226"/>
      <c r="J1068" s="226"/>
      <c r="K1068" s="227"/>
    </row>
    <row r="1069" spans="1:11" x14ac:dyDescent="0.35">
      <c r="A1069" s="225"/>
      <c r="B1069" s="226"/>
      <c r="C1069" s="226"/>
      <c r="D1069" s="226"/>
      <c r="E1069" s="227"/>
      <c r="G1069" s="225"/>
      <c r="H1069" s="226"/>
      <c r="I1069" s="226"/>
      <c r="J1069" s="226"/>
      <c r="K1069" s="227"/>
    </row>
    <row r="1070" spans="1:11" x14ac:dyDescent="0.35">
      <c r="A1070" s="221"/>
      <c r="B1070" s="222"/>
      <c r="C1070" s="222"/>
      <c r="D1070" s="222"/>
      <c r="E1070" s="223"/>
      <c r="G1070" s="221"/>
      <c r="H1070" s="222"/>
      <c r="I1070" s="222"/>
      <c r="J1070" s="222"/>
      <c r="K1070" s="223"/>
    </row>
    <row r="1071" spans="1:11" x14ac:dyDescent="0.35">
      <c r="A1071" s="225"/>
      <c r="B1071" s="226"/>
      <c r="C1071" s="226"/>
      <c r="D1071" s="226"/>
      <c r="E1071" s="227"/>
      <c r="G1071" s="225"/>
      <c r="H1071" s="226"/>
      <c r="I1071" s="226"/>
      <c r="J1071" s="226"/>
      <c r="K1071" s="227"/>
    </row>
    <row r="1072" spans="1:11" ht="15" thickBot="1" x14ac:dyDescent="0.4">
      <c r="A1072" s="218" t="s">
        <v>34</v>
      </c>
      <c r="B1072" s="219">
        <f>SUM(B1067:B1071)</f>
        <v>10501</v>
      </c>
      <c r="C1072" s="219">
        <f>SUM(C1067:C1071)</f>
        <v>0</v>
      </c>
      <c r="D1072" s="219">
        <f>SUM(D1067:D1071)</f>
        <v>0</v>
      </c>
      <c r="E1072" s="219">
        <f>SUM(E1067:E1071)</f>
        <v>0</v>
      </c>
      <c r="G1072" s="218" t="s">
        <v>34</v>
      </c>
      <c r="H1072" s="219">
        <f>SUM(H1067:H1071)</f>
        <v>1209</v>
      </c>
      <c r="I1072" s="219">
        <f>SUM(I1067:I1071)</f>
        <v>0</v>
      </c>
      <c r="J1072" s="219">
        <f>SUM(J1067:J1071)</f>
        <v>0</v>
      </c>
      <c r="K1072" s="219">
        <f>SUM(K1067:K1071)</f>
        <v>0</v>
      </c>
    </row>
    <row r="1073" spans="1:11" x14ac:dyDescent="0.35">
      <c r="A1073" s="220" t="s">
        <v>305</v>
      </c>
      <c r="B1073" s="220">
        <f>+B1072+C1072+D1072+E1072</f>
        <v>10501</v>
      </c>
      <c r="C1073" s="220"/>
      <c r="D1073" s="220"/>
      <c r="E1073" s="220"/>
      <c r="G1073" s="220" t="s">
        <v>305</v>
      </c>
      <c r="H1073" s="220">
        <f>+H1072+I1072+J1072+K1072</f>
        <v>1209</v>
      </c>
      <c r="I1073" s="220"/>
      <c r="J1073" s="220"/>
      <c r="K1073" s="220"/>
    </row>
    <row r="1074" spans="1:11" ht="15" thickBot="1" x14ac:dyDescent="0.4">
      <c r="A1074" s="315" t="s">
        <v>298</v>
      </c>
      <c r="B1074" s="315"/>
      <c r="C1074" s="315"/>
      <c r="D1074" s="315"/>
      <c r="E1074" s="315"/>
      <c r="G1074" s="315" t="s">
        <v>314</v>
      </c>
      <c r="H1074" s="315"/>
      <c r="I1074" s="315"/>
      <c r="J1074" s="315"/>
      <c r="K1074" s="315"/>
    </row>
    <row r="1075" spans="1:11" ht="15" thickTop="1" x14ac:dyDescent="0.35">
      <c r="A1075" s="313">
        <v>45398</v>
      </c>
      <c r="B1075" s="314"/>
      <c r="C1075" s="314"/>
      <c r="D1075" s="314"/>
      <c r="E1075" s="314"/>
      <c r="G1075" s="313">
        <v>45398</v>
      </c>
      <c r="H1075" s="314"/>
      <c r="I1075" s="314"/>
      <c r="J1075" s="314"/>
      <c r="K1075" s="314"/>
    </row>
    <row r="1076" spans="1:11" x14ac:dyDescent="0.35">
      <c r="A1076" s="261" t="s">
        <v>159</v>
      </c>
      <c r="B1076" s="262" t="s">
        <v>299</v>
      </c>
      <c r="C1076" s="262" t="s">
        <v>300</v>
      </c>
      <c r="D1076" s="262" t="s">
        <v>301</v>
      </c>
      <c r="E1076" s="263" t="s">
        <v>302</v>
      </c>
      <c r="G1076" s="264" t="s">
        <v>159</v>
      </c>
      <c r="H1076" s="265" t="s">
        <v>299</v>
      </c>
      <c r="I1076" s="265" t="s">
        <v>300</v>
      </c>
      <c r="J1076" s="265" t="s">
        <v>301</v>
      </c>
      <c r="K1076" s="266" t="s">
        <v>302</v>
      </c>
    </row>
    <row r="1077" spans="1:11" x14ac:dyDescent="0.35">
      <c r="A1077" s="221" t="s">
        <v>303</v>
      </c>
      <c r="B1077" s="222">
        <v>1249</v>
      </c>
      <c r="C1077" s="222"/>
      <c r="D1077" s="222"/>
      <c r="E1077" s="223"/>
      <c r="G1077" s="221" t="s">
        <v>303</v>
      </c>
      <c r="H1077" s="222">
        <v>13049</v>
      </c>
      <c r="I1077" s="222"/>
      <c r="J1077" s="222"/>
      <c r="K1077" s="223"/>
    </row>
    <row r="1078" spans="1:11" x14ac:dyDescent="0.35">
      <c r="A1078" s="225" t="s">
        <v>304</v>
      </c>
      <c r="B1078" s="226"/>
      <c r="C1078" s="226"/>
      <c r="D1078" s="226"/>
      <c r="E1078" s="227"/>
      <c r="G1078" s="225"/>
      <c r="H1078" s="226"/>
      <c r="I1078" s="226"/>
      <c r="J1078" s="226"/>
      <c r="K1078" s="227"/>
    </row>
    <row r="1079" spans="1:11" x14ac:dyDescent="0.35">
      <c r="A1079" s="225"/>
      <c r="B1079" s="226"/>
      <c r="C1079" s="226"/>
      <c r="D1079" s="226"/>
      <c r="E1079" s="227"/>
      <c r="G1079" s="225"/>
      <c r="H1079" s="226"/>
      <c r="I1079" s="226"/>
      <c r="J1079" s="226"/>
      <c r="K1079" s="227"/>
    </row>
    <row r="1080" spans="1:11" x14ac:dyDescent="0.35">
      <c r="A1080" s="221"/>
      <c r="B1080" s="222"/>
      <c r="C1080" s="222"/>
      <c r="D1080" s="222"/>
      <c r="E1080" s="223"/>
      <c r="G1080" s="221"/>
      <c r="H1080" s="222"/>
      <c r="I1080" s="222"/>
      <c r="J1080" s="222"/>
      <c r="K1080" s="223"/>
    </row>
    <row r="1081" spans="1:11" x14ac:dyDescent="0.35">
      <c r="A1081" s="225"/>
      <c r="B1081" s="226"/>
      <c r="C1081" s="226"/>
      <c r="D1081" s="226"/>
      <c r="E1081" s="227"/>
      <c r="G1081" s="225"/>
      <c r="H1081" s="226"/>
      <c r="I1081" s="226"/>
      <c r="J1081" s="226"/>
      <c r="K1081" s="227"/>
    </row>
    <row r="1082" spans="1:11" ht="15" thickBot="1" x14ac:dyDescent="0.4">
      <c r="A1082" s="218" t="s">
        <v>34</v>
      </c>
      <c r="B1082" s="219">
        <f>SUM(B1077:B1081)</f>
        <v>1249</v>
      </c>
      <c r="C1082" s="219">
        <f>SUM(C1077:C1081)</f>
        <v>0</v>
      </c>
      <c r="D1082" s="219">
        <f>SUM(D1077:D1081)</f>
        <v>0</v>
      </c>
      <c r="E1082" s="219">
        <f>SUM(E1077:E1081)</f>
        <v>0</v>
      </c>
      <c r="G1082" s="218" t="s">
        <v>34</v>
      </c>
      <c r="H1082" s="219">
        <f>SUM(H1077:H1081)</f>
        <v>13049</v>
      </c>
      <c r="I1082" s="219">
        <f>SUM(I1077:I1081)</f>
        <v>0</v>
      </c>
      <c r="J1082" s="219">
        <f>SUM(J1077:J1081)</f>
        <v>0</v>
      </c>
      <c r="K1082" s="219">
        <f>SUM(K1077:K1081)</f>
        <v>0</v>
      </c>
    </row>
    <row r="1083" spans="1:11" x14ac:dyDescent="0.35">
      <c r="A1083" s="220" t="s">
        <v>305</v>
      </c>
      <c r="B1083" s="220">
        <f>+B1082+C1082+D1082+E1082</f>
        <v>1249</v>
      </c>
      <c r="C1083" s="220"/>
      <c r="D1083" s="220"/>
      <c r="E1083" s="220"/>
      <c r="G1083" s="220" t="s">
        <v>305</v>
      </c>
      <c r="H1083" s="220">
        <f>+H1082+I1082+J1082+K1082</f>
        <v>13049</v>
      </c>
      <c r="I1083" s="220"/>
      <c r="J1083" s="220"/>
      <c r="K1083" s="220"/>
    </row>
    <row r="1084" spans="1:11" ht="15" thickBot="1" x14ac:dyDescent="0.4">
      <c r="A1084" s="315" t="s">
        <v>298</v>
      </c>
      <c r="B1084" s="315"/>
      <c r="C1084" s="315"/>
      <c r="D1084" s="315"/>
      <c r="E1084" s="315"/>
      <c r="G1084" s="315" t="s">
        <v>314</v>
      </c>
      <c r="H1084" s="315"/>
      <c r="I1084" s="315"/>
      <c r="J1084" s="315"/>
      <c r="K1084" s="315"/>
    </row>
    <row r="1085" spans="1:11" ht="15" thickTop="1" x14ac:dyDescent="0.35">
      <c r="A1085" s="313">
        <v>45399</v>
      </c>
      <c r="B1085" s="314"/>
      <c r="C1085" s="314"/>
      <c r="D1085" s="314"/>
      <c r="E1085" s="314"/>
      <c r="G1085" s="313">
        <v>45399</v>
      </c>
      <c r="H1085" s="314"/>
      <c r="I1085" s="314"/>
      <c r="J1085" s="314"/>
      <c r="K1085" s="314"/>
    </row>
    <row r="1086" spans="1:11" x14ac:dyDescent="0.35">
      <c r="A1086" s="261" t="s">
        <v>159</v>
      </c>
      <c r="B1086" s="262" t="s">
        <v>299</v>
      </c>
      <c r="C1086" s="262" t="s">
        <v>300</v>
      </c>
      <c r="D1086" s="262" t="s">
        <v>301</v>
      </c>
      <c r="E1086" s="263" t="s">
        <v>302</v>
      </c>
      <c r="G1086" s="264" t="s">
        <v>159</v>
      </c>
      <c r="H1086" s="265" t="s">
        <v>299</v>
      </c>
      <c r="I1086" s="265" t="s">
        <v>300</v>
      </c>
      <c r="J1086" s="265" t="s">
        <v>301</v>
      </c>
      <c r="K1086" s="266" t="s">
        <v>302</v>
      </c>
    </row>
    <row r="1087" spans="1:11" x14ac:dyDescent="0.35">
      <c r="A1087" s="221" t="s">
        <v>303</v>
      </c>
      <c r="B1087" s="222">
        <v>5308</v>
      </c>
      <c r="C1087" s="222"/>
      <c r="D1087" s="222"/>
      <c r="E1087" s="223"/>
      <c r="G1087" s="221" t="s">
        <v>303</v>
      </c>
      <c r="H1087" s="222"/>
      <c r="I1087" s="222"/>
      <c r="J1087" s="222"/>
      <c r="K1087" s="223"/>
    </row>
    <row r="1088" spans="1:11" x14ac:dyDescent="0.35">
      <c r="A1088" s="225" t="s">
        <v>304</v>
      </c>
      <c r="B1088" s="226"/>
      <c r="C1088" s="226"/>
      <c r="D1088" s="226"/>
      <c r="E1088" s="227"/>
      <c r="G1088" s="225"/>
      <c r="H1088" s="226"/>
      <c r="I1088" s="226"/>
      <c r="J1088" s="226"/>
      <c r="K1088" s="227"/>
    </row>
    <row r="1089" spans="1:11" x14ac:dyDescent="0.35">
      <c r="A1089" s="225"/>
      <c r="B1089" s="226"/>
      <c r="C1089" s="226"/>
      <c r="D1089" s="226"/>
      <c r="E1089" s="227"/>
      <c r="G1089" s="225"/>
      <c r="H1089" s="226"/>
      <c r="I1089" s="226"/>
      <c r="J1089" s="226"/>
      <c r="K1089" s="227"/>
    </row>
    <row r="1090" spans="1:11" x14ac:dyDescent="0.35">
      <c r="A1090" s="221"/>
      <c r="B1090" s="222"/>
      <c r="C1090" s="222"/>
      <c r="D1090" s="222"/>
      <c r="E1090" s="223"/>
      <c r="G1090" s="221"/>
      <c r="H1090" s="222"/>
      <c r="I1090" s="222"/>
      <c r="J1090" s="222"/>
      <c r="K1090" s="223"/>
    </row>
    <row r="1091" spans="1:11" x14ac:dyDescent="0.35">
      <c r="A1091" s="225"/>
      <c r="B1091" s="226"/>
      <c r="C1091" s="226"/>
      <c r="D1091" s="226"/>
      <c r="E1091" s="227"/>
      <c r="G1091" s="225"/>
      <c r="H1091" s="226"/>
      <c r="I1091" s="226"/>
      <c r="J1091" s="226"/>
      <c r="K1091" s="227"/>
    </row>
    <row r="1092" spans="1:11" ht="15" thickBot="1" x14ac:dyDescent="0.4">
      <c r="A1092" s="218" t="s">
        <v>34</v>
      </c>
      <c r="B1092" s="219">
        <f>SUM(B1087:B1091)</f>
        <v>5308</v>
      </c>
      <c r="C1092" s="219">
        <f>SUM(C1087:C1091)</f>
        <v>0</v>
      </c>
      <c r="D1092" s="219">
        <f>SUM(D1087:D1091)</f>
        <v>0</v>
      </c>
      <c r="E1092" s="219">
        <f>SUM(E1087:E1091)</f>
        <v>0</v>
      </c>
      <c r="G1092" s="218" t="s">
        <v>34</v>
      </c>
      <c r="H1092" s="219">
        <f>SUM(H1087:H1091)</f>
        <v>0</v>
      </c>
      <c r="I1092" s="219">
        <f>SUM(I1087:I1091)</f>
        <v>0</v>
      </c>
      <c r="J1092" s="219">
        <f>SUM(J1087:J1091)</f>
        <v>0</v>
      </c>
      <c r="K1092" s="219">
        <f>SUM(K1087:K1091)</f>
        <v>0</v>
      </c>
    </row>
    <row r="1093" spans="1:11" x14ac:dyDescent="0.35">
      <c r="A1093" s="220" t="s">
        <v>305</v>
      </c>
      <c r="B1093" s="220">
        <f>+B1092+C1092+D1092+E1092</f>
        <v>5308</v>
      </c>
      <c r="C1093" s="220"/>
      <c r="D1093" s="220"/>
      <c r="E1093" s="220"/>
      <c r="G1093" s="220" t="s">
        <v>305</v>
      </c>
      <c r="H1093" s="220">
        <f>+H1092+I1092+J1092+K1092</f>
        <v>0</v>
      </c>
      <c r="I1093" s="220"/>
      <c r="J1093" s="220"/>
      <c r="K1093" s="220"/>
    </row>
    <row r="1094" spans="1:11" ht="15" thickBot="1" x14ac:dyDescent="0.4">
      <c r="A1094" s="315" t="s">
        <v>298</v>
      </c>
      <c r="B1094" s="315"/>
      <c r="C1094" s="315"/>
      <c r="D1094" s="315"/>
      <c r="E1094" s="315"/>
      <c r="G1094" s="315" t="s">
        <v>314</v>
      </c>
      <c r="H1094" s="315"/>
      <c r="I1094" s="315"/>
      <c r="J1094" s="315"/>
      <c r="K1094" s="315"/>
    </row>
    <row r="1095" spans="1:11" ht="15" thickTop="1" x14ac:dyDescent="0.35">
      <c r="A1095" s="313">
        <v>45400</v>
      </c>
      <c r="B1095" s="314"/>
      <c r="C1095" s="314"/>
      <c r="D1095" s="314"/>
      <c r="E1095" s="314"/>
      <c r="G1095" s="313">
        <v>45400</v>
      </c>
      <c r="H1095" s="314"/>
      <c r="I1095" s="314"/>
      <c r="J1095" s="314"/>
      <c r="K1095" s="314"/>
    </row>
    <row r="1096" spans="1:11" x14ac:dyDescent="0.35">
      <c r="A1096" s="261" t="s">
        <v>159</v>
      </c>
      <c r="B1096" s="262" t="s">
        <v>299</v>
      </c>
      <c r="C1096" s="262" t="s">
        <v>300</v>
      </c>
      <c r="D1096" s="262" t="s">
        <v>301</v>
      </c>
      <c r="E1096" s="263" t="s">
        <v>302</v>
      </c>
      <c r="G1096" s="264" t="s">
        <v>159</v>
      </c>
      <c r="H1096" s="265" t="s">
        <v>299</v>
      </c>
      <c r="I1096" s="265" t="s">
        <v>300</v>
      </c>
      <c r="J1096" s="265" t="s">
        <v>301</v>
      </c>
      <c r="K1096" s="266" t="s">
        <v>302</v>
      </c>
    </row>
    <row r="1097" spans="1:11" x14ac:dyDescent="0.35">
      <c r="A1097" s="221" t="s">
        <v>303</v>
      </c>
      <c r="B1097" s="222">
        <v>8005</v>
      </c>
      <c r="C1097" s="222"/>
      <c r="D1097" s="222"/>
      <c r="E1097" s="223"/>
      <c r="G1097" s="221" t="s">
        <v>303</v>
      </c>
      <c r="H1097" s="222">
        <v>663</v>
      </c>
      <c r="I1097" s="222"/>
      <c r="J1097" s="222"/>
      <c r="K1097" s="223"/>
    </row>
    <row r="1098" spans="1:11" x14ac:dyDescent="0.35">
      <c r="A1098" s="225" t="s">
        <v>304</v>
      </c>
      <c r="B1098" s="226"/>
      <c r="C1098" s="226"/>
      <c r="D1098" s="226"/>
      <c r="E1098" s="227"/>
      <c r="G1098" s="225"/>
      <c r="H1098" s="226"/>
      <c r="I1098" s="226"/>
      <c r="J1098" s="226"/>
      <c r="K1098" s="227"/>
    </row>
    <row r="1099" spans="1:11" x14ac:dyDescent="0.35">
      <c r="A1099" s="225"/>
      <c r="B1099" s="226"/>
      <c r="C1099" s="226"/>
      <c r="D1099" s="226"/>
      <c r="E1099" s="227"/>
      <c r="G1099" s="225"/>
      <c r="H1099" s="226"/>
      <c r="I1099" s="226"/>
      <c r="J1099" s="226"/>
      <c r="K1099" s="227"/>
    </row>
    <row r="1100" spans="1:11" x14ac:dyDescent="0.35">
      <c r="A1100" s="221"/>
      <c r="B1100" s="222"/>
      <c r="C1100" s="222"/>
      <c r="D1100" s="222"/>
      <c r="E1100" s="223"/>
      <c r="G1100" s="221"/>
      <c r="H1100" s="222"/>
      <c r="I1100" s="222"/>
      <c r="J1100" s="222"/>
      <c r="K1100" s="223"/>
    </row>
    <row r="1101" spans="1:11" x14ac:dyDescent="0.35">
      <c r="A1101" s="225"/>
      <c r="B1101" s="226"/>
      <c r="C1101" s="226"/>
      <c r="D1101" s="226"/>
      <c r="E1101" s="227"/>
      <c r="G1101" s="225"/>
      <c r="H1101" s="226"/>
      <c r="I1101" s="226"/>
      <c r="J1101" s="226"/>
      <c r="K1101" s="227"/>
    </row>
    <row r="1102" spans="1:11" ht="15" thickBot="1" x14ac:dyDescent="0.4">
      <c r="A1102" s="218" t="s">
        <v>34</v>
      </c>
      <c r="B1102" s="219">
        <f>SUM(B1097:B1101)</f>
        <v>8005</v>
      </c>
      <c r="C1102" s="219">
        <f>SUM(C1097:C1101)</f>
        <v>0</v>
      </c>
      <c r="D1102" s="219">
        <f>SUM(D1097:D1101)</f>
        <v>0</v>
      </c>
      <c r="E1102" s="219">
        <f>SUM(E1097:E1101)</f>
        <v>0</v>
      </c>
      <c r="G1102" s="218" t="s">
        <v>34</v>
      </c>
      <c r="H1102" s="219">
        <f>SUM(H1097:H1101)</f>
        <v>663</v>
      </c>
      <c r="I1102" s="219">
        <f>SUM(I1097:I1101)</f>
        <v>0</v>
      </c>
      <c r="J1102" s="219">
        <f>SUM(J1097:J1101)</f>
        <v>0</v>
      </c>
      <c r="K1102" s="219">
        <f>SUM(K1097:K1101)</f>
        <v>0</v>
      </c>
    </row>
    <row r="1103" spans="1:11" x14ac:dyDescent="0.35">
      <c r="A1103" s="220" t="s">
        <v>305</v>
      </c>
      <c r="B1103" s="220">
        <f>+B1102+C1102+D1102+E1102</f>
        <v>8005</v>
      </c>
      <c r="C1103" s="220"/>
      <c r="D1103" s="220"/>
      <c r="E1103" s="220"/>
      <c r="G1103" s="220" t="s">
        <v>305</v>
      </c>
      <c r="H1103" s="220">
        <f>+H1102+I1102+J1102+K1102</f>
        <v>663</v>
      </c>
      <c r="I1103" s="220"/>
      <c r="J1103" s="220"/>
      <c r="K1103" s="220"/>
    </row>
    <row r="1104" spans="1:11" ht="15" thickBot="1" x14ac:dyDescent="0.4">
      <c r="A1104" s="315" t="s">
        <v>298</v>
      </c>
      <c r="B1104" s="315"/>
      <c r="C1104" s="315"/>
      <c r="D1104" s="315"/>
      <c r="E1104" s="315"/>
      <c r="G1104" s="315" t="s">
        <v>314</v>
      </c>
      <c r="H1104" s="315"/>
      <c r="I1104" s="315"/>
      <c r="J1104" s="315"/>
      <c r="K1104" s="315"/>
    </row>
    <row r="1105" spans="1:11" ht="15" thickTop="1" x14ac:dyDescent="0.35">
      <c r="A1105" s="313">
        <v>45401</v>
      </c>
      <c r="B1105" s="314"/>
      <c r="C1105" s="314"/>
      <c r="D1105" s="314"/>
      <c r="E1105" s="314"/>
      <c r="G1105" s="313">
        <v>45401</v>
      </c>
      <c r="H1105" s="314"/>
      <c r="I1105" s="314"/>
      <c r="J1105" s="314"/>
      <c r="K1105" s="314"/>
    </row>
    <row r="1106" spans="1:11" x14ac:dyDescent="0.35">
      <c r="A1106" s="261" t="s">
        <v>159</v>
      </c>
      <c r="B1106" s="262" t="s">
        <v>299</v>
      </c>
      <c r="C1106" s="262" t="s">
        <v>300</v>
      </c>
      <c r="D1106" s="262" t="s">
        <v>301</v>
      </c>
      <c r="E1106" s="263" t="s">
        <v>302</v>
      </c>
      <c r="G1106" s="264" t="s">
        <v>159</v>
      </c>
      <c r="H1106" s="265" t="s">
        <v>299</v>
      </c>
      <c r="I1106" s="265" t="s">
        <v>300</v>
      </c>
      <c r="J1106" s="265" t="s">
        <v>301</v>
      </c>
      <c r="K1106" s="266" t="s">
        <v>302</v>
      </c>
    </row>
    <row r="1107" spans="1:11" x14ac:dyDescent="0.35">
      <c r="A1107" s="221" t="s">
        <v>303</v>
      </c>
      <c r="B1107" s="222">
        <v>7398</v>
      </c>
      <c r="C1107" s="222"/>
      <c r="D1107" s="222"/>
      <c r="E1107" s="223"/>
      <c r="G1107" s="221" t="s">
        <v>303</v>
      </c>
      <c r="H1107" s="222">
        <v>756</v>
      </c>
      <c r="I1107" s="222"/>
      <c r="J1107" s="222"/>
      <c r="K1107" s="223"/>
    </row>
    <row r="1108" spans="1:11" x14ac:dyDescent="0.35">
      <c r="A1108" s="225" t="s">
        <v>304</v>
      </c>
      <c r="B1108" s="226">
        <v>700</v>
      </c>
      <c r="C1108" s="226"/>
      <c r="D1108" s="226"/>
      <c r="E1108" s="227"/>
      <c r="G1108" s="225"/>
      <c r="H1108" s="226"/>
      <c r="I1108" s="226"/>
      <c r="J1108" s="226"/>
      <c r="K1108" s="227"/>
    </row>
    <row r="1109" spans="1:11" x14ac:dyDescent="0.35">
      <c r="A1109" s="225"/>
      <c r="B1109" s="226"/>
      <c r="C1109" s="226"/>
      <c r="D1109" s="226"/>
      <c r="E1109" s="227"/>
      <c r="G1109" s="225"/>
      <c r="H1109" s="226"/>
      <c r="I1109" s="226"/>
      <c r="J1109" s="226"/>
      <c r="K1109" s="227"/>
    </row>
    <row r="1110" spans="1:11" x14ac:dyDescent="0.35">
      <c r="A1110" s="221"/>
      <c r="B1110" s="222"/>
      <c r="C1110" s="222"/>
      <c r="D1110" s="222"/>
      <c r="E1110" s="223"/>
      <c r="G1110" s="221"/>
      <c r="H1110" s="222"/>
      <c r="I1110" s="222"/>
      <c r="J1110" s="222"/>
      <c r="K1110" s="223"/>
    </row>
    <row r="1111" spans="1:11" x14ac:dyDescent="0.35">
      <c r="A1111" s="225"/>
      <c r="B1111" s="226"/>
      <c r="C1111" s="226"/>
      <c r="D1111" s="226"/>
      <c r="E1111" s="227"/>
      <c r="G1111" s="225"/>
      <c r="H1111" s="226"/>
      <c r="I1111" s="226"/>
      <c r="J1111" s="226"/>
      <c r="K1111" s="227"/>
    </row>
    <row r="1112" spans="1:11" ht="15" thickBot="1" x14ac:dyDescent="0.4">
      <c r="A1112" s="218" t="s">
        <v>34</v>
      </c>
      <c r="B1112" s="219">
        <f>SUM(B1107:B1111)</f>
        <v>8098</v>
      </c>
      <c r="C1112" s="219">
        <f>SUM(C1107:C1111)</f>
        <v>0</v>
      </c>
      <c r="D1112" s="219">
        <f>SUM(D1107:D1111)</f>
        <v>0</v>
      </c>
      <c r="E1112" s="219">
        <f>SUM(E1107:E1111)</f>
        <v>0</v>
      </c>
      <c r="G1112" s="218" t="s">
        <v>34</v>
      </c>
      <c r="H1112" s="219">
        <f>SUM(H1107:H1111)</f>
        <v>756</v>
      </c>
      <c r="I1112" s="219">
        <f>SUM(I1107:I1111)</f>
        <v>0</v>
      </c>
      <c r="J1112" s="219">
        <f>SUM(J1107:J1111)</f>
        <v>0</v>
      </c>
      <c r="K1112" s="219">
        <f>SUM(K1107:K1111)</f>
        <v>0</v>
      </c>
    </row>
    <row r="1113" spans="1:11" x14ac:dyDescent="0.35">
      <c r="A1113" s="220" t="s">
        <v>305</v>
      </c>
      <c r="B1113" s="220">
        <f>+B1112+C1112+D1112+E1112</f>
        <v>8098</v>
      </c>
      <c r="C1113" s="220"/>
      <c r="D1113" s="220"/>
      <c r="E1113" s="220"/>
      <c r="G1113" s="220" t="s">
        <v>305</v>
      </c>
      <c r="H1113" s="220">
        <f>+H1112+I1112+J1112+K1112</f>
        <v>756</v>
      </c>
      <c r="I1113" s="220"/>
      <c r="J1113" s="220"/>
      <c r="K1113" s="220"/>
    </row>
    <row r="1114" spans="1:11" ht="15" thickBot="1" x14ac:dyDescent="0.4">
      <c r="A1114" s="315" t="s">
        <v>298</v>
      </c>
      <c r="B1114" s="315"/>
      <c r="C1114" s="315"/>
      <c r="D1114" s="315"/>
      <c r="E1114" s="315"/>
      <c r="G1114" s="315" t="s">
        <v>314</v>
      </c>
      <c r="H1114" s="315"/>
      <c r="I1114" s="315"/>
      <c r="J1114" s="315"/>
      <c r="K1114" s="315"/>
    </row>
    <row r="1115" spans="1:11" ht="15" thickTop="1" x14ac:dyDescent="0.35">
      <c r="A1115" s="313">
        <v>45402</v>
      </c>
      <c r="B1115" s="314"/>
      <c r="C1115" s="314"/>
      <c r="D1115" s="314"/>
      <c r="E1115" s="314"/>
      <c r="G1115" s="313">
        <v>45402</v>
      </c>
      <c r="H1115" s="314"/>
      <c r="I1115" s="314"/>
      <c r="J1115" s="314"/>
      <c r="K1115" s="314"/>
    </row>
    <row r="1116" spans="1:11" x14ac:dyDescent="0.35">
      <c r="A1116" s="261" t="s">
        <v>159</v>
      </c>
      <c r="B1116" s="262" t="s">
        <v>299</v>
      </c>
      <c r="C1116" s="262" t="s">
        <v>300</v>
      </c>
      <c r="D1116" s="262" t="s">
        <v>301</v>
      </c>
      <c r="E1116" s="263" t="s">
        <v>302</v>
      </c>
      <c r="G1116" s="264" t="s">
        <v>159</v>
      </c>
      <c r="H1116" s="265" t="s">
        <v>299</v>
      </c>
      <c r="I1116" s="265" t="s">
        <v>300</v>
      </c>
      <c r="J1116" s="265" t="s">
        <v>301</v>
      </c>
      <c r="K1116" s="266" t="s">
        <v>302</v>
      </c>
    </row>
    <row r="1117" spans="1:11" x14ac:dyDescent="0.35">
      <c r="A1117" s="221" t="s">
        <v>303</v>
      </c>
      <c r="B1117" s="222">
        <v>10159</v>
      </c>
      <c r="C1117" s="222"/>
      <c r="D1117" s="222"/>
      <c r="E1117" s="223"/>
      <c r="G1117" s="221" t="s">
        <v>303</v>
      </c>
      <c r="H1117" s="222">
        <v>3037</v>
      </c>
      <c r="I1117" s="222"/>
      <c r="J1117" s="222"/>
      <c r="K1117" s="223"/>
    </row>
    <row r="1118" spans="1:11" x14ac:dyDescent="0.35">
      <c r="A1118" s="225" t="s">
        <v>304</v>
      </c>
      <c r="B1118" s="226"/>
      <c r="C1118" s="226"/>
      <c r="D1118" s="226"/>
      <c r="E1118" s="227"/>
      <c r="G1118" s="225"/>
      <c r="H1118" s="226"/>
      <c r="I1118" s="226"/>
      <c r="J1118" s="226"/>
      <c r="K1118" s="227"/>
    </row>
    <row r="1119" spans="1:11" x14ac:dyDescent="0.35">
      <c r="A1119" s="225"/>
      <c r="B1119" s="226"/>
      <c r="C1119" s="226"/>
      <c r="D1119" s="226"/>
      <c r="E1119" s="227"/>
      <c r="G1119" s="225"/>
      <c r="H1119" s="226"/>
      <c r="I1119" s="226"/>
      <c r="J1119" s="226"/>
      <c r="K1119" s="227"/>
    </row>
    <row r="1120" spans="1:11" x14ac:dyDescent="0.35">
      <c r="A1120" s="221"/>
      <c r="B1120" s="222"/>
      <c r="C1120" s="222"/>
      <c r="D1120" s="222"/>
      <c r="E1120" s="223"/>
      <c r="G1120" s="221"/>
      <c r="H1120" s="222"/>
      <c r="I1120" s="222"/>
      <c r="J1120" s="222"/>
      <c r="K1120" s="223"/>
    </row>
    <row r="1121" spans="1:11" x14ac:dyDescent="0.35">
      <c r="A1121" s="225"/>
      <c r="B1121" s="226"/>
      <c r="C1121" s="226"/>
      <c r="D1121" s="226"/>
      <c r="E1121" s="227"/>
      <c r="G1121" s="225"/>
      <c r="H1121" s="226"/>
      <c r="I1121" s="226"/>
      <c r="J1121" s="226"/>
      <c r="K1121" s="227"/>
    </row>
    <row r="1122" spans="1:11" ht="15" thickBot="1" x14ac:dyDescent="0.4">
      <c r="A1122" s="218" t="s">
        <v>34</v>
      </c>
      <c r="B1122" s="219">
        <f>SUM(B1117:B1121)</f>
        <v>10159</v>
      </c>
      <c r="C1122" s="219">
        <f>SUM(C1117:C1121)</f>
        <v>0</v>
      </c>
      <c r="D1122" s="219">
        <f>SUM(D1117:D1121)</f>
        <v>0</v>
      </c>
      <c r="E1122" s="219">
        <f>SUM(E1117:E1121)</f>
        <v>0</v>
      </c>
      <c r="G1122" s="218" t="s">
        <v>34</v>
      </c>
      <c r="H1122" s="219">
        <f>SUM(H1117:H1121)</f>
        <v>3037</v>
      </c>
      <c r="I1122" s="219">
        <f>SUM(I1117:I1121)</f>
        <v>0</v>
      </c>
      <c r="J1122" s="219">
        <f>SUM(J1117:J1121)</f>
        <v>0</v>
      </c>
      <c r="K1122" s="219">
        <f>SUM(K1117:K1121)</f>
        <v>0</v>
      </c>
    </row>
    <row r="1123" spans="1:11" x14ac:dyDescent="0.35">
      <c r="A1123" s="220" t="s">
        <v>305</v>
      </c>
      <c r="B1123" s="220">
        <f>+B1122+C1122+D1122+E1122</f>
        <v>10159</v>
      </c>
      <c r="C1123" s="220"/>
      <c r="D1123" s="220"/>
      <c r="E1123" s="220"/>
      <c r="G1123" s="220" t="s">
        <v>305</v>
      </c>
      <c r="H1123" s="220">
        <f>+H1122+I1122+J1122+K1122</f>
        <v>3037</v>
      </c>
      <c r="I1123" s="220"/>
      <c r="J1123" s="220"/>
      <c r="K1123" s="220"/>
    </row>
    <row r="1124" spans="1:11" ht="15" thickBot="1" x14ac:dyDescent="0.4">
      <c r="A1124" s="315" t="s">
        <v>298</v>
      </c>
      <c r="B1124" s="315"/>
      <c r="C1124" s="315"/>
      <c r="D1124" s="315"/>
      <c r="E1124" s="315"/>
      <c r="G1124" s="315" t="s">
        <v>314</v>
      </c>
      <c r="H1124" s="315"/>
      <c r="I1124" s="315"/>
      <c r="J1124" s="315"/>
      <c r="K1124" s="315"/>
    </row>
    <row r="1125" spans="1:11" ht="15" thickTop="1" x14ac:dyDescent="0.35">
      <c r="A1125" s="313">
        <v>45403</v>
      </c>
      <c r="B1125" s="314"/>
      <c r="C1125" s="314"/>
      <c r="D1125" s="314"/>
      <c r="E1125" s="314"/>
      <c r="G1125" s="313">
        <v>45403</v>
      </c>
      <c r="H1125" s="314"/>
      <c r="I1125" s="314"/>
      <c r="J1125" s="314"/>
      <c r="K1125" s="314"/>
    </row>
    <row r="1126" spans="1:11" x14ac:dyDescent="0.35">
      <c r="A1126" s="261" t="s">
        <v>159</v>
      </c>
      <c r="B1126" s="262" t="s">
        <v>299</v>
      </c>
      <c r="C1126" s="262" t="s">
        <v>300</v>
      </c>
      <c r="D1126" s="262" t="s">
        <v>301</v>
      </c>
      <c r="E1126" s="263" t="s">
        <v>302</v>
      </c>
      <c r="G1126" s="264" t="s">
        <v>159</v>
      </c>
      <c r="H1126" s="265" t="s">
        <v>299</v>
      </c>
      <c r="I1126" s="265" t="s">
        <v>300</v>
      </c>
      <c r="J1126" s="265" t="s">
        <v>301</v>
      </c>
      <c r="K1126" s="266" t="s">
        <v>302</v>
      </c>
    </row>
    <row r="1127" spans="1:11" x14ac:dyDescent="0.35">
      <c r="A1127" s="221" t="s">
        <v>303</v>
      </c>
      <c r="B1127" s="222">
        <v>15109</v>
      </c>
      <c r="C1127" s="222"/>
      <c r="D1127" s="222"/>
      <c r="E1127" s="223"/>
      <c r="G1127" s="221" t="s">
        <v>303</v>
      </c>
      <c r="H1127" s="222">
        <v>3508</v>
      </c>
      <c r="I1127" s="222"/>
      <c r="J1127" s="222"/>
      <c r="K1127" s="223"/>
    </row>
    <row r="1128" spans="1:11" x14ac:dyDescent="0.35">
      <c r="A1128" s="225" t="s">
        <v>304</v>
      </c>
      <c r="B1128" s="226"/>
      <c r="C1128" s="226"/>
      <c r="D1128" s="226"/>
      <c r="E1128" s="227"/>
      <c r="G1128" s="225"/>
      <c r="H1128" s="226"/>
      <c r="I1128" s="226"/>
      <c r="J1128" s="226"/>
      <c r="K1128" s="227"/>
    </row>
    <row r="1129" spans="1:11" x14ac:dyDescent="0.35">
      <c r="A1129" s="225"/>
      <c r="B1129" s="226"/>
      <c r="C1129" s="226"/>
      <c r="D1129" s="226"/>
      <c r="E1129" s="227"/>
      <c r="G1129" s="225"/>
      <c r="H1129" s="226"/>
      <c r="I1129" s="226"/>
      <c r="J1129" s="226"/>
      <c r="K1129" s="227"/>
    </row>
    <row r="1130" spans="1:11" x14ac:dyDescent="0.35">
      <c r="A1130" s="221"/>
      <c r="B1130" s="222"/>
      <c r="C1130" s="222"/>
      <c r="D1130" s="222"/>
      <c r="E1130" s="223"/>
      <c r="G1130" s="221"/>
      <c r="H1130" s="222"/>
      <c r="I1130" s="222"/>
      <c r="J1130" s="222"/>
      <c r="K1130" s="223"/>
    </row>
    <row r="1131" spans="1:11" x14ac:dyDescent="0.35">
      <c r="A1131" s="225"/>
      <c r="B1131" s="226"/>
      <c r="C1131" s="226"/>
      <c r="D1131" s="226"/>
      <c r="E1131" s="227"/>
      <c r="G1131" s="225"/>
      <c r="H1131" s="226"/>
      <c r="I1131" s="226"/>
      <c r="J1131" s="226"/>
      <c r="K1131" s="227"/>
    </row>
    <row r="1132" spans="1:11" ht="15" thickBot="1" x14ac:dyDescent="0.4">
      <c r="A1132" s="218" t="s">
        <v>34</v>
      </c>
      <c r="B1132" s="219">
        <f>SUM(B1127:B1131)</f>
        <v>15109</v>
      </c>
      <c r="C1132" s="219">
        <f>SUM(C1127:C1131)</f>
        <v>0</v>
      </c>
      <c r="D1132" s="219">
        <f>SUM(D1127:D1131)</f>
        <v>0</v>
      </c>
      <c r="E1132" s="219">
        <f>SUM(E1127:E1131)</f>
        <v>0</v>
      </c>
      <c r="G1132" s="218" t="s">
        <v>34</v>
      </c>
      <c r="H1132" s="219">
        <f>SUM(H1127:H1131)</f>
        <v>3508</v>
      </c>
      <c r="I1132" s="219">
        <f>SUM(I1127:I1131)</f>
        <v>0</v>
      </c>
      <c r="J1132" s="219">
        <f>SUM(J1127:J1131)</f>
        <v>0</v>
      </c>
      <c r="K1132" s="219">
        <f>SUM(K1127:K1131)</f>
        <v>0</v>
      </c>
    </row>
    <row r="1133" spans="1:11" x14ac:dyDescent="0.35">
      <c r="A1133" s="220" t="s">
        <v>305</v>
      </c>
      <c r="B1133" s="220">
        <f>+B1132+C1132+D1132+E1132</f>
        <v>15109</v>
      </c>
      <c r="C1133" s="220"/>
      <c r="D1133" s="220"/>
      <c r="E1133" s="220"/>
      <c r="G1133" s="220" t="s">
        <v>305</v>
      </c>
      <c r="H1133" s="220">
        <f>+H1132+I1132+J1132+K1132</f>
        <v>3508</v>
      </c>
      <c r="I1133" s="220"/>
      <c r="J1133" s="220"/>
      <c r="K1133" s="220"/>
    </row>
    <row r="1134" spans="1:11" ht="15" thickBot="1" x14ac:dyDescent="0.4">
      <c r="A1134" s="315" t="s">
        <v>298</v>
      </c>
      <c r="B1134" s="315"/>
      <c r="C1134" s="315"/>
      <c r="D1134" s="315"/>
      <c r="E1134" s="315"/>
      <c r="G1134" s="315" t="s">
        <v>314</v>
      </c>
      <c r="H1134" s="315"/>
      <c r="I1134" s="315"/>
      <c r="J1134" s="315"/>
      <c r="K1134" s="315"/>
    </row>
    <row r="1135" spans="1:11" ht="15" thickTop="1" x14ac:dyDescent="0.35">
      <c r="A1135" s="313">
        <v>45404</v>
      </c>
      <c r="B1135" s="314"/>
      <c r="C1135" s="314"/>
      <c r="D1135" s="314"/>
      <c r="E1135" s="314"/>
      <c r="G1135" s="313">
        <v>45404</v>
      </c>
      <c r="H1135" s="314"/>
      <c r="I1135" s="314"/>
      <c r="J1135" s="314"/>
      <c r="K1135" s="314"/>
    </row>
    <row r="1136" spans="1:11" x14ac:dyDescent="0.35">
      <c r="A1136" s="261" t="s">
        <v>159</v>
      </c>
      <c r="B1136" s="262" t="s">
        <v>299</v>
      </c>
      <c r="C1136" s="262" t="s">
        <v>300</v>
      </c>
      <c r="D1136" s="262" t="s">
        <v>301</v>
      </c>
      <c r="E1136" s="263" t="s">
        <v>302</v>
      </c>
      <c r="G1136" s="264" t="s">
        <v>159</v>
      </c>
      <c r="H1136" s="265" t="s">
        <v>299</v>
      </c>
      <c r="I1136" s="265" t="s">
        <v>300</v>
      </c>
      <c r="J1136" s="265" t="s">
        <v>301</v>
      </c>
      <c r="K1136" s="266" t="s">
        <v>302</v>
      </c>
    </row>
    <row r="1137" spans="1:11" x14ac:dyDescent="0.35">
      <c r="A1137" s="221" t="s">
        <v>303</v>
      </c>
      <c r="B1137" s="222">
        <v>2103</v>
      </c>
      <c r="C1137" s="222"/>
      <c r="D1137" s="222"/>
      <c r="E1137" s="223"/>
      <c r="G1137" s="221" t="s">
        <v>303</v>
      </c>
      <c r="H1137" s="222">
        <v>1070</v>
      </c>
      <c r="I1137" s="222"/>
      <c r="J1137" s="222"/>
      <c r="K1137" s="223"/>
    </row>
    <row r="1138" spans="1:11" x14ac:dyDescent="0.35">
      <c r="A1138" s="225" t="s">
        <v>304</v>
      </c>
      <c r="B1138" s="226">
        <v>22805</v>
      </c>
      <c r="C1138" s="226"/>
      <c r="D1138" s="226"/>
      <c r="E1138" s="227"/>
      <c r="G1138" s="225"/>
      <c r="H1138" s="226"/>
      <c r="I1138" s="226"/>
      <c r="J1138" s="226"/>
      <c r="K1138" s="227"/>
    </row>
    <row r="1139" spans="1:11" x14ac:dyDescent="0.35">
      <c r="A1139" s="225"/>
      <c r="B1139" s="226"/>
      <c r="C1139" s="226"/>
      <c r="D1139" s="226"/>
      <c r="E1139" s="227"/>
      <c r="G1139" s="225"/>
      <c r="H1139" s="226"/>
      <c r="I1139" s="226"/>
      <c r="J1139" s="226"/>
      <c r="K1139" s="227"/>
    </row>
    <row r="1140" spans="1:11" x14ac:dyDescent="0.35">
      <c r="A1140" s="221"/>
      <c r="B1140" s="222"/>
      <c r="C1140" s="222"/>
      <c r="D1140" s="222"/>
      <c r="E1140" s="223"/>
      <c r="G1140" s="221"/>
      <c r="H1140" s="222"/>
      <c r="I1140" s="222"/>
      <c r="J1140" s="222"/>
      <c r="K1140" s="223"/>
    </row>
    <row r="1141" spans="1:11" x14ac:dyDescent="0.35">
      <c r="A1141" s="225"/>
      <c r="B1141" s="226"/>
      <c r="C1141" s="226"/>
      <c r="D1141" s="226"/>
      <c r="E1141" s="227"/>
      <c r="G1141" s="225"/>
      <c r="H1141" s="226"/>
      <c r="I1141" s="226"/>
      <c r="J1141" s="226"/>
      <c r="K1141" s="227"/>
    </row>
    <row r="1142" spans="1:11" ht="15" thickBot="1" x14ac:dyDescent="0.4">
      <c r="A1142" s="218" t="s">
        <v>34</v>
      </c>
      <c r="B1142" s="219">
        <f>SUM(B1137:B1141)</f>
        <v>24908</v>
      </c>
      <c r="C1142" s="219">
        <f>SUM(C1137:C1141)</f>
        <v>0</v>
      </c>
      <c r="D1142" s="219">
        <f>SUM(D1137:D1141)</f>
        <v>0</v>
      </c>
      <c r="E1142" s="219">
        <f>SUM(E1137:E1141)</f>
        <v>0</v>
      </c>
      <c r="G1142" s="218" t="s">
        <v>34</v>
      </c>
      <c r="H1142" s="219">
        <f>SUM(H1137:H1141)</f>
        <v>1070</v>
      </c>
      <c r="I1142" s="219">
        <f>SUM(I1137:I1141)</f>
        <v>0</v>
      </c>
      <c r="J1142" s="219">
        <f>SUM(J1137:J1141)</f>
        <v>0</v>
      </c>
      <c r="K1142" s="219">
        <f>SUM(K1137:K1141)</f>
        <v>0</v>
      </c>
    </row>
    <row r="1143" spans="1:11" x14ac:dyDescent="0.35">
      <c r="A1143" s="220" t="s">
        <v>305</v>
      </c>
      <c r="B1143" s="220">
        <f>+B1142+C1142+D1142+E1142</f>
        <v>24908</v>
      </c>
      <c r="C1143" s="220"/>
      <c r="D1143" s="220"/>
      <c r="E1143" s="220"/>
      <c r="G1143" s="220" t="s">
        <v>305</v>
      </c>
      <c r="H1143" s="220">
        <f>+H1142+I1142+J1142+K1142</f>
        <v>1070</v>
      </c>
      <c r="I1143" s="220"/>
      <c r="J1143" s="220"/>
      <c r="K1143" s="220"/>
    </row>
    <row r="1144" spans="1:11" ht="15" thickBot="1" x14ac:dyDescent="0.4">
      <c r="A1144" s="315" t="s">
        <v>298</v>
      </c>
      <c r="B1144" s="315"/>
      <c r="C1144" s="315"/>
      <c r="D1144" s="315"/>
      <c r="E1144" s="315"/>
      <c r="G1144" s="315" t="s">
        <v>314</v>
      </c>
      <c r="H1144" s="315"/>
      <c r="I1144" s="315"/>
      <c r="J1144" s="315"/>
      <c r="K1144" s="315"/>
    </row>
    <row r="1145" spans="1:11" ht="15" thickTop="1" x14ac:dyDescent="0.35">
      <c r="A1145" s="313">
        <v>45405</v>
      </c>
      <c r="B1145" s="314"/>
      <c r="C1145" s="314"/>
      <c r="D1145" s="314"/>
      <c r="E1145" s="314"/>
      <c r="G1145" s="313">
        <v>45405</v>
      </c>
      <c r="H1145" s="314"/>
      <c r="I1145" s="314"/>
      <c r="J1145" s="314"/>
      <c r="K1145" s="314"/>
    </row>
    <row r="1146" spans="1:11" x14ac:dyDescent="0.35">
      <c r="A1146" s="261" t="s">
        <v>159</v>
      </c>
      <c r="B1146" s="262" t="s">
        <v>299</v>
      </c>
      <c r="C1146" s="262" t="s">
        <v>300</v>
      </c>
      <c r="D1146" s="262" t="s">
        <v>301</v>
      </c>
      <c r="E1146" s="263" t="s">
        <v>302</v>
      </c>
      <c r="G1146" s="264" t="s">
        <v>159</v>
      </c>
      <c r="H1146" s="265" t="s">
        <v>299</v>
      </c>
      <c r="I1146" s="265" t="s">
        <v>300</v>
      </c>
      <c r="J1146" s="265" t="s">
        <v>301</v>
      </c>
      <c r="K1146" s="266" t="s">
        <v>302</v>
      </c>
    </row>
    <row r="1147" spans="1:11" x14ac:dyDescent="0.35">
      <c r="A1147" s="221" t="s">
        <v>303</v>
      </c>
      <c r="B1147" s="222"/>
      <c r="C1147" s="222"/>
      <c r="D1147" s="222"/>
      <c r="E1147" s="223"/>
      <c r="G1147" s="221" t="s">
        <v>303</v>
      </c>
      <c r="H1147" s="222">
        <v>453</v>
      </c>
      <c r="I1147" s="222"/>
      <c r="J1147" s="222"/>
      <c r="K1147" s="223"/>
    </row>
    <row r="1148" spans="1:11" x14ac:dyDescent="0.35">
      <c r="A1148" s="225" t="s">
        <v>304</v>
      </c>
      <c r="B1148" s="226">
        <v>2000</v>
      </c>
      <c r="C1148" s="226"/>
      <c r="D1148" s="226"/>
      <c r="E1148" s="227"/>
      <c r="G1148" s="225"/>
      <c r="H1148" s="226"/>
      <c r="I1148" s="226"/>
      <c r="J1148" s="226"/>
      <c r="K1148" s="227"/>
    </row>
    <row r="1149" spans="1:11" x14ac:dyDescent="0.35">
      <c r="A1149" s="225"/>
      <c r="B1149" s="226"/>
      <c r="C1149" s="226"/>
      <c r="D1149" s="226"/>
      <c r="E1149" s="227"/>
      <c r="G1149" s="225"/>
      <c r="H1149" s="226"/>
      <c r="I1149" s="226"/>
      <c r="J1149" s="226"/>
      <c r="K1149" s="227"/>
    </row>
    <row r="1150" spans="1:11" x14ac:dyDescent="0.35">
      <c r="A1150" s="221"/>
      <c r="B1150" s="222"/>
      <c r="C1150" s="222"/>
      <c r="D1150" s="222"/>
      <c r="E1150" s="223"/>
      <c r="G1150" s="221"/>
      <c r="H1150" s="222"/>
      <c r="I1150" s="222"/>
      <c r="J1150" s="222"/>
      <c r="K1150" s="223"/>
    </row>
    <row r="1151" spans="1:11" x14ac:dyDescent="0.35">
      <c r="A1151" s="225"/>
      <c r="B1151" s="226"/>
      <c r="C1151" s="226"/>
      <c r="D1151" s="226"/>
      <c r="E1151" s="227"/>
      <c r="G1151" s="225"/>
      <c r="H1151" s="226"/>
      <c r="I1151" s="226"/>
      <c r="J1151" s="226"/>
      <c r="K1151" s="227"/>
    </row>
    <row r="1152" spans="1:11" ht="15" thickBot="1" x14ac:dyDescent="0.4">
      <c r="A1152" s="218" t="s">
        <v>34</v>
      </c>
      <c r="B1152" s="219">
        <f>SUM(B1147:B1151)</f>
        <v>2000</v>
      </c>
      <c r="C1152" s="219">
        <f>SUM(C1147:C1151)</f>
        <v>0</v>
      </c>
      <c r="D1152" s="219">
        <f>SUM(D1147:D1151)</f>
        <v>0</v>
      </c>
      <c r="E1152" s="219">
        <f>SUM(E1147:E1151)</f>
        <v>0</v>
      </c>
      <c r="G1152" s="218" t="s">
        <v>34</v>
      </c>
      <c r="H1152" s="219">
        <f>SUM(H1147:H1151)</f>
        <v>453</v>
      </c>
      <c r="I1152" s="219">
        <f>SUM(I1147:I1151)</f>
        <v>0</v>
      </c>
      <c r="J1152" s="219">
        <f>SUM(J1147:J1151)</f>
        <v>0</v>
      </c>
      <c r="K1152" s="219">
        <f>SUM(K1147:K1151)</f>
        <v>0</v>
      </c>
    </row>
    <row r="1153" spans="1:11" x14ac:dyDescent="0.35">
      <c r="A1153" s="220" t="s">
        <v>305</v>
      </c>
      <c r="B1153" s="220">
        <f>+B1152+C1152+D1152+E1152</f>
        <v>2000</v>
      </c>
      <c r="C1153" s="220"/>
      <c r="D1153" s="220"/>
      <c r="E1153" s="220"/>
      <c r="G1153" s="220" t="s">
        <v>305</v>
      </c>
      <c r="H1153" s="220">
        <f>+H1152+I1152+J1152+K1152</f>
        <v>453</v>
      </c>
      <c r="I1153" s="220"/>
      <c r="J1153" s="220"/>
      <c r="K1153" s="220"/>
    </row>
    <row r="1154" spans="1:11" ht="15" thickBot="1" x14ac:dyDescent="0.4">
      <c r="A1154" s="315" t="s">
        <v>298</v>
      </c>
      <c r="B1154" s="315"/>
      <c r="C1154" s="315"/>
      <c r="D1154" s="315"/>
      <c r="E1154" s="315"/>
      <c r="G1154" s="315" t="s">
        <v>314</v>
      </c>
      <c r="H1154" s="315"/>
      <c r="I1154" s="315"/>
      <c r="J1154" s="315"/>
      <c r="K1154" s="315"/>
    </row>
    <row r="1155" spans="1:11" ht="15" thickTop="1" x14ac:dyDescent="0.35">
      <c r="A1155" s="313">
        <v>45406</v>
      </c>
      <c r="B1155" s="314"/>
      <c r="C1155" s="314"/>
      <c r="D1155" s="314"/>
      <c r="E1155" s="314"/>
      <c r="G1155" s="313">
        <v>45406</v>
      </c>
      <c r="H1155" s="314"/>
      <c r="I1155" s="314"/>
      <c r="J1155" s="314"/>
      <c r="K1155" s="314"/>
    </row>
    <row r="1156" spans="1:11" x14ac:dyDescent="0.35">
      <c r="A1156" s="261" t="s">
        <v>159</v>
      </c>
      <c r="B1156" s="262" t="s">
        <v>299</v>
      </c>
      <c r="C1156" s="262" t="s">
        <v>300</v>
      </c>
      <c r="D1156" s="262" t="s">
        <v>301</v>
      </c>
      <c r="E1156" s="263" t="s">
        <v>302</v>
      </c>
      <c r="G1156" s="264" t="s">
        <v>159</v>
      </c>
      <c r="H1156" s="265" t="s">
        <v>299</v>
      </c>
      <c r="I1156" s="265" t="s">
        <v>300</v>
      </c>
      <c r="J1156" s="265" t="s">
        <v>301</v>
      </c>
      <c r="K1156" s="266" t="s">
        <v>302</v>
      </c>
    </row>
    <row r="1157" spans="1:11" x14ac:dyDescent="0.35">
      <c r="A1157" s="221" t="s">
        <v>303</v>
      </c>
      <c r="B1157" s="222">
        <v>1815</v>
      </c>
      <c r="C1157" s="222"/>
      <c r="D1157" s="222"/>
      <c r="E1157" s="223"/>
      <c r="G1157" s="221" t="s">
        <v>303</v>
      </c>
      <c r="H1157" s="222"/>
      <c r="I1157" s="222"/>
      <c r="J1157" s="222"/>
      <c r="K1157" s="223"/>
    </row>
    <row r="1158" spans="1:11" x14ac:dyDescent="0.35">
      <c r="A1158" s="225" t="s">
        <v>304</v>
      </c>
      <c r="B1158" s="226"/>
      <c r="C1158" s="226"/>
      <c r="D1158" s="226"/>
      <c r="E1158" s="227"/>
      <c r="G1158" s="225"/>
      <c r="H1158" s="226"/>
      <c r="I1158" s="226"/>
      <c r="J1158" s="226"/>
      <c r="K1158" s="227"/>
    </row>
    <row r="1159" spans="1:11" x14ac:dyDescent="0.35">
      <c r="A1159" s="225"/>
      <c r="B1159" s="226"/>
      <c r="C1159" s="226"/>
      <c r="D1159" s="226"/>
      <c r="E1159" s="227"/>
      <c r="G1159" s="225"/>
      <c r="H1159" s="226"/>
      <c r="I1159" s="226"/>
      <c r="J1159" s="226"/>
      <c r="K1159" s="227"/>
    </row>
    <row r="1160" spans="1:11" x14ac:dyDescent="0.35">
      <c r="A1160" s="221"/>
      <c r="B1160" s="222"/>
      <c r="C1160" s="222"/>
      <c r="D1160" s="222"/>
      <c r="E1160" s="223"/>
      <c r="G1160" s="221"/>
      <c r="H1160" s="222"/>
      <c r="I1160" s="222"/>
      <c r="J1160" s="222"/>
      <c r="K1160" s="223"/>
    </row>
    <row r="1161" spans="1:11" x14ac:dyDescent="0.35">
      <c r="A1161" s="225"/>
      <c r="B1161" s="226"/>
      <c r="C1161" s="226"/>
      <c r="D1161" s="226"/>
      <c r="E1161" s="227"/>
      <c r="G1161" s="225"/>
      <c r="H1161" s="226"/>
      <c r="I1161" s="226"/>
      <c r="J1161" s="226"/>
      <c r="K1161" s="227"/>
    </row>
    <row r="1162" spans="1:11" ht="15" thickBot="1" x14ac:dyDescent="0.4">
      <c r="A1162" s="218" t="s">
        <v>34</v>
      </c>
      <c r="B1162" s="219">
        <f>SUM(B1157:B1161)</f>
        <v>1815</v>
      </c>
      <c r="C1162" s="219">
        <f>SUM(C1157:C1161)</f>
        <v>0</v>
      </c>
      <c r="D1162" s="219">
        <f>SUM(D1157:D1161)</f>
        <v>0</v>
      </c>
      <c r="E1162" s="219">
        <f>SUM(E1157:E1161)</f>
        <v>0</v>
      </c>
      <c r="G1162" s="218" t="s">
        <v>34</v>
      </c>
      <c r="H1162" s="219">
        <f>SUM(H1157:H1161)</f>
        <v>0</v>
      </c>
      <c r="I1162" s="219">
        <f>SUM(I1157:I1161)</f>
        <v>0</v>
      </c>
      <c r="J1162" s="219">
        <f>SUM(J1157:J1161)</f>
        <v>0</v>
      </c>
      <c r="K1162" s="219">
        <f>SUM(K1157:K1161)</f>
        <v>0</v>
      </c>
    </row>
    <row r="1163" spans="1:11" x14ac:dyDescent="0.35">
      <c r="A1163" s="220" t="s">
        <v>305</v>
      </c>
      <c r="B1163" s="220">
        <f>+B1162+C1162+D1162+E1162</f>
        <v>1815</v>
      </c>
      <c r="C1163" s="220"/>
      <c r="D1163" s="220"/>
      <c r="E1163" s="220"/>
      <c r="G1163" s="220" t="s">
        <v>305</v>
      </c>
      <c r="H1163" s="220">
        <f>+H1162+I1162+J1162+K1162</f>
        <v>0</v>
      </c>
      <c r="I1163" s="220"/>
      <c r="J1163" s="220"/>
      <c r="K1163" s="220"/>
    </row>
    <row r="1164" spans="1:11" ht="15" thickBot="1" x14ac:dyDescent="0.4">
      <c r="A1164" s="315" t="s">
        <v>298</v>
      </c>
      <c r="B1164" s="315"/>
      <c r="C1164" s="315"/>
      <c r="D1164" s="315"/>
      <c r="E1164" s="315"/>
      <c r="G1164" s="315" t="s">
        <v>314</v>
      </c>
      <c r="H1164" s="315"/>
      <c r="I1164" s="315"/>
      <c r="J1164" s="315"/>
      <c r="K1164" s="315"/>
    </row>
    <row r="1165" spans="1:11" ht="15" thickTop="1" x14ac:dyDescent="0.35">
      <c r="A1165" s="313">
        <v>45407</v>
      </c>
      <c r="B1165" s="314"/>
      <c r="C1165" s="314"/>
      <c r="D1165" s="314"/>
      <c r="E1165" s="314"/>
      <c r="G1165" s="313">
        <v>45407</v>
      </c>
      <c r="H1165" s="314"/>
      <c r="I1165" s="314"/>
      <c r="J1165" s="314"/>
      <c r="K1165" s="314"/>
    </row>
    <row r="1166" spans="1:11" x14ac:dyDescent="0.35">
      <c r="A1166" s="261" t="s">
        <v>159</v>
      </c>
      <c r="B1166" s="262" t="s">
        <v>299</v>
      </c>
      <c r="C1166" s="262" t="s">
        <v>300</v>
      </c>
      <c r="D1166" s="262" t="s">
        <v>301</v>
      </c>
      <c r="E1166" s="263" t="s">
        <v>302</v>
      </c>
      <c r="G1166" s="264" t="s">
        <v>159</v>
      </c>
      <c r="H1166" s="265" t="s">
        <v>299</v>
      </c>
      <c r="I1166" s="265" t="s">
        <v>300</v>
      </c>
      <c r="J1166" s="265" t="s">
        <v>301</v>
      </c>
      <c r="K1166" s="266" t="s">
        <v>302</v>
      </c>
    </row>
    <row r="1167" spans="1:11" x14ac:dyDescent="0.35">
      <c r="A1167" s="221" t="s">
        <v>303</v>
      </c>
      <c r="B1167" s="222">
        <v>9527</v>
      </c>
      <c r="C1167" s="222"/>
      <c r="D1167" s="222"/>
      <c r="E1167" s="223"/>
      <c r="G1167" s="221" t="s">
        <v>303</v>
      </c>
      <c r="H1167" s="222">
        <v>642</v>
      </c>
      <c r="I1167" s="222"/>
      <c r="J1167" s="222"/>
      <c r="K1167" s="223"/>
    </row>
    <row r="1168" spans="1:11" x14ac:dyDescent="0.35">
      <c r="A1168" s="225" t="s">
        <v>304</v>
      </c>
      <c r="B1168" s="226"/>
      <c r="C1168" s="226"/>
      <c r="D1168" s="226"/>
      <c r="E1168" s="227"/>
      <c r="G1168" s="225"/>
      <c r="H1168" s="226"/>
      <c r="I1168" s="226"/>
      <c r="J1168" s="226"/>
      <c r="K1168" s="227"/>
    </row>
    <row r="1169" spans="1:11" x14ac:dyDescent="0.35">
      <c r="A1169" s="225"/>
      <c r="B1169" s="226"/>
      <c r="C1169" s="226"/>
      <c r="D1169" s="226"/>
      <c r="E1169" s="227"/>
      <c r="G1169" s="225"/>
      <c r="H1169" s="226"/>
      <c r="I1169" s="226"/>
      <c r="J1169" s="226"/>
      <c r="K1169" s="227"/>
    </row>
    <row r="1170" spans="1:11" x14ac:dyDescent="0.35">
      <c r="A1170" s="221"/>
      <c r="B1170" s="222"/>
      <c r="C1170" s="222"/>
      <c r="D1170" s="222"/>
      <c r="E1170" s="223"/>
      <c r="G1170" s="221"/>
      <c r="H1170" s="222"/>
      <c r="I1170" s="222"/>
      <c r="J1170" s="222"/>
      <c r="K1170" s="223"/>
    </row>
    <row r="1171" spans="1:11" x14ac:dyDescent="0.35">
      <c r="A1171" s="225"/>
      <c r="B1171" s="226"/>
      <c r="C1171" s="226"/>
      <c r="D1171" s="226"/>
      <c r="E1171" s="227"/>
      <c r="G1171" s="225"/>
      <c r="H1171" s="226"/>
      <c r="I1171" s="226"/>
      <c r="J1171" s="226"/>
      <c r="K1171" s="227"/>
    </row>
    <row r="1172" spans="1:11" ht="15" thickBot="1" x14ac:dyDescent="0.4">
      <c r="A1172" s="218" t="s">
        <v>34</v>
      </c>
      <c r="B1172" s="219">
        <f>SUM(B1167:B1171)</f>
        <v>9527</v>
      </c>
      <c r="C1172" s="219">
        <f>SUM(C1167:C1171)</f>
        <v>0</v>
      </c>
      <c r="D1172" s="219">
        <f>SUM(D1167:D1171)</f>
        <v>0</v>
      </c>
      <c r="E1172" s="219">
        <f>SUM(E1167:E1171)</f>
        <v>0</v>
      </c>
      <c r="G1172" s="218" t="s">
        <v>34</v>
      </c>
      <c r="H1172" s="219">
        <f>SUM(H1167:H1171)</f>
        <v>642</v>
      </c>
      <c r="I1172" s="219">
        <f>SUM(I1167:I1171)</f>
        <v>0</v>
      </c>
      <c r="J1172" s="219">
        <f>SUM(J1167:J1171)</f>
        <v>0</v>
      </c>
      <c r="K1172" s="219">
        <f>SUM(K1167:K1171)</f>
        <v>0</v>
      </c>
    </row>
    <row r="1173" spans="1:11" x14ac:dyDescent="0.35">
      <c r="A1173" s="220" t="s">
        <v>305</v>
      </c>
      <c r="B1173" s="220">
        <f>+B1172+C1172+D1172+E1172</f>
        <v>9527</v>
      </c>
      <c r="C1173" s="220"/>
      <c r="D1173" s="220"/>
      <c r="E1173" s="220"/>
      <c r="G1173" s="220" t="s">
        <v>305</v>
      </c>
      <c r="H1173" s="220">
        <f>+H1172+I1172+J1172+K1172</f>
        <v>642</v>
      </c>
      <c r="I1173" s="220"/>
      <c r="J1173" s="220"/>
      <c r="K1173" s="220"/>
    </row>
    <row r="1174" spans="1:11" ht="15" thickBot="1" x14ac:dyDescent="0.4">
      <c r="A1174" s="315" t="s">
        <v>298</v>
      </c>
      <c r="B1174" s="315"/>
      <c r="C1174" s="315"/>
      <c r="D1174" s="315"/>
      <c r="E1174" s="315"/>
      <c r="G1174" s="315" t="s">
        <v>314</v>
      </c>
      <c r="H1174" s="315"/>
      <c r="I1174" s="315"/>
      <c r="J1174" s="315"/>
      <c r="K1174" s="315"/>
    </row>
    <row r="1175" spans="1:11" ht="15" thickTop="1" x14ac:dyDescent="0.35">
      <c r="A1175" s="313">
        <v>45408</v>
      </c>
      <c r="B1175" s="314"/>
      <c r="C1175" s="314"/>
      <c r="D1175" s="314"/>
      <c r="E1175" s="314"/>
      <c r="G1175" s="313">
        <v>45408</v>
      </c>
      <c r="H1175" s="314"/>
      <c r="I1175" s="314"/>
      <c r="J1175" s="314"/>
      <c r="K1175" s="314"/>
    </row>
    <row r="1176" spans="1:11" x14ac:dyDescent="0.35">
      <c r="A1176" s="261" t="s">
        <v>159</v>
      </c>
      <c r="B1176" s="262" t="s">
        <v>299</v>
      </c>
      <c r="C1176" s="262" t="s">
        <v>300</v>
      </c>
      <c r="D1176" s="262" t="s">
        <v>301</v>
      </c>
      <c r="E1176" s="263" t="s">
        <v>302</v>
      </c>
      <c r="G1176" s="264" t="s">
        <v>159</v>
      </c>
      <c r="H1176" s="265" t="s">
        <v>299</v>
      </c>
      <c r="I1176" s="265" t="s">
        <v>300</v>
      </c>
      <c r="J1176" s="265" t="s">
        <v>301</v>
      </c>
      <c r="K1176" s="266" t="s">
        <v>302</v>
      </c>
    </row>
    <row r="1177" spans="1:11" x14ac:dyDescent="0.35">
      <c r="A1177" s="221" t="s">
        <v>303</v>
      </c>
      <c r="B1177" s="222">
        <v>2362</v>
      </c>
      <c r="C1177" s="222"/>
      <c r="D1177" s="222"/>
      <c r="E1177" s="223"/>
      <c r="G1177" s="221" t="s">
        <v>303</v>
      </c>
      <c r="H1177" s="222">
        <v>898</v>
      </c>
      <c r="I1177" s="222"/>
      <c r="J1177" s="222"/>
      <c r="K1177" s="223"/>
    </row>
    <row r="1178" spans="1:11" x14ac:dyDescent="0.35">
      <c r="A1178" s="225" t="s">
        <v>304</v>
      </c>
      <c r="B1178" s="226">
        <v>500</v>
      </c>
      <c r="C1178" s="226"/>
      <c r="D1178" s="226"/>
      <c r="E1178" s="227"/>
      <c r="G1178" s="225"/>
      <c r="H1178" s="226"/>
      <c r="I1178" s="226"/>
      <c r="J1178" s="226"/>
      <c r="K1178" s="227"/>
    </row>
    <row r="1179" spans="1:11" x14ac:dyDescent="0.35">
      <c r="A1179" s="225"/>
      <c r="B1179" s="226"/>
      <c r="C1179" s="226"/>
      <c r="D1179" s="226"/>
      <c r="E1179" s="227"/>
      <c r="G1179" s="225"/>
      <c r="H1179" s="226"/>
      <c r="I1179" s="226"/>
      <c r="J1179" s="226"/>
      <c r="K1179" s="227"/>
    </row>
    <row r="1180" spans="1:11" x14ac:dyDescent="0.35">
      <c r="A1180" s="221"/>
      <c r="B1180" s="222"/>
      <c r="C1180" s="222"/>
      <c r="D1180" s="222"/>
      <c r="E1180" s="223"/>
      <c r="G1180" s="221"/>
      <c r="H1180" s="222"/>
      <c r="I1180" s="222"/>
      <c r="J1180" s="222"/>
      <c r="K1180" s="223"/>
    </row>
    <row r="1181" spans="1:11" x14ac:dyDescent="0.35">
      <c r="A1181" s="225"/>
      <c r="B1181" s="226"/>
      <c r="C1181" s="226"/>
      <c r="D1181" s="226"/>
      <c r="E1181" s="227"/>
      <c r="G1181" s="225"/>
      <c r="H1181" s="226"/>
      <c r="I1181" s="226"/>
      <c r="J1181" s="226"/>
      <c r="K1181" s="227"/>
    </row>
    <row r="1182" spans="1:11" ht="15" thickBot="1" x14ac:dyDescent="0.4">
      <c r="A1182" s="218" t="s">
        <v>34</v>
      </c>
      <c r="B1182" s="219">
        <f>SUM(B1177:B1181)</f>
        <v>2862</v>
      </c>
      <c r="C1182" s="219">
        <f>SUM(C1177:C1181)</f>
        <v>0</v>
      </c>
      <c r="D1182" s="219">
        <f>SUM(D1177:D1181)</f>
        <v>0</v>
      </c>
      <c r="E1182" s="219">
        <f>SUM(E1177:E1181)</f>
        <v>0</v>
      </c>
      <c r="G1182" s="218" t="s">
        <v>34</v>
      </c>
      <c r="H1182" s="219">
        <f>SUM(H1177:H1181)</f>
        <v>898</v>
      </c>
      <c r="I1182" s="219">
        <f>SUM(I1177:I1181)</f>
        <v>0</v>
      </c>
      <c r="J1182" s="219">
        <f>SUM(J1177:J1181)</f>
        <v>0</v>
      </c>
      <c r="K1182" s="219">
        <f>SUM(K1177:K1181)</f>
        <v>0</v>
      </c>
    </row>
    <row r="1183" spans="1:11" x14ac:dyDescent="0.35">
      <c r="A1183" s="220" t="s">
        <v>305</v>
      </c>
      <c r="B1183" s="220">
        <f>+B1182+C1182+D1182+E1182</f>
        <v>2862</v>
      </c>
      <c r="C1183" s="220"/>
      <c r="D1183" s="220"/>
      <c r="E1183" s="220"/>
      <c r="G1183" s="220" t="s">
        <v>305</v>
      </c>
      <c r="H1183" s="220">
        <f>+H1182+I1182+J1182+K1182</f>
        <v>898</v>
      </c>
      <c r="I1183" s="220"/>
      <c r="J1183" s="220"/>
      <c r="K1183" s="220"/>
    </row>
    <row r="1184" spans="1:11" ht="15" thickBot="1" x14ac:dyDescent="0.4">
      <c r="A1184" s="315" t="s">
        <v>298</v>
      </c>
      <c r="B1184" s="315"/>
      <c r="C1184" s="315"/>
      <c r="D1184" s="315"/>
      <c r="E1184" s="315"/>
      <c r="G1184" s="315" t="s">
        <v>314</v>
      </c>
      <c r="H1184" s="315"/>
      <c r="I1184" s="315"/>
      <c r="J1184" s="315"/>
      <c r="K1184" s="315"/>
    </row>
    <row r="1185" spans="1:11" ht="15" thickTop="1" x14ac:dyDescent="0.35">
      <c r="A1185" s="313">
        <v>45409</v>
      </c>
      <c r="B1185" s="314"/>
      <c r="C1185" s="314"/>
      <c r="D1185" s="314"/>
      <c r="E1185" s="314"/>
      <c r="G1185" s="313">
        <v>45409</v>
      </c>
      <c r="H1185" s="314"/>
      <c r="I1185" s="314"/>
      <c r="J1185" s="314"/>
      <c r="K1185" s="314"/>
    </row>
    <row r="1186" spans="1:11" x14ac:dyDescent="0.35">
      <c r="A1186" s="261" t="s">
        <v>159</v>
      </c>
      <c r="B1186" s="262" t="s">
        <v>299</v>
      </c>
      <c r="C1186" s="262" t="s">
        <v>300</v>
      </c>
      <c r="D1186" s="262" t="s">
        <v>301</v>
      </c>
      <c r="E1186" s="263" t="s">
        <v>302</v>
      </c>
      <c r="G1186" s="264" t="s">
        <v>159</v>
      </c>
      <c r="H1186" s="265" t="s">
        <v>299</v>
      </c>
      <c r="I1186" s="265" t="s">
        <v>300</v>
      </c>
      <c r="J1186" s="265" t="s">
        <v>301</v>
      </c>
      <c r="K1186" s="266" t="s">
        <v>302</v>
      </c>
    </row>
    <row r="1187" spans="1:11" x14ac:dyDescent="0.35">
      <c r="A1187" s="221" t="s">
        <v>303</v>
      </c>
      <c r="B1187" s="222">
        <v>13098</v>
      </c>
      <c r="C1187" s="222"/>
      <c r="D1187" s="222"/>
      <c r="E1187" s="223"/>
      <c r="G1187" s="221" t="s">
        <v>303</v>
      </c>
      <c r="H1187" s="222"/>
      <c r="I1187" s="222"/>
      <c r="J1187" s="222"/>
      <c r="K1187" s="223"/>
    </row>
    <row r="1188" spans="1:11" x14ac:dyDescent="0.35">
      <c r="A1188" s="225" t="s">
        <v>304</v>
      </c>
      <c r="B1188" s="226"/>
      <c r="C1188" s="226"/>
      <c r="D1188" s="226"/>
      <c r="E1188" s="227"/>
      <c r="G1188" s="225"/>
      <c r="H1188" s="226"/>
      <c r="I1188" s="226"/>
      <c r="J1188" s="226"/>
      <c r="K1188" s="227"/>
    </row>
    <row r="1189" spans="1:11" x14ac:dyDescent="0.35">
      <c r="A1189" s="225"/>
      <c r="B1189" s="226"/>
      <c r="C1189" s="226"/>
      <c r="D1189" s="226"/>
      <c r="E1189" s="227"/>
      <c r="G1189" s="225"/>
      <c r="H1189" s="226"/>
      <c r="I1189" s="226"/>
      <c r="J1189" s="226"/>
      <c r="K1189" s="227"/>
    </row>
    <row r="1190" spans="1:11" x14ac:dyDescent="0.35">
      <c r="A1190" s="221"/>
      <c r="B1190" s="222"/>
      <c r="C1190" s="222"/>
      <c r="D1190" s="222"/>
      <c r="E1190" s="223"/>
      <c r="G1190" s="221"/>
      <c r="H1190" s="222"/>
      <c r="I1190" s="222"/>
      <c r="J1190" s="222"/>
      <c r="K1190" s="223"/>
    </row>
    <row r="1191" spans="1:11" x14ac:dyDescent="0.35">
      <c r="A1191" s="225"/>
      <c r="B1191" s="226"/>
      <c r="C1191" s="226"/>
      <c r="D1191" s="226"/>
      <c r="E1191" s="227"/>
      <c r="G1191" s="225"/>
      <c r="H1191" s="226"/>
      <c r="I1191" s="226"/>
      <c r="J1191" s="226"/>
      <c r="K1191" s="227"/>
    </row>
    <row r="1192" spans="1:11" ht="15" thickBot="1" x14ac:dyDescent="0.4">
      <c r="A1192" s="218" t="s">
        <v>34</v>
      </c>
      <c r="B1192" s="219">
        <f>SUM(B1187:B1191)</f>
        <v>13098</v>
      </c>
      <c r="C1192" s="219">
        <f>SUM(C1187:C1191)</f>
        <v>0</v>
      </c>
      <c r="D1192" s="219">
        <f>SUM(D1187:D1191)</f>
        <v>0</v>
      </c>
      <c r="E1192" s="219">
        <f>SUM(E1187:E1191)</f>
        <v>0</v>
      </c>
      <c r="G1192" s="218" t="s">
        <v>34</v>
      </c>
      <c r="H1192" s="219">
        <f>SUM(H1187:H1191)</f>
        <v>0</v>
      </c>
      <c r="I1192" s="219">
        <f>SUM(I1187:I1191)</f>
        <v>0</v>
      </c>
      <c r="J1192" s="219">
        <f>SUM(J1187:J1191)</f>
        <v>0</v>
      </c>
      <c r="K1192" s="219">
        <f>SUM(K1187:K1191)</f>
        <v>0</v>
      </c>
    </row>
    <row r="1193" spans="1:11" x14ac:dyDescent="0.35">
      <c r="A1193" s="220" t="s">
        <v>305</v>
      </c>
      <c r="B1193" s="220">
        <f>+B1192+C1192+D1192+E1192</f>
        <v>13098</v>
      </c>
      <c r="C1193" s="220"/>
      <c r="D1193" s="220"/>
      <c r="E1193" s="220"/>
      <c r="G1193" s="220" t="s">
        <v>305</v>
      </c>
      <c r="H1193" s="220">
        <f>+H1192+I1192+J1192+K1192</f>
        <v>0</v>
      </c>
      <c r="I1193" s="220"/>
      <c r="J1193" s="220"/>
      <c r="K1193" s="220"/>
    </row>
    <row r="1194" spans="1:11" ht="15" thickBot="1" x14ac:dyDescent="0.4">
      <c r="A1194" s="315" t="s">
        <v>298</v>
      </c>
      <c r="B1194" s="315"/>
      <c r="C1194" s="315"/>
      <c r="D1194" s="315"/>
      <c r="E1194" s="315"/>
      <c r="G1194" s="315" t="s">
        <v>314</v>
      </c>
      <c r="H1194" s="315"/>
      <c r="I1194" s="315"/>
      <c r="J1194" s="315"/>
      <c r="K1194" s="315"/>
    </row>
    <row r="1195" spans="1:11" ht="15" thickTop="1" x14ac:dyDescent="0.35">
      <c r="A1195" s="313">
        <v>45410</v>
      </c>
      <c r="B1195" s="314"/>
      <c r="C1195" s="314"/>
      <c r="D1195" s="314"/>
      <c r="E1195" s="314"/>
      <c r="G1195" s="313">
        <v>45410</v>
      </c>
      <c r="H1195" s="314"/>
      <c r="I1195" s="314"/>
      <c r="J1195" s="314"/>
      <c r="K1195" s="314"/>
    </row>
    <row r="1196" spans="1:11" x14ac:dyDescent="0.35">
      <c r="A1196" s="261" t="s">
        <v>159</v>
      </c>
      <c r="B1196" s="262" t="s">
        <v>299</v>
      </c>
      <c r="C1196" s="262" t="s">
        <v>300</v>
      </c>
      <c r="D1196" s="262" t="s">
        <v>301</v>
      </c>
      <c r="E1196" s="263" t="s">
        <v>302</v>
      </c>
      <c r="G1196" s="264" t="s">
        <v>159</v>
      </c>
      <c r="H1196" s="265" t="s">
        <v>299</v>
      </c>
      <c r="I1196" s="265" t="s">
        <v>300</v>
      </c>
      <c r="J1196" s="265" t="s">
        <v>301</v>
      </c>
      <c r="K1196" s="266" t="s">
        <v>302</v>
      </c>
    </row>
    <row r="1197" spans="1:11" x14ac:dyDescent="0.35">
      <c r="A1197" s="221" t="s">
        <v>303</v>
      </c>
      <c r="B1197" s="222">
        <v>20623</v>
      </c>
      <c r="C1197" s="222"/>
      <c r="D1197" s="222"/>
      <c r="E1197" s="223"/>
      <c r="G1197" s="221" t="s">
        <v>303</v>
      </c>
      <c r="H1197" s="222">
        <v>5038</v>
      </c>
      <c r="I1197" s="222"/>
      <c r="J1197" s="222"/>
      <c r="K1197" s="223"/>
    </row>
    <row r="1198" spans="1:11" x14ac:dyDescent="0.35">
      <c r="A1198" s="225" t="s">
        <v>304</v>
      </c>
      <c r="B1198" s="226">
        <v>6538</v>
      </c>
      <c r="C1198" s="226"/>
      <c r="D1198" s="226"/>
      <c r="E1198" s="227"/>
      <c r="G1198" s="225"/>
      <c r="H1198" s="226"/>
      <c r="I1198" s="226"/>
      <c r="J1198" s="226"/>
      <c r="K1198" s="227"/>
    </row>
    <row r="1199" spans="1:11" x14ac:dyDescent="0.35">
      <c r="A1199" s="225"/>
      <c r="B1199" s="226"/>
      <c r="C1199" s="226"/>
      <c r="D1199" s="226"/>
      <c r="E1199" s="227"/>
      <c r="G1199" s="225"/>
      <c r="H1199" s="226"/>
      <c r="I1199" s="226"/>
      <c r="J1199" s="226"/>
      <c r="K1199" s="227"/>
    </row>
    <row r="1200" spans="1:11" x14ac:dyDescent="0.35">
      <c r="A1200" s="221"/>
      <c r="B1200" s="222"/>
      <c r="C1200" s="222"/>
      <c r="D1200" s="222"/>
      <c r="E1200" s="223"/>
      <c r="G1200" s="221"/>
      <c r="H1200" s="222"/>
      <c r="I1200" s="222"/>
      <c r="J1200" s="222"/>
      <c r="K1200" s="223"/>
    </row>
    <row r="1201" spans="1:11" x14ac:dyDescent="0.35">
      <c r="A1201" s="225"/>
      <c r="B1201" s="226"/>
      <c r="C1201" s="226"/>
      <c r="D1201" s="226"/>
      <c r="E1201" s="227"/>
      <c r="G1201" s="225"/>
      <c r="H1201" s="226"/>
      <c r="I1201" s="226"/>
      <c r="J1201" s="226"/>
      <c r="K1201" s="227"/>
    </row>
    <row r="1202" spans="1:11" ht="15" thickBot="1" x14ac:dyDescent="0.4">
      <c r="A1202" s="218" t="s">
        <v>34</v>
      </c>
      <c r="B1202" s="219">
        <f>SUM(B1197:B1201)</f>
        <v>27161</v>
      </c>
      <c r="C1202" s="219">
        <f>SUM(C1197:C1201)</f>
        <v>0</v>
      </c>
      <c r="D1202" s="219">
        <f>SUM(D1197:D1201)</f>
        <v>0</v>
      </c>
      <c r="E1202" s="219">
        <f>SUM(E1197:E1201)</f>
        <v>0</v>
      </c>
      <c r="G1202" s="218" t="s">
        <v>34</v>
      </c>
      <c r="H1202" s="219">
        <f>SUM(H1197:H1201)</f>
        <v>5038</v>
      </c>
      <c r="I1202" s="219">
        <f>SUM(I1197:I1201)</f>
        <v>0</v>
      </c>
      <c r="J1202" s="219">
        <f>SUM(J1197:J1201)</f>
        <v>0</v>
      </c>
      <c r="K1202" s="219">
        <f>SUM(K1197:K1201)</f>
        <v>0</v>
      </c>
    </row>
    <row r="1203" spans="1:11" x14ac:dyDescent="0.35">
      <c r="A1203" s="220" t="s">
        <v>305</v>
      </c>
      <c r="B1203" s="220">
        <f>+B1202+C1202+D1202+E1202</f>
        <v>27161</v>
      </c>
      <c r="C1203" s="220"/>
      <c r="D1203" s="220"/>
      <c r="E1203" s="220"/>
      <c r="G1203" s="220" t="s">
        <v>305</v>
      </c>
      <c r="H1203" s="220">
        <f>+H1202+I1202+J1202+K1202</f>
        <v>5038</v>
      </c>
      <c r="I1203" s="220"/>
      <c r="J1203" s="220"/>
      <c r="K1203" s="220"/>
    </row>
    <row r="1204" spans="1:11" ht="15" thickBot="1" x14ac:dyDescent="0.4">
      <c r="A1204" s="315" t="s">
        <v>298</v>
      </c>
      <c r="B1204" s="315"/>
      <c r="C1204" s="315"/>
      <c r="D1204" s="315"/>
      <c r="E1204" s="315"/>
      <c r="G1204" s="315" t="s">
        <v>314</v>
      </c>
      <c r="H1204" s="315"/>
      <c r="I1204" s="315"/>
      <c r="J1204" s="315"/>
      <c r="K1204" s="315"/>
    </row>
    <row r="1205" spans="1:11" ht="15" thickTop="1" x14ac:dyDescent="0.35">
      <c r="A1205" s="313">
        <v>45411</v>
      </c>
      <c r="B1205" s="314"/>
      <c r="C1205" s="314"/>
      <c r="D1205" s="314"/>
      <c r="E1205" s="314"/>
      <c r="G1205" s="313">
        <v>45411</v>
      </c>
      <c r="H1205" s="314"/>
      <c r="I1205" s="314"/>
      <c r="J1205" s="314"/>
      <c r="K1205" s="314"/>
    </row>
    <row r="1206" spans="1:11" x14ac:dyDescent="0.35">
      <c r="A1206" s="261" t="s">
        <v>159</v>
      </c>
      <c r="B1206" s="262" t="s">
        <v>299</v>
      </c>
      <c r="C1206" s="262" t="s">
        <v>300</v>
      </c>
      <c r="D1206" s="262" t="s">
        <v>301</v>
      </c>
      <c r="E1206" s="263" t="s">
        <v>302</v>
      </c>
      <c r="G1206" s="264" t="s">
        <v>159</v>
      </c>
      <c r="H1206" s="265" t="s">
        <v>299</v>
      </c>
      <c r="I1206" s="265" t="s">
        <v>300</v>
      </c>
      <c r="J1206" s="265" t="s">
        <v>301</v>
      </c>
      <c r="K1206" s="266" t="s">
        <v>302</v>
      </c>
    </row>
    <row r="1207" spans="1:11" x14ac:dyDescent="0.35">
      <c r="A1207" s="221" t="s">
        <v>303</v>
      </c>
      <c r="B1207" s="222">
        <v>4004</v>
      </c>
      <c r="C1207" s="222"/>
      <c r="D1207" s="222"/>
      <c r="E1207" s="223"/>
      <c r="G1207" s="221" t="s">
        <v>303</v>
      </c>
      <c r="H1207" s="222">
        <v>885</v>
      </c>
      <c r="I1207" s="222"/>
      <c r="J1207" s="222"/>
      <c r="K1207" s="223"/>
    </row>
    <row r="1208" spans="1:11" x14ac:dyDescent="0.35">
      <c r="A1208" s="225" t="s">
        <v>304</v>
      </c>
      <c r="B1208" s="226">
        <v>1716</v>
      </c>
      <c r="C1208" s="226"/>
      <c r="D1208" s="226"/>
      <c r="E1208" s="227"/>
      <c r="G1208" s="225"/>
      <c r="H1208" s="226"/>
      <c r="I1208" s="226"/>
      <c r="J1208" s="226"/>
      <c r="K1208" s="227"/>
    </row>
    <row r="1209" spans="1:11" x14ac:dyDescent="0.35">
      <c r="A1209" s="225"/>
      <c r="B1209" s="226"/>
      <c r="C1209" s="226"/>
      <c r="D1209" s="226"/>
      <c r="E1209" s="227"/>
      <c r="G1209" s="225"/>
      <c r="H1209" s="226"/>
      <c r="I1209" s="226"/>
      <c r="J1209" s="226"/>
      <c r="K1209" s="227"/>
    </row>
    <row r="1210" spans="1:11" x14ac:dyDescent="0.35">
      <c r="A1210" s="221"/>
      <c r="B1210" s="222"/>
      <c r="C1210" s="222"/>
      <c r="D1210" s="222"/>
      <c r="E1210" s="223"/>
      <c r="G1210" s="221"/>
      <c r="H1210" s="222"/>
      <c r="I1210" s="222"/>
      <c r="J1210" s="222"/>
      <c r="K1210" s="223"/>
    </row>
    <row r="1211" spans="1:11" x14ac:dyDescent="0.35">
      <c r="A1211" s="225"/>
      <c r="B1211" s="226"/>
      <c r="C1211" s="226"/>
      <c r="D1211" s="226"/>
      <c r="E1211" s="227"/>
      <c r="G1211" s="225"/>
      <c r="H1211" s="226"/>
      <c r="I1211" s="226"/>
      <c r="J1211" s="226"/>
      <c r="K1211" s="227"/>
    </row>
    <row r="1212" spans="1:11" ht="15" thickBot="1" x14ac:dyDescent="0.4">
      <c r="A1212" s="218" t="s">
        <v>34</v>
      </c>
      <c r="B1212" s="219">
        <f>SUM(B1207:B1211)</f>
        <v>5720</v>
      </c>
      <c r="C1212" s="219">
        <f>SUM(C1207:C1211)</f>
        <v>0</v>
      </c>
      <c r="D1212" s="219">
        <f>SUM(D1207:D1211)</f>
        <v>0</v>
      </c>
      <c r="E1212" s="219">
        <f>SUM(E1207:E1211)</f>
        <v>0</v>
      </c>
      <c r="G1212" s="218" t="s">
        <v>34</v>
      </c>
      <c r="H1212" s="219">
        <f>SUM(H1207:H1211)</f>
        <v>885</v>
      </c>
      <c r="I1212" s="219">
        <f>SUM(I1207:I1211)</f>
        <v>0</v>
      </c>
      <c r="J1212" s="219">
        <f>SUM(J1207:J1211)</f>
        <v>0</v>
      </c>
      <c r="K1212" s="219">
        <f>SUM(K1207:K1211)</f>
        <v>0</v>
      </c>
    </row>
    <row r="1213" spans="1:11" x14ac:dyDescent="0.35">
      <c r="A1213" s="220" t="s">
        <v>305</v>
      </c>
      <c r="B1213" s="220">
        <f>+B1212+C1212+D1212+E1212</f>
        <v>5720</v>
      </c>
      <c r="C1213" s="220"/>
      <c r="D1213" s="220"/>
      <c r="E1213" s="220"/>
      <c r="G1213" s="220" t="s">
        <v>305</v>
      </c>
      <c r="H1213" s="220">
        <f>+H1212+I1212+J1212+K1212</f>
        <v>885</v>
      </c>
      <c r="I1213" s="220"/>
      <c r="J1213" s="220"/>
      <c r="K1213" s="220"/>
    </row>
    <row r="1214" spans="1:11" ht="15" thickBot="1" x14ac:dyDescent="0.4">
      <c r="A1214" s="315" t="s">
        <v>298</v>
      </c>
      <c r="B1214" s="315"/>
      <c r="C1214" s="315"/>
      <c r="D1214" s="315"/>
      <c r="E1214" s="315"/>
      <c r="G1214" s="315" t="s">
        <v>314</v>
      </c>
      <c r="H1214" s="315"/>
      <c r="I1214" s="315"/>
      <c r="J1214" s="315"/>
      <c r="K1214" s="315"/>
    </row>
    <row r="1215" spans="1:11" ht="15" thickTop="1" x14ac:dyDescent="0.35">
      <c r="A1215" s="313">
        <v>45412</v>
      </c>
      <c r="B1215" s="314"/>
      <c r="C1215" s="314"/>
      <c r="D1215" s="314"/>
      <c r="E1215" s="314"/>
      <c r="G1215" s="313">
        <v>45412</v>
      </c>
      <c r="H1215" s="314"/>
      <c r="I1215" s="314"/>
      <c r="J1215" s="314"/>
      <c r="K1215" s="314"/>
    </row>
    <row r="1216" spans="1:11" x14ac:dyDescent="0.35">
      <c r="A1216" s="261" t="s">
        <v>159</v>
      </c>
      <c r="B1216" s="262" t="s">
        <v>299</v>
      </c>
      <c r="C1216" s="262" t="s">
        <v>300</v>
      </c>
      <c r="D1216" s="262" t="s">
        <v>301</v>
      </c>
      <c r="E1216" s="263" t="s">
        <v>302</v>
      </c>
      <c r="G1216" s="264" t="s">
        <v>159</v>
      </c>
      <c r="H1216" s="265" t="s">
        <v>299</v>
      </c>
      <c r="I1216" s="265" t="s">
        <v>300</v>
      </c>
      <c r="J1216" s="265" t="s">
        <v>301</v>
      </c>
      <c r="K1216" s="266" t="s">
        <v>302</v>
      </c>
    </row>
    <row r="1217" spans="1:13" x14ac:dyDescent="0.35">
      <c r="A1217" s="221" t="s">
        <v>303</v>
      </c>
      <c r="B1217" s="222">
        <v>1556</v>
      </c>
      <c r="C1217" s="222"/>
      <c r="D1217" s="222"/>
      <c r="E1217" s="223"/>
      <c r="G1217" s="221" t="s">
        <v>303</v>
      </c>
      <c r="H1217" s="222">
        <v>115</v>
      </c>
      <c r="I1217" s="222"/>
      <c r="J1217" s="222"/>
      <c r="K1217" s="223"/>
    </row>
    <row r="1218" spans="1:13" x14ac:dyDescent="0.35">
      <c r="A1218" s="225" t="s">
        <v>304</v>
      </c>
      <c r="B1218" s="226">
        <v>6500</v>
      </c>
      <c r="C1218" s="226"/>
      <c r="D1218" s="226"/>
      <c r="E1218" s="227"/>
      <c r="G1218" s="225"/>
      <c r="H1218" s="226"/>
      <c r="I1218" s="226"/>
      <c r="J1218" s="226"/>
      <c r="K1218" s="227"/>
    </row>
    <row r="1219" spans="1:13" x14ac:dyDescent="0.35">
      <c r="A1219" s="225"/>
      <c r="B1219" s="226"/>
      <c r="C1219" s="226"/>
      <c r="D1219" s="226"/>
      <c r="E1219" s="227"/>
      <c r="G1219" s="225"/>
      <c r="H1219" s="226"/>
      <c r="I1219" s="226"/>
      <c r="J1219" s="226"/>
      <c r="K1219" s="227"/>
    </row>
    <row r="1220" spans="1:13" x14ac:dyDescent="0.35">
      <c r="A1220" s="221"/>
      <c r="B1220" s="222"/>
      <c r="C1220" s="222"/>
      <c r="D1220" s="222"/>
      <c r="E1220" s="223"/>
      <c r="G1220" s="221"/>
      <c r="H1220" s="222"/>
      <c r="I1220" s="222"/>
      <c r="J1220" s="222"/>
      <c r="K1220" s="223"/>
    </row>
    <row r="1221" spans="1:13" x14ac:dyDescent="0.35">
      <c r="A1221" s="225"/>
      <c r="B1221" s="226"/>
      <c r="C1221" s="226"/>
      <c r="D1221" s="226"/>
      <c r="E1221" s="227"/>
      <c r="G1221" s="225"/>
      <c r="H1221" s="226"/>
      <c r="I1221" s="226"/>
      <c r="J1221" s="226"/>
      <c r="K1221" s="227"/>
    </row>
    <row r="1222" spans="1:13" ht="15" thickBot="1" x14ac:dyDescent="0.4">
      <c r="A1222" s="218" t="s">
        <v>34</v>
      </c>
      <c r="B1222" s="219">
        <f>SUM(B1217:B1221)</f>
        <v>8056</v>
      </c>
      <c r="C1222" s="219">
        <f>SUM(C1217:C1221)</f>
        <v>0</v>
      </c>
      <c r="D1222" s="219">
        <f>SUM(D1217:D1221)</f>
        <v>0</v>
      </c>
      <c r="E1222" s="219">
        <f>SUM(E1217:E1221)</f>
        <v>0</v>
      </c>
      <c r="G1222" s="218" t="s">
        <v>34</v>
      </c>
      <c r="H1222" s="219">
        <f>SUM(H1217:H1221)</f>
        <v>115</v>
      </c>
      <c r="I1222" s="219">
        <f>SUM(I1217:I1221)</f>
        <v>0</v>
      </c>
      <c r="J1222" s="219">
        <f>SUM(J1217:J1221)</f>
        <v>0</v>
      </c>
      <c r="K1222" s="219">
        <f>SUM(K1217:K1221)</f>
        <v>0</v>
      </c>
    </row>
    <row r="1223" spans="1:13" x14ac:dyDescent="0.35">
      <c r="A1223" s="220" t="s">
        <v>305</v>
      </c>
      <c r="B1223" s="220">
        <f>+B1222+C1222+D1222+E1222</f>
        <v>8056</v>
      </c>
      <c r="C1223" s="220"/>
      <c r="D1223" s="220"/>
      <c r="E1223" s="220"/>
      <c r="G1223" s="220" t="s">
        <v>305</v>
      </c>
      <c r="H1223" s="220">
        <f>+H1222+I1222+J1222+K1222</f>
        <v>115</v>
      </c>
      <c r="I1223" s="220"/>
      <c r="J1223" s="220"/>
      <c r="K1223" s="220"/>
    </row>
    <row r="1225" spans="1:13" ht="15" thickBot="1" x14ac:dyDescent="0.4"/>
    <row r="1226" spans="1:13" ht="30.5" customHeight="1" thickBot="1" x14ac:dyDescent="0.4">
      <c r="A1226" s="316" t="s">
        <v>323</v>
      </c>
      <c r="B1226" s="317"/>
      <c r="C1226" s="317"/>
      <c r="D1226" s="317"/>
      <c r="E1226" s="317"/>
      <c r="F1226" s="318"/>
      <c r="G1226" s="324">
        <f>SUMIF($A$924:M1224,"*"&amp;K1226&amp;"*",$B$924:N1224)</f>
        <v>364997</v>
      </c>
      <c r="H1226" s="319"/>
      <c r="I1226" s="319"/>
      <c r="J1226" s="325"/>
      <c r="K1226" s="322" t="s">
        <v>305</v>
      </c>
      <c r="L1226" s="323"/>
      <c r="M1226" s="228">
        <f>+G1226</f>
        <v>364997</v>
      </c>
    </row>
    <row r="1229" spans="1:13" ht="15" thickBot="1" x14ac:dyDescent="0.4">
      <c r="A1229" s="315" t="s">
        <v>298</v>
      </c>
      <c r="B1229" s="315"/>
      <c r="C1229" s="315"/>
      <c r="D1229" s="315"/>
      <c r="E1229" s="315"/>
      <c r="G1229" s="315" t="s">
        <v>314</v>
      </c>
      <c r="H1229" s="315"/>
      <c r="I1229" s="315"/>
      <c r="J1229" s="315"/>
      <c r="K1229" s="315"/>
    </row>
    <row r="1230" spans="1:13" ht="15" thickTop="1" x14ac:dyDescent="0.35">
      <c r="A1230" s="313">
        <v>45413</v>
      </c>
      <c r="B1230" s="314"/>
      <c r="C1230" s="314"/>
      <c r="D1230" s="314"/>
      <c r="E1230" s="314"/>
      <c r="G1230" s="313">
        <v>45413</v>
      </c>
      <c r="H1230" s="314"/>
      <c r="I1230" s="314"/>
      <c r="J1230" s="314"/>
      <c r="K1230" s="314"/>
    </row>
    <row r="1231" spans="1:13" x14ac:dyDescent="0.35">
      <c r="A1231" s="261" t="s">
        <v>159</v>
      </c>
      <c r="B1231" s="262" t="s">
        <v>299</v>
      </c>
      <c r="C1231" s="262" t="s">
        <v>300</v>
      </c>
      <c r="D1231" s="262" t="s">
        <v>301</v>
      </c>
      <c r="E1231" s="263" t="s">
        <v>302</v>
      </c>
      <c r="G1231" s="264" t="s">
        <v>159</v>
      </c>
      <c r="H1231" s="265" t="s">
        <v>299</v>
      </c>
      <c r="I1231" s="265" t="s">
        <v>300</v>
      </c>
      <c r="J1231" s="265" t="s">
        <v>301</v>
      </c>
      <c r="K1231" s="266" t="s">
        <v>302</v>
      </c>
    </row>
    <row r="1232" spans="1:13" x14ac:dyDescent="0.35">
      <c r="A1232" s="221" t="s">
        <v>303</v>
      </c>
      <c r="B1232" s="222">
        <v>7894</v>
      </c>
      <c r="C1232" s="222"/>
      <c r="D1232" s="222"/>
      <c r="E1232" s="223"/>
      <c r="G1232" s="221" t="s">
        <v>303</v>
      </c>
      <c r="H1232" s="222"/>
      <c r="I1232" s="222"/>
      <c r="J1232" s="222"/>
      <c r="K1232" s="223"/>
    </row>
    <row r="1233" spans="1:11" x14ac:dyDescent="0.35">
      <c r="A1233" s="225" t="s">
        <v>304</v>
      </c>
      <c r="B1233" s="226"/>
      <c r="C1233" s="226"/>
      <c r="D1233" s="226"/>
      <c r="E1233" s="227"/>
      <c r="G1233" s="225"/>
      <c r="H1233" s="226"/>
      <c r="I1233" s="226"/>
      <c r="J1233" s="226"/>
      <c r="K1233" s="227"/>
    </row>
    <row r="1234" spans="1:11" x14ac:dyDescent="0.35">
      <c r="A1234" s="225"/>
      <c r="B1234" s="226"/>
      <c r="C1234" s="226"/>
      <c r="D1234" s="226"/>
      <c r="E1234" s="227"/>
      <c r="G1234" s="225"/>
      <c r="H1234" s="226"/>
      <c r="I1234" s="226"/>
      <c r="J1234" s="226"/>
      <c r="K1234" s="227"/>
    </row>
    <row r="1235" spans="1:11" x14ac:dyDescent="0.35">
      <c r="A1235" s="221"/>
      <c r="B1235" s="222"/>
      <c r="C1235" s="222"/>
      <c r="D1235" s="222"/>
      <c r="E1235" s="223"/>
      <c r="G1235" s="221"/>
      <c r="H1235" s="222"/>
      <c r="I1235" s="222"/>
      <c r="J1235" s="222"/>
      <c r="K1235" s="223"/>
    </row>
    <row r="1236" spans="1:11" x14ac:dyDescent="0.35">
      <c r="A1236" s="225"/>
      <c r="B1236" s="226"/>
      <c r="C1236" s="226"/>
      <c r="D1236" s="226"/>
      <c r="E1236" s="227"/>
      <c r="G1236" s="225"/>
      <c r="H1236" s="226"/>
      <c r="I1236" s="226"/>
      <c r="J1236" s="226"/>
      <c r="K1236" s="227"/>
    </row>
    <row r="1237" spans="1:11" ht="15" thickBot="1" x14ac:dyDescent="0.4">
      <c r="A1237" s="218" t="s">
        <v>34</v>
      </c>
      <c r="B1237" s="219">
        <f>SUM(B1232:B1236)</f>
        <v>7894</v>
      </c>
      <c r="C1237" s="219">
        <f>SUM(C1232:C1236)</f>
        <v>0</v>
      </c>
      <c r="D1237" s="219">
        <f>SUM(D1232:D1236)</f>
        <v>0</v>
      </c>
      <c r="E1237" s="219">
        <f>SUM(E1232:E1236)</f>
        <v>0</v>
      </c>
      <c r="G1237" s="218" t="s">
        <v>34</v>
      </c>
      <c r="H1237" s="219">
        <f>SUM(H1232:H1236)</f>
        <v>0</v>
      </c>
      <c r="I1237" s="219">
        <f>SUM(I1232:I1236)</f>
        <v>0</v>
      </c>
      <c r="J1237" s="219">
        <f>SUM(J1232:J1236)</f>
        <v>0</v>
      </c>
      <c r="K1237" s="219">
        <f>SUM(K1232:K1236)</f>
        <v>0</v>
      </c>
    </row>
    <row r="1238" spans="1:11" x14ac:dyDescent="0.35">
      <c r="A1238" s="220" t="s">
        <v>305</v>
      </c>
      <c r="B1238" s="220">
        <f>+B1237+C1237+D1237+E1237</f>
        <v>7894</v>
      </c>
      <c r="C1238" s="220"/>
      <c r="D1238" s="220"/>
      <c r="E1238" s="220"/>
      <c r="G1238" s="220" t="s">
        <v>305</v>
      </c>
      <c r="H1238" s="220">
        <f>+H1237+I1237+J1237+K1237</f>
        <v>0</v>
      </c>
      <c r="I1238" s="220"/>
      <c r="J1238" s="220"/>
      <c r="K1238" s="220"/>
    </row>
    <row r="1239" spans="1:11" ht="15" thickBot="1" x14ac:dyDescent="0.4">
      <c r="A1239" s="315" t="s">
        <v>298</v>
      </c>
      <c r="B1239" s="315"/>
      <c r="C1239" s="315"/>
      <c r="D1239" s="315"/>
      <c r="E1239" s="315"/>
      <c r="G1239" s="315" t="s">
        <v>314</v>
      </c>
      <c r="H1239" s="315"/>
      <c r="I1239" s="315"/>
      <c r="J1239" s="315"/>
      <c r="K1239" s="315"/>
    </row>
    <row r="1240" spans="1:11" ht="15" thickTop="1" x14ac:dyDescent="0.35">
      <c r="A1240" s="313">
        <v>45414</v>
      </c>
      <c r="B1240" s="314"/>
      <c r="C1240" s="314"/>
      <c r="D1240" s="314"/>
      <c r="E1240" s="314"/>
      <c r="G1240" s="313">
        <v>45414</v>
      </c>
      <c r="H1240" s="314"/>
      <c r="I1240" s="314"/>
      <c r="J1240" s="314"/>
      <c r="K1240" s="314"/>
    </row>
    <row r="1241" spans="1:11" x14ac:dyDescent="0.35">
      <c r="A1241" s="261" t="s">
        <v>159</v>
      </c>
      <c r="B1241" s="262" t="s">
        <v>299</v>
      </c>
      <c r="C1241" s="262" t="s">
        <v>300</v>
      </c>
      <c r="D1241" s="262" t="s">
        <v>301</v>
      </c>
      <c r="E1241" s="263" t="s">
        <v>302</v>
      </c>
      <c r="G1241" s="264" t="s">
        <v>159</v>
      </c>
      <c r="H1241" s="265" t="s">
        <v>299</v>
      </c>
      <c r="I1241" s="265" t="s">
        <v>300</v>
      </c>
      <c r="J1241" s="265" t="s">
        <v>301</v>
      </c>
      <c r="K1241" s="266" t="s">
        <v>302</v>
      </c>
    </row>
    <row r="1242" spans="1:11" x14ac:dyDescent="0.35">
      <c r="A1242" s="221" t="s">
        <v>303</v>
      </c>
      <c r="B1242" s="222">
        <v>11530</v>
      </c>
      <c r="C1242" s="222"/>
      <c r="D1242" s="222"/>
      <c r="E1242" s="223"/>
      <c r="G1242" s="221" t="s">
        <v>303</v>
      </c>
      <c r="H1242" s="222">
        <v>1173</v>
      </c>
      <c r="I1242" s="222"/>
      <c r="J1242" s="222"/>
      <c r="K1242" s="223"/>
    </row>
    <row r="1243" spans="1:11" x14ac:dyDescent="0.35">
      <c r="A1243" s="225" t="s">
        <v>304</v>
      </c>
      <c r="B1243" s="226"/>
      <c r="C1243" s="226"/>
      <c r="D1243" s="226"/>
      <c r="E1243" s="227"/>
      <c r="G1243" s="225"/>
      <c r="H1243" s="226"/>
      <c r="I1243" s="226"/>
      <c r="J1243" s="226"/>
      <c r="K1243" s="227"/>
    </row>
    <row r="1244" spans="1:11" x14ac:dyDescent="0.35">
      <c r="A1244" s="225"/>
      <c r="B1244" s="226"/>
      <c r="C1244" s="226"/>
      <c r="D1244" s="226"/>
      <c r="E1244" s="227"/>
      <c r="G1244" s="225"/>
      <c r="H1244" s="226"/>
      <c r="I1244" s="226"/>
      <c r="J1244" s="226"/>
      <c r="K1244" s="227"/>
    </row>
    <row r="1245" spans="1:11" x14ac:dyDescent="0.35">
      <c r="A1245" s="221"/>
      <c r="B1245" s="222"/>
      <c r="C1245" s="222"/>
      <c r="D1245" s="222"/>
      <c r="E1245" s="223"/>
      <c r="G1245" s="221"/>
      <c r="H1245" s="222"/>
      <c r="I1245" s="222"/>
      <c r="J1245" s="222"/>
      <c r="K1245" s="223"/>
    </row>
    <row r="1246" spans="1:11" x14ac:dyDescent="0.35">
      <c r="A1246" s="225"/>
      <c r="B1246" s="226"/>
      <c r="C1246" s="226"/>
      <c r="D1246" s="226"/>
      <c r="E1246" s="227"/>
      <c r="G1246" s="225"/>
      <c r="H1246" s="226"/>
      <c r="I1246" s="226"/>
      <c r="J1246" s="226"/>
      <c r="K1246" s="227"/>
    </row>
    <row r="1247" spans="1:11" ht="15" thickBot="1" x14ac:dyDescent="0.4">
      <c r="A1247" s="218" t="s">
        <v>34</v>
      </c>
      <c r="B1247" s="219">
        <f>SUM(B1242:B1246)</f>
        <v>11530</v>
      </c>
      <c r="C1247" s="219">
        <f>SUM(C1242:C1246)</f>
        <v>0</v>
      </c>
      <c r="D1247" s="219">
        <f>SUM(D1242:D1246)</f>
        <v>0</v>
      </c>
      <c r="E1247" s="219">
        <f>SUM(E1242:E1246)</f>
        <v>0</v>
      </c>
      <c r="G1247" s="218" t="s">
        <v>34</v>
      </c>
      <c r="H1247" s="219">
        <f>SUM(H1242:H1246)</f>
        <v>1173</v>
      </c>
      <c r="I1247" s="219">
        <f>SUM(I1242:I1246)</f>
        <v>0</v>
      </c>
      <c r="J1247" s="219">
        <f>SUM(J1242:J1246)</f>
        <v>0</v>
      </c>
      <c r="K1247" s="219">
        <f>SUM(K1242:K1246)</f>
        <v>0</v>
      </c>
    </row>
    <row r="1248" spans="1:11" x14ac:dyDescent="0.35">
      <c r="A1248" s="220" t="s">
        <v>305</v>
      </c>
      <c r="B1248" s="220">
        <f>+B1247+C1247+D1247+E1247</f>
        <v>11530</v>
      </c>
      <c r="C1248" s="220"/>
      <c r="D1248" s="220"/>
      <c r="E1248" s="220"/>
      <c r="G1248" s="220" t="s">
        <v>305</v>
      </c>
      <c r="H1248" s="220">
        <f>+H1247+I1247+J1247+K1247</f>
        <v>1173</v>
      </c>
      <c r="I1248" s="220"/>
      <c r="J1248" s="220"/>
      <c r="K1248" s="220"/>
    </row>
    <row r="1249" spans="1:11" ht="15" thickBot="1" x14ac:dyDescent="0.4">
      <c r="A1249" s="315" t="s">
        <v>298</v>
      </c>
      <c r="B1249" s="315"/>
      <c r="C1249" s="315"/>
      <c r="D1249" s="315"/>
      <c r="E1249" s="315"/>
      <c r="G1249" s="315" t="s">
        <v>314</v>
      </c>
      <c r="H1249" s="315"/>
      <c r="I1249" s="315"/>
      <c r="J1249" s="315"/>
      <c r="K1249" s="315"/>
    </row>
    <row r="1250" spans="1:11" ht="15" thickTop="1" x14ac:dyDescent="0.35">
      <c r="A1250" s="313">
        <v>45415</v>
      </c>
      <c r="B1250" s="314"/>
      <c r="C1250" s="314"/>
      <c r="D1250" s="314"/>
      <c r="E1250" s="314"/>
      <c r="G1250" s="313">
        <v>45415</v>
      </c>
      <c r="H1250" s="314"/>
      <c r="I1250" s="314"/>
      <c r="J1250" s="314"/>
      <c r="K1250" s="314"/>
    </row>
    <row r="1251" spans="1:11" x14ac:dyDescent="0.35">
      <c r="A1251" s="261" t="s">
        <v>159</v>
      </c>
      <c r="B1251" s="262" t="s">
        <v>299</v>
      </c>
      <c r="C1251" s="262" t="s">
        <v>300</v>
      </c>
      <c r="D1251" s="262" t="s">
        <v>301</v>
      </c>
      <c r="E1251" s="263" t="s">
        <v>302</v>
      </c>
      <c r="G1251" s="264" t="s">
        <v>159</v>
      </c>
      <c r="H1251" s="265" t="s">
        <v>299</v>
      </c>
      <c r="I1251" s="265" t="s">
        <v>300</v>
      </c>
      <c r="J1251" s="265" t="s">
        <v>301</v>
      </c>
      <c r="K1251" s="266" t="s">
        <v>302</v>
      </c>
    </row>
    <row r="1252" spans="1:11" x14ac:dyDescent="0.35">
      <c r="A1252" s="221" t="s">
        <v>303</v>
      </c>
      <c r="B1252" s="222">
        <v>7008</v>
      </c>
      <c r="C1252" s="222"/>
      <c r="D1252" s="222"/>
      <c r="E1252" s="223"/>
      <c r="G1252" s="221" t="s">
        <v>303</v>
      </c>
      <c r="H1252" s="222">
        <v>1937</v>
      </c>
      <c r="I1252" s="222"/>
      <c r="J1252" s="222"/>
      <c r="K1252" s="223"/>
    </row>
    <row r="1253" spans="1:11" x14ac:dyDescent="0.35">
      <c r="A1253" s="225" t="s">
        <v>304</v>
      </c>
      <c r="B1253" s="226"/>
      <c r="C1253" s="226"/>
      <c r="D1253" s="226"/>
      <c r="E1253" s="227"/>
      <c r="G1253" s="225"/>
      <c r="H1253" s="226"/>
      <c r="I1253" s="226"/>
      <c r="J1253" s="226"/>
      <c r="K1253" s="227"/>
    </row>
    <row r="1254" spans="1:11" x14ac:dyDescent="0.35">
      <c r="A1254" s="225"/>
      <c r="B1254" s="226"/>
      <c r="C1254" s="226"/>
      <c r="D1254" s="226"/>
      <c r="E1254" s="227"/>
      <c r="G1254" s="225"/>
      <c r="H1254" s="226"/>
      <c r="I1254" s="226"/>
      <c r="J1254" s="226"/>
      <c r="K1254" s="227"/>
    </row>
    <row r="1255" spans="1:11" x14ac:dyDescent="0.35">
      <c r="A1255" s="221"/>
      <c r="B1255" s="222"/>
      <c r="C1255" s="222"/>
      <c r="D1255" s="222"/>
      <c r="E1255" s="223"/>
      <c r="G1255" s="221"/>
      <c r="H1255" s="222"/>
      <c r="I1255" s="222"/>
      <c r="J1255" s="222"/>
      <c r="K1255" s="223"/>
    </row>
    <row r="1256" spans="1:11" x14ac:dyDescent="0.35">
      <c r="A1256" s="225"/>
      <c r="B1256" s="226"/>
      <c r="C1256" s="226"/>
      <c r="D1256" s="226"/>
      <c r="E1256" s="227"/>
      <c r="G1256" s="225"/>
      <c r="H1256" s="226"/>
      <c r="I1256" s="226"/>
      <c r="J1256" s="226"/>
      <c r="K1256" s="227"/>
    </row>
    <row r="1257" spans="1:11" ht="15" thickBot="1" x14ac:dyDescent="0.4">
      <c r="A1257" s="218" t="s">
        <v>34</v>
      </c>
      <c r="B1257" s="219">
        <f>SUM(B1252:B1256)</f>
        <v>7008</v>
      </c>
      <c r="C1257" s="219">
        <f>SUM(C1252:C1256)</f>
        <v>0</v>
      </c>
      <c r="D1257" s="219">
        <f>SUM(D1252:D1256)</f>
        <v>0</v>
      </c>
      <c r="E1257" s="219">
        <f>SUM(E1252:E1256)</f>
        <v>0</v>
      </c>
      <c r="G1257" s="218" t="s">
        <v>34</v>
      </c>
      <c r="H1257" s="219">
        <f>SUM(H1252:H1256)</f>
        <v>1937</v>
      </c>
      <c r="I1257" s="219">
        <f>SUM(I1252:I1256)</f>
        <v>0</v>
      </c>
      <c r="J1257" s="219">
        <f>SUM(J1252:J1256)</f>
        <v>0</v>
      </c>
      <c r="K1257" s="219">
        <f>SUM(K1252:K1256)</f>
        <v>0</v>
      </c>
    </row>
    <row r="1258" spans="1:11" x14ac:dyDescent="0.35">
      <c r="A1258" s="220" t="s">
        <v>305</v>
      </c>
      <c r="B1258" s="220">
        <f>+B1257+C1257+D1257+E1257</f>
        <v>7008</v>
      </c>
      <c r="C1258" s="220"/>
      <c r="D1258" s="220"/>
      <c r="E1258" s="220"/>
      <c r="G1258" s="220" t="s">
        <v>305</v>
      </c>
      <c r="H1258" s="220">
        <f>+H1257+I1257+J1257+K1257</f>
        <v>1937</v>
      </c>
      <c r="I1258" s="220"/>
      <c r="J1258" s="220"/>
      <c r="K1258" s="220"/>
    </row>
    <row r="1259" spans="1:11" ht="15" thickBot="1" x14ac:dyDescent="0.4">
      <c r="A1259" s="315" t="s">
        <v>298</v>
      </c>
      <c r="B1259" s="315"/>
      <c r="C1259" s="315"/>
      <c r="D1259" s="315"/>
      <c r="E1259" s="315"/>
      <c r="G1259" s="315" t="s">
        <v>314</v>
      </c>
      <c r="H1259" s="315"/>
      <c r="I1259" s="315"/>
      <c r="J1259" s="315"/>
      <c r="K1259" s="315"/>
    </row>
    <row r="1260" spans="1:11" ht="15" thickTop="1" x14ac:dyDescent="0.35">
      <c r="A1260" s="313">
        <v>45416</v>
      </c>
      <c r="B1260" s="314"/>
      <c r="C1260" s="314"/>
      <c r="D1260" s="314"/>
      <c r="E1260" s="314"/>
      <c r="G1260" s="313">
        <v>45416</v>
      </c>
      <c r="H1260" s="314"/>
      <c r="I1260" s="314"/>
      <c r="J1260" s="314"/>
      <c r="K1260" s="314"/>
    </row>
    <row r="1261" spans="1:11" x14ac:dyDescent="0.35">
      <c r="A1261" s="261" t="s">
        <v>159</v>
      </c>
      <c r="B1261" s="262" t="s">
        <v>299</v>
      </c>
      <c r="C1261" s="262" t="s">
        <v>300</v>
      </c>
      <c r="D1261" s="262" t="s">
        <v>301</v>
      </c>
      <c r="E1261" s="263" t="s">
        <v>302</v>
      </c>
      <c r="G1261" s="264" t="s">
        <v>159</v>
      </c>
      <c r="H1261" s="265" t="s">
        <v>299</v>
      </c>
      <c r="I1261" s="265" t="s">
        <v>300</v>
      </c>
      <c r="J1261" s="265" t="s">
        <v>301</v>
      </c>
      <c r="K1261" s="266" t="s">
        <v>302</v>
      </c>
    </row>
    <row r="1262" spans="1:11" x14ac:dyDescent="0.35">
      <c r="A1262" s="221" t="s">
        <v>303</v>
      </c>
      <c r="B1262" s="222">
        <v>16035</v>
      </c>
      <c r="C1262" s="222"/>
      <c r="D1262" s="222"/>
      <c r="E1262" s="223"/>
      <c r="G1262" s="221" t="s">
        <v>303</v>
      </c>
      <c r="H1262" s="222">
        <v>2794</v>
      </c>
      <c r="I1262" s="222"/>
      <c r="J1262" s="222"/>
      <c r="K1262" s="223"/>
    </row>
    <row r="1263" spans="1:11" x14ac:dyDescent="0.35">
      <c r="A1263" s="225" t="s">
        <v>304</v>
      </c>
      <c r="B1263" s="226"/>
      <c r="C1263" s="226"/>
      <c r="D1263" s="226"/>
      <c r="E1263" s="227"/>
      <c r="G1263" s="225"/>
      <c r="H1263" s="226"/>
      <c r="I1263" s="226"/>
      <c r="J1263" s="226"/>
      <c r="K1263" s="227"/>
    </row>
    <row r="1264" spans="1:11" x14ac:dyDescent="0.35">
      <c r="A1264" s="225"/>
      <c r="B1264" s="226"/>
      <c r="C1264" s="226"/>
      <c r="D1264" s="226"/>
      <c r="E1264" s="227"/>
      <c r="G1264" s="225"/>
      <c r="H1264" s="226"/>
      <c r="I1264" s="226"/>
      <c r="J1264" s="226"/>
      <c r="K1264" s="227"/>
    </row>
    <row r="1265" spans="1:11" x14ac:dyDescent="0.35">
      <c r="A1265" s="221"/>
      <c r="B1265" s="222"/>
      <c r="C1265" s="222"/>
      <c r="D1265" s="222"/>
      <c r="E1265" s="223"/>
      <c r="G1265" s="221"/>
      <c r="H1265" s="222"/>
      <c r="I1265" s="222"/>
      <c r="J1265" s="222"/>
      <c r="K1265" s="223"/>
    </row>
    <row r="1266" spans="1:11" x14ac:dyDescent="0.35">
      <c r="A1266" s="225"/>
      <c r="B1266" s="226"/>
      <c r="C1266" s="226"/>
      <c r="D1266" s="226"/>
      <c r="E1266" s="227"/>
      <c r="G1266" s="225"/>
      <c r="H1266" s="226"/>
      <c r="I1266" s="226"/>
      <c r="J1266" s="226"/>
      <c r="K1266" s="227"/>
    </row>
    <row r="1267" spans="1:11" ht="15" thickBot="1" x14ac:dyDescent="0.4">
      <c r="A1267" s="218" t="s">
        <v>34</v>
      </c>
      <c r="B1267" s="219">
        <f>SUM(B1262:B1266)</f>
        <v>16035</v>
      </c>
      <c r="C1267" s="219">
        <f>SUM(C1262:C1266)</f>
        <v>0</v>
      </c>
      <c r="D1267" s="219">
        <f>SUM(D1262:D1266)</f>
        <v>0</v>
      </c>
      <c r="E1267" s="219">
        <f>SUM(E1262:E1266)</f>
        <v>0</v>
      </c>
      <c r="G1267" s="218" t="s">
        <v>34</v>
      </c>
      <c r="H1267" s="219">
        <f>SUM(H1262:H1266)</f>
        <v>2794</v>
      </c>
      <c r="I1267" s="219">
        <f>SUM(I1262:I1266)</f>
        <v>0</v>
      </c>
      <c r="J1267" s="219">
        <f>SUM(J1262:J1266)</f>
        <v>0</v>
      </c>
      <c r="K1267" s="219">
        <f>SUM(K1262:K1266)</f>
        <v>0</v>
      </c>
    </row>
    <row r="1268" spans="1:11" x14ac:dyDescent="0.35">
      <c r="A1268" s="220" t="s">
        <v>305</v>
      </c>
      <c r="B1268" s="220">
        <f>+B1267+C1267+D1267+E1267</f>
        <v>16035</v>
      </c>
      <c r="C1268" s="220"/>
      <c r="D1268" s="220"/>
      <c r="E1268" s="220"/>
      <c r="G1268" s="220" t="s">
        <v>305</v>
      </c>
      <c r="H1268" s="220">
        <f>+H1267+I1267+J1267+K1267</f>
        <v>2794</v>
      </c>
      <c r="I1268" s="220"/>
      <c r="J1268" s="220"/>
      <c r="K1268" s="220"/>
    </row>
    <row r="1269" spans="1:11" ht="15" thickBot="1" x14ac:dyDescent="0.4">
      <c r="A1269" s="315" t="s">
        <v>298</v>
      </c>
      <c r="B1269" s="315"/>
      <c r="C1269" s="315"/>
      <c r="D1269" s="315"/>
      <c r="E1269" s="315"/>
      <c r="G1269" s="315" t="s">
        <v>314</v>
      </c>
      <c r="H1269" s="315"/>
      <c r="I1269" s="315"/>
      <c r="J1269" s="315"/>
      <c r="K1269" s="315"/>
    </row>
    <row r="1270" spans="1:11" ht="15" thickTop="1" x14ac:dyDescent="0.35">
      <c r="A1270" s="313">
        <v>45417</v>
      </c>
      <c r="B1270" s="314"/>
      <c r="C1270" s="314"/>
      <c r="D1270" s="314"/>
      <c r="E1270" s="314"/>
      <c r="G1270" s="313">
        <v>45417</v>
      </c>
      <c r="H1270" s="314"/>
      <c r="I1270" s="314"/>
      <c r="J1270" s="314"/>
      <c r="K1270" s="314"/>
    </row>
    <row r="1271" spans="1:11" x14ac:dyDescent="0.35">
      <c r="A1271" s="261" t="s">
        <v>159</v>
      </c>
      <c r="B1271" s="262" t="s">
        <v>299</v>
      </c>
      <c r="C1271" s="262" t="s">
        <v>300</v>
      </c>
      <c r="D1271" s="262" t="s">
        <v>301</v>
      </c>
      <c r="E1271" s="263" t="s">
        <v>302</v>
      </c>
      <c r="G1271" s="264" t="s">
        <v>159</v>
      </c>
      <c r="H1271" s="265" t="s">
        <v>299</v>
      </c>
      <c r="I1271" s="265" t="s">
        <v>300</v>
      </c>
      <c r="J1271" s="265" t="s">
        <v>301</v>
      </c>
      <c r="K1271" s="266" t="s">
        <v>302</v>
      </c>
    </row>
    <row r="1272" spans="1:11" x14ac:dyDescent="0.35">
      <c r="A1272" s="221" t="s">
        <v>303</v>
      </c>
      <c r="B1272" s="222">
        <v>19709</v>
      </c>
      <c r="C1272" s="222"/>
      <c r="D1272" s="222"/>
      <c r="E1272" s="223"/>
      <c r="G1272" s="221" t="s">
        <v>303</v>
      </c>
      <c r="H1272" s="222">
        <v>3793</v>
      </c>
      <c r="I1272" s="222"/>
      <c r="J1272" s="222"/>
      <c r="K1272" s="223"/>
    </row>
    <row r="1273" spans="1:11" x14ac:dyDescent="0.35">
      <c r="A1273" s="225" t="s">
        <v>304</v>
      </c>
      <c r="B1273" s="226">
        <v>400</v>
      </c>
      <c r="C1273" s="226"/>
      <c r="D1273" s="226"/>
      <c r="E1273" s="227"/>
      <c r="G1273" s="225"/>
      <c r="H1273" s="226"/>
      <c r="I1273" s="226"/>
      <c r="J1273" s="226"/>
      <c r="K1273" s="227"/>
    </row>
    <row r="1274" spans="1:11" x14ac:dyDescent="0.35">
      <c r="A1274" s="225"/>
      <c r="B1274" s="226"/>
      <c r="C1274" s="226"/>
      <c r="D1274" s="226"/>
      <c r="E1274" s="227"/>
      <c r="G1274" s="225"/>
      <c r="H1274" s="226"/>
      <c r="I1274" s="226"/>
      <c r="J1274" s="226"/>
      <c r="K1274" s="227"/>
    </row>
    <row r="1275" spans="1:11" x14ac:dyDescent="0.35">
      <c r="A1275" s="221"/>
      <c r="B1275" s="222"/>
      <c r="C1275" s="222"/>
      <c r="D1275" s="222"/>
      <c r="E1275" s="223"/>
      <c r="G1275" s="221"/>
      <c r="H1275" s="222"/>
      <c r="I1275" s="222"/>
      <c r="J1275" s="222"/>
      <c r="K1275" s="223"/>
    </row>
    <row r="1276" spans="1:11" x14ac:dyDescent="0.35">
      <c r="A1276" s="225"/>
      <c r="B1276" s="226"/>
      <c r="C1276" s="226"/>
      <c r="D1276" s="226"/>
      <c r="E1276" s="227"/>
      <c r="G1276" s="225"/>
      <c r="H1276" s="226"/>
      <c r="I1276" s="226"/>
      <c r="J1276" s="226"/>
      <c r="K1276" s="227"/>
    </row>
    <row r="1277" spans="1:11" ht="15" thickBot="1" x14ac:dyDescent="0.4">
      <c r="A1277" s="218" t="s">
        <v>34</v>
      </c>
      <c r="B1277" s="219">
        <f>SUM(B1272:B1276)</f>
        <v>20109</v>
      </c>
      <c r="C1277" s="219">
        <f>SUM(C1272:C1276)</f>
        <v>0</v>
      </c>
      <c r="D1277" s="219">
        <f>SUM(D1272:D1276)</f>
        <v>0</v>
      </c>
      <c r="E1277" s="219">
        <f>SUM(E1272:E1276)</f>
        <v>0</v>
      </c>
      <c r="G1277" s="218" t="s">
        <v>34</v>
      </c>
      <c r="H1277" s="219">
        <f>SUM(H1272:H1276)</f>
        <v>3793</v>
      </c>
      <c r="I1277" s="219">
        <f>SUM(I1272:I1276)</f>
        <v>0</v>
      </c>
      <c r="J1277" s="219">
        <f>SUM(J1272:J1276)</f>
        <v>0</v>
      </c>
      <c r="K1277" s="219">
        <f>SUM(K1272:K1276)</f>
        <v>0</v>
      </c>
    </row>
    <row r="1278" spans="1:11" x14ac:dyDescent="0.35">
      <c r="A1278" s="220" t="s">
        <v>305</v>
      </c>
      <c r="B1278" s="220">
        <f>+B1277+C1277+D1277+E1277</f>
        <v>20109</v>
      </c>
      <c r="C1278" s="220"/>
      <c r="D1278" s="220"/>
      <c r="E1278" s="220"/>
      <c r="G1278" s="220" t="s">
        <v>305</v>
      </c>
      <c r="H1278" s="220">
        <f>+H1277+I1277+J1277+K1277</f>
        <v>3793</v>
      </c>
      <c r="I1278" s="220"/>
      <c r="J1278" s="220"/>
      <c r="K1278" s="220"/>
    </row>
    <row r="1279" spans="1:11" ht="15" thickBot="1" x14ac:dyDescent="0.4">
      <c r="A1279" s="315" t="s">
        <v>298</v>
      </c>
      <c r="B1279" s="315"/>
      <c r="C1279" s="315"/>
      <c r="D1279" s="315"/>
      <c r="E1279" s="315"/>
      <c r="G1279" s="315" t="s">
        <v>314</v>
      </c>
      <c r="H1279" s="315"/>
      <c r="I1279" s="315"/>
      <c r="J1279" s="315"/>
      <c r="K1279" s="315"/>
    </row>
    <row r="1280" spans="1:11" ht="15" thickTop="1" x14ac:dyDescent="0.35">
      <c r="A1280" s="313">
        <v>45418</v>
      </c>
      <c r="B1280" s="314"/>
      <c r="C1280" s="314"/>
      <c r="D1280" s="314"/>
      <c r="E1280" s="314"/>
      <c r="G1280" s="313">
        <v>45418</v>
      </c>
      <c r="H1280" s="314"/>
      <c r="I1280" s="314"/>
      <c r="J1280" s="314"/>
      <c r="K1280" s="314"/>
    </row>
    <row r="1281" spans="1:11" x14ac:dyDescent="0.35">
      <c r="A1281" s="261" t="s">
        <v>159</v>
      </c>
      <c r="B1281" s="262" t="s">
        <v>299</v>
      </c>
      <c r="C1281" s="262" t="s">
        <v>300</v>
      </c>
      <c r="D1281" s="262" t="s">
        <v>301</v>
      </c>
      <c r="E1281" s="263" t="s">
        <v>302</v>
      </c>
      <c r="G1281" s="264" t="s">
        <v>159</v>
      </c>
      <c r="H1281" s="265" t="s">
        <v>299</v>
      </c>
      <c r="I1281" s="265" t="s">
        <v>300</v>
      </c>
      <c r="J1281" s="265" t="s">
        <v>301</v>
      </c>
      <c r="K1281" s="266" t="s">
        <v>302</v>
      </c>
    </row>
    <row r="1282" spans="1:11" x14ac:dyDescent="0.35">
      <c r="A1282" s="221" t="s">
        <v>303</v>
      </c>
      <c r="B1282" s="222">
        <v>5318</v>
      </c>
      <c r="C1282" s="222"/>
      <c r="D1282" s="222"/>
      <c r="E1282" s="223"/>
      <c r="G1282" s="221" t="s">
        <v>303</v>
      </c>
      <c r="H1282" s="222">
        <v>118</v>
      </c>
      <c r="I1282" s="222"/>
      <c r="J1282" s="222"/>
      <c r="K1282" s="223"/>
    </row>
    <row r="1283" spans="1:11" x14ac:dyDescent="0.35">
      <c r="A1283" s="225" t="s">
        <v>304</v>
      </c>
      <c r="B1283" s="226">
        <v>25515</v>
      </c>
      <c r="C1283" s="226"/>
      <c r="D1283" s="226"/>
      <c r="E1283" s="227"/>
      <c r="G1283" s="225"/>
      <c r="H1283" s="226"/>
      <c r="I1283" s="226"/>
      <c r="J1283" s="226"/>
      <c r="K1283" s="227"/>
    </row>
    <row r="1284" spans="1:11" x14ac:dyDescent="0.35">
      <c r="A1284" s="225"/>
      <c r="B1284" s="226"/>
      <c r="C1284" s="226"/>
      <c r="D1284" s="226"/>
      <c r="E1284" s="227"/>
      <c r="G1284" s="225"/>
      <c r="H1284" s="226"/>
      <c r="I1284" s="226"/>
      <c r="J1284" s="226"/>
      <c r="K1284" s="227"/>
    </row>
    <row r="1285" spans="1:11" x14ac:dyDescent="0.35">
      <c r="A1285" s="221"/>
      <c r="B1285" s="222"/>
      <c r="C1285" s="222"/>
      <c r="D1285" s="222"/>
      <c r="E1285" s="223"/>
      <c r="G1285" s="221"/>
      <c r="H1285" s="222"/>
      <c r="I1285" s="222"/>
      <c r="J1285" s="222"/>
      <c r="K1285" s="223"/>
    </row>
    <row r="1286" spans="1:11" x14ac:dyDescent="0.35">
      <c r="A1286" s="225"/>
      <c r="B1286" s="226"/>
      <c r="C1286" s="226"/>
      <c r="D1286" s="226"/>
      <c r="E1286" s="227"/>
      <c r="G1286" s="225"/>
      <c r="H1286" s="226"/>
      <c r="I1286" s="226"/>
      <c r="J1286" s="226"/>
      <c r="K1286" s="227"/>
    </row>
    <row r="1287" spans="1:11" ht="15" thickBot="1" x14ac:dyDescent="0.4">
      <c r="A1287" s="218" t="s">
        <v>34</v>
      </c>
      <c r="B1287" s="219">
        <f>SUM(B1282:B1286)</f>
        <v>30833</v>
      </c>
      <c r="C1287" s="219">
        <f>SUM(C1282:C1286)</f>
        <v>0</v>
      </c>
      <c r="D1287" s="219">
        <f>SUM(D1282:D1286)</f>
        <v>0</v>
      </c>
      <c r="E1287" s="219">
        <f>SUM(E1282:E1286)</f>
        <v>0</v>
      </c>
      <c r="G1287" s="218" t="s">
        <v>34</v>
      </c>
      <c r="H1287" s="219">
        <f>SUM(H1282:H1286)</f>
        <v>118</v>
      </c>
      <c r="I1287" s="219">
        <f>SUM(I1282:I1286)</f>
        <v>0</v>
      </c>
      <c r="J1287" s="219">
        <f>SUM(J1282:J1286)</f>
        <v>0</v>
      </c>
      <c r="K1287" s="219">
        <f>SUM(K1282:K1286)</f>
        <v>0</v>
      </c>
    </row>
    <row r="1288" spans="1:11" x14ac:dyDescent="0.35">
      <c r="A1288" s="220" t="s">
        <v>305</v>
      </c>
      <c r="B1288" s="220">
        <f>+B1287+C1287+D1287+E1287</f>
        <v>30833</v>
      </c>
      <c r="C1288" s="220"/>
      <c r="D1288" s="220"/>
      <c r="E1288" s="220"/>
      <c r="G1288" s="220" t="s">
        <v>305</v>
      </c>
      <c r="H1288" s="220">
        <f>+H1287+I1287+J1287+K1287</f>
        <v>118</v>
      </c>
      <c r="I1288" s="220"/>
      <c r="J1288" s="220"/>
      <c r="K1288" s="220"/>
    </row>
    <row r="1289" spans="1:11" ht="15" thickBot="1" x14ac:dyDescent="0.4">
      <c r="A1289" s="315" t="s">
        <v>298</v>
      </c>
      <c r="B1289" s="315"/>
      <c r="C1289" s="315"/>
      <c r="D1289" s="315"/>
      <c r="E1289" s="315"/>
      <c r="G1289" s="315" t="s">
        <v>314</v>
      </c>
      <c r="H1289" s="315"/>
      <c r="I1289" s="315"/>
      <c r="J1289" s="315"/>
      <c r="K1289" s="315"/>
    </row>
    <row r="1290" spans="1:11" ht="15" thickTop="1" x14ac:dyDescent="0.35">
      <c r="A1290" s="313">
        <v>45419</v>
      </c>
      <c r="B1290" s="314"/>
      <c r="C1290" s="314"/>
      <c r="D1290" s="314"/>
      <c r="E1290" s="314"/>
      <c r="G1290" s="313">
        <v>45419</v>
      </c>
      <c r="H1290" s="314"/>
      <c r="I1290" s="314"/>
      <c r="J1290" s="314"/>
      <c r="K1290" s="314"/>
    </row>
    <row r="1291" spans="1:11" x14ac:dyDescent="0.35">
      <c r="A1291" s="261" t="s">
        <v>159</v>
      </c>
      <c r="B1291" s="262" t="s">
        <v>299</v>
      </c>
      <c r="C1291" s="262" t="s">
        <v>300</v>
      </c>
      <c r="D1291" s="262" t="s">
        <v>301</v>
      </c>
      <c r="E1291" s="263" t="s">
        <v>302</v>
      </c>
      <c r="G1291" s="264" t="s">
        <v>159</v>
      </c>
      <c r="H1291" s="265" t="s">
        <v>299</v>
      </c>
      <c r="I1291" s="265" t="s">
        <v>300</v>
      </c>
      <c r="J1291" s="265" t="s">
        <v>301</v>
      </c>
      <c r="K1291" s="266" t="s">
        <v>302</v>
      </c>
    </row>
    <row r="1292" spans="1:11" x14ac:dyDescent="0.35">
      <c r="A1292" s="221" t="s">
        <v>303</v>
      </c>
      <c r="B1292" s="222">
        <v>4158</v>
      </c>
      <c r="C1292" s="222"/>
      <c r="D1292" s="222"/>
      <c r="E1292" s="223"/>
      <c r="G1292" s="221" t="s">
        <v>303</v>
      </c>
      <c r="H1292" s="222">
        <v>986</v>
      </c>
      <c r="I1292" s="222"/>
      <c r="J1292" s="222"/>
      <c r="K1292" s="223"/>
    </row>
    <row r="1293" spans="1:11" x14ac:dyDescent="0.35">
      <c r="A1293" s="225" t="s">
        <v>304</v>
      </c>
      <c r="B1293" s="226"/>
      <c r="C1293" s="226"/>
      <c r="D1293" s="226"/>
      <c r="E1293" s="227"/>
      <c r="G1293" s="225"/>
      <c r="H1293" s="226"/>
      <c r="I1293" s="226"/>
      <c r="J1293" s="226"/>
      <c r="K1293" s="227"/>
    </row>
    <row r="1294" spans="1:11" x14ac:dyDescent="0.35">
      <c r="A1294" s="225"/>
      <c r="B1294" s="226"/>
      <c r="C1294" s="226"/>
      <c r="D1294" s="226"/>
      <c r="E1294" s="227"/>
      <c r="G1294" s="225"/>
      <c r="H1294" s="226"/>
      <c r="I1294" s="226"/>
      <c r="J1294" s="226"/>
      <c r="K1294" s="227"/>
    </row>
    <row r="1295" spans="1:11" x14ac:dyDescent="0.35">
      <c r="A1295" s="221"/>
      <c r="B1295" s="222"/>
      <c r="C1295" s="222"/>
      <c r="D1295" s="222"/>
      <c r="E1295" s="223"/>
      <c r="G1295" s="221"/>
      <c r="H1295" s="222"/>
      <c r="I1295" s="222"/>
      <c r="J1295" s="222"/>
      <c r="K1295" s="223"/>
    </row>
    <row r="1296" spans="1:11" x14ac:dyDescent="0.35">
      <c r="A1296" s="225"/>
      <c r="B1296" s="226"/>
      <c r="C1296" s="226"/>
      <c r="D1296" s="226"/>
      <c r="E1296" s="227"/>
      <c r="G1296" s="225"/>
      <c r="H1296" s="226"/>
      <c r="I1296" s="226"/>
      <c r="J1296" s="226"/>
      <c r="K1296" s="227"/>
    </row>
    <row r="1297" spans="1:11" ht="15" thickBot="1" x14ac:dyDescent="0.4">
      <c r="A1297" s="218" t="s">
        <v>34</v>
      </c>
      <c r="B1297" s="219">
        <f>SUM(B1292:B1296)</f>
        <v>4158</v>
      </c>
      <c r="C1297" s="219">
        <f>SUM(C1292:C1296)</f>
        <v>0</v>
      </c>
      <c r="D1297" s="219">
        <f>SUM(D1292:D1296)</f>
        <v>0</v>
      </c>
      <c r="E1297" s="219">
        <f>SUM(E1292:E1296)</f>
        <v>0</v>
      </c>
      <c r="G1297" s="218" t="s">
        <v>34</v>
      </c>
      <c r="H1297" s="219">
        <f>SUM(H1292:H1296)</f>
        <v>986</v>
      </c>
      <c r="I1297" s="219">
        <f>SUM(I1292:I1296)</f>
        <v>0</v>
      </c>
      <c r="J1297" s="219">
        <f>SUM(J1292:J1296)</f>
        <v>0</v>
      </c>
      <c r="K1297" s="219">
        <f>SUM(K1292:K1296)</f>
        <v>0</v>
      </c>
    </row>
    <row r="1298" spans="1:11" x14ac:dyDescent="0.35">
      <c r="A1298" s="220" t="s">
        <v>305</v>
      </c>
      <c r="B1298" s="220">
        <f>+B1297+C1297+D1297+E1297</f>
        <v>4158</v>
      </c>
      <c r="C1298" s="220"/>
      <c r="D1298" s="220"/>
      <c r="E1298" s="220"/>
      <c r="G1298" s="220" t="s">
        <v>305</v>
      </c>
      <c r="H1298" s="220">
        <f>+H1297+I1297+J1297+K1297</f>
        <v>986</v>
      </c>
      <c r="I1298" s="220"/>
      <c r="J1298" s="220"/>
      <c r="K1298" s="220"/>
    </row>
    <row r="1299" spans="1:11" ht="15" thickBot="1" x14ac:dyDescent="0.4">
      <c r="A1299" s="315" t="s">
        <v>298</v>
      </c>
      <c r="B1299" s="315"/>
      <c r="C1299" s="315"/>
      <c r="D1299" s="315"/>
      <c r="E1299" s="315"/>
      <c r="G1299" s="315" t="s">
        <v>314</v>
      </c>
      <c r="H1299" s="315"/>
      <c r="I1299" s="315"/>
      <c r="J1299" s="315"/>
      <c r="K1299" s="315"/>
    </row>
    <row r="1300" spans="1:11" ht="15" thickTop="1" x14ac:dyDescent="0.35">
      <c r="A1300" s="313">
        <v>45420</v>
      </c>
      <c r="B1300" s="314"/>
      <c r="C1300" s="314"/>
      <c r="D1300" s="314"/>
      <c r="E1300" s="314"/>
      <c r="G1300" s="313">
        <v>45420</v>
      </c>
      <c r="H1300" s="314"/>
      <c r="I1300" s="314"/>
      <c r="J1300" s="314"/>
      <c r="K1300" s="314"/>
    </row>
    <row r="1301" spans="1:11" x14ac:dyDescent="0.35">
      <c r="A1301" s="261" t="s">
        <v>159</v>
      </c>
      <c r="B1301" s="262" t="s">
        <v>299</v>
      </c>
      <c r="C1301" s="262" t="s">
        <v>300</v>
      </c>
      <c r="D1301" s="262" t="s">
        <v>301</v>
      </c>
      <c r="E1301" s="263" t="s">
        <v>302</v>
      </c>
      <c r="G1301" s="264" t="s">
        <v>159</v>
      </c>
      <c r="H1301" s="265" t="s">
        <v>299</v>
      </c>
      <c r="I1301" s="265" t="s">
        <v>300</v>
      </c>
      <c r="J1301" s="265" t="s">
        <v>301</v>
      </c>
      <c r="K1301" s="266" t="s">
        <v>302</v>
      </c>
    </row>
    <row r="1302" spans="1:11" x14ac:dyDescent="0.35">
      <c r="A1302" s="221" t="s">
        <v>303</v>
      </c>
      <c r="B1302" s="222">
        <v>3175</v>
      </c>
      <c r="C1302" s="222"/>
      <c r="D1302" s="222"/>
      <c r="E1302" s="223"/>
      <c r="G1302" s="221" t="s">
        <v>303</v>
      </c>
      <c r="H1302" s="222"/>
      <c r="I1302" s="222"/>
      <c r="J1302" s="222"/>
      <c r="K1302" s="223"/>
    </row>
    <row r="1303" spans="1:11" x14ac:dyDescent="0.35">
      <c r="A1303" s="225" t="s">
        <v>304</v>
      </c>
      <c r="B1303" s="226">
        <v>3132</v>
      </c>
      <c r="C1303" s="226"/>
      <c r="D1303" s="226"/>
      <c r="E1303" s="227"/>
      <c r="G1303" s="225"/>
      <c r="H1303" s="226"/>
      <c r="I1303" s="226"/>
      <c r="J1303" s="226"/>
      <c r="K1303" s="227"/>
    </row>
    <row r="1304" spans="1:11" x14ac:dyDescent="0.35">
      <c r="A1304" s="225"/>
      <c r="B1304" s="226"/>
      <c r="C1304" s="226"/>
      <c r="D1304" s="226"/>
      <c r="E1304" s="227"/>
      <c r="G1304" s="225"/>
      <c r="H1304" s="226"/>
      <c r="I1304" s="226"/>
      <c r="J1304" s="226"/>
      <c r="K1304" s="227"/>
    </row>
    <row r="1305" spans="1:11" x14ac:dyDescent="0.35">
      <c r="A1305" s="221"/>
      <c r="B1305" s="222"/>
      <c r="C1305" s="222"/>
      <c r="D1305" s="222"/>
      <c r="E1305" s="223"/>
      <c r="G1305" s="221"/>
      <c r="H1305" s="222"/>
      <c r="I1305" s="222"/>
      <c r="J1305" s="222"/>
      <c r="K1305" s="223"/>
    </row>
    <row r="1306" spans="1:11" x14ac:dyDescent="0.35">
      <c r="A1306" s="225"/>
      <c r="B1306" s="226"/>
      <c r="C1306" s="226"/>
      <c r="D1306" s="226"/>
      <c r="E1306" s="227"/>
      <c r="G1306" s="225"/>
      <c r="H1306" s="226"/>
      <c r="I1306" s="226"/>
      <c r="J1306" s="226"/>
      <c r="K1306" s="227"/>
    </row>
    <row r="1307" spans="1:11" ht="15" thickBot="1" x14ac:dyDescent="0.4">
      <c r="A1307" s="218" t="s">
        <v>34</v>
      </c>
      <c r="B1307" s="219">
        <f>SUM(B1302:B1306)</f>
        <v>6307</v>
      </c>
      <c r="C1307" s="219">
        <f>SUM(C1302:C1306)</f>
        <v>0</v>
      </c>
      <c r="D1307" s="219">
        <f>SUM(D1302:D1306)</f>
        <v>0</v>
      </c>
      <c r="E1307" s="219">
        <f>SUM(E1302:E1306)</f>
        <v>0</v>
      </c>
      <c r="G1307" s="218" t="s">
        <v>34</v>
      </c>
      <c r="H1307" s="219">
        <f>SUM(H1302:H1306)</f>
        <v>0</v>
      </c>
      <c r="I1307" s="219">
        <f>SUM(I1302:I1306)</f>
        <v>0</v>
      </c>
      <c r="J1307" s="219">
        <f>SUM(J1302:J1306)</f>
        <v>0</v>
      </c>
      <c r="K1307" s="219">
        <f>SUM(K1302:K1306)</f>
        <v>0</v>
      </c>
    </row>
    <row r="1308" spans="1:11" x14ac:dyDescent="0.35">
      <c r="A1308" s="220" t="s">
        <v>305</v>
      </c>
      <c r="B1308" s="220">
        <f>+B1307+C1307+D1307+E1307</f>
        <v>6307</v>
      </c>
      <c r="C1308" s="220"/>
      <c r="D1308" s="220"/>
      <c r="E1308" s="220"/>
      <c r="G1308" s="220" t="s">
        <v>305</v>
      </c>
      <c r="H1308" s="220">
        <f>+H1307+I1307+J1307+K1307</f>
        <v>0</v>
      </c>
      <c r="I1308" s="220"/>
      <c r="J1308" s="220"/>
      <c r="K1308" s="220"/>
    </row>
    <row r="1309" spans="1:11" ht="15" thickBot="1" x14ac:dyDescent="0.4">
      <c r="A1309" s="315" t="s">
        <v>298</v>
      </c>
      <c r="B1309" s="315"/>
      <c r="C1309" s="315"/>
      <c r="D1309" s="315"/>
      <c r="E1309" s="315"/>
      <c r="G1309" s="315" t="s">
        <v>314</v>
      </c>
      <c r="H1309" s="315"/>
      <c r="I1309" s="315"/>
      <c r="J1309" s="315"/>
      <c r="K1309" s="315"/>
    </row>
    <row r="1310" spans="1:11" ht="15" thickTop="1" x14ac:dyDescent="0.35">
      <c r="A1310" s="313">
        <v>45421</v>
      </c>
      <c r="B1310" s="314"/>
      <c r="C1310" s="314"/>
      <c r="D1310" s="314"/>
      <c r="E1310" s="314"/>
      <c r="G1310" s="313">
        <v>45421</v>
      </c>
      <c r="H1310" s="314"/>
      <c r="I1310" s="314"/>
      <c r="J1310" s="314"/>
      <c r="K1310" s="314"/>
    </row>
    <row r="1311" spans="1:11" x14ac:dyDescent="0.35">
      <c r="A1311" s="261" t="s">
        <v>159</v>
      </c>
      <c r="B1311" s="262" t="s">
        <v>299</v>
      </c>
      <c r="C1311" s="262" t="s">
        <v>300</v>
      </c>
      <c r="D1311" s="262" t="s">
        <v>301</v>
      </c>
      <c r="E1311" s="263" t="s">
        <v>302</v>
      </c>
      <c r="G1311" s="264" t="s">
        <v>159</v>
      </c>
      <c r="H1311" s="265" t="s">
        <v>299</v>
      </c>
      <c r="I1311" s="265" t="s">
        <v>300</v>
      </c>
      <c r="J1311" s="265" t="s">
        <v>301</v>
      </c>
      <c r="K1311" s="266" t="s">
        <v>302</v>
      </c>
    </row>
    <row r="1312" spans="1:11" x14ac:dyDescent="0.35">
      <c r="A1312" s="221" t="s">
        <v>303</v>
      </c>
      <c r="B1312" s="222">
        <v>8154</v>
      </c>
      <c r="C1312" s="222"/>
      <c r="D1312" s="222"/>
      <c r="E1312" s="223"/>
      <c r="G1312" s="221" t="s">
        <v>303</v>
      </c>
      <c r="H1312" s="222">
        <v>2056</v>
      </c>
      <c r="I1312" s="222"/>
      <c r="J1312" s="222"/>
      <c r="K1312" s="223"/>
    </row>
    <row r="1313" spans="1:11" x14ac:dyDescent="0.35">
      <c r="A1313" s="225" t="s">
        <v>304</v>
      </c>
      <c r="B1313" s="226"/>
      <c r="C1313" s="226"/>
      <c r="D1313" s="226"/>
      <c r="E1313" s="227"/>
      <c r="G1313" s="225"/>
      <c r="H1313" s="226"/>
      <c r="I1313" s="226"/>
      <c r="J1313" s="226"/>
      <c r="K1313" s="227"/>
    </row>
    <row r="1314" spans="1:11" x14ac:dyDescent="0.35">
      <c r="A1314" s="225"/>
      <c r="B1314" s="226"/>
      <c r="C1314" s="226"/>
      <c r="D1314" s="226"/>
      <c r="E1314" s="227"/>
      <c r="G1314" s="225"/>
      <c r="H1314" s="226"/>
      <c r="I1314" s="226"/>
      <c r="J1314" s="226"/>
      <c r="K1314" s="227"/>
    </row>
    <row r="1315" spans="1:11" x14ac:dyDescent="0.35">
      <c r="A1315" s="221"/>
      <c r="B1315" s="222"/>
      <c r="C1315" s="222"/>
      <c r="D1315" s="222"/>
      <c r="E1315" s="223"/>
      <c r="G1315" s="221"/>
      <c r="H1315" s="222"/>
      <c r="I1315" s="222"/>
      <c r="J1315" s="222"/>
      <c r="K1315" s="223"/>
    </row>
    <row r="1316" spans="1:11" x14ac:dyDescent="0.35">
      <c r="A1316" s="225"/>
      <c r="B1316" s="226"/>
      <c r="C1316" s="226"/>
      <c r="D1316" s="226"/>
      <c r="E1316" s="227"/>
      <c r="G1316" s="225"/>
      <c r="H1316" s="226"/>
      <c r="I1316" s="226"/>
      <c r="J1316" s="226"/>
      <c r="K1316" s="227"/>
    </row>
    <row r="1317" spans="1:11" ht="15" thickBot="1" x14ac:dyDescent="0.4">
      <c r="A1317" s="218" t="s">
        <v>34</v>
      </c>
      <c r="B1317" s="219">
        <f>SUM(B1312:B1316)</f>
        <v>8154</v>
      </c>
      <c r="C1317" s="219">
        <f>SUM(C1312:C1316)</f>
        <v>0</v>
      </c>
      <c r="D1317" s="219">
        <f>SUM(D1312:D1316)</f>
        <v>0</v>
      </c>
      <c r="E1317" s="219">
        <f>SUM(E1312:E1316)</f>
        <v>0</v>
      </c>
      <c r="G1317" s="218" t="s">
        <v>34</v>
      </c>
      <c r="H1317" s="219">
        <f>SUM(H1312:H1316)</f>
        <v>2056</v>
      </c>
      <c r="I1317" s="219">
        <f>SUM(I1312:I1316)</f>
        <v>0</v>
      </c>
      <c r="J1317" s="219">
        <f>SUM(J1312:J1316)</f>
        <v>0</v>
      </c>
      <c r="K1317" s="219">
        <f>SUM(K1312:K1316)</f>
        <v>0</v>
      </c>
    </row>
    <row r="1318" spans="1:11" x14ac:dyDescent="0.35">
      <c r="A1318" s="220" t="s">
        <v>305</v>
      </c>
      <c r="B1318" s="220">
        <f>+B1317+C1317+D1317+E1317</f>
        <v>8154</v>
      </c>
      <c r="C1318" s="220"/>
      <c r="D1318" s="220"/>
      <c r="E1318" s="220"/>
      <c r="G1318" s="220" t="s">
        <v>305</v>
      </c>
      <c r="H1318" s="220">
        <f>+H1317+I1317+J1317+K1317</f>
        <v>2056</v>
      </c>
      <c r="I1318" s="220"/>
      <c r="J1318" s="220"/>
      <c r="K1318" s="220"/>
    </row>
    <row r="1319" spans="1:11" ht="15" thickBot="1" x14ac:dyDescent="0.4">
      <c r="A1319" s="315" t="s">
        <v>298</v>
      </c>
      <c r="B1319" s="315"/>
      <c r="C1319" s="315"/>
      <c r="D1319" s="315"/>
      <c r="E1319" s="315"/>
      <c r="G1319" s="315" t="s">
        <v>314</v>
      </c>
      <c r="H1319" s="315"/>
      <c r="I1319" s="315"/>
      <c r="J1319" s="315"/>
      <c r="K1319" s="315"/>
    </row>
    <row r="1320" spans="1:11" ht="15" thickTop="1" x14ac:dyDescent="0.35">
      <c r="A1320" s="313">
        <v>45422</v>
      </c>
      <c r="B1320" s="314"/>
      <c r="C1320" s="314"/>
      <c r="D1320" s="314"/>
      <c r="E1320" s="314"/>
      <c r="G1320" s="313">
        <v>45422</v>
      </c>
      <c r="H1320" s="314"/>
      <c r="I1320" s="314"/>
      <c r="J1320" s="314"/>
      <c r="K1320" s="314"/>
    </row>
    <row r="1321" spans="1:11" x14ac:dyDescent="0.35">
      <c r="A1321" s="261" t="s">
        <v>159</v>
      </c>
      <c r="B1321" s="262" t="s">
        <v>299</v>
      </c>
      <c r="C1321" s="262" t="s">
        <v>300</v>
      </c>
      <c r="D1321" s="262" t="s">
        <v>301</v>
      </c>
      <c r="E1321" s="263" t="s">
        <v>302</v>
      </c>
      <c r="G1321" s="264" t="s">
        <v>159</v>
      </c>
      <c r="H1321" s="265" t="s">
        <v>299</v>
      </c>
      <c r="I1321" s="265" t="s">
        <v>300</v>
      </c>
      <c r="J1321" s="265" t="s">
        <v>301</v>
      </c>
      <c r="K1321" s="266" t="s">
        <v>302</v>
      </c>
    </row>
    <row r="1322" spans="1:11" x14ac:dyDescent="0.35">
      <c r="A1322" s="221" t="s">
        <v>303</v>
      </c>
      <c r="B1322" s="222">
        <v>30051</v>
      </c>
      <c r="C1322" s="222"/>
      <c r="D1322" s="222"/>
      <c r="E1322" s="223"/>
      <c r="G1322" s="221" t="s">
        <v>303</v>
      </c>
      <c r="H1322" s="222">
        <v>6673</v>
      </c>
      <c r="I1322" s="222"/>
      <c r="J1322" s="222"/>
      <c r="K1322" s="223"/>
    </row>
    <row r="1323" spans="1:11" x14ac:dyDescent="0.35">
      <c r="A1323" s="225" t="s">
        <v>304</v>
      </c>
      <c r="B1323" s="226"/>
      <c r="C1323" s="226"/>
      <c r="D1323" s="226"/>
      <c r="E1323" s="227"/>
      <c r="G1323" s="225"/>
      <c r="H1323" s="226"/>
      <c r="I1323" s="226"/>
      <c r="J1323" s="226"/>
      <c r="K1323" s="227"/>
    </row>
    <row r="1324" spans="1:11" x14ac:dyDescent="0.35">
      <c r="A1324" s="225"/>
      <c r="B1324" s="226"/>
      <c r="C1324" s="226"/>
      <c r="D1324" s="226"/>
      <c r="E1324" s="227"/>
      <c r="G1324" s="225"/>
      <c r="H1324" s="226"/>
      <c r="I1324" s="226"/>
      <c r="J1324" s="226"/>
      <c r="K1324" s="227"/>
    </row>
    <row r="1325" spans="1:11" x14ac:dyDescent="0.35">
      <c r="A1325" s="221"/>
      <c r="B1325" s="222"/>
      <c r="C1325" s="222"/>
      <c r="D1325" s="222"/>
      <c r="E1325" s="223"/>
      <c r="G1325" s="221"/>
      <c r="H1325" s="222"/>
      <c r="I1325" s="222"/>
      <c r="J1325" s="222"/>
      <c r="K1325" s="223"/>
    </row>
    <row r="1326" spans="1:11" x14ac:dyDescent="0.35">
      <c r="A1326" s="225"/>
      <c r="B1326" s="226"/>
      <c r="C1326" s="226"/>
      <c r="D1326" s="226"/>
      <c r="E1326" s="227"/>
      <c r="G1326" s="225"/>
      <c r="H1326" s="226"/>
      <c r="I1326" s="226"/>
      <c r="J1326" s="226"/>
      <c r="K1326" s="227"/>
    </row>
    <row r="1327" spans="1:11" ht="15" thickBot="1" x14ac:dyDescent="0.4">
      <c r="A1327" s="218" t="s">
        <v>34</v>
      </c>
      <c r="B1327" s="219">
        <f>SUM(B1322:B1326)</f>
        <v>30051</v>
      </c>
      <c r="C1327" s="219">
        <f>SUM(C1322:C1326)</f>
        <v>0</v>
      </c>
      <c r="D1327" s="219">
        <f>SUM(D1322:D1326)</f>
        <v>0</v>
      </c>
      <c r="E1327" s="219">
        <f>SUM(E1322:E1326)</f>
        <v>0</v>
      </c>
      <c r="G1327" s="218" t="s">
        <v>34</v>
      </c>
      <c r="H1327" s="219">
        <f>SUM(H1322:H1326)</f>
        <v>6673</v>
      </c>
      <c r="I1327" s="219">
        <f>SUM(I1322:I1326)</f>
        <v>0</v>
      </c>
      <c r="J1327" s="219">
        <f>SUM(J1322:J1326)</f>
        <v>0</v>
      </c>
      <c r="K1327" s="219">
        <f>SUM(K1322:K1326)</f>
        <v>0</v>
      </c>
    </row>
    <row r="1328" spans="1:11" x14ac:dyDescent="0.35">
      <c r="A1328" s="220" t="s">
        <v>305</v>
      </c>
      <c r="B1328" s="220">
        <f>+B1327+C1327+D1327+E1327</f>
        <v>30051</v>
      </c>
      <c r="C1328" s="220"/>
      <c r="D1328" s="220"/>
      <c r="E1328" s="220"/>
      <c r="G1328" s="220" t="s">
        <v>305</v>
      </c>
      <c r="H1328" s="220">
        <f>+H1327+I1327+J1327+K1327</f>
        <v>6673</v>
      </c>
      <c r="I1328" s="220"/>
      <c r="J1328" s="220"/>
      <c r="K1328" s="220"/>
    </row>
    <row r="1329" spans="1:11" ht="15" thickBot="1" x14ac:dyDescent="0.4">
      <c r="A1329" s="315" t="s">
        <v>298</v>
      </c>
      <c r="B1329" s="315"/>
      <c r="C1329" s="315"/>
      <c r="D1329" s="315"/>
      <c r="E1329" s="315"/>
      <c r="G1329" s="315" t="s">
        <v>314</v>
      </c>
      <c r="H1329" s="315"/>
      <c r="I1329" s="315"/>
      <c r="J1329" s="315"/>
      <c r="K1329" s="315"/>
    </row>
    <row r="1330" spans="1:11" ht="15" thickTop="1" x14ac:dyDescent="0.35">
      <c r="A1330" s="313">
        <v>45423</v>
      </c>
      <c r="B1330" s="314"/>
      <c r="C1330" s="314"/>
      <c r="D1330" s="314"/>
      <c r="E1330" s="314"/>
      <c r="G1330" s="313">
        <v>45423</v>
      </c>
      <c r="H1330" s="314"/>
      <c r="I1330" s="314"/>
      <c r="J1330" s="314"/>
      <c r="K1330" s="314"/>
    </row>
    <row r="1331" spans="1:11" x14ac:dyDescent="0.35">
      <c r="A1331" s="261" t="s">
        <v>159</v>
      </c>
      <c r="B1331" s="262" t="s">
        <v>299</v>
      </c>
      <c r="C1331" s="262" t="s">
        <v>300</v>
      </c>
      <c r="D1331" s="262" t="s">
        <v>301</v>
      </c>
      <c r="E1331" s="263" t="s">
        <v>302</v>
      </c>
      <c r="G1331" s="264" t="s">
        <v>159</v>
      </c>
      <c r="H1331" s="265" t="s">
        <v>299</v>
      </c>
      <c r="I1331" s="265" t="s">
        <v>300</v>
      </c>
      <c r="J1331" s="265" t="s">
        <v>301</v>
      </c>
      <c r="K1331" s="266" t="s">
        <v>302</v>
      </c>
    </row>
    <row r="1332" spans="1:11" x14ac:dyDescent="0.35">
      <c r="A1332" s="221" t="s">
        <v>303</v>
      </c>
      <c r="B1332" s="222">
        <v>22189</v>
      </c>
      <c r="C1332" s="222"/>
      <c r="D1332" s="222"/>
      <c r="E1332" s="223"/>
      <c r="G1332" s="221" t="s">
        <v>303</v>
      </c>
      <c r="H1332" s="222">
        <v>5589</v>
      </c>
      <c r="I1332" s="222"/>
      <c r="J1332" s="222"/>
      <c r="K1332" s="223"/>
    </row>
    <row r="1333" spans="1:11" x14ac:dyDescent="0.35">
      <c r="A1333" s="225" t="s">
        <v>304</v>
      </c>
      <c r="B1333" s="226"/>
      <c r="C1333" s="226"/>
      <c r="D1333" s="226"/>
      <c r="E1333" s="227"/>
      <c r="G1333" s="225"/>
      <c r="H1333" s="226"/>
      <c r="I1333" s="226"/>
      <c r="J1333" s="226"/>
      <c r="K1333" s="227"/>
    </row>
    <row r="1334" spans="1:11" x14ac:dyDescent="0.35">
      <c r="A1334" s="225"/>
      <c r="B1334" s="226"/>
      <c r="C1334" s="226"/>
      <c r="D1334" s="226"/>
      <c r="E1334" s="227"/>
      <c r="G1334" s="225"/>
      <c r="H1334" s="226"/>
      <c r="I1334" s="226"/>
      <c r="J1334" s="226"/>
      <c r="K1334" s="227"/>
    </row>
    <row r="1335" spans="1:11" x14ac:dyDescent="0.35">
      <c r="A1335" s="221"/>
      <c r="B1335" s="222"/>
      <c r="C1335" s="222"/>
      <c r="D1335" s="222"/>
      <c r="E1335" s="223"/>
      <c r="G1335" s="221"/>
      <c r="H1335" s="222"/>
      <c r="I1335" s="222"/>
      <c r="J1335" s="222"/>
      <c r="K1335" s="223"/>
    </row>
    <row r="1336" spans="1:11" x14ac:dyDescent="0.35">
      <c r="A1336" s="225"/>
      <c r="B1336" s="226"/>
      <c r="C1336" s="226"/>
      <c r="D1336" s="226"/>
      <c r="E1336" s="227"/>
      <c r="G1336" s="225"/>
      <c r="H1336" s="226"/>
      <c r="I1336" s="226"/>
      <c r="J1336" s="226"/>
      <c r="K1336" s="227"/>
    </row>
    <row r="1337" spans="1:11" ht="15" thickBot="1" x14ac:dyDescent="0.4">
      <c r="A1337" s="218" t="s">
        <v>34</v>
      </c>
      <c r="B1337" s="219">
        <f>SUM(B1332:B1336)</f>
        <v>22189</v>
      </c>
      <c r="C1337" s="219">
        <f>SUM(C1332:C1336)</f>
        <v>0</v>
      </c>
      <c r="D1337" s="219">
        <f>SUM(D1332:D1336)</f>
        <v>0</v>
      </c>
      <c r="E1337" s="219">
        <f>SUM(E1332:E1336)</f>
        <v>0</v>
      </c>
      <c r="G1337" s="218" t="s">
        <v>34</v>
      </c>
      <c r="H1337" s="219">
        <f>SUM(H1332:H1336)</f>
        <v>5589</v>
      </c>
      <c r="I1337" s="219">
        <f>SUM(I1332:I1336)</f>
        <v>0</v>
      </c>
      <c r="J1337" s="219">
        <f>SUM(J1332:J1336)</f>
        <v>0</v>
      </c>
      <c r="K1337" s="219">
        <f>SUM(K1332:K1336)</f>
        <v>0</v>
      </c>
    </row>
    <row r="1338" spans="1:11" x14ac:dyDescent="0.35">
      <c r="A1338" s="220" t="s">
        <v>305</v>
      </c>
      <c r="B1338" s="220">
        <f>+B1337+C1337+D1337+E1337</f>
        <v>22189</v>
      </c>
      <c r="C1338" s="220"/>
      <c r="D1338" s="220"/>
      <c r="E1338" s="220"/>
      <c r="G1338" s="220" t="s">
        <v>305</v>
      </c>
      <c r="H1338" s="220">
        <f>+H1337+I1337+J1337+K1337</f>
        <v>5589</v>
      </c>
      <c r="I1338" s="220"/>
      <c r="J1338" s="220"/>
      <c r="K1338" s="220"/>
    </row>
    <row r="1339" spans="1:11" ht="15" thickBot="1" x14ac:dyDescent="0.4">
      <c r="A1339" s="315" t="s">
        <v>298</v>
      </c>
      <c r="B1339" s="315"/>
      <c r="C1339" s="315"/>
      <c r="D1339" s="315"/>
      <c r="E1339" s="315"/>
      <c r="G1339" s="315" t="s">
        <v>314</v>
      </c>
      <c r="H1339" s="315"/>
      <c r="I1339" s="315"/>
      <c r="J1339" s="315"/>
      <c r="K1339" s="315"/>
    </row>
    <row r="1340" spans="1:11" ht="15" thickTop="1" x14ac:dyDescent="0.35">
      <c r="A1340" s="313">
        <v>45424</v>
      </c>
      <c r="B1340" s="314"/>
      <c r="C1340" s="314"/>
      <c r="D1340" s="314"/>
      <c r="E1340" s="314"/>
      <c r="G1340" s="313">
        <v>45424</v>
      </c>
      <c r="H1340" s="314"/>
      <c r="I1340" s="314"/>
      <c r="J1340" s="314"/>
      <c r="K1340" s="314"/>
    </row>
    <row r="1341" spans="1:11" x14ac:dyDescent="0.35">
      <c r="A1341" s="261" t="s">
        <v>159</v>
      </c>
      <c r="B1341" s="262" t="s">
        <v>299</v>
      </c>
      <c r="C1341" s="262" t="s">
        <v>300</v>
      </c>
      <c r="D1341" s="262" t="s">
        <v>301</v>
      </c>
      <c r="E1341" s="263" t="s">
        <v>302</v>
      </c>
      <c r="G1341" s="264" t="s">
        <v>159</v>
      </c>
      <c r="H1341" s="265" t="s">
        <v>299</v>
      </c>
      <c r="I1341" s="265" t="s">
        <v>300</v>
      </c>
      <c r="J1341" s="265" t="s">
        <v>301</v>
      </c>
      <c r="K1341" s="266" t="s">
        <v>302</v>
      </c>
    </row>
    <row r="1342" spans="1:11" x14ac:dyDescent="0.35">
      <c r="A1342" s="221" t="s">
        <v>303</v>
      </c>
      <c r="B1342" s="222">
        <v>22949</v>
      </c>
      <c r="C1342" s="222"/>
      <c r="D1342" s="222"/>
      <c r="E1342" s="223"/>
      <c r="G1342" s="221" t="s">
        <v>303</v>
      </c>
      <c r="H1342" s="222">
        <v>3845</v>
      </c>
      <c r="I1342" s="222"/>
      <c r="J1342" s="222"/>
      <c r="K1342" s="223"/>
    </row>
    <row r="1343" spans="1:11" x14ac:dyDescent="0.35">
      <c r="A1343" s="225" t="s">
        <v>304</v>
      </c>
      <c r="B1343" s="226">
        <v>700</v>
      </c>
      <c r="C1343" s="226"/>
      <c r="D1343" s="226"/>
      <c r="E1343" s="227"/>
      <c r="G1343" s="225"/>
      <c r="H1343" s="226"/>
      <c r="I1343" s="226"/>
      <c r="J1343" s="226"/>
      <c r="K1343" s="227"/>
    </row>
    <row r="1344" spans="1:11" x14ac:dyDescent="0.35">
      <c r="A1344" s="225"/>
      <c r="B1344" s="226"/>
      <c r="C1344" s="226"/>
      <c r="D1344" s="226"/>
      <c r="E1344" s="227"/>
      <c r="G1344" s="225"/>
      <c r="H1344" s="226"/>
      <c r="I1344" s="226"/>
      <c r="J1344" s="226"/>
      <c r="K1344" s="227"/>
    </row>
    <row r="1345" spans="1:11" x14ac:dyDescent="0.35">
      <c r="A1345" s="221"/>
      <c r="B1345" s="222"/>
      <c r="C1345" s="222"/>
      <c r="D1345" s="222"/>
      <c r="E1345" s="223"/>
      <c r="G1345" s="221"/>
      <c r="H1345" s="222"/>
      <c r="I1345" s="222"/>
      <c r="J1345" s="222"/>
      <c r="K1345" s="223"/>
    </row>
    <row r="1346" spans="1:11" x14ac:dyDescent="0.35">
      <c r="A1346" s="225"/>
      <c r="B1346" s="226"/>
      <c r="C1346" s="226"/>
      <c r="D1346" s="226"/>
      <c r="E1346" s="227"/>
      <c r="G1346" s="225"/>
      <c r="H1346" s="226"/>
      <c r="I1346" s="226"/>
      <c r="J1346" s="226"/>
      <c r="K1346" s="227"/>
    </row>
    <row r="1347" spans="1:11" ht="15" thickBot="1" x14ac:dyDescent="0.4">
      <c r="A1347" s="218" t="s">
        <v>34</v>
      </c>
      <c r="B1347" s="219">
        <f>SUM(B1342:B1346)</f>
        <v>23649</v>
      </c>
      <c r="C1347" s="219">
        <f>SUM(C1342:C1346)</f>
        <v>0</v>
      </c>
      <c r="D1347" s="219">
        <f>SUM(D1342:D1346)</f>
        <v>0</v>
      </c>
      <c r="E1347" s="219">
        <f>SUM(E1342:E1346)</f>
        <v>0</v>
      </c>
      <c r="G1347" s="218" t="s">
        <v>34</v>
      </c>
      <c r="H1347" s="219">
        <f>SUM(H1342:H1346)</f>
        <v>3845</v>
      </c>
      <c r="I1347" s="219">
        <f>SUM(I1342:I1346)</f>
        <v>0</v>
      </c>
      <c r="J1347" s="219">
        <f>SUM(J1342:J1346)</f>
        <v>0</v>
      </c>
      <c r="K1347" s="219">
        <f>SUM(K1342:K1346)</f>
        <v>0</v>
      </c>
    </row>
    <row r="1348" spans="1:11" x14ac:dyDescent="0.35">
      <c r="A1348" s="220" t="s">
        <v>305</v>
      </c>
      <c r="B1348" s="220">
        <f>+B1347+C1347+D1347+E1347</f>
        <v>23649</v>
      </c>
      <c r="C1348" s="220"/>
      <c r="D1348" s="220"/>
      <c r="E1348" s="220"/>
      <c r="G1348" s="220" t="s">
        <v>305</v>
      </c>
      <c r="H1348" s="220">
        <f>+H1347+I1347+J1347+K1347</f>
        <v>3845</v>
      </c>
      <c r="I1348" s="220"/>
      <c r="J1348" s="220"/>
      <c r="K1348" s="220"/>
    </row>
    <row r="1349" spans="1:11" ht="15" thickBot="1" x14ac:dyDescent="0.4">
      <c r="A1349" s="315" t="s">
        <v>298</v>
      </c>
      <c r="B1349" s="315"/>
      <c r="C1349" s="315"/>
      <c r="D1349" s="315"/>
      <c r="E1349" s="315"/>
      <c r="G1349" s="315" t="s">
        <v>314</v>
      </c>
      <c r="H1349" s="315"/>
      <c r="I1349" s="315"/>
      <c r="J1349" s="315"/>
      <c r="K1349" s="315"/>
    </row>
    <row r="1350" spans="1:11" ht="15" thickTop="1" x14ac:dyDescent="0.35">
      <c r="A1350" s="313">
        <v>45425</v>
      </c>
      <c r="B1350" s="314"/>
      <c r="C1350" s="314"/>
      <c r="D1350" s="314"/>
      <c r="E1350" s="314"/>
      <c r="G1350" s="313">
        <v>45425</v>
      </c>
      <c r="H1350" s="314"/>
      <c r="I1350" s="314"/>
      <c r="J1350" s="314"/>
      <c r="K1350" s="314"/>
    </row>
    <row r="1351" spans="1:11" x14ac:dyDescent="0.35">
      <c r="A1351" s="261" t="s">
        <v>159</v>
      </c>
      <c r="B1351" s="262" t="s">
        <v>299</v>
      </c>
      <c r="C1351" s="262" t="s">
        <v>300</v>
      </c>
      <c r="D1351" s="262" t="s">
        <v>301</v>
      </c>
      <c r="E1351" s="263" t="s">
        <v>302</v>
      </c>
      <c r="G1351" s="264" t="s">
        <v>159</v>
      </c>
      <c r="H1351" s="265" t="s">
        <v>299</v>
      </c>
      <c r="I1351" s="265" t="s">
        <v>300</v>
      </c>
      <c r="J1351" s="265" t="s">
        <v>301</v>
      </c>
      <c r="K1351" s="266" t="s">
        <v>302</v>
      </c>
    </row>
    <row r="1352" spans="1:11" x14ac:dyDescent="0.35">
      <c r="A1352" s="221" t="s">
        <v>303</v>
      </c>
      <c r="B1352" s="222"/>
      <c r="C1352" s="222"/>
      <c r="D1352" s="222"/>
      <c r="E1352" s="223"/>
      <c r="G1352" s="221" t="s">
        <v>303</v>
      </c>
      <c r="H1352" s="222"/>
      <c r="I1352" s="222"/>
      <c r="J1352" s="222"/>
      <c r="K1352" s="223"/>
    </row>
    <row r="1353" spans="1:11" x14ac:dyDescent="0.35">
      <c r="A1353" s="225" t="s">
        <v>304</v>
      </c>
      <c r="B1353" s="226"/>
      <c r="C1353" s="226"/>
      <c r="D1353" s="226"/>
      <c r="E1353" s="227"/>
      <c r="G1353" s="225"/>
      <c r="H1353" s="226"/>
      <c r="I1353" s="226"/>
      <c r="J1353" s="226"/>
      <c r="K1353" s="227"/>
    </row>
    <row r="1354" spans="1:11" x14ac:dyDescent="0.35">
      <c r="A1354" s="225"/>
      <c r="B1354" s="226"/>
      <c r="C1354" s="226"/>
      <c r="D1354" s="226"/>
      <c r="E1354" s="227"/>
      <c r="G1354" s="225"/>
      <c r="H1354" s="226"/>
      <c r="I1354" s="226"/>
      <c r="J1354" s="226"/>
      <c r="K1354" s="227"/>
    </row>
    <row r="1355" spans="1:11" x14ac:dyDescent="0.35">
      <c r="A1355" s="221"/>
      <c r="B1355" s="222"/>
      <c r="C1355" s="222"/>
      <c r="D1355" s="222"/>
      <c r="E1355" s="223"/>
      <c r="G1355" s="221"/>
      <c r="H1355" s="222"/>
      <c r="I1355" s="222"/>
      <c r="J1355" s="222"/>
      <c r="K1355" s="223"/>
    </row>
    <row r="1356" spans="1:11" x14ac:dyDescent="0.35">
      <c r="A1356" s="225"/>
      <c r="B1356" s="226"/>
      <c r="C1356" s="226"/>
      <c r="D1356" s="226"/>
      <c r="E1356" s="227"/>
      <c r="G1356" s="225"/>
      <c r="H1356" s="226"/>
      <c r="I1356" s="226"/>
      <c r="J1356" s="226"/>
      <c r="K1356" s="227"/>
    </row>
    <row r="1357" spans="1:11" ht="15" thickBot="1" x14ac:dyDescent="0.4">
      <c r="A1357" s="218" t="s">
        <v>34</v>
      </c>
      <c r="B1357" s="219">
        <f>SUM(B1352:B1356)</f>
        <v>0</v>
      </c>
      <c r="C1357" s="219">
        <f>SUM(C1352:C1356)</f>
        <v>0</v>
      </c>
      <c r="D1357" s="219">
        <f>SUM(D1352:D1356)</f>
        <v>0</v>
      </c>
      <c r="E1357" s="219">
        <f>SUM(E1352:E1356)</f>
        <v>0</v>
      </c>
      <c r="G1357" s="218" t="s">
        <v>34</v>
      </c>
      <c r="H1357" s="219">
        <f>SUM(H1352:H1356)</f>
        <v>0</v>
      </c>
      <c r="I1357" s="219">
        <f>SUM(I1352:I1356)</f>
        <v>0</v>
      </c>
      <c r="J1357" s="219">
        <f>SUM(J1352:J1356)</f>
        <v>0</v>
      </c>
      <c r="K1357" s="219">
        <f>SUM(K1352:K1356)</f>
        <v>0</v>
      </c>
    </row>
    <row r="1358" spans="1:11" x14ac:dyDescent="0.35">
      <c r="A1358" s="220" t="s">
        <v>305</v>
      </c>
      <c r="B1358" s="220">
        <f>+B1357+C1357+D1357+E1357</f>
        <v>0</v>
      </c>
      <c r="C1358" s="220"/>
      <c r="D1358" s="220"/>
      <c r="E1358" s="220"/>
      <c r="G1358" s="220" t="s">
        <v>305</v>
      </c>
      <c r="H1358" s="220">
        <f>+H1357+I1357+J1357+K1357</f>
        <v>0</v>
      </c>
      <c r="I1358" s="220"/>
      <c r="J1358" s="220"/>
      <c r="K1358" s="220"/>
    </row>
    <row r="1359" spans="1:11" ht="15" thickBot="1" x14ac:dyDescent="0.4">
      <c r="A1359" s="315" t="s">
        <v>298</v>
      </c>
      <c r="B1359" s="315"/>
      <c r="C1359" s="315"/>
      <c r="D1359" s="315"/>
      <c r="E1359" s="315"/>
      <c r="G1359" s="315" t="s">
        <v>314</v>
      </c>
      <c r="H1359" s="315"/>
      <c r="I1359" s="315"/>
      <c r="J1359" s="315"/>
      <c r="K1359" s="315"/>
    </row>
    <row r="1360" spans="1:11" ht="15" thickTop="1" x14ac:dyDescent="0.35">
      <c r="A1360" s="313">
        <v>45426</v>
      </c>
      <c r="B1360" s="314"/>
      <c r="C1360" s="314"/>
      <c r="D1360" s="314"/>
      <c r="E1360" s="314"/>
      <c r="G1360" s="313">
        <v>45426</v>
      </c>
      <c r="H1360" s="314"/>
      <c r="I1360" s="314"/>
      <c r="J1360" s="314"/>
      <c r="K1360" s="314"/>
    </row>
    <row r="1361" spans="1:11" x14ac:dyDescent="0.35">
      <c r="A1361" s="261" t="s">
        <v>159</v>
      </c>
      <c r="B1361" s="262" t="s">
        <v>299</v>
      </c>
      <c r="C1361" s="262" t="s">
        <v>300</v>
      </c>
      <c r="D1361" s="262" t="s">
        <v>301</v>
      </c>
      <c r="E1361" s="263" t="s">
        <v>302</v>
      </c>
      <c r="G1361" s="264" t="s">
        <v>159</v>
      </c>
      <c r="H1361" s="265" t="s">
        <v>299</v>
      </c>
      <c r="I1361" s="265" t="s">
        <v>300</v>
      </c>
      <c r="J1361" s="265" t="s">
        <v>301</v>
      </c>
      <c r="K1361" s="266" t="s">
        <v>302</v>
      </c>
    </row>
    <row r="1362" spans="1:11" x14ac:dyDescent="0.35">
      <c r="A1362" s="221" t="s">
        <v>303</v>
      </c>
      <c r="B1362" s="222"/>
      <c r="C1362" s="222"/>
      <c r="D1362" s="222"/>
      <c r="E1362" s="223"/>
      <c r="G1362" s="221" t="s">
        <v>303</v>
      </c>
      <c r="H1362" s="222"/>
      <c r="I1362" s="222"/>
      <c r="J1362" s="222"/>
      <c r="K1362" s="223"/>
    </row>
    <row r="1363" spans="1:11" x14ac:dyDescent="0.35">
      <c r="A1363" s="225" t="s">
        <v>304</v>
      </c>
      <c r="B1363" s="226"/>
      <c r="C1363" s="226"/>
      <c r="D1363" s="226"/>
      <c r="E1363" s="227"/>
      <c r="G1363" s="225"/>
      <c r="H1363" s="226"/>
      <c r="I1363" s="226"/>
      <c r="J1363" s="226"/>
      <c r="K1363" s="227"/>
    </row>
    <row r="1364" spans="1:11" x14ac:dyDescent="0.35">
      <c r="A1364" s="225"/>
      <c r="B1364" s="226"/>
      <c r="C1364" s="226"/>
      <c r="D1364" s="226"/>
      <c r="E1364" s="227"/>
      <c r="G1364" s="225"/>
      <c r="H1364" s="226"/>
      <c r="I1364" s="226"/>
      <c r="J1364" s="226"/>
      <c r="K1364" s="227"/>
    </row>
    <row r="1365" spans="1:11" x14ac:dyDescent="0.35">
      <c r="A1365" s="221"/>
      <c r="B1365" s="222"/>
      <c r="C1365" s="222"/>
      <c r="D1365" s="222"/>
      <c r="E1365" s="223"/>
      <c r="G1365" s="221"/>
      <c r="H1365" s="222"/>
      <c r="I1365" s="222"/>
      <c r="J1365" s="222"/>
      <c r="K1365" s="223"/>
    </row>
    <row r="1366" spans="1:11" x14ac:dyDescent="0.35">
      <c r="A1366" s="225"/>
      <c r="B1366" s="226"/>
      <c r="C1366" s="226"/>
      <c r="D1366" s="226"/>
      <c r="E1366" s="227"/>
      <c r="G1366" s="225"/>
      <c r="H1366" s="226"/>
      <c r="I1366" s="226"/>
      <c r="J1366" s="226"/>
      <c r="K1366" s="227"/>
    </row>
    <row r="1367" spans="1:11" ht="15" thickBot="1" x14ac:dyDescent="0.4">
      <c r="A1367" s="218" t="s">
        <v>34</v>
      </c>
      <c r="B1367" s="219">
        <f>SUM(B1362:B1366)</f>
        <v>0</v>
      </c>
      <c r="C1367" s="219">
        <f>SUM(C1362:C1366)</f>
        <v>0</v>
      </c>
      <c r="D1367" s="219">
        <f>SUM(D1362:D1366)</f>
        <v>0</v>
      </c>
      <c r="E1367" s="219">
        <f>SUM(E1362:E1366)</f>
        <v>0</v>
      </c>
      <c r="G1367" s="218" t="s">
        <v>34</v>
      </c>
      <c r="H1367" s="219">
        <f>SUM(H1362:H1366)</f>
        <v>0</v>
      </c>
      <c r="I1367" s="219">
        <f>SUM(I1362:I1366)</f>
        <v>0</v>
      </c>
      <c r="J1367" s="219">
        <f>SUM(J1362:J1366)</f>
        <v>0</v>
      </c>
      <c r="K1367" s="219">
        <f>SUM(K1362:K1366)</f>
        <v>0</v>
      </c>
    </row>
    <row r="1368" spans="1:11" x14ac:dyDescent="0.35">
      <c r="A1368" s="220" t="s">
        <v>305</v>
      </c>
      <c r="B1368" s="220">
        <f>+B1367+C1367+D1367+E1367</f>
        <v>0</v>
      </c>
      <c r="C1368" s="220"/>
      <c r="D1368" s="220"/>
      <c r="E1368" s="220"/>
      <c r="G1368" s="220" t="s">
        <v>305</v>
      </c>
      <c r="H1368" s="220">
        <f>+H1367+I1367+J1367+K1367</f>
        <v>0</v>
      </c>
      <c r="I1368" s="220"/>
      <c r="J1368" s="220"/>
      <c r="K1368" s="220"/>
    </row>
    <row r="1369" spans="1:11" ht="15" thickBot="1" x14ac:dyDescent="0.4">
      <c r="A1369" s="315" t="s">
        <v>298</v>
      </c>
      <c r="B1369" s="315"/>
      <c r="C1369" s="315"/>
      <c r="D1369" s="315"/>
      <c r="E1369" s="315"/>
      <c r="G1369" s="315" t="s">
        <v>314</v>
      </c>
      <c r="H1369" s="315"/>
      <c r="I1369" s="315"/>
      <c r="J1369" s="315"/>
      <c r="K1369" s="315"/>
    </row>
    <row r="1370" spans="1:11" ht="15" thickTop="1" x14ac:dyDescent="0.35">
      <c r="A1370" s="313">
        <v>45427</v>
      </c>
      <c r="B1370" s="314"/>
      <c r="C1370" s="314"/>
      <c r="D1370" s="314"/>
      <c r="E1370" s="314"/>
      <c r="G1370" s="313">
        <v>45427</v>
      </c>
      <c r="H1370" s="314"/>
      <c r="I1370" s="314"/>
      <c r="J1370" s="314"/>
      <c r="K1370" s="314"/>
    </row>
    <row r="1371" spans="1:11" x14ac:dyDescent="0.35">
      <c r="A1371" s="261" t="s">
        <v>159</v>
      </c>
      <c r="B1371" s="262" t="s">
        <v>299</v>
      </c>
      <c r="C1371" s="262" t="s">
        <v>300</v>
      </c>
      <c r="D1371" s="262" t="s">
        <v>301</v>
      </c>
      <c r="E1371" s="263" t="s">
        <v>302</v>
      </c>
      <c r="G1371" s="264" t="s">
        <v>159</v>
      </c>
      <c r="H1371" s="265" t="s">
        <v>299</v>
      </c>
      <c r="I1371" s="265" t="s">
        <v>300</v>
      </c>
      <c r="J1371" s="265" t="s">
        <v>301</v>
      </c>
      <c r="K1371" s="266" t="s">
        <v>302</v>
      </c>
    </row>
    <row r="1372" spans="1:11" x14ac:dyDescent="0.35">
      <c r="A1372" s="221" t="s">
        <v>303</v>
      </c>
      <c r="B1372" s="222"/>
      <c r="C1372" s="222"/>
      <c r="D1372" s="222"/>
      <c r="E1372" s="223"/>
      <c r="G1372" s="221" t="s">
        <v>303</v>
      </c>
      <c r="H1372" s="222"/>
      <c r="I1372" s="222"/>
      <c r="J1372" s="222"/>
      <c r="K1372" s="223"/>
    </row>
    <row r="1373" spans="1:11" x14ac:dyDescent="0.35">
      <c r="A1373" s="225" t="s">
        <v>304</v>
      </c>
      <c r="B1373" s="226"/>
      <c r="C1373" s="226"/>
      <c r="D1373" s="226"/>
      <c r="E1373" s="227"/>
      <c r="G1373" s="225"/>
      <c r="H1373" s="226"/>
      <c r="I1373" s="226"/>
      <c r="J1373" s="226"/>
      <c r="K1373" s="227"/>
    </row>
    <row r="1374" spans="1:11" x14ac:dyDescent="0.35">
      <c r="A1374" s="225"/>
      <c r="B1374" s="226"/>
      <c r="C1374" s="226"/>
      <c r="D1374" s="226"/>
      <c r="E1374" s="227"/>
      <c r="G1374" s="225"/>
      <c r="H1374" s="226"/>
      <c r="I1374" s="226"/>
      <c r="J1374" s="226"/>
      <c r="K1374" s="227"/>
    </row>
    <row r="1375" spans="1:11" x14ac:dyDescent="0.35">
      <c r="A1375" s="221"/>
      <c r="B1375" s="222"/>
      <c r="C1375" s="222"/>
      <c r="D1375" s="222"/>
      <c r="E1375" s="223"/>
      <c r="G1375" s="221"/>
      <c r="H1375" s="222"/>
      <c r="I1375" s="222"/>
      <c r="J1375" s="222"/>
      <c r="K1375" s="223"/>
    </row>
    <row r="1376" spans="1:11" x14ac:dyDescent="0.35">
      <c r="A1376" s="225"/>
      <c r="B1376" s="226"/>
      <c r="C1376" s="226"/>
      <c r="D1376" s="226"/>
      <c r="E1376" s="227"/>
      <c r="G1376" s="225"/>
      <c r="H1376" s="226"/>
      <c r="I1376" s="226"/>
      <c r="J1376" s="226"/>
      <c r="K1376" s="227"/>
    </row>
    <row r="1377" spans="1:11" ht="15" thickBot="1" x14ac:dyDescent="0.4">
      <c r="A1377" s="218" t="s">
        <v>34</v>
      </c>
      <c r="B1377" s="219">
        <f>SUM(B1372:B1376)</f>
        <v>0</v>
      </c>
      <c r="C1377" s="219">
        <f>SUM(C1372:C1376)</f>
        <v>0</v>
      </c>
      <c r="D1377" s="219">
        <f>SUM(D1372:D1376)</f>
        <v>0</v>
      </c>
      <c r="E1377" s="219">
        <f>SUM(E1372:E1376)</f>
        <v>0</v>
      </c>
      <c r="G1377" s="218" t="s">
        <v>34</v>
      </c>
      <c r="H1377" s="219">
        <f>SUM(H1372:H1376)</f>
        <v>0</v>
      </c>
      <c r="I1377" s="219">
        <f>SUM(I1372:I1376)</f>
        <v>0</v>
      </c>
      <c r="J1377" s="219">
        <f>SUM(J1372:J1376)</f>
        <v>0</v>
      </c>
      <c r="K1377" s="219">
        <f>SUM(K1372:K1376)</f>
        <v>0</v>
      </c>
    </row>
    <row r="1378" spans="1:11" x14ac:dyDescent="0.35">
      <c r="A1378" s="220" t="s">
        <v>305</v>
      </c>
      <c r="B1378" s="220">
        <f>+B1377+C1377+D1377+E1377</f>
        <v>0</v>
      </c>
      <c r="C1378" s="220"/>
      <c r="D1378" s="220"/>
      <c r="E1378" s="220"/>
      <c r="G1378" s="220" t="s">
        <v>305</v>
      </c>
      <c r="H1378" s="220">
        <f>+H1377+I1377+J1377+K1377</f>
        <v>0</v>
      </c>
      <c r="I1378" s="220"/>
      <c r="J1378" s="220"/>
      <c r="K1378" s="220"/>
    </row>
    <row r="1379" spans="1:11" ht="15" thickBot="1" x14ac:dyDescent="0.4">
      <c r="A1379" s="315" t="s">
        <v>298</v>
      </c>
      <c r="B1379" s="315"/>
      <c r="C1379" s="315"/>
      <c r="D1379" s="315"/>
      <c r="E1379" s="315"/>
      <c r="G1379" s="315" t="s">
        <v>314</v>
      </c>
      <c r="H1379" s="315"/>
      <c r="I1379" s="315"/>
      <c r="J1379" s="315"/>
      <c r="K1379" s="315"/>
    </row>
    <row r="1380" spans="1:11" ht="15" thickTop="1" x14ac:dyDescent="0.35">
      <c r="A1380" s="313">
        <v>45428</v>
      </c>
      <c r="B1380" s="314"/>
      <c r="C1380" s="314"/>
      <c r="D1380" s="314"/>
      <c r="E1380" s="314"/>
      <c r="G1380" s="313">
        <v>45428</v>
      </c>
      <c r="H1380" s="314"/>
      <c r="I1380" s="314"/>
      <c r="J1380" s="314"/>
      <c r="K1380" s="314"/>
    </row>
    <row r="1381" spans="1:11" x14ac:dyDescent="0.35">
      <c r="A1381" s="261" t="s">
        <v>159</v>
      </c>
      <c r="B1381" s="262" t="s">
        <v>299</v>
      </c>
      <c r="C1381" s="262" t="s">
        <v>300</v>
      </c>
      <c r="D1381" s="262" t="s">
        <v>301</v>
      </c>
      <c r="E1381" s="263" t="s">
        <v>302</v>
      </c>
      <c r="G1381" s="264" t="s">
        <v>159</v>
      </c>
      <c r="H1381" s="265" t="s">
        <v>299</v>
      </c>
      <c r="I1381" s="265" t="s">
        <v>300</v>
      </c>
      <c r="J1381" s="265" t="s">
        <v>301</v>
      </c>
      <c r="K1381" s="266" t="s">
        <v>302</v>
      </c>
    </row>
    <row r="1382" spans="1:11" x14ac:dyDescent="0.35">
      <c r="A1382" s="221" t="s">
        <v>303</v>
      </c>
      <c r="B1382" s="222"/>
      <c r="C1382" s="222"/>
      <c r="D1382" s="222"/>
      <c r="E1382" s="223"/>
      <c r="G1382" s="221" t="s">
        <v>303</v>
      </c>
      <c r="H1382" s="222"/>
      <c r="I1382" s="222"/>
      <c r="J1382" s="222"/>
      <c r="K1382" s="223"/>
    </row>
    <row r="1383" spans="1:11" x14ac:dyDescent="0.35">
      <c r="A1383" s="225" t="s">
        <v>304</v>
      </c>
      <c r="B1383" s="226"/>
      <c r="C1383" s="226"/>
      <c r="D1383" s="226"/>
      <c r="E1383" s="227"/>
      <c r="G1383" s="225"/>
      <c r="H1383" s="226"/>
      <c r="I1383" s="226"/>
      <c r="J1383" s="226"/>
      <c r="K1383" s="227"/>
    </row>
    <row r="1384" spans="1:11" x14ac:dyDescent="0.35">
      <c r="A1384" s="225"/>
      <c r="B1384" s="226"/>
      <c r="C1384" s="226"/>
      <c r="D1384" s="226"/>
      <c r="E1384" s="227"/>
      <c r="G1384" s="225"/>
      <c r="H1384" s="226"/>
      <c r="I1384" s="226"/>
      <c r="J1384" s="226"/>
      <c r="K1384" s="227"/>
    </row>
    <row r="1385" spans="1:11" x14ac:dyDescent="0.35">
      <c r="A1385" s="221"/>
      <c r="B1385" s="222"/>
      <c r="C1385" s="222"/>
      <c r="D1385" s="222"/>
      <c r="E1385" s="223"/>
      <c r="G1385" s="221"/>
      <c r="H1385" s="222"/>
      <c r="I1385" s="222"/>
      <c r="J1385" s="222"/>
      <c r="K1385" s="223"/>
    </row>
    <row r="1386" spans="1:11" x14ac:dyDescent="0.35">
      <c r="A1386" s="225"/>
      <c r="B1386" s="226"/>
      <c r="C1386" s="226"/>
      <c r="D1386" s="226"/>
      <c r="E1386" s="227"/>
      <c r="G1386" s="225"/>
      <c r="H1386" s="226"/>
      <c r="I1386" s="226"/>
      <c r="J1386" s="226"/>
      <c r="K1386" s="227"/>
    </row>
    <row r="1387" spans="1:11" ht="15" thickBot="1" x14ac:dyDescent="0.4">
      <c r="A1387" s="218" t="s">
        <v>34</v>
      </c>
      <c r="B1387" s="219">
        <f>SUM(B1382:B1386)</f>
        <v>0</v>
      </c>
      <c r="C1387" s="219">
        <f>SUM(C1382:C1386)</f>
        <v>0</v>
      </c>
      <c r="D1387" s="219">
        <f>SUM(D1382:D1386)</f>
        <v>0</v>
      </c>
      <c r="E1387" s="219">
        <f>SUM(E1382:E1386)</f>
        <v>0</v>
      </c>
      <c r="G1387" s="218" t="s">
        <v>34</v>
      </c>
      <c r="H1387" s="219">
        <f>SUM(H1382:H1386)</f>
        <v>0</v>
      </c>
      <c r="I1387" s="219">
        <f>SUM(I1382:I1386)</f>
        <v>0</v>
      </c>
      <c r="J1387" s="219">
        <f>SUM(J1382:J1386)</f>
        <v>0</v>
      </c>
      <c r="K1387" s="219">
        <f>SUM(K1382:K1386)</f>
        <v>0</v>
      </c>
    </row>
    <row r="1388" spans="1:11" x14ac:dyDescent="0.35">
      <c r="A1388" s="220" t="s">
        <v>305</v>
      </c>
      <c r="B1388" s="220">
        <f>+B1387+C1387+D1387+E1387</f>
        <v>0</v>
      </c>
      <c r="C1388" s="220"/>
      <c r="D1388" s="220"/>
      <c r="E1388" s="220"/>
      <c r="G1388" s="220" t="s">
        <v>305</v>
      </c>
      <c r="H1388" s="220">
        <f>+H1387+I1387+J1387+K1387</f>
        <v>0</v>
      </c>
      <c r="I1388" s="220"/>
      <c r="J1388" s="220"/>
      <c r="K1388" s="220"/>
    </row>
    <row r="1389" spans="1:11" ht="15" thickBot="1" x14ac:dyDescent="0.4">
      <c r="A1389" s="315" t="s">
        <v>298</v>
      </c>
      <c r="B1389" s="315"/>
      <c r="C1389" s="315"/>
      <c r="D1389" s="315"/>
      <c r="E1389" s="315"/>
      <c r="G1389" s="315" t="s">
        <v>314</v>
      </c>
      <c r="H1389" s="315"/>
      <c r="I1389" s="315"/>
      <c r="J1389" s="315"/>
      <c r="K1389" s="315"/>
    </row>
    <row r="1390" spans="1:11" ht="15" thickTop="1" x14ac:dyDescent="0.35">
      <c r="A1390" s="313">
        <v>45429</v>
      </c>
      <c r="B1390" s="314"/>
      <c r="C1390" s="314"/>
      <c r="D1390" s="314"/>
      <c r="E1390" s="314"/>
      <c r="G1390" s="313">
        <v>45429</v>
      </c>
      <c r="H1390" s="314"/>
      <c r="I1390" s="314"/>
      <c r="J1390" s="314"/>
      <c r="K1390" s="314"/>
    </row>
    <row r="1391" spans="1:11" x14ac:dyDescent="0.35">
      <c r="A1391" s="261" t="s">
        <v>159</v>
      </c>
      <c r="B1391" s="262" t="s">
        <v>299</v>
      </c>
      <c r="C1391" s="262" t="s">
        <v>300</v>
      </c>
      <c r="D1391" s="262" t="s">
        <v>301</v>
      </c>
      <c r="E1391" s="263" t="s">
        <v>302</v>
      </c>
      <c r="G1391" s="264" t="s">
        <v>159</v>
      </c>
      <c r="H1391" s="265" t="s">
        <v>299</v>
      </c>
      <c r="I1391" s="265" t="s">
        <v>300</v>
      </c>
      <c r="J1391" s="265" t="s">
        <v>301</v>
      </c>
      <c r="K1391" s="266" t="s">
        <v>302</v>
      </c>
    </row>
    <row r="1392" spans="1:11" x14ac:dyDescent="0.35">
      <c r="A1392" s="221" t="s">
        <v>303</v>
      </c>
      <c r="B1392" s="222"/>
      <c r="C1392" s="222"/>
      <c r="D1392" s="222"/>
      <c r="E1392" s="223"/>
      <c r="G1392" s="221" t="s">
        <v>303</v>
      </c>
      <c r="H1392" s="222"/>
      <c r="I1392" s="222"/>
      <c r="J1392" s="222"/>
      <c r="K1392" s="223"/>
    </row>
    <row r="1393" spans="1:11" x14ac:dyDescent="0.35">
      <c r="A1393" s="225" t="s">
        <v>304</v>
      </c>
      <c r="B1393" s="226"/>
      <c r="C1393" s="226"/>
      <c r="D1393" s="226"/>
      <c r="E1393" s="227"/>
      <c r="G1393" s="225"/>
      <c r="H1393" s="226"/>
      <c r="I1393" s="226"/>
      <c r="J1393" s="226"/>
      <c r="K1393" s="227"/>
    </row>
    <row r="1394" spans="1:11" x14ac:dyDescent="0.35">
      <c r="A1394" s="225"/>
      <c r="B1394" s="226"/>
      <c r="C1394" s="226"/>
      <c r="D1394" s="226"/>
      <c r="E1394" s="227"/>
      <c r="G1394" s="225"/>
      <c r="H1394" s="226"/>
      <c r="I1394" s="226"/>
      <c r="J1394" s="226"/>
      <c r="K1394" s="227"/>
    </row>
    <row r="1395" spans="1:11" x14ac:dyDescent="0.35">
      <c r="A1395" s="221"/>
      <c r="B1395" s="222"/>
      <c r="C1395" s="222"/>
      <c r="D1395" s="222"/>
      <c r="E1395" s="223"/>
      <c r="G1395" s="221"/>
      <c r="H1395" s="222"/>
      <c r="I1395" s="222"/>
      <c r="J1395" s="222"/>
      <c r="K1395" s="223"/>
    </row>
    <row r="1396" spans="1:11" x14ac:dyDescent="0.35">
      <c r="A1396" s="225"/>
      <c r="B1396" s="226"/>
      <c r="C1396" s="226"/>
      <c r="D1396" s="226"/>
      <c r="E1396" s="227"/>
      <c r="G1396" s="225"/>
      <c r="H1396" s="226"/>
      <c r="I1396" s="226"/>
      <c r="J1396" s="226"/>
      <c r="K1396" s="227"/>
    </row>
    <row r="1397" spans="1:11" ht="15" thickBot="1" x14ac:dyDescent="0.4">
      <c r="A1397" s="218" t="s">
        <v>34</v>
      </c>
      <c r="B1397" s="219">
        <f>SUM(B1392:B1396)</f>
        <v>0</v>
      </c>
      <c r="C1397" s="219">
        <f>SUM(C1392:C1396)</f>
        <v>0</v>
      </c>
      <c r="D1397" s="219">
        <f>SUM(D1392:D1396)</f>
        <v>0</v>
      </c>
      <c r="E1397" s="219">
        <f>SUM(E1392:E1396)</f>
        <v>0</v>
      </c>
      <c r="G1397" s="218" t="s">
        <v>34</v>
      </c>
      <c r="H1397" s="219">
        <f>SUM(H1392:H1396)</f>
        <v>0</v>
      </c>
      <c r="I1397" s="219">
        <f>SUM(I1392:I1396)</f>
        <v>0</v>
      </c>
      <c r="J1397" s="219">
        <f>SUM(J1392:J1396)</f>
        <v>0</v>
      </c>
      <c r="K1397" s="219">
        <f>SUM(K1392:K1396)</f>
        <v>0</v>
      </c>
    </row>
    <row r="1398" spans="1:11" x14ac:dyDescent="0.35">
      <c r="A1398" s="220" t="s">
        <v>305</v>
      </c>
      <c r="B1398" s="220">
        <f>+B1397+C1397+D1397+E1397</f>
        <v>0</v>
      </c>
      <c r="C1398" s="220"/>
      <c r="D1398" s="220"/>
      <c r="E1398" s="220"/>
      <c r="G1398" s="220" t="s">
        <v>305</v>
      </c>
      <c r="H1398" s="220">
        <f>+H1397+I1397+J1397+K1397</f>
        <v>0</v>
      </c>
      <c r="I1398" s="220"/>
      <c r="J1398" s="220"/>
      <c r="K1398" s="220"/>
    </row>
    <row r="1399" spans="1:11" ht="15" thickBot="1" x14ac:dyDescent="0.4">
      <c r="A1399" s="315" t="s">
        <v>298</v>
      </c>
      <c r="B1399" s="315"/>
      <c r="C1399" s="315"/>
      <c r="D1399" s="315"/>
      <c r="E1399" s="315"/>
      <c r="G1399" s="315" t="s">
        <v>314</v>
      </c>
      <c r="H1399" s="315"/>
      <c r="I1399" s="315"/>
      <c r="J1399" s="315"/>
      <c r="K1399" s="315"/>
    </row>
    <row r="1400" spans="1:11" ht="15" thickTop="1" x14ac:dyDescent="0.35">
      <c r="A1400" s="313">
        <v>45430</v>
      </c>
      <c r="B1400" s="314"/>
      <c r="C1400" s="314"/>
      <c r="D1400" s="314"/>
      <c r="E1400" s="314"/>
      <c r="G1400" s="313">
        <v>45430</v>
      </c>
      <c r="H1400" s="314"/>
      <c r="I1400" s="314"/>
      <c r="J1400" s="314"/>
      <c r="K1400" s="314"/>
    </row>
    <row r="1401" spans="1:11" x14ac:dyDescent="0.35">
      <c r="A1401" s="261" t="s">
        <v>159</v>
      </c>
      <c r="B1401" s="262" t="s">
        <v>299</v>
      </c>
      <c r="C1401" s="262" t="s">
        <v>300</v>
      </c>
      <c r="D1401" s="262" t="s">
        <v>301</v>
      </c>
      <c r="E1401" s="263" t="s">
        <v>302</v>
      </c>
      <c r="G1401" s="264" t="s">
        <v>159</v>
      </c>
      <c r="H1401" s="265" t="s">
        <v>299</v>
      </c>
      <c r="I1401" s="265" t="s">
        <v>300</v>
      </c>
      <c r="J1401" s="265" t="s">
        <v>301</v>
      </c>
      <c r="K1401" s="266" t="s">
        <v>302</v>
      </c>
    </row>
    <row r="1402" spans="1:11" x14ac:dyDescent="0.35">
      <c r="A1402" s="221" t="s">
        <v>303</v>
      </c>
      <c r="B1402" s="222"/>
      <c r="C1402" s="222"/>
      <c r="D1402" s="222"/>
      <c r="E1402" s="223"/>
      <c r="G1402" s="221" t="s">
        <v>303</v>
      </c>
      <c r="H1402" s="222"/>
      <c r="I1402" s="222"/>
      <c r="J1402" s="222"/>
      <c r="K1402" s="223"/>
    </row>
    <row r="1403" spans="1:11" x14ac:dyDescent="0.35">
      <c r="A1403" s="225" t="s">
        <v>304</v>
      </c>
      <c r="B1403" s="226"/>
      <c r="C1403" s="226"/>
      <c r="D1403" s="226"/>
      <c r="E1403" s="227"/>
      <c r="G1403" s="225"/>
      <c r="H1403" s="226"/>
      <c r="I1403" s="226"/>
      <c r="J1403" s="226"/>
      <c r="K1403" s="227"/>
    </row>
    <row r="1404" spans="1:11" x14ac:dyDescent="0.35">
      <c r="A1404" s="225"/>
      <c r="B1404" s="226"/>
      <c r="C1404" s="226"/>
      <c r="D1404" s="226"/>
      <c r="E1404" s="227"/>
      <c r="G1404" s="225"/>
      <c r="H1404" s="226"/>
      <c r="I1404" s="226"/>
      <c r="J1404" s="226"/>
      <c r="K1404" s="227"/>
    </row>
    <row r="1405" spans="1:11" x14ac:dyDescent="0.35">
      <c r="A1405" s="221"/>
      <c r="B1405" s="222"/>
      <c r="C1405" s="222"/>
      <c r="D1405" s="222"/>
      <c r="E1405" s="223"/>
      <c r="G1405" s="221"/>
      <c r="H1405" s="222"/>
      <c r="I1405" s="222"/>
      <c r="J1405" s="222"/>
      <c r="K1405" s="223"/>
    </row>
    <row r="1406" spans="1:11" x14ac:dyDescent="0.35">
      <c r="A1406" s="225"/>
      <c r="B1406" s="226"/>
      <c r="C1406" s="226"/>
      <c r="D1406" s="226"/>
      <c r="E1406" s="227"/>
      <c r="G1406" s="225"/>
      <c r="H1406" s="226"/>
      <c r="I1406" s="226"/>
      <c r="J1406" s="226"/>
      <c r="K1406" s="227"/>
    </row>
    <row r="1407" spans="1:11" ht="15" thickBot="1" x14ac:dyDescent="0.4">
      <c r="A1407" s="218" t="s">
        <v>34</v>
      </c>
      <c r="B1407" s="219">
        <f>SUM(B1402:B1406)</f>
        <v>0</v>
      </c>
      <c r="C1407" s="219">
        <f>SUM(C1402:C1406)</f>
        <v>0</v>
      </c>
      <c r="D1407" s="219">
        <f>SUM(D1402:D1406)</f>
        <v>0</v>
      </c>
      <c r="E1407" s="219">
        <f>SUM(E1402:E1406)</f>
        <v>0</v>
      </c>
      <c r="G1407" s="218" t="s">
        <v>34</v>
      </c>
      <c r="H1407" s="219">
        <f>SUM(H1402:H1406)</f>
        <v>0</v>
      </c>
      <c r="I1407" s="219">
        <f>SUM(I1402:I1406)</f>
        <v>0</v>
      </c>
      <c r="J1407" s="219">
        <f>SUM(J1402:J1406)</f>
        <v>0</v>
      </c>
      <c r="K1407" s="219">
        <f>SUM(K1402:K1406)</f>
        <v>0</v>
      </c>
    </row>
    <row r="1408" spans="1:11" x14ac:dyDescent="0.35">
      <c r="A1408" s="220" t="s">
        <v>305</v>
      </c>
      <c r="B1408" s="220">
        <f>+B1407+C1407+D1407+E1407</f>
        <v>0</v>
      </c>
      <c r="C1408" s="220"/>
      <c r="D1408" s="220"/>
      <c r="E1408" s="220"/>
      <c r="G1408" s="220" t="s">
        <v>305</v>
      </c>
      <c r="H1408" s="220">
        <f>+H1407+I1407+J1407+K1407</f>
        <v>0</v>
      </c>
      <c r="I1408" s="220"/>
      <c r="J1408" s="220"/>
      <c r="K1408" s="220"/>
    </row>
    <row r="1409" spans="1:11" ht="15" thickBot="1" x14ac:dyDescent="0.4">
      <c r="A1409" s="315" t="s">
        <v>298</v>
      </c>
      <c r="B1409" s="315"/>
      <c r="C1409" s="315"/>
      <c r="D1409" s="315"/>
      <c r="E1409" s="315"/>
      <c r="G1409" s="315" t="s">
        <v>314</v>
      </c>
      <c r="H1409" s="315"/>
      <c r="I1409" s="315"/>
      <c r="J1409" s="315"/>
      <c r="K1409" s="315"/>
    </row>
    <row r="1410" spans="1:11" ht="15" thickTop="1" x14ac:dyDescent="0.35">
      <c r="A1410" s="313">
        <v>45431</v>
      </c>
      <c r="B1410" s="314"/>
      <c r="C1410" s="314"/>
      <c r="D1410" s="314"/>
      <c r="E1410" s="314"/>
      <c r="G1410" s="313">
        <v>45431</v>
      </c>
      <c r="H1410" s="314"/>
      <c r="I1410" s="314"/>
      <c r="J1410" s="314"/>
      <c r="K1410" s="314"/>
    </row>
    <row r="1411" spans="1:11" x14ac:dyDescent="0.35">
      <c r="A1411" s="261" t="s">
        <v>159</v>
      </c>
      <c r="B1411" s="262" t="s">
        <v>299</v>
      </c>
      <c r="C1411" s="262" t="s">
        <v>300</v>
      </c>
      <c r="D1411" s="262" t="s">
        <v>301</v>
      </c>
      <c r="E1411" s="263" t="s">
        <v>302</v>
      </c>
      <c r="G1411" s="264" t="s">
        <v>159</v>
      </c>
      <c r="H1411" s="265" t="s">
        <v>299</v>
      </c>
      <c r="I1411" s="265" t="s">
        <v>300</v>
      </c>
      <c r="J1411" s="265" t="s">
        <v>301</v>
      </c>
      <c r="K1411" s="266" t="s">
        <v>302</v>
      </c>
    </row>
    <row r="1412" spans="1:11" x14ac:dyDescent="0.35">
      <c r="A1412" s="221" t="s">
        <v>303</v>
      </c>
      <c r="B1412" s="222"/>
      <c r="C1412" s="222"/>
      <c r="D1412" s="222"/>
      <c r="E1412" s="223"/>
      <c r="G1412" s="221" t="s">
        <v>303</v>
      </c>
      <c r="H1412" s="222"/>
      <c r="I1412" s="222"/>
      <c r="J1412" s="222"/>
      <c r="K1412" s="223"/>
    </row>
    <row r="1413" spans="1:11" x14ac:dyDescent="0.35">
      <c r="A1413" s="225" t="s">
        <v>304</v>
      </c>
      <c r="B1413" s="226"/>
      <c r="C1413" s="226"/>
      <c r="D1413" s="226"/>
      <c r="E1413" s="227"/>
      <c r="G1413" s="225"/>
      <c r="H1413" s="226"/>
      <c r="I1413" s="226"/>
      <c r="J1413" s="226"/>
      <c r="K1413" s="227"/>
    </row>
    <row r="1414" spans="1:11" x14ac:dyDescent="0.35">
      <c r="A1414" s="225"/>
      <c r="B1414" s="226"/>
      <c r="C1414" s="226"/>
      <c r="D1414" s="226"/>
      <c r="E1414" s="227"/>
      <c r="G1414" s="225"/>
      <c r="H1414" s="226"/>
      <c r="I1414" s="226"/>
      <c r="J1414" s="226"/>
      <c r="K1414" s="227"/>
    </row>
    <row r="1415" spans="1:11" x14ac:dyDescent="0.35">
      <c r="A1415" s="221"/>
      <c r="B1415" s="222"/>
      <c r="C1415" s="222"/>
      <c r="D1415" s="222"/>
      <c r="E1415" s="223"/>
      <c r="G1415" s="221"/>
      <c r="H1415" s="222"/>
      <c r="I1415" s="222"/>
      <c r="J1415" s="222"/>
      <c r="K1415" s="223"/>
    </row>
    <row r="1416" spans="1:11" x14ac:dyDescent="0.35">
      <c r="A1416" s="225"/>
      <c r="B1416" s="226"/>
      <c r="C1416" s="226"/>
      <c r="D1416" s="226"/>
      <c r="E1416" s="227"/>
      <c r="G1416" s="225"/>
      <c r="H1416" s="226"/>
      <c r="I1416" s="226"/>
      <c r="J1416" s="226"/>
      <c r="K1416" s="227"/>
    </row>
    <row r="1417" spans="1:11" ht="15" thickBot="1" x14ac:dyDescent="0.4">
      <c r="A1417" s="218" t="s">
        <v>34</v>
      </c>
      <c r="B1417" s="219">
        <f>SUM(B1412:B1416)</f>
        <v>0</v>
      </c>
      <c r="C1417" s="219">
        <f>SUM(C1412:C1416)</f>
        <v>0</v>
      </c>
      <c r="D1417" s="219">
        <f>SUM(D1412:D1416)</f>
        <v>0</v>
      </c>
      <c r="E1417" s="219">
        <f>SUM(E1412:E1416)</f>
        <v>0</v>
      </c>
      <c r="G1417" s="218" t="s">
        <v>34</v>
      </c>
      <c r="H1417" s="219">
        <f>SUM(H1412:H1416)</f>
        <v>0</v>
      </c>
      <c r="I1417" s="219">
        <f>SUM(I1412:I1416)</f>
        <v>0</v>
      </c>
      <c r="J1417" s="219">
        <f>SUM(J1412:J1416)</f>
        <v>0</v>
      </c>
      <c r="K1417" s="219">
        <f>SUM(K1412:K1416)</f>
        <v>0</v>
      </c>
    </row>
    <row r="1418" spans="1:11" x14ac:dyDescent="0.35">
      <c r="A1418" s="220" t="s">
        <v>305</v>
      </c>
      <c r="B1418" s="220">
        <f>+B1417+C1417+D1417+E1417</f>
        <v>0</v>
      </c>
      <c r="C1418" s="220"/>
      <c r="D1418" s="220"/>
      <c r="E1418" s="220"/>
      <c r="G1418" s="220" t="s">
        <v>305</v>
      </c>
      <c r="H1418" s="220">
        <f>+H1417+I1417+J1417+K1417</f>
        <v>0</v>
      </c>
      <c r="I1418" s="220"/>
      <c r="J1418" s="220"/>
      <c r="K1418" s="220"/>
    </row>
    <row r="1419" spans="1:11" ht="15" thickBot="1" x14ac:dyDescent="0.4">
      <c r="A1419" s="315" t="s">
        <v>298</v>
      </c>
      <c r="B1419" s="315"/>
      <c r="C1419" s="315"/>
      <c r="D1419" s="315"/>
      <c r="E1419" s="315"/>
      <c r="G1419" s="315" t="s">
        <v>314</v>
      </c>
      <c r="H1419" s="315"/>
      <c r="I1419" s="315"/>
      <c r="J1419" s="315"/>
      <c r="K1419" s="315"/>
    </row>
    <row r="1420" spans="1:11" ht="15" thickTop="1" x14ac:dyDescent="0.35">
      <c r="A1420" s="313">
        <v>45432</v>
      </c>
      <c r="B1420" s="314"/>
      <c r="C1420" s="314"/>
      <c r="D1420" s="314"/>
      <c r="E1420" s="314"/>
      <c r="G1420" s="313">
        <v>45432</v>
      </c>
      <c r="H1420" s="314"/>
      <c r="I1420" s="314"/>
      <c r="J1420" s="314"/>
      <c r="K1420" s="314"/>
    </row>
    <row r="1421" spans="1:11" x14ac:dyDescent="0.35">
      <c r="A1421" s="261" t="s">
        <v>159</v>
      </c>
      <c r="B1421" s="262" t="s">
        <v>299</v>
      </c>
      <c r="C1421" s="262" t="s">
        <v>300</v>
      </c>
      <c r="D1421" s="262" t="s">
        <v>301</v>
      </c>
      <c r="E1421" s="263" t="s">
        <v>302</v>
      </c>
      <c r="G1421" s="264" t="s">
        <v>159</v>
      </c>
      <c r="H1421" s="265" t="s">
        <v>299</v>
      </c>
      <c r="I1421" s="265" t="s">
        <v>300</v>
      </c>
      <c r="J1421" s="265" t="s">
        <v>301</v>
      </c>
      <c r="K1421" s="266" t="s">
        <v>302</v>
      </c>
    </row>
    <row r="1422" spans="1:11" x14ac:dyDescent="0.35">
      <c r="A1422" s="221" t="s">
        <v>303</v>
      </c>
      <c r="B1422" s="222"/>
      <c r="C1422" s="222"/>
      <c r="D1422" s="222"/>
      <c r="E1422" s="223"/>
      <c r="G1422" s="221" t="s">
        <v>303</v>
      </c>
      <c r="H1422" s="222"/>
      <c r="I1422" s="222"/>
      <c r="J1422" s="222"/>
      <c r="K1422" s="223"/>
    </row>
    <row r="1423" spans="1:11" x14ac:dyDescent="0.35">
      <c r="A1423" s="225" t="s">
        <v>304</v>
      </c>
      <c r="B1423" s="226"/>
      <c r="C1423" s="226"/>
      <c r="D1423" s="226"/>
      <c r="E1423" s="227"/>
      <c r="G1423" s="225"/>
      <c r="H1423" s="226"/>
      <c r="I1423" s="226"/>
      <c r="J1423" s="226"/>
      <c r="K1423" s="227"/>
    </row>
    <row r="1424" spans="1:11" x14ac:dyDescent="0.35">
      <c r="A1424" s="225"/>
      <c r="B1424" s="226"/>
      <c r="C1424" s="226"/>
      <c r="D1424" s="226"/>
      <c r="E1424" s="227"/>
      <c r="G1424" s="225"/>
      <c r="H1424" s="226"/>
      <c r="I1424" s="226"/>
      <c r="J1424" s="226"/>
      <c r="K1424" s="227"/>
    </row>
    <row r="1425" spans="1:11" x14ac:dyDescent="0.35">
      <c r="A1425" s="221"/>
      <c r="B1425" s="222"/>
      <c r="C1425" s="222"/>
      <c r="D1425" s="222"/>
      <c r="E1425" s="223"/>
      <c r="G1425" s="221"/>
      <c r="H1425" s="222"/>
      <c r="I1425" s="222"/>
      <c r="J1425" s="222"/>
      <c r="K1425" s="223"/>
    </row>
    <row r="1426" spans="1:11" x14ac:dyDescent="0.35">
      <c r="A1426" s="225"/>
      <c r="B1426" s="226"/>
      <c r="C1426" s="226"/>
      <c r="D1426" s="226"/>
      <c r="E1426" s="227"/>
      <c r="G1426" s="225"/>
      <c r="H1426" s="226"/>
      <c r="I1426" s="226"/>
      <c r="J1426" s="226"/>
      <c r="K1426" s="227"/>
    </row>
    <row r="1427" spans="1:11" ht="15" thickBot="1" x14ac:dyDescent="0.4">
      <c r="A1427" s="218" t="s">
        <v>34</v>
      </c>
      <c r="B1427" s="219">
        <f>SUM(B1422:B1426)</f>
        <v>0</v>
      </c>
      <c r="C1427" s="219">
        <f>SUM(C1422:C1426)</f>
        <v>0</v>
      </c>
      <c r="D1427" s="219">
        <f>SUM(D1422:D1426)</f>
        <v>0</v>
      </c>
      <c r="E1427" s="219">
        <f>SUM(E1422:E1426)</f>
        <v>0</v>
      </c>
      <c r="G1427" s="218" t="s">
        <v>34</v>
      </c>
      <c r="H1427" s="219">
        <f>SUM(H1422:H1426)</f>
        <v>0</v>
      </c>
      <c r="I1427" s="219">
        <f>SUM(I1422:I1426)</f>
        <v>0</v>
      </c>
      <c r="J1427" s="219">
        <f>SUM(J1422:J1426)</f>
        <v>0</v>
      </c>
      <c r="K1427" s="219">
        <f>SUM(K1422:K1426)</f>
        <v>0</v>
      </c>
    </row>
    <row r="1428" spans="1:11" x14ac:dyDescent="0.35">
      <c r="A1428" s="220" t="s">
        <v>305</v>
      </c>
      <c r="B1428" s="220">
        <f>+B1427+C1427+D1427+E1427</f>
        <v>0</v>
      </c>
      <c r="C1428" s="220"/>
      <c r="D1428" s="220"/>
      <c r="E1428" s="220"/>
      <c r="G1428" s="220" t="s">
        <v>305</v>
      </c>
      <c r="H1428" s="220">
        <f>+H1427+I1427+J1427+K1427</f>
        <v>0</v>
      </c>
      <c r="I1428" s="220"/>
      <c r="J1428" s="220"/>
      <c r="K1428" s="220"/>
    </row>
    <row r="1429" spans="1:11" ht="15" thickBot="1" x14ac:dyDescent="0.4">
      <c r="A1429" s="315" t="s">
        <v>298</v>
      </c>
      <c r="B1429" s="315"/>
      <c r="C1429" s="315"/>
      <c r="D1429" s="315"/>
      <c r="E1429" s="315"/>
      <c r="G1429" s="315" t="s">
        <v>314</v>
      </c>
      <c r="H1429" s="315"/>
      <c r="I1429" s="315"/>
      <c r="J1429" s="315"/>
      <c r="K1429" s="315"/>
    </row>
    <row r="1430" spans="1:11" ht="15" thickTop="1" x14ac:dyDescent="0.35">
      <c r="A1430" s="313">
        <v>45433</v>
      </c>
      <c r="B1430" s="314"/>
      <c r="C1430" s="314"/>
      <c r="D1430" s="314"/>
      <c r="E1430" s="314"/>
      <c r="G1430" s="313">
        <v>45433</v>
      </c>
      <c r="H1430" s="314"/>
      <c r="I1430" s="314"/>
      <c r="J1430" s="314"/>
      <c r="K1430" s="314"/>
    </row>
    <row r="1431" spans="1:11" x14ac:dyDescent="0.35">
      <c r="A1431" s="261" t="s">
        <v>159</v>
      </c>
      <c r="B1431" s="262" t="s">
        <v>299</v>
      </c>
      <c r="C1431" s="262" t="s">
        <v>300</v>
      </c>
      <c r="D1431" s="262" t="s">
        <v>301</v>
      </c>
      <c r="E1431" s="263" t="s">
        <v>302</v>
      </c>
      <c r="G1431" s="264" t="s">
        <v>159</v>
      </c>
      <c r="H1431" s="265" t="s">
        <v>299</v>
      </c>
      <c r="I1431" s="265" t="s">
        <v>300</v>
      </c>
      <c r="J1431" s="265" t="s">
        <v>301</v>
      </c>
      <c r="K1431" s="266" t="s">
        <v>302</v>
      </c>
    </row>
    <row r="1432" spans="1:11" x14ac:dyDescent="0.35">
      <c r="A1432" s="221" t="s">
        <v>303</v>
      </c>
      <c r="B1432" s="222"/>
      <c r="C1432" s="222"/>
      <c r="D1432" s="222"/>
      <c r="E1432" s="223"/>
      <c r="G1432" s="221" t="s">
        <v>303</v>
      </c>
      <c r="H1432" s="222"/>
      <c r="I1432" s="222"/>
      <c r="J1432" s="222"/>
      <c r="K1432" s="223"/>
    </row>
    <row r="1433" spans="1:11" x14ac:dyDescent="0.35">
      <c r="A1433" s="225" t="s">
        <v>304</v>
      </c>
      <c r="B1433" s="226"/>
      <c r="C1433" s="226"/>
      <c r="D1433" s="226"/>
      <c r="E1433" s="227"/>
      <c r="G1433" s="225"/>
      <c r="H1433" s="226"/>
      <c r="I1433" s="226"/>
      <c r="J1433" s="226"/>
      <c r="K1433" s="227"/>
    </row>
    <row r="1434" spans="1:11" x14ac:dyDescent="0.35">
      <c r="A1434" s="225"/>
      <c r="B1434" s="226"/>
      <c r="C1434" s="226"/>
      <c r="D1434" s="226"/>
      <c r="E1434" s="227"/>
      <c r="G1434" s="225"/>
      <c r="H1434" s="226"/>
      <c r="I1434" s="226"/>
      <c r="J1434" s="226"/>
      <c r="K1434" s="227"/>
    </row>
    <row r="1435" spans="1:11" x14ac:dyDescent="0.35">
      <c r="A1435" s="221"/>
      <c r="B1435" s="222"/>
      <c r="C1435" s="222"/>
      <c r="D1435" s="222"/>
      <c r="E1435" s="223"/>
      <c r="G1435" s="221"/>
      <c r="H1435" s="222"/>
      <c r="I1435" s="222"/>
      <c r="J1435" s="222"/>
      <c r="K1435" s="223"/>
    </row>
    <row r="1436" spans="1:11" x14ac:dyDescent="0.35">
      <c r="A1436" s="225"/>
      <c r="B1436" s="226"/>
      <c r="C1436" s="226"/>
      <c r="D1436" s="226"/>
      <c r="E1436" s="227"/>
      <c r="G1436" s="225"/>
      <c r="H1436" s="226"/>
      <c r="I1436" s="226"/>
      <c r="J1436" s="226"/>
      <c r="K1436" s="227"/>
    </row>
    <row r="1437" spans="1:11" ht="15" thickBot="1" x14ac:dyDescent="0.4">
      <c r="A1437" s="218" t="s">
        <v>34</v>
      </c>
      <c r="B1437" s="219">
        <f>SUM(B1432:B1436)</f>
        <v>0</v>
      </c>
      <c r="C1437" s="219">
        <f>SUM(C1432:C1436)</f>
        <v>0</v>
      </c>
      <c r="D1437" s="219">
        <f>SUM(D1432:D1436)</f>
        <v>0</v>
      </c>
      <c r="E1437" s="219">
        <f>SUM(E1432:E1436)</f>
        <v>0</v>
      </c>
      <c r="G1437" s="218" t="s">
        <v>34</v>
      </c>
      <c r="H1437" s="219">
        <f>SUM(H1432:H1436)</f>
        <v>0</v>
      </c>
      <c r="I1437" s="219">
        <f>SUM(I1432:I1436)</f>
        <v>0</v>
      </c>
      <c r="J1437" s="219">
        <f>SUM(J1432:J1436)</f>
        <v>0</v>
      </c>
      <c r="K1437" s="219">
        <f>SUM(K1432:K1436)</f>
        <v>0</v>
      </c>
    </row>
    <row r="1438" spans="1:11" x14ac:dyDescent="0.35">
      <c r="A1438" s="220" t="s">
        <v>305</v>
      </c>
      <c r="B1438" s="220">
        <f>+B1437+C1437+D1437+E1437</f>
        <v>0</v>
      </c>
      <c r="C1438" s="220"/>
      <c r="D1438" s="220"/>
      <c r="E1438" s="220"/>
      <c r="G1438" s="220" t="s">
        <v>305</v>
      </c>
      <c r="H1438" s="220">
        <f>+H1437+I1437+J1437+K1437</f>
        <v>0</v>
      </c>
      <c r="I1438" s="220"/>
      <c r="J1438" s="220"/>
      <c r="K1438" s="220"/>
    </row>
    <row r="1439" spans="1:11" ht="15" thickBot="1" x14ac:dyDescent="0.4">
      <c r="A1439" s="315" t="s">
        <v>298</v>
      </c>
      <c r="B1439" s="315"/>
      <c r="C1439" s="315"/>
      <c r="D1439" s="315"/>
      <c r="E1439" s="315"/>
      <c r="G1439" s="315" t="s">
        <v>314</v>
      </c>
      <c r="H1439" s="315"/>
      <c r="I1439" s="315"/>
      <c r="J1439" s="315"/>
      <c r="K1439" s="315"/>
    </row>
    <row r="1440" spans="1:11" ht="15" thickTop="1" x14ac:dyDescent="0.35">
      <c r="A1440" s="313">
        <v>45434</v>
      </c>
      <c r="B1440" s="314"/>
      <c r="C1440" s="314"/>
      <c r="D1440" s="314"/>
      <c r="E1440" s="314"/>
      <c r="G1440" s="313">
        <v>45434</v>
      </c>
      <c r="H1440" s="314"/>
      <c r="I1440" s="314"/>
      <c r="J1440" s="314"/>
      <c r="K1440" s="314"/>
    </row>
    <row r="1441" spans="1:11" x14ac:dyDescent="0.35">
      <c r="A1441" s="261" t="s">
        <v>159</v>
      </c>
      <c r="B1441" s="262" t="s">
        <v>299</v>
      </c>
      <c r="C1441" s="262" t="s">
        <v>300</v>
      </c>
      <c r="D1441" s="262" t="s">
        <v>301</v>
      </c>
      <c r="E1441" s="263" t="s">
        <v>302</v>
      </c>
      <c r="G1441" s="264" t="s">
        <v>159</v>
      </c>
      <c r="H1441" s="265" t="s">
        <v>299</v>
      </c>
      <c r="I1441" s="265" t="s">
        <v>300</v>
      </c>
      <c r="J1441" s="265" t="s">
        <v>301</v>
      </c>
      <c r="K1441" s="266" t="s">
        <v>302</v>
      </c>
    </row>
    <row r="1442" spans="1:11" x14ac:dyDescent="0.35">
      <c r="A1442" s="221" t="s">
        <v>303</v>
      </c>
      <c r="B1442" s="222"/>
      <c r="C1442" s="222"/>
      <c r="D1442" s="222"/>
      <c r="E1442" s="223"/>
      <c r="G1442" s="221" t="s">
        <v>303</v>
      </c>
      <c r="H1442" s="222"/>
      <c r="I1442" s="222"/>
      <c r="J1442" s="222"/>
      <c r="K1442" s="223"/>
    </row>
    <row r="1443" spans="1:11" x14ac:dyDescent="0.35">
      <c r="A1443" s="225" t="s">
        <v>304</v>
      </c>
      <c r="B1443" s="226"/>
      <c r="C1443" s="226"/>
      <c r="D1443" s="226"/>
      <c r="E1443" s="227"/>
      <c r="G1443" s="225"/>
      <c r="H1443" s="226"/>
      <c r="I1443" s="226"/>
      <c r="J1443" s="226"/>
      <c r="K1443" s="227"/>
    </row>
    <row r="1444" spans="1:11" x14ac:dyDescent="0.35">
      <c r="A1444" s="225"/>
      <c r="B1444" s="226"/>
      <c r="C1444" s="226"/>
      <c r="D1444" s="226"/>
      <c r="E1444" s="227"/>
      <c r="G1444" s="225"/>
      <c r="H1444" s="226"/>
      <c r="I1444" s="226"/>
      <c r="J1444" s="226"/>
      <c r="K1444" s="227"/>
    </row>
    <row r="1445" spans="1:11" x14ac:dyDescent="0.35">
      <c r="A1445" s="221"/>
      <c r="B1445" s="222"/>
      <c r="C1445" s="222"/>
      <c r="D1445" s="222"/>
      <c r="E1445" s="223"/>
      <c r="G1445" s="221"/>
      <c r="H1445" s="222"/>
      <c r="I1445" s="222"/>
      <c r="J1445" s="222"/>
      <c r="K1445" s="223"/>
    </row>
    <row r="1446" spans="1:11" x14ac:dyDescent="0.35">
      <c r="A1446" s="225"/>
      <c r="B1446" s="226"/>
      <c r="C1446" s="226"/>
      <c r="D1446" s="226"/>
      <c r="E1446" s="227"/>
      <c r="G1446" s="225"/>
      <c r="H1446" s="226"/>
      <c r="I1446" s="226"/>
      <c r="J1446" s="226"/>
      <c r="K1446" s="227"/>
    </row>
    <row r="1447" spans="1:11" ht="15" thickBot="1" x14ac:dyDescent="0.4">
      <c r="A1447" s="218" t="s">
        <v>34</v>
      </c>
      <c r="B1447" s="219">
        <f>SUM(B1442:B1446)</f>
        <v>0</v>
      </c>
      <c r="C1447" s="219">
        <f>SUM(C1442:C1446)</f>
        <v>0</v>
      </c>
      <c r="D1447" s="219">
        <f>SUM(D1442:D1446)</f>
        <v>0</v>
      </c>
      <c r="E1447" s="219">
        <f>SUM(E1442:E1446)</f>
        <v>0</v>
      </c>
      <c r="G1447" s="218" t="s">
        <v>34</v>
      </c>
      <c r="H1447" s="219">
        <f>SUM(H1442:H1446)</f>
        <v>0</v>
      </c>
      <c r="I1447" s="219">
        <f>SUM(I1442:I1446)</f>
        <v>0</v>
      </c>
      <c r="J1447" s="219">
        <f>SUM(J1442:J1446)</f>
        <v>0</v>
      </c>
      <c r="K1447" s="219">
        <f>SUM(K1442:K1446)</f>
        <v>0</v>
      </c>
    </row>
    <row r="1448" spans="1:11" x14ac:dyDescent="0.35">
      <c r="A1448" s="220" t="s">
        <v>305</v>
      </c>
      <c r="B1448" s="220">
        <f>+B1447+C1447+D1447+E1447</f>
        <v>0</v>
      </c>
      <c r="C1448" s="220"/>
      <c r="D1448" s="220"/>
      <c r="E1448" s="220"/>
      <c r="G1448" s="220" t="s">
        <v>305</v>
      </c>
      <c r="H1448" s="220">
        <f>+H1447+I1447+J1447+K1447</f>
        <v>0</v>
      </c>
      <c r="I1448" s="220"/>
      <c r="J1448" s="220"/>
      <c r="K1448" s="220"/>
    </row>
    <row r="1449" spans="1:11" ht="15" thickBot="1" x14ac:dyDescent="0.4">
      <c r="A1449" s="315" t="s">
        <v>298</v>
      </c>
      <c r="B1449" s="315"/>
      <c r="C1449" s="315"/>
      <c r="D1449" s="315"/>
      <c r="E1449" s="315"/>
      <c r="G1449" s="315" t="s">
        <v>314</v>
      </c>
      <c r="H1449" s="315"/>
      <c r="I1449" s="315"/>
      <c r="J1449" s="315"/>
      <c r="K1449" s="315"/>
    </row>
    <row r="1450" spans="1:11" ht="15" thickTop="1" x14ac:dyDescent="0.35">
      <c r="A1450" s="313">
        <v>45435</v>
      </c>
      <c r="B1450" s="314"/>
      <c r="C1450" s="314"/>
      <c r="D1450" s="314"/>
      <c r="E1450" s="314"/>
      <c r="G1450" s="313">
        <v>45435</v>
      </c>
      <c r="H1450" s="314"/>
      <c r="I1450" s="314"/>
      <c r="J1450" s="314"/>
      <c r="K1450" s="314"/>
    </row>
    <row r="1451" spans="1:11" x14ac:dyDescent="0.35">
      <c r="A1451" s="261" t="s">
        <v>159</v>
      </c>
      <c r="B1451" s="262" t="s">
        <v>299</v>
      </c>
      <c r="C1451" s="262" t="s">
        <v>300</v>
      </c>
      <c r="D1451" s="262" t="s">
        <v>301</v>
      </c>
      <c r="E1451" s="263" t="s">
        <v>302</v>
      </c>
      <c r="G1451" s="264" t="s">
        <v>159</v>
      </c>
      <c r="H1451" s="265" t="s">
        <v>299</v>
      </c>
      <c r="I1451" s="265" t="s">
        <v>300</v>
      </c>
      <c r="J1451" s="265" t="s">
        <v>301</v>
      </c>
      <c r="K1451" s="266" t="s">
        <v>302</v>
      </c>
    </row>
    <row r="1452" spans="1:11" x14ac:dyDescent="0.35">
      <c r="A1452" s="221" t="s">
        <v>303</v>
      </c>
      <c r="B1452" s="222"/>
      <c r="C1452" s="222"/>
      <c r="D1452" s="222"/>
      <c r="E1452" s="223"/>
      <c r="G1452" s="221" t="s">
        <v>303</v>
      </c>
      <c r="H1452" s="222"/>
      <c r="I1452" s="222"/>
      <c r="J1452" s="222"/>
      <c r="K1452" s="223"/>
    </row>
    <row r="1453" spans="1:11" x14ac:dyDescent="0.35">
      <c r="A1453" s="225" t="s">
        <v>304</v>
      </c>
      <c r="B1453" s="226"/>
      <c r="C1453" s="226"/>
      <c r="D1453" s="226"/>
      <c r="E1453" s="227"/>
      <c r="G1453" s="225"/>
      <c r="H1453" s="226"/>
      <c r="I1453" s="226"/>
      <c r="J1453" s="226"/>
      <c r="K1453" s="227"/>
    </row>
    <row r="1454" spans="1:11" x14ac:dyDescent="0.35">
      <c r="A1454" s="225"/>
      <c r="B1454" s="226"/>
      <c r="C1454" s="226"/>
      <c r="D1454" s="226"/>
      <c r="E1454" s="227"/>
      <c r="G1454" s="225"/>
      <c r="H1454" s="226"/>
      <c r="I1454" s="226"/>
      <c r="J1454" s="226"/>
      <c r="K1454" s="227"/>
    </row>
    <row r="1455" spans="1:11" x14ac:dyDescent="0.35">
      <c r="A1455" s="221"/>
      <c r="B1455" s="222"/>
      <c r="C1455" s="222"/>
      <c r="D1455" s="222"/>
      <c r="E1455" s="223"/>
      <c r="G1455" s="221"/>
      <c r="H1455" s="222"/>
      <c r="I1455" s="222"/>
      <c r="J1455" s="222"/>
      <c r="K1455" s="223"/>
    </row>
    <row r="1456" spans="1:11" x14ac:dyDescent="0.35">
      <c r="A1456" s="225"/>
      <c r="B1456" s="226"/>
      <c r="C1456" s="226"/>
      <c r="D1456" s="226"/>
      <c r="E1456" s="227"/>
      <c r="G1456" s="225"/>
      <c r="H1456" s="226"/>
      <c r="I1456" s="226"/>
      <c r="J1456" s="226"/>
      <c r="K1456" s="227"/>
    </row>
    <row r="1457" spans="1:11" ht="15" thickBot="1" x14ac:dyDescent="0.4">
      <c r="A1457" s="218" t="s">
        <v>34</v>
      </c>
      <c r="B1457" s="219">
        <f>SUM(B1452:B1456)</f>
        <v>0</v>
      </c>
      <c r="C1457" s="219">
        <f>SUM(C1452:C1456)</f>
        <v>0</v>
      </c>
      <c r="D1457" s="219">
        <f>SUM(D1452:D1456)</f>
        <v>0</v>
      </c>
      <c r="E1457" s="219">
        <f>SUM(E1452:E1456)</f>
        <v>0</v>
      </c>
      <c r="G1457" s="218" t="s">
        <v>34</v>
      </c>
      <c r="H1457" s="219">
        <f>SUM(H1452:H1456)</f>
        <v>0</v>
      </c>
      <c r="I1457" s="219">
        <f>SUM(I1452:I1456)</f>
        <v>0</v>
      </c>
      <c r="J1457" s="219">
        <f>SUM(J1452:J1456)</f>
        <v>0</v>
      </c>
      <c r="K1457" s="219">
        <f>SUM(K1452:K1456)</f>
        <v>0</v>
      </c>
    </row>
    <row r="1458" spans="1:11" x14ac:dyDescent="0.35">
      <c r="A1458" s="220" t="s">
        <v>305</v>
      </c>
      <c r="B1458" s="220">
        <f>+B1457+C1457+D1457+E1457</f>
        <v>0</v>
      </c>
      <c r="C1458" s="220"/>
      <c r="D1458" s="220"/>
      <c r="E1458" s="220"/>
      <c r="G1458" s="220" t="s">
        <v>305</v>
      </c>
      <c r="H1458" s="220">
        <f>+H1457+I1457+J1457+K1457</f>
        <v>0</v>
      </c>
      <c r="I1458" s="220"/>
      <c r="J1458" s="220"/>
      <c r="K1458" s="220"/>
    </row>
    <row r="1459" spans="1:11" ht="15" thickBot="1" x14ac:dyDescent="0.4">
      <c r="A1459" s="315" t="s">
        <v>298</v>
      </c>
      <c r="B1459" s="315"/>
      <c r="C1459" s="315"/>
      <c r="D1459" s="315"/>
      <c r="E1459" s="315"/>
      <c r="G1459" s="315" t="s">
        <v>314</v>
      </c>
      <c r="H1459" s="315"/>
      <c r="I1459" s="315"/>
      <c r="J1459" s="315"/>
      <c r="K1459" s="315"/>
    </row>
    <row r="1460" spans="1:11" ht="15" thickTop="1" x14ac:dyDescent="0.35">
      <c r="A1460" s="313">
        <v>45436</v>
      </c>
      <c r="B1460" s="314"/>
      <c r="C1460" s="314"/>
      <c r="D1460" s="314"/>
      <c r="E1460" s="314"/>
      <c r="G1460" s="313">
        <v>45436</v>
      </c>
      <c r="H1460" s="314"/>
      <c r="I1460" s="314"/>
      <c r="J1460" s="314"/>
      <c r="K1460" s="314"/>
    </row>
    <row r="1461" spans="1:11" x14ac:dyDescent="0.35">
      <c r="A1461" s="261" t="s">
        <v>159</v>
      </c>
      <c r="B1461" s="262" t="s">
        <v>299</v>
      </c>
      <c r="C1461" s="262" t="s">
        <v>300</v>
      </c>
      <c r="D1461" s="262" t="s">
        <v>301</v>
      </c>
      <c r="E1461" s="263" t="s">
        <v>302</v>
      </c>
      <c r="G1461" s="264" t="s">
        <v>159</v>
      </c>
      <c r="H1461" s="265" t="s">
        <v>299</v>
      </c>
      <c r="I1461" s="265" t="s">
        <v>300</v>
      </c>
      <c r="J1461" s="265" t="s">
        <v>301</v>
      </c>
      <c r="K1461" s="266" t="s">
        <v>302</v>
      </c>
    </row>
    <row r="1462" spans="1:11" x14ac:dyDescent="0.35">
      <c r="A1462" s="221" t="s">
        <v>303</v>
      </c>
      <c r="B1462" s="222"/>
      <c r="C1462" s="222"/>
      <c r="D1462" s="222"/>
      <c r="E1462" s="223"/>
      <c r="G1462" s="221" t="s">
        <v>303</v>
      </c>
      <c r="H1462" s="222"/>
      <c r="I1462" s="222"/>
      <c r="J1462" s="222"/>
      <c r="K1462" s="223"/>
    </row>
    <row r="1463" spans="1:11" x14ac:dyDescent="0.35">
      <c r="A1463" s="225" t="s">
        <v>304</v>
      </c>
      <c r="B1463" s="226"/>
      <c r="C1463" s="226"/>
      <c r="D1463" s="226"/>
      <c r="E1463" s="227"/>
      <c r="G1463" s="225"/>
      <c r="H1463" s="226"/>
      <c r="I1463" s="226"/>
      <c r="J1463" s="226"/>
      <c r="K1463" s="227"/>
    </row>
    <row r="1464" spans="1:11" x14ac:dyDescent="0.35">
      <c r="A1464" s="225"/>
      <c r="B1464" s="226"/>
      <c r="C1464" s="226"/>
      <c r="D1464" s="226"/>
      <c r="E1464" s="227"/>
      <c r="G1464" s="225"/>
      <c r="H1464" s="226"/>
      <c r="I1464" s="226"/>
      <c r="J1464" s="226"/>
      <c r="K1464" s="227"/>
    </row>
    <row r="1465" spans="1:11" x14ac:dyDescent="0.35">
      <c r="A1465" s="221"/>
      <c r="B1465" s="222"/>
      <c r="C1465" s="222"/>
      <c r="D1465" s="222"/>
      <c r="E1465" s="223"/>
      <c r="G1465" s="221"/>
      <c r="H1465" s="222"/>
      <c r="I1465" s="222"/>
      <c r="J1465" s="222"/>
      <c r="K1465" s="223"/>
    </row>
    <row r="1466" spans="1:11" x14ac:dyDescent="0.35">
      <c r="A1466" s="225"/>
      <c r="B1466" s="226"/>
      <c r="C1466" s="226"/>
      <c r="D1466" s="226"/>
      <c r="E1466" s="227"/>
      <c r="G1466" s="225"/>
      <c r="H1466" s="226"/>
      <c r="I1466" s="226"/>
      <c r="J1466" s="226"/>
      <c r="K1466" s="227"/>
    </row>
    <row r="1467" spans="1:11" ht="15" thickBot="1" x14ac:dyDescent="0.4">
      <c r="A1467" s="218" t="s">
        <v>34</v>
      </c>
      <c r="B1467" s="219">
        <f>SUM(B1462:B1466)</f>
        <v>0</v>
      </c>
      <c r="C1467" s="219">
        <f>SUM(C1462:C1466)</f>
        <v>0</v>
      </c>
      <c r="D1467" s="219">
        <f>SUM(D1462:D1466)</f>
        <v>0</v>
      </c>
      <c r="E1467" s="219">
        <f>SUM(E1462:E1466)</f>
        <v>0</v>
      </c>
      <c r="G1467" s="218" t="s">
        <v>34</v>
      </c>
      <c r="H1467" s="219">
        <f>SUM(H1462:H1466)</f>
        <v>0</v>
      </c>
      <c r="I1467" s="219">
        <f>SUM(I1462:I1466)</f>
        <v>0</v>
      </c>
      <c r="J1467" s="219">
        <f>SUM(J1462:J1466)</f>
        <v>0</v>
      </c>
      <c r="K1467" s="219">
        <f>SUM(K1462:K1466)</f>
        <v>0</v>
      </c>
    </row>
    <row r="1468" spans="1:11" x14ac:dyDescent="0.35">
      <c r="A1468" s="220" t="s">
        <v>305</v>
      </c>
      <c r="B1468" s="220">
        <f>+B1467+C1467+D1467+E1467</f>
        <v>0</v>
      </c>
      <c r="C1468" s="220"/>
      <c r="D1468" s="220"/>
      <c r="E1468" s="220"/>
      <c r="G1468" s="220" t="s">
        <v>305</v>
      </c>
      <c r="H1468" s="220">
        <f>+H1467+I1467+J1467+K1467</f>
        <v>0</v>
      </c>
      <c r="I1468" s="220"/>
      <c r="J1468" s="220"/>
      <c r="K1468" s="220"/>
    </row>
    <row r="1469" spans="1:11" ht="15" thickBot="1" x14ac:dyDescent="0.4">
      <c r="A1469" s="315" t="s">
        <v>298</v>
      </c>
      <c r="B1469" s="315"/>
      <c r="C1469" s="315"/>
      <c r="D1469" s="315"/>
      <c r="E1469" s="315"/>
      <c r="G1469" s="315" t="s">
        <v>314</v>
      </c>
      <c r="H1469" s="315"/>
      <c r="I1469" s="315"/>
      <c r="J1469" s="315"/>
      <c r="K1469" s="315"/>
    </row>
    <row r="1470" spans="1:11" ht="15" thickTop="1" x14ac:dyDescent="0.35">
      <c r="A1470" s="313">
        <v>45437</v>
      </c>
      <c r="B1470" s="314"/>
      <c r="C1470" s="314"/>
      <c r="D1470" s="314"/>
      <c r="E1470" s="314"/>
      <c r="G1470" s="313">
        <v>45437</v>
      </c>
      <c r="H1470" s="314"/>
      <c r="I1470" s="314"/>
      <c r="J1470" s="314"/>
      <c r="K1470" s="314"/>
    </row>
    <row r="1471" spans="1:11" x14ac:dyDescent="0.35">
      <c r="A1471" s="261" t="s">
        <v>159</v>
      </c>
      <c r="B1471" s="262" t="s">
        <v>299</v>
      </c>
      <c r="C1471" s="262" t="s">
        <v>300</v>
      </c>
      <c r="D1471" s="262" t="s">
        <v>301</v>
      </c>
      <c r="E1471" s="263" t="s">
        <v>302</v>
      </c>
      <c r="G1471" s="264" t="s">
        <v>159</v>
      </c>
      <c r="H1471" s="265" t="s">
        <v>299</v>
      </c>
      <c r="I1471" s="265" t="s">
        <v>300</v>
      </c>
      <c r="J1471" s="265" t="s">
        <v>301</v>
      </c>
      <c r="K1471" s="266" t="s">
        <v>302</v>
      </c>
    </row>
    <row r="1472" spans="1:11" x14ac:dyDescent="0.35">
      <c r="A1472" s="221" t="s">
        <v>303</v>
      </c>
      <c r="B1472" s="222"/>
      <c r="C1472" s="222"/>
      <c r="D1472" s="222"/>
      <c r="E1472" s="223"/>
      <c r="G1472" s="221" t="s">
        <v>303</v>
      </c>
      <c r="H1472" s="222"/>
      <c r="I1472" s="222"/>
      <c r="J1472" s="222"/>
      <c r="K1472" s="223"/>
    </row>
    <row r="1473" spans="1:11" x14ac:dyDescent="0.35">
      <c r="A1473" s="225" t="s">
        <v>304</v>
      </c>
      <c r="B1473" s="226"/>
      <c r="C1473" s="226"/>
      <c r="D1473" s="226"/>
      <c r="E1473" s="227"/>
      <c r="G1473" s="225"/>
      <c r="H1473" s="226"/>
      <c r="I1473" s="226"/>
      <c r="J1473" s="226"/>
      <c r="K1473" s="227"/>
    </row>
    <row r="1474" spans="1:11" x14ac:dyDescent="0.35">
      <c r="A1474" s="225"/>
      <c r="B1474" s="226"/>
      <c r="C1474" s="226"/>
      <c r="D1474" s="226"/>
      <c r="E1474" s="227"/>
      <c r="G1474" s="225"/>
      <c r="H1474" s="226"/>
      <c r="I1474" s="226"/>
      <c r="J1474" s="226"/>
      <c r="K1474" s="227"/>
    </row>
    <row r="1475" spans="1:11" x14ac:dyDescent="0.35">
      <c r="A1475" s="221"/>
      <c r="B1475" s="222"/>
      <c r="C1475" s="222"/>
      <c r="D1475" s="222"/>
      <c r="E1475" s="223"/>
      <c r="G1475" s="221"/>
      <c r="H1475" s="222"/>
      <c r="I1475" s="222"/>
      <c r="J1475" s="222"/>
      <c r="K1475" s="223"/>
    </row>
    <row r="1476" spans="1:11" x14ac:dyDescent="0.35">
      <c r="A1476" s="225"/>
      <c r="B1476" s="226"/>
      <c r="C1476" s="226"/>
      <c r="D1476" s="226"/>
      <c r="E1476" s="227"/>
      <c r="G1476" s="225"/>
      <c r="H1476" s="226"/>
      <c r="I1476" s="226"/>
      <c r="J1476" s="226"/>
      <c r="K1476" s="227"/>
    </row>
    <row r="1477" spans="1:11" ht="15" thickBot="1" x14ac:dyDescent="0.4">
      <c r="A1477" s="218" t="s">
        <v>34</v>
      </c>
      <c r="B1477" s="219">
        <f>SUM(B1472:B1476)</f>
        <v>0</v>
      </c>
      <c r="C1477" s="219">
        <f>SUM(C1472:C1476)</f>
        <v>0</v>
      </c>
      <c r="D1477" s="219">
        <f>SUM(D1472:D1476)</f>
        <v>0</v>
      </c>
      <c r="E1477" s="219">
        <f>SUM(E1472:E1476)</f>
        <v>0</v>
      </c>
      <c r="G1477" s="218" t="s">
        <v>34</v>
      </c>
      <c r="H1477" s="219">
        <f>SUM(H1472:H1476)</f>
        <v>0</v>
      </c>
      <c r="I1477" s="219">
        <f>SUM(I1472:I1476)</f>
        <v>0</v>
      </c>
      <c r="J1477" s="219">
        <f>SUM(J1472:J1476)</f>
        <v>0</v>
      </c>
      <c r="K1477" s="219">
        <f>SUM(K1472:K1476)</f>
        <v>0</v>
      </c>
    </row>
    <row r="1478" spans="1:11" x14ac:dyDescent="0.35">
      <c r="A1478" s="220" t="s">
        <v>305</v>
      </c>
      <c r="B1478" s="220">
        <f>+B1477+C1477+D1477+E1477</f>
        <v>0</v>
      </c>
      <c r="C1478" s="220"/>
      <c r="D1478" s="220"/>
      <c r="E1478" s="220"/>
      <c r="G1478" s="220" t="s">
        <v>305</v>
      </c>
      <c r="H1478" s="220">
        <f>+H1477+I1477+J1477+K1477</f>
        <v>0</v>
      </c>
      <c r="I1478" s="220"/>
      <c r="J1478" s="220"/>
      <c r="K1478" s="220"/>
    </row>
    <row r="1479" spans="1:11" ht="15" thickBot="1" x14ac:dyDescent="0.4">
      <c r="A1479" s="315" t="s">
        <v>298</v>
      </c>
      <c r="B1479" s="315"/>
      <c r="C1479" s="315"/>
      <c r="D1479" s="315"/>
      <c r="E1479" s="315"/>
      <c r="G1479" s="315" t="s">
        <v>314</v>
      </c>
      <c r="H1479" s="315"/>
      <c r="I1479" s="315"/>
      <c r="J1479" s="315"/>
      <c r="K1479" s="315"/>
    </row>
    <row r="1480" spans="1:11" ht="15" thickTop="1" x14ac:dyDescent="0.35">
      <c r="A1480" s="313">
        <v>45438</v>
      </c>
      <c r="B1480" s="314"/>
      <c r="C1480" s="314"/>
      <c r="D1480" s="314"/>
      <c r="E1480" s="314"/>
      <c r="G1480" s="313">
        <v>45438</v>
      </c>
      <c r="H1480" s="314"/>
      <c r="I1480" s="314"/>
      <c r="J1480" s="314"/>
      <c r="K1480" s="314"/>
    </row>
    <row r="1481" spans="1:11" x14ac:dyDescent="0.35">
      <c r="A1481" s="261" t="s">
        <v>159</v>
      </c>
      <c r="B1481" s="262" t="s">
        <v>299</v>
      </c>
      <c r="C1481" s="262" t="s">
        <v>300</v>
      </c>
      <c r="D1481" s="262" t="s">
        <v>301</v>
      </c>
      <c r="E1481" s="263" t="s">
        <v>302</v>
      </c>
      <c r="G1481" s="264" t="s">
        <v>159</v>
      </c>
      <c r="H1481" s="265" t="s">
        <v>299</v>
      </c>
      <c r="I1481" s="265" t="s">
        <v>300</v>
      </c>
      <c r="J1481" s="265" t="s">
        <v>301</v>
      </c>
      <c r="K1481" s="266" t="s">
        <v>302</v>
      </c>
    </row>
    <row r="1482" spans="1:11" x14ac:dyDescent="0.35">
      <c r="A1482" s="221" t="s">
        <v>303</v>
      </c>
      <c r="B1482" s="222"/>
      <c r="C1482" s="222"/>
      <c r="D1482" s="222"/>
      <c r="E1482" s="223"/>
      <c r="G1482" s="221" t="s">
        <v>303</v>
      </c>
      <c r="H1482" s="222"/>
      <c r="I1482" s="222"/>
      <c r="J1482" s="222"/>
      <c r="K1482" s="223"/>
    </row>
    <row r="1483" spans="1:11" x14ac:dyDescent="0.35">
      <c r="A1483" s="225" t="s">
        <v>304</v>
      </c>
      <c r="B1483" s="226"/>
      <c r="C1483" s="226"/>
      <c r="D1483" s="226"/>
      <c r="E1483" s="227"/>
      <c r="G1483" s="225"/>
      <c r="H1483" s="226"/>
      <c r="I1483" s="226"/>
      <c r="J1483" s="226"/>
      <c r="K1483" s="227"/>
    </row>
    <row r="1484" spans="1:11" x14ac:dyDescent="0.35">
      <c r="A1484" s="225"/>
      <c r="B1484" s="226"/>
      <c r="C1484" s="226"/>
      <c r="D1484" s="226"/>
      <c r="E1484" s="227"/>
      <c r="G1484" s="225"/>
      <c r="H1484" s="226"/>
      <c r="I1484" s="226"/>
      <c r="J1484" s="226"/>
      <c r="K1484" s="227"/>
    </row>
    <row r="1485" spans="1:11" x14ac:dyDescent="0.35">
      <c r="A1485" s="221"/>
      <c r="B1485" s="222"/>
      <c r="C1485" s="222"/>
      <c r="D1485" s="222"/>
      <c r="E1485" s="223"/>
      <c r="G1485" s="221"/>
      <c r="H1485" s="222"/>
      <c r="I1485" s="222"/>
      <c r="J1485" s="222"/>
      <c r="K1485" s="223"/>
    </row>
    <row r="1486" spans="1:11" x14ac:dyDescent="0.35">
      <c r="A1486" s="225"/>
      <c r="B1486" s="226"/>
      <c r="C1486" s="226"/>
      <c r="D1486" s="226"/>
      <c r="E1486" s="227"/>
      <c r="G1486" s="225"/>
      <c r="H1486" s="226"/>
      <c r="I1486" s="226"/>
      <c r="J1486" s="226"/>
      <c r="K1486" s="227"/>
    </row>
    <row r="1487" spans="1:11" ht="15" thickBot="1" x14ac:dyDescent="0.4">
      <c r="A1487" s="218" t="s">
        <v>34</v>
      </c>
      <c r="B1487" s="219">
        <f>SUM(B1482:B1486)</f>
        <v>0</v>
      </c>
      <c r="C1487" s="219">
        <f>SUM(C1482:C1486)</f>
        <v>0</v>
      </c>
      <c r="D1487" s="219">
        <f>SUM(D1482:D1486)</f>
        <v>0</v>
      </c>
      <c r="E1487" s="219">
        <f>SUM(E1482:E1486)</f>
        <v>0</v>
      </c>
      <c r="G1487" s="218" t="s">
        <v>34</v>
      </c>
      <c r="H1487" s="219">
        <f>SUM(H1482:H1486)</f>
        <v>0</v>
      </c>
      <c r="I1487" s="219">
        <f>SUM(I1482:I1486)</f>
        <v>0</v>
      </c>
      <c r="J1487" s="219">
        <f>SUM(J1482:J1486)</f>
        <v>0</v>
      </c>
      <c r="K1487" s="219">
        <f>SUM(K1482:K1486)</f>
        <v>0</v>
      </c>
    </row>
    <row r="1488" spans="1:11" x14ac:dyDescent="0.35">
      <c r="A1488" s="220" t="s">
        <v>305</v>
      </c>
      <c r="B1488" s="220">
        <f>+B1487+C1487+D1487+E1487</f>
        <v>0</v>
      </c>
      <c r="C1488" s="220"/>
      <c r="D1488" s="220"/>
      <c r="E1488" s="220"/>
      <c r="G1488" s="220" t="s">
        <v>305</v>
      </c>
      <c r="H1488" s="220">
        <f>+H1487+I1487+J1487+K1487</f>
        <v>0</v>
      </c>
      <c r="I1488" s="220"/>
      <c r="J1488" s="220"/>
      <c r="K1488" s="220"/>
    </row>
    <row r="1489" spans="1:11" ht="15" thickBot="1" x14ac:dyDescent="0.4">
      <c r="A1489" s="315" t="s">
        <v>298</v>
      </c>
      <c r="B1489" s="315"/>
      <c r="C1489" s="315"/>
      <c r="D1489" s="315"/>
      <c r="E1489" s="315"/>
      <c r="G1489" s="315" t="s">
        <v>314</v>
      </c>
      <c r="H1489" s="315"/>
      <c r="I1489" s="315"/>
      <c r="J1489" s="315"/>
      <c r="K1489" s="315"/>
    </row>
    <row r="1490" spans="1:11" ht="15" thickTop="1" x14ac:dyDescent="0.35">
      <c r="A1490" s="313">
        <v>45439</v>
      </c>
      <c r="B1490" s="314"/>
      <c r="C1490" s="314"/>
      <c r="D1490" s="314"/>
      <c r="E1490" s="314"/>
      <c r="G1490" s="313">
        <v>45439</v>
      </c>
      <c r="H1490" s="314"/>
      <c r="I1490" s="314"/>
      <c r="J1490" s="314"/>
      <c r="K1490" s="314"/>
    </row>
    <row r="1491" spans="1:11" x14ac:dyDescent="0.35">
      <c r="A1491" s="261" t="s">
        <v>159</v>
      </c>
      <c r="B1491" s="262" t="s">
        <v>299</v>
      </c>
      <c r="C1491" s="262" t="s">
        <v>300</v>
      </c>
      <c r="D1491" s="262" t="s">
        <v>301</v>
      </c>
      <c r="E1491" s="263" t="s">
        <v>302</v>
      </c>
      <c r="G1491" s="264" t="s">
        <v>159</v>
      </c>
      <c r="H1491" s="265" t="s">
        <v>299</v>
      </c>
      <c r="I1491" s="265" t="s">
        <v>300</v>
      </c>
      <c r="J1491" s="265" t="s">
        <v>301</v>
      </c>
      <c r="K1491" s="266" t="s">
        <v>302</v>
      </c>
    </row>
    <row r="1492" spans="1:11" x14ac:dyDescent="0.35">
      <c r="A1492" s="221" t="s">
        <v>303</v>
      </c>
      <c r="B1492" s="222"/>
      <c r="C1492" s="222"/>
      <c r="D1492" s="222"/>
      <c r="E1492" s="223"/>
      <c r="G1492" s="221" t="s">
        <v>303</v>
      </c>
      <c r="H1492" s="222"/>
      <c r="I1492" s="222"/>
      <c r="J1492" s="222"/>
      <c r="K1492" s="223"/>
    </row>
    <row r="1493" spans="1:11" x14ac:dyDescent="0.35">
      <c r="A1493" s="225" t="s">
        <v>304</v>
      </c>
      <c r="B1493" s="226"/>
      <c r="C1493" s="226"/>
      <c r="D1493" s="226"/>
      <c r="E1493" s="227"/>
      <c r="G1493" s="225"/>
      <c r="H1493" s="226"/>
      <c r="I1493" s="226"/>
      <c r="J1493" s="226"/>
      <c r="K1493" s="227"/>
    </row>
    <row r="1494" spans="1:11" x14ac:dyDescent="0.35">
      <c r="A1494" s="225"/>
      <c r="B1494" s="226"/>
      <c r="C1494" s="226"/>
      <c r="D1494" s="226"/>
      <c r="E1494" s="227"/>
      <c r="G1494" s="225"/>
      <c r="H1494" s="226"/>
      <c r="I1494" s="226"/>
      <c r="J1494" s="226"/>
      <c r="K1494" s="227"/>
    </row>
    <row r="1495" spans="1:11" x14ac:dyDescent="0.35">
      <c r="A1495" s="221"/>
      <c r="B1495" s="222"/>
      <c r="C1495" s="222"/>
      <c r="D1495" s="222"/>
      <c r="E1495" s="223"/>
      <c r="G1495" s="221"/>
      <c r="H1495" s="222"/>
      <c r="I1495" s="222"/>
      <c r="J1495" s="222"/>
      <c r="K1495" s="223"/>
    </row>
    <row r="1496" spans="1:11" x14ac:dyDescent="0.35">
      <c r="A1496" s="225"/>
      <c r="B1496" s="226"/>
      <c r="C1496" s="226"/>
      <c r="D1496" s="226"/>
      <c r="E1496" s="227"/>
      <c r="G1496" s="225"/>
      <c r="H1496" s="226"/>
      <c r="I1496" s="226"/>
      <c r="J1496" s="226"/>
      <c r="K1496" s="227"/>
    </row>
    <row r="1497" spans="1:11" ht="15" thickBot="1" x14ac:dyDescent="0.4">
      <c r="A1497" s="218" t="s">
        <v>34</v>
      </c>
      <c r="B1497" s="219">
        <f>SUM(B1492:B1496)</f>
        <v>0</v>
      </c>
      <c r="C1497" s="219">
        <f>SUM(C1492:C1496)</f>
        <v>0</v>
      </c>
      <c r="D1497" s="219">
        <f>SUM(D1492:D1496)</f>
        <v>0</v>
      </c>
      <c r="E1497" s="219">
        <f>SUM(E1492:E1496)</f>
        <v>0</v>
      </c>
      <c r="G1497" s="218" t="s">
        <v>34</v>
      </c>
      <c r="H1497" s="219">
        <f>SUM(H1492:H1496)</f>
        <v>0</v>
      </c>
      <c r="I1497" s="219">
        <f>SUM(I1492:I1496)</f>
        <v>0</v>
      </c>
      <c r="J1497" s="219">
        <f>SUM(J1492:J1496)</f>
        <v>0</v>
      </c>
      <c r="K1497" s="219">
        <f>SUM(K1492:K1496)</f>
        <v>0</v>
      </c>
    </row>
    <row r="1498" spans="1:11" x14ac:dyDescent="0.35">
      <c r="A1498" s="220" t="s">
        <v>305</v>
      </c>
      <c r="B1498" s="220">
        <f>+B1497+C1497+D1497+E1497</f>
        <v>0</v>
      </c>
      <c r="C1498" s="220"/>
      <c r="D1498" s="220"/>
      <c r="E1498" s="220"/>
      <c r="G1498" s="220" t="s">
        <v>305</v>
      </c>
      <c r="H1498" s="220">
        <f>+H1497+I1497+J1497+K1497</f>
        <v>0</v>
      </c>
      <c r="I1498" s="220"/>
      <c r="J1498" s="220"/>
      <c r="K1498" s="220"/>
    </row>
    <row r="1499" spans="1:11" ht="15" thickBot="1" x14ac:dyDescent="0.4">
      <c r="A1499" s="315" t="s">
        <v>298</v>
      </c>
      <c r="B1499" s="315"/>
      <c r="C1499" s="315"/>
      <c r="D1499" s="315"/>
      <c r="E1499" s="315"/>
      <c r="G1499" s="315" t="s">
        <v>314</v>
      </c>
      <c r="H1499" s="315"/>
      <c r="I1499" s="315"/>
      <c r="J1499" s="315"/>
      <c r="K1499" s="315"/>
    </row>
    <row r="1500" spans="1:11" ht="15" thickTop="1" x14ac:dyDescent="0.35">
      <c r="A1500" s="313">
        <v>45440</v>
      </c>
      <c r="B1500" s="314"/>
      <c r="C1500" s="314"/>
      <c r="D1500" s="314"/>
      <c r="E1500" s="314"/>
      <c r="G1500" s="313">
        <v>45440</v>
      </c>
      <c r="H1500" s="314"/>
      <c r="I1500" s="314"/>
      <c r="J1500" s="314"/>
      <c r="K1500" s="314"/>
    </row>
    <row r="1501" spans="1:11" x14ac:dyDescent="0.35">
      <c r="A1501" s="261" t="s">
        <v>159</v>
      </c>
      <c r="B1501" s="262" t="s">
        <v>299</v>
      </c>
      <c r="C1501" s="262" t="s">
        <v>300</v>
      </c>
      <c r="D1501" s="262" t="s">
        <v>301</v>
      </c>
      <c r="E1501" s="263" t="s">
        <v>302</v>
      </c>
      <c r="G1501" s="264" t="s">
        <v>159</v>
      </c>
      <c r="H1501" s="265" t="s">
        <v>299</v>
      </c>
      <c r="I1501" s="265" t="s">
        <v>300</v>
      </c>
      <c r="J1501" s="265" t="s">
        <v>301</v>
      </c>
      <c r="K1501" s="266" t="s">
        <v>302</v>
      </c>
    </row>
    <row r="1502" spans="1:11" x14ac:dyDescent="0.35">
      <c r="A1502" s="221" t="s">
        <v>303</v>
      </c>
      <c r="B1502" s="222"/>
      <c r="C1502" s="222"/>
      <c r="D1502" s="222"/>
      <c r="E1502" s="223"/>
      <c r="G1502" s="221" t="s">
        <v>303</v>
      </c>
      <c r="H1502" s="222"/>
      <c r="I1502" s="222"/>
      <c r="J1502" s="222"/>
      <c r="K1502" s="223"/>
    </row>
    <row r="1503" spans="1:11" x14ac:dyDescent="0.35">
      <c r="A1503" s="225" t="s">
        <v>304</v>
      </c>
      <c r="B1503" s="226"/>
      <c r="C1503" s="226"/>
      <c r="D1503" s="226"/>
      <c r="E1503" s="227"/>
      <c r="G1503" s="225"/>
      <c r="H1503" s="226"/>
      <c r="I1503" s="226"/>
      <c r="J1503" s="226"/>
      <c r="K1503" s="227"/>
    </row>
    <row r="1504" spans="1:11" x14ac:dyDescent="0.35">
      <c r="A1504" s="225"/>
      <c r="B1504" s="226"/>
      <c r="C1504" s="226"/>
      <c r="D1504" s="226"/>
      <c r="E1504" s="227"/>
      <c r="G1504" s="225"/>
      <c r="H1504" s="226"/>
      <c r="I1504" s="226"/>
      <c r="J1504" s="226"/>
      <c r="K1504" s="227"/>
    </row>
    <row r="1505" spans="1:11" x14ac:dyDescent="0.35">
      <c r="A1505" s="221"/>
      <c r="B1505" s="222"/>
      <c r="C1505" s="222"/>
      <c r="D1505" s="222"/>
      <c r="E1505" s="223"/>
      <c r="G1505" s="221"/>
      <c r="H1505" s="222"/>
      <c r="I1505" s="222"/>
      <c r="J1505" s="222"/>
      <c r="K1505" s="223"/>
    </row>
    <row r="1506" spans="1:11" x14ac:dyDescent="0.35">
      <c r="A1506" s="225"/>
      <c r="B1506" s="226"/>
      <c r="C1506" s="226"/>
      <c r="D1506" s="226"/>
      <c r="E1506" s="227"/>
      <c r="G1506" s="225"/>
      <c r="H1506" s="226"/>
      <c r="I1506" s="226"/>
      <c r="J1506" s="226"/>
      <c r="K1506" s="227"/>
    </row>
    <row r="1507" spans="1:11" ht="15" thickBot="1" x14ac:dyDescent="0.4">
      <c r="A1507" s="218" t="s">
        <v>34</v>
      </c>
      <c r="B1507" s="219">
        <f>SUM(B1502:B1506)</f>
        <v>0</v>
      </c>
      <c r="C1507" s="219">
        <f>SUM(C1502:C1506)</f>
        <v>0</v>
      </c>
      <c r="D1507" s="219">
        <f>SUM(D1502:D1506)</f>
        <v>0</v>
      </c>
      <c r="E1507" s="219">
        <f>SUM(E1502:E1506)</f>
        <v>0</v>
      </c>
      <c r="G1507" s="218" t="s">
        <v>34</v>
      </c>
      <c r="H1507" s="219">
        <f>SUM(H1502:H1506)</f>
        <v>0</v>
      </c>
      <c r="I1507" s="219">
        <f>SUM(I1502:I1506)</f>
        <v>0</v>
      </c>
      <c r="J1507" s="219">
        <f>SUM(J1502:J1506)</f>
        <v>0</v>
      </c>
      <c r="K1507" s="219">
        <f>SUM(K1502:K1506)</f>
        <v>0</v>
      </c>
    </row>
    <row r="1508" spans="1:11" x14ac:dyDescent="0.35">
      <c r="A1508" s="220" t="s">
        <v>305</v>
      </c>
      <c r="B1508" s="220">
        <f>+B1507+C1507+D1507+E1507</f>
        <v>0</v>
      </c>
      <c r="C1508" s="220"/>
      <c r="D1508" s="220"/>
      <c r="E1508" s="220"/>
      <c r="G1508" s="220" t="s">
        <v>305</v>
      </c>
      <c r="H1508" s="220">
        <f>+H1507+I1507+J1507+K1507</f>
        <v>0</v>
      </c>
      <c r="I1508" s="220"/>
      <c r="J1508" s="220"/>
      <c r="K1508" s="220"/>
    </row>
    <row r="1509" spans="1:11" ht="15" thickBot="1" x14ac:dyDescent="0.4">
      <c r="A1509" s="315" t="s">
        <v>298</v>
      </c>
      <c r="B1509" s="315"/>
      <c r="C1509" s="315"/>
      <c r="D1509" s="315"/>
      <c r="E1509" s="315"/>
      <c r="G1509" s="315" t="s">
        <v>314</v>
      </c>
      <c r="H1509" s="315"/>
      <c r="I1509" s="315"/>
      <c r="J1509" s="315"/>
      <c r="K1509" s="315"/>
    </row>
    <row r="1510" spans="1:11" ht="15" thickTop="1" x14ac:dyDescent="0.35">
      <c r="A1510" s="313">
        <v>45441</v>
      </c>
      <c r="B1510" s="314"/>
      <c r="C1510" s="314"/>
      <c r="D1510" s="314"/>
      <c r="E1510" s="314"/>
      <c r="G1510" s="313">
        <v>45441</v>
      </c>
      <c r="H1510" s="314"/>
      <c r="I1510" s="314"/>
      <c r="J1510" s="314"/>
      <c r="K1510" s="314"/>
    </row>
    <row r="1511" spans="1:11" x14ac:dyDescent="0.35">
      <c r="A1511" s="261" t="s">
        <v>159</v>
      </c>
      <c r="B1511" s="262" t="s">
        <v>299</v>
      </c>
      <c r="C1511" s="262" t="s">
        <v>300</v>
      </c>
      <c r="D1511" s="262" t="s">
        <v>301</v>
      </c>
      <c r="E1511" s="263" t="s">
        <v>302</v>
      </c>
      <c r="G1511" s="264" t="s">
        <v>159</v>
      </c>
      <c r="H1511" s="265" t="s">
        <v>299</v>
      </c>
      <c r="I1511" s="265" t="s">
        <v>300</v>
      </c>
      <c r="J1511" s="265" t="s">
        <v>301</v>
      </c>
      <c r="K1511" s="266" t="s">
        <v>302</v>
      </c>
    </row>
    <row r="1512" spans="1:11" x14ac:dyDescent="0.35">
      <c r="A1512" s="221" t="s">
        <v>303</v>
      </c>
      <c r="B1512" s="222"/>
      <c r="C1512" s="222"/>
      <c r="D1512" s="222"/>
      <c r="E1512" s="223"/>
      <c r="G1512" s="221" t="s">
        <v>303</v>
      </c>
      <c r="H1512" s="222"/>
      <c r="I1512" s="222"/>
      <c r="J1512" s="222"/>
      <c r="K1512" s="223"/>
    </row>
    <row r="1513" spans="1:11" x14ac:dyDescent="0.35">
      <c r="A1513" s="225" t="s">
        <v>304</v>
      </c>
      <c r="B1513" s="226"/>
      <c r="C1513" s="226"/>
      <c r="D1513" s="226"/>
      <c r="E1513" s="227"/>
      <c r="G1513" s="225"/>
      <c r="H1513" s="226"/>
      <c r="I1513" s="226"/>
      <c r="J1513" s="226"/>
      <c r="K1513" s="227"/>
    </row>
    <row r="1514" spans="1:11" x14ac:dyDescent="0.35">
      <c r="A1514" s="225"/>
      <c r="B1514" s="226"/>
      <c r="C1514" s="226"/>
      <c r="D1514" s="226"/>
      <c r="E1514" s="227"/>
      <c r="G1514" s="225"/>
      <c r="H1514" s="226"/>
      <c r="I1514" s="226"/>
      <c r="J1514" s="226"/>
      <c r="K1514" s="227"/>
    </row>
    <row r="1515" spans="1:11" x14ac:dyDescent="0.35">
      <c r="A1515" s="221"/>
      <c r="B1515" s="222"/>
      <c r="C1515" s="222"/>
      <c r="D1515" s="222"/>
      <c r="E1515" s="223"/>
      <c r="G1515" s="221"/>
      <c r="H1515" s="222"/>
      <c r="I1515" s="222"/>
      <c r="J1515" s="222"/>
      <c r="K1515" s="223"/>
    </row>
    <row r="1516" spans="1:11" x14ac:dyDescent="0.35">
      <c r="A1516" s="225"/>
      <c r="B1516" s="226"/>
      <c r="C1516" s="226"/>
      <c r="D1516" s="226"/>
      <c r="E1516" s="227"/>
      <c r="G1516" s="225"/>
      <c r="H1516" s="226"/>
      <c r="I1516" s="226"/>
      <c r="J1516" s="226"/>
      <c r="K1516" s="227"/>
    </row>
    <row r="1517" spans="1:11" ht="15" thickBot="1" x14ac:dyDescent="0.4">
      <c r="A1517" s="218" t="s">
        <v>34</v>
      </c>
      <c r="B1517" s="219">
        <f>SUM(B1512:B1516)</f>
        <v>0</v>
      </c>
      <c r="C1517" s="219">
        <f>SUM(C1512:C1516)</f>
        <v>0</v>
      </c>
      <c r="D1517" s="219">
        <f>SUM(D1512:D1516)</f>
        <v>0</v>
      </c>
      <c r="E1517" s="219">
        <f>SUM(E1512:E1516)</f>
        <v>0</v>
      </c>
      <c r="G1517" s="218" t="s">
        <v>34</v>
      </c>
      <c r="H1517" s="219">
        <f>SUM(H1512:H1516)</f>
        <v>0</v>
      </c>
      <c r="I1517" s="219">
        <f>SUM(I1512:I1516)</f>
        <v>0</v>
      </c>
      <c r="J1517" s="219">
        <f>SUM(J1512:J1516)</f>
        <v>0</v>
      </c>
      <c r="K1517" s="219">
        <f>SUM(K1512:K1516)</f>
        <v>0</v>
      </c>
    </row>
    <row r="1518" spans="1:11" x14ac:dyDescent="0.35">
      <c r="A1518" s="220" t="s">
        <v>305</v>
      </c>
      <c r="B1518" s="220">
        <f>+B1517+C1517+D1517+E1517</f>
        <v>0</v>
      </c>
      <c r="C1518" s="220"/>
      <c r="D1518" s="220"/>
      <c r="E1518" s="220"/>
      <c r="G1518" s="220" t="s">
        <v>305</v>
      </c>
      <c r="H1518" s="220">
        <f>+H1517+I1517+J1517+K1517</f>
        <v>0</v>
      </c>
      <c r="I1518" s="220"/>
      <c r="J1518" s="220"/>
      <c r="K1518" s="220"/>
    </row>
    <row r="1519" spans="1:11" ht="15" thickBot="1" x14ac:dyDescent="0.4">
      <c r="A1519" s="315" t="s">
        <v>298</v>
      </c>
      <c r="B1519" s="315"/>
      <c r="C1519" s="315"/>
      <c r="D1519" s="315"/>
      <c r="E1519" s="315"/>
      <c r="G1519" s="315" t="s">
        <v>314</v>
      </c>
      <c r="H1519" s="315"/>
      <c r="I1519" s="315"/>
      <c r="J1519" s="315"/>
      <c r="K1519" s="315"/>
    </row>
    <row r="1520" spans="1:11" ht="15" thickTop="1" x14ac:dyDescent="0.35">
      <c r="A1520" s="313">
        <v>45442</v>
      </c>
      <c r="B1520" s="314"/>
      <c r="C1520" s="314"/>
      <c r="D1520" s="314"/>
      <c r="E1520" s="314"/>
      <c r="G1520" s="313">
        <v>45442</v>
      </c>
      <c r="H1520" s="314"/>
      <c r="I1520" s="314"/>
      <c r="J1520" s="314"/>
      <c r="K1520" s="314"/>
    </row>
    <row r="1521" spans="1:11" x14ac:dyDescent="0.35">
      <c r="A1521" s="261" t="s">
        <v>159</v>
      </c>
      <c r="B1521" s="262" t="s">
        <v>299</v>
      </c>
      <c r="C1521" s="262" t="s">
        <v>300</v>
      </c>
      <c r="D1521" s="262" t="s">
        <v>301</v>
      </c>
      <c r="E1521" s="263" t="s">
        <v>302</v>
      </c>
      <c r="G1521" s="264" t="s">
        <v>159</v>
      </c>
      <c r="H1521" s="265" t="s">
        <v>299</v>
      </c>
      <c r="I1521" s="265" t="s">
        <v>300</v>
      </c>
      <c r="J1521" s="265" t="s">
        <v>301</v>
      </c>
      <c r="K1521" s="266" t="s">
        <v>302</v>
      </c>
    </row>
    <row r="1522" spans="1:11" x14ac:dyDescent="0.35">
      <c r="A1522" s="221" t="s">
        <v>303</v>
      </c>
      <c r="B1522" s="222"/>
      <c r="C1522" s="222"/>
      <c r="D1522" s="222"/>
      <c r="E1522" s="223"/>
      <c r="G1522" s="221" t="s">
        <v>303</v>
      </c>
      <c r="H1522" s="222"/>
      <c r="I1522" s="222"/>
      <c r="J1522" s="222"/>
      <c r="K1522" s="223"/>
    </row>
    <row r="1523" spans="1:11" x14ac:dyDescent="0.35">
      <c r="A1523" s="225" t="s">
        <v>304</v>
      </c>
      <c r="B1523" s="226"/>
      <c r="C1523" s="226"/>
      <c r="D1523" s="226"/>
      <c r="E1523" s="227"/>
      <c r="G1523" s="225"/>
      <c r="H1523" s="226"/>
      <c r="I1523" s="226"/>
      <c r="J1523" s="226"/>
      <c r="K1523" s="227"/>
    </row>
    <row r="1524" spans="1:11" x14ac:dyDescent="0.35">
      <c r="A1524" s="225"/>
      <c r="B1524" s="226"/>
      <c r="C1524" s="226"/>
      <c r="D1524" s="226"/>
      <c r="E1524" s="227"/>
      <c r="G1524" s="225"/>
      <c r="H1524" s="226"/>
      <c r="I1524" s="226"/>
      <c r="J1524" s="226"/>
      <c r="K1524" s="227"/>
    </row>
    <row r="1525" spans="1:11" x14ac:dyDescent="0.35">
      <c r="A1525" s="221"/>
      <c r="B1525" s="222"/>
      <c r="C1525" s="222"/>
      <c r="D1525" s="222"/>
      <c r="E1525" s="223"/>
      <c r="G1525" s="221"/>
      <c r="H1525" s="222"/>
      <c r="I1525" s="222"/>
      <c r="J1525" s="222"/>
      <c r="K1525" s="223"/>
    </row>
    <row r="1526" spans="1:11" x14ac:dyDescent="0.35">
      <c r="A1526" s="225"/>
      <c r="B1526" s="226"/>
      <c r="C1526" s="226"/>
      <c r="D1526" s="226"/>
      <c r="E1526" s="227"/>
      <c r="G1526" s="225"/>
      <c r="H1526" s="226"/>
      <c r="I1526" s="226"/>
      <c r="J1526" s="226"/>
      <c r="K1526" s="227"/>
    </row>
    <row r="1527" spans="1:11" ht="15" thickBot="1" x14ac:dyDescent="0.4">
      <c r="A1527" s="218" t="s">
        <v>34</v>
      </c>
      <c r="B1527" s="219">
        <f>SUM(B1522:B1526)</f>
        <v>0</v>
      </c>
      <c r="C1527" s="219">
        <f>SUM(C1522:C1526)</f>
        <v>0</v>
      </c>
      <c r="D1527" s="219">
        <f>SUM(D1522:D1526)</f>
        <v>0</v>
      </c>
      <c r="E1527" s="219">
        <f>SUM(E1522:E1526)</f>
        <v>0</v>
      </c>
      <c r="G1527" s="218" t="s">
        <v>34</v>
      </c>
      <c r="H1527" s="219">
        <f>SUM(H1522:H1526)</f>
        <v>0</v>
      </c>
      <c r="I1527" s="219">
        <f>SUM(I1522:I1526)</f>
        <v>0</v>
      </c>
      <c r="J1527" s="219">
        <f>SUM(J1522:J1526)</f>
        <v>0</v>
      </c>
      <c r="K1527" s="219">
        <f>SUM(K1522:K1526)</f>
        <v>0</v>
      </c>
    </row>
    <row r="1528" spans="1:11" x14ac:dyDescent="0.35">
      <c r="A1528" s="220" t="s">
        <v>305</v>
      </c>
      <c r="B1528" s="220">
        <f>+B1527+C1527+D1527+E1527</f>
        <v>0</v>
      </c>
      <c r="C1528" s="220"/>
      <c r="D1528" s="220"/>
      <c r="E1528" s="220"/>
      <c r="G1528" s="220" t="s">
        <v>305</v>
      </c>
      <c r="H1528" s="220">
        <f>+H1527+I1527+J1527+K1527</f>
        <v>0</v>
      </c>
      <c r="I1528" s="220"/>
      <c r="J1528" s="220"/>
      <c r="K1528" s="220"/>
    </row>
    <row r="1529" spans="1:11" ht="15" thickBot="1" x14ac:dyDescent="0.4">
      <c r="A1529" s="315" t="s">
        <v>298</v>
      </c>
      <c r="B1529" s="315"/>
      <c r="C1529" s="315"/>
      <c r="D1529" s="315"/>
      <c r="E1529" s="315"/>
      <c r="G1529" s="315" t="s">
        <v>314</v>
      </c>
      <c r="H1529" s="315"/>
      <c r="I1529" s="315"/>
      <c r="J1529" s="315"/>
      <c r="K1529" s="315"/>
    </row>
    <row r="1530" spans="1:11" ht="15" thickTop="1" x14ac:dyDescent="0.35">
      <c r="A1530" s="313">
        <v>45443</v>
      </c>
      <c r="B1530" s="314"/>
      <c r="C1530" s="314"/>
      <c r="D1530" s="314"/>
      <c r="E1530" s="314"/>
      <c r="G1530" s="313">
        <v>45443</v>
      </c>
      <c r="H1530" s="314"/>
      <c r="I1530" s="314"/>
      <c r="J1530" s="314"/>
      <c r="K1530" s="314"/>
    </row>
    <row r="1531" spans="1:11" x14ac:dyDescent="0.35">
      <c r="A1531" s="261" t="s">
        <v>159</v>
      </c>
      <c r="B1531" s="262" t="s">
        <v>299</v>
      </c>
      <c r="C1531" s="262" t="s">
        <v>300</v>
      </c>
      <c r="D1531" s="262" t="s">
        <v>301</v>
      </c>
      <c r="E1531" s="263" t="s">
        <v>302</v>
      </c>
      <c r="G1531" s="264" t="s">
        <v>159</v>
      </c>
      <c r="H1531" s="265" t="s">
        <v>299</v>
      </c>
      <c r="I1531" s="265" t="s">
        <v>300</v>
      </c>
      <c r="J1531" s="265" t="s">
        <v>301</v>
      </c>
      <c r="K1531" s="266" t="s">
        <v>302</v>
      </c>
    </row>
    <row r="1532" spans="1:11" x14ac:dyDescent="0.35">
      <c r="A1532" s="221" t="s">
        <v>303</v>
      </c>
      <c r="B1532" s="222"/>
      <c r="C1532" s="222"/>
      <c r="D1532" s="222"/>
      <c r="E1532" s="223"/>
      <c r="G1532" s="221" t="s">
        <v>303</v>
      </c>
      <c r="H1532" s="222"/>
      <c r="I1532" s="222"/>
      <c r="J1532" s="222"/>
      <c r="K1532" s="223"/>
    </row>
    <row r="1533" spans="1:11" x14ac:dyDescent="0.35">
      <c r="A1533" s="225" t="s">
        <v>304</v>
      </c>
      <c r="B1533" s="226"/>
      <c r="C1533" s="226"/>
      <c r="D1533" s="226"/>
      <c r="E1533" s="227"/>
      <c r="G1533" s="225"/>
      <c r="H1533" s="226"/>
      <c r="I1533" s="226"/>
      <c r="J1533" s="226"/>
      <c r="K1533" s="227"/>
    </row>
    <row r="1534" spans="1:11" x14ac:dyDescent="0.35">
      <c r="A1534" s="225"/>
      <c r="B1534" s="226"/>
      <c r="C1534" s="226"/>
      <c r="D1534" s="226"/>
      <c r="E1534" s="227"/>
      <c r="G1534" s="225"/>
      <c r="H1534" s="226"/>
      <c r="I1534" s="226"/>
      <c r="J1534" s="226"/>
      <c r="K1534" s="227"/>
    </row>
    <row r="1535" spans="1:11" x14ac:dyDescent="0.35">
      <c r="A1535" s="221"/>
      <c r="B1535" s="222"/>
      <c r="C1535" s="222"/>
      <c r="D1535" s="222"/>
      <c r="E1535" s="223"/>
      <c r="G1535" s="221"/>
      <c r="H1535" s="222"/>
      <c r="I1535" s="222"/>
      <c r="J1535" s="222"/>
      <c r="K1535" s="223"/>
    </row>
    <row r="1536" spans="1:11" x14ac:dyDescent="0.35">
      <c r="A1536" s="225"/>
      <c r="B1536" s="226"/>
      <c r="C1536" s="226"/>
      <c r="D1536" s="226"/>
      <c r="E1536" s="227"/>
      <c r="G1536" s="225"/>
      <c r="H1536" s="226"/>
      <c r="I1536" s="226"/>
      <c r="J1536" s="226"/>
      <c r="K1536" s="227"/>
    </row>
    <row r="1537" spans="1:13" ht="15" thickBot="1" x14ac:dyDescent="0.4">
      <c r="A1537" s="218" t="s">
        <v>34</v>
      </c>
      <c r="B1537" s="219">
        <f>SUM(B1532:B1536)</f>
        <v>0</v>
      </c>
      <c r="C1537" s="219">
        <f>SUM(C1532:C1536)</f>
        <v>0</v>
      </c>
      <c r="D1537" s="219">
        <f>SUM(D1532:D1536)</f>
        <v>0</v>
      </c>
      <c r="E1537" s="219">
        <f>SUM(E1532:E1536)</f>
        <v>0</v>
      </c>
      <c r="G1537" s="218" t="s">
        <v>34</v>
      </c>
      <c r="H1537" s="219">
        <f>SUM(H1532:H1536)</f>
        <v>0</v>
      </c>
      <c r="I1537" s="219">
        <f>SUM(I1532:I1536)</f>
        <v>0</v>
      </c>
      <c r="J1537" s="219">
        <f>SUM(J1532:J1536)</f>
        <v>0</v>
      </c>
      <c r="K1537" s="219">
        <f>SUM(K1532:K1536)</f>
        <v>0</v>
      </c>
    </row>
    <row r="1538" spans="1:13" x14ac:dyDescent="0.35">
      <c r="A1538" s="220" t="s">
        <v>305</v>
      </c>
      <c r="B1538" s="220">
        <f>+B1537+C1537+D1537+E1537</f>
        <v>0</v>
      </c>
      <c r="C1538" s="220"/>
      <c r="D1538" s="220"/>
      <c r="E1538" s="220"/>
      <c r="G1538" s="220" t="s">
        <v>305</v>
      </c>
      <c r="H1538" s="220">
        <f>+H1537+I1537+J1537+K1537</f>
        <v>0</v>
      </c>
      <c r="I1538" s="220"/>
      <c r="J1538" s="220"/>
      <c r="K1538" s="220"/>
    </row>
    <row r="1539" spans="1:13" ht="15" thickBot="1" x14ac:dyDescent="0.4"/>
    <row r="1540" spans="1:13" ht="31" customHeight="1" thickBot="1" x14ac:dyDescent="0.4">
      <c r="A1540" s="316" t="s">
        <v>324</v>
      </c>
      <c r="B1540" s="317"/>
      <c r="C1540" s="317"/>
      <c r="D1540" s="317"/>
      <c r="E1540" s="317"/>
      <c r="F1540" s="318"/>
      <c r="G1540" s="324">
        <f>SUMIF($A$1229:M1539,"*"&amp;K1540&amp;"*",$B$1229:N1539)</f>
        <v>216881</v>
      </c>
      <c r="H1540" s="319"/>
      <c r="I1540" s="319"/>
      <c r="J1540" s="325"/>
      <c r="K1540" s="322" t="s">
        <v>305</v>
      </c>
      <c r="L1540" s="323"/>
      <c r="M1540" s="228">
        <f>+G1540</f>
        <v>216881</v>
      </c>
    </row>
    <row r="1543" spans="1:13" ht="15" thickBot="1" x14ac:dyDescent="0.4">
      <c r="A1543" s="315" t="s">
        <v>298</v>
      </c>
      <c r="B1543" s="315"/>
      <c r="C1543" s="315"/>
      <c r="D1543" s="315"/>
      <c r="E1543" s="315"/>
      <c r="G1543" s="315" t="s">
        <v>314</v>
      </c>
      <c r="H1543" s="315"/>
      <c r="I1543" s="315"/>
      <c r="J1543" s="315"/>
      <c r="K1543" s="315"/>
    </row>
    <row r="1544" spans="1:13" ht="15" thickTop="1" x14ac:dyDescent="0.35">
      <c r="A1544" s="313">
        <v>45444</v>
      </c>
      <c r="B1544" s="314"/>
      <c r="C1544" s="314"/>
      <c r="D1544" s="314"/>
      <c r="E1544" s="314"/>
      <c r="G1544" s="313">
        <v>45444</v>
      </c>
      <c r="H1544" s="314"/>
      <c r="I1544" s="314"/>
      <c r="J1544" s="314"/>
      <c r="K1544" s="314"/>
    </row>
    <row r="1545" spans="1:13" x14ac:dyDescent="0.35">
      <c r="A1545" s="261" t="s">
        <v>159</v>
      </c>
      <c r="B1545" s="262" t="s">
        <v>299</v>
      </c>
      <c r="C1545" s="262" t="s">
        <v>300</v>
      </c>
      <c r="D1545" s="262" t="s">
        <v>301</v>
      </c>
      <c r="E1545" s="263" t="s">
        <v>302</v>
      </c>
      <c r="G1545" s="264" t="s">
        <v>159</v>
      </c>
      <c r="H1545" s="265" t="s">
        <v>299</v>
      </c>
      <c r="I1545" s="265" t="s">
        <v>300</v>
      </c>
      <c r="J1545" s="265" t="s">
        <v>301</v>
      </c>
      <c r="K1545" s="266" t="s">
        <v>302</v>
      </c>
    </row>
    <row r="1546" spans="1:13" x14ac:dyDescent="0.35">
      <c r="A1546" s="221" t="s">
        <v>303</v>
      </c>
      <c r="B1546" s="222"/>
      <c r="C1546" s="222"/>
      <c r="D1546" s="222"/>
      <c r="E1546" s="223"/>
      <c r="G1546" s="221" t="s">
        <v>303</v>
      </c>
      <c r="H1546" s="222"/>
      <c r="I1546" s="222"/>
      <c r="J1546" s="222"/>
      <c r="K1546" s="223"/>
    </row>
    <row r="1547" spans="1:13" x14ac:dyDescent="0.35">
      <c r="A1547" s="225" t="s">
        <v>304</v>
      </c>
      <c r="B1547" s="226"/>
      <c r="C1547" s="226"/>
      <c r="D1547" s="226"/>
      <c r="E1547" s="227"/>
      <c r="G1547" s="225"/>
      <c r="H1547" s="226"/>
      <c r="I1547" s="226"/>
      <c r="J1547" s="226"/>
      <c r="K1547" s="227"/>
    </row>
    <row r="1548" spans="1:13" x14ac:dyDescent="0.35">
      <c r="A1548" s="225"/>
      <c r="B1548" s="226"/>
      <c r="C1548" s="226"/>
      <c r="D1548" s="226"/>
      <c r="E1548" s="227"/>
      <c r="G1548" s="225"/>
      <c r="H1548" s="226"/>
      <c r="I1548" s="226"/>
      <c r="J1548" s="226"/>
      <c r="K1548" s="227"/>
    </row>
    <row r="1549" spans="1:13" x14ac:dyDescent="0.35">
      <c r="A1549" s="221"/>
      <c r="B1549" s="222"/>
      <c r="C1549" s="222"/>
      <c r="D1549" s="222"/>
      <c r="E1549" s="223"/>
      <c r="G1549" s="221"/>
      <c r="H1549" s="222"/>
      <c r="I1549" s="222"/>
      <c r="J1549" s="222"/>
      <c r="K1549" s="223"/>
    </row>
    <row r="1550" spans="1:13" x14ac:dyDescent="0.35">
      <c r="A1550" s="225"/>
      <c r="B1550" s="226"/>
      <c r="C1550" s="226"/>
      <c r="D1550" s="226"/>
      <c r="E1550" s="227"/>
      <c r="G1550" s="225"/>
      <c r="H1550" s="226"/>
      <c r="I1550" s="226"/>
      <c r="J1550" s="226"/>
      <c r="K1550" s="227"/>
    </row>
    <row r="1551" spans="1:13" ht="15" thickBot="1" x14ac:dyDescent="0.4">
      <c r="A1551" s="218" t="s">
        <v>34</v>
      </c>
      <c r="B1551" s="219">
        <f>SUM(B1546:B1550)</f>
        <v>0</v>
      </c>
      <c r="C1551" s="219">
        <f>SUM(C1546:C1550)</f>
        <v>0</v>
      </c>
      <c r="D1551" s="219">
        <f>SUM(D1546:D1550)</f>
        <v>0</v>
      </c>
      <c r="E1551" s="219">
        <f>SUM(E1546:E1550)</f>
        <v>0</v>
      </c>
      <c r="G1551" s="218" t="s">
        <v>34</v>
      </c>
      <c r="H1551" s="219">
        <f>SUM(H1546:H1550)</f>
        <v>0</v>
      </c>
      <c r="I1551" s="219">
        <f>SUM(I1546:I1550)</f>
        <v>0</v>
      </c>
      <c r="J1551" s="219">
        <f>SUM(J1546:J1550)</f>
        <v>0</v>
      </c>
      <c r="K1551" s="219">
        <f>SUM(K1546:K1550)</f>
        <v>0</v>
      </c>
    </row>
    <row r="1552" spans="1:13" x14ac:dyDescent="0.35">
      <c r="A1552" s="220" t="s">
        <v>305</v>
      </c>
      <c r="B1552" s="220">
        <f>+B1551+C1551+D1551+E1551</f>
        <v>0</v>
      </c>
      <c r="C1552" s="220"/>
      <c r="D1552" s="220"/>
      <c r="E1552" s="220"/>
      <c r="G1552" s="220" t="s">
        <v>305</v>
      </c>
      <c r="H1552" s="220">
        <f>+H1551+I1551+J1551+K1551</f>
        <v>0</v>
      </c>
      <c r="I1552" s="220"/>
      <c r="J1552" s="220"/>
      <c r="K1552" s="220"/>
    </row>
    <row r="1553" spans="1:11" ht="15" thickBot="1" x14ac:dyDescent="0.4">
      <c r="A1553" s="315" t="s">
        <v>298</v>
      </c>
      <c r="B1553" s="315"/>
      <c r="C1553" s="315"/>
      <c r="D1553" s="315"/>
      <c r="E1553" s="315"/>
      <c r="G1553" s="315" t="s">
        <v>314</v>
      </c>
      <c r="H1553" s="315"/>
      <c r="I1553" s="315"/>
      <c r="J1553" s="315"/>
      <c r="K1553" s="315"/>
    </row>
    <row r="1554" spans="1:11" ht="15" thickTop="1" x14ac:dyDescent="0.35">
      <c r="A1554" s="313">
        <v>45445</v>
      </c>
      <c r="B1554" s="314"/>
      <c r="C1554" s="314"/>
      <c r="D1554" s="314"/>
      <c r="E1554" s="314"/>
      <c r="G1554" s="313">
        <v>45445</v>
      </c>
      <c r="H1554" s="314"/>
      <c r="I1554" s="314"/>
      <c r="J1554" s="314"/>
      <c r="K1554" s="314"/>
    </row>
    <row r="1555" spans="1:11" x14ac:dyDescent="0.35">
      <c r="A1555" s="261" t="s">
        <v>159</v>
      </c>
      <c r="B1555" s="262" t="s">
        <v>299</v>
      </c>
      <c r="C1555" s="262" t="s">
        <v>300</v>
      </c>
      <c r="D1555" s="262" t="s">
        <v>301</v>
      </c>
      <c r="E1555" s="263" t="s">
        <v>302</v>
      </c>
      <c r="G1555" s="264" t="s">
        <v>159</v>
      </c>
      <c r="H1555" s="265" t="s">
        <v>299</v>
      </c>
      <c r="I1555" s="265" t="s">
        <v>300</v>
      </c>
      <c r="J1555" s="265" t="s">
        <v>301</v>
      </c>
      <c r="K1555" s="266" t="s">
        <v>302</v>
      </c>
    </row>
    <row r="1556" spans="1:11" x14ac:dyDescent="0.35">
      <c r="A1556" s="221" t="s">
        <v>303</v>
      </c>
      <c r="B1556" s="222"/>
      <c r="C1556" s="222"/>
      <c r="D1556" s="222"/>
      <c r="E1556" s="223"/>
      <c r="G1556" s="221" t="s">
        <v>303</v>
      </c>
      <c r="H1556" s="222"/>
      <c r="I1556" s="222"/>
      <c r="J1556" s="222"/>
      <c r="K1556" s="223"/>
    </row>
    <row r="1557" spans="1:11" x14ac:dyDescent="0.35">
      <c r="A1557" s="225" t="s">
        <v>304</v>
      </c>
      <c r="B1557" s="226"/>
      <c r="C1557" s="226"/>
      <c r="D1557" s="226"/>
      <c r="E1557" s="227"/>
      <c r="G1557" s="225"/>
      <c r="H1557" s="226"/>
      <c r="I1557" s="226"/>
      <c r="J1557" s="226"/>
      <c r="K1557" s="227"/>
    </row>
    <row r="1558" spans="1:11" x14ac:dyDescent="0.35">
      <c r="A1558" s="225"/>
      <c r="B1558" s="226"/>
      <c r="C1558" s="226"/>
      <c r="D1558" s="226"/>
      <c r="E1558" s="227"/>
      <c r="G1558" s="225"/>
      <c r="H1558" s="226"/>
      <c r="I1558" s="226"/>
      <c r="J1558" s="226"/>
      <c r="K1558" s="227"/>
    </row>
    <row r="1559" spans="1:11" x14ac:dyDescent="0.35">
      <c r="A1559" s="221"/>
      <c r="B1559" s="222"/>
      <c r="C1559" s="222"/>
      <c r="D1559" s="222"/>
      <c r="E1559" s="223"/>
      <c r="G1559" s="221"/>
      <c r="H1559" s="222"/>
      <c r="I1559" s="222"/>
      <c r="J1559" s="222"/>
      <c r="K1559" s="223"/>
    </row>
    <row r="1560" spans="1:11" x14ac:dyDescent="0.35">
      <c r="A1560" s="225"/>
      <c r="B1560" s="226"/>
      <c r="C1560" s="226"/>
      <c r="D1560" s="226"/>
      <c r="E1560" s="227"/>
      <c r="G1560" s="225"/>
      <c r="H1560" s="226"/>
      <c r="I1560" s="226"/>
      <c r="J1560" s="226"/>
      <c r="K1560" s="227"/>
    </row>
    <row r="1561" spans="1:11" ht="15" thickBot="1" x14ac:dyDescent="0.4">
      <c r="A1561" s="218" t="s">
        <v>34</v>
      </c>
      <c r="B1561" s="219">
        <f>SUM(B1556:B1560)</f>
        <v>0</v>
      </c>
      <c r="C1561" s="219">
        <f>SUM(C1556:C1560)</f>
        <v>0</v>
      </c>
      <c r="D1561" s="219">
        <f>SUM(D1556:D1560)</f>
        <v>0</v>
      </c>
      <c r="E1561" s="219">
        <f>SUM(E1556:E1560)</f>
        <v>0</v>
      </c>
      <c r="G1561" s="218" t="s">
        <v>34</v>
      </c>
      <c r="H1561" s="219">
        <f>SUM(H1556:H1560)</f>
        <v>0</v>
      </c>
      <c r="I1561" s="219">
        <f>SUM(I1556:I1560)</f>
        <v>0</v>
      </c>
      <c r="J1561" s="219">
        <f>SUM(J1556:J1560)</f>
        <v>0</v>
      </c>
      <c r="K1561" s="219">
        <f>SUM(K1556:K1560)</f>
        <v>0</v>
      </c>
    </row>
    <row r="1562" spans="1:11" x14ac:dyDescent="0.35">
      <c r="A1562" s="220" t="s">
        <v>305</v>
      </c>
      <c r="B1562" s="220">
        <f>+B1561+C1561+D1561+E1561</f>
        <v>0</v>
      </c>
      <c r="C1562" s="220"/>
      <c r="D1562" s="220"/>
      <c r="E1562" s="220"/>
      <c r="G1562" s="220" t="s">
        <v>305</v>
      </c>
      <c r="H1562" s="220">
        <f>+H1561+I1561+J1561+K1561</f>
        <v>0</v>
      </c>
      <c r="I1562" s="220"/>
      <c r="J1562" s="220"/>
      <c r="K1562" s="220"/>
    </row>
    <row r="1563" spans="1:11" ht="15" thickBot="1" x14ac:dyDescent="0.4">
      <c r="A1563" s="315" t="s">
        <v>298</v>
      </c>
      <c r="B1563" s="315"/>
      <c r="C1563" s="315"/>
      <c r="D1563" s="315"/>
      <c r="E1563" s="315"/>
      <c r="G1563" s="315" t="s">
        <v>314</v>
      </c>
      <c r="H1563" s="315"/>
      <c r="I1563" s="315"/>
      <c r="J1563" s="315"/>
      <c r="K1563" s="315"/>
    </row>
    <row r="1564" spans="1:11" ht="15" thickTop="1" x14ac:dyDescent="0.35">
      <c r="A1564" s="313">
        <v>45446</v>
      </c>
      <c r="B1564" s="314"/>
      <c r="C1564" s="314"/>
      <c r="D1564" s="314"/>
      <c r="E1564" s="314"/>
      <c r="G1564" s="313">
        <v>45446</v>
      </c>
      <c r="H1564" s="314"/>
      <c r="I1564" s="314"/>
      <c r="J1564" s="314"/>
      <c r="K1564" s="314"/>
    </row>
    <row r="1565" spans="1:11" x14ac:dyDescent="0.35">
      <c r="A1565" s="261" t="s">
        <v>159</v>
      </c>
      <c r="B1565" s="262" t="s">
        <v>299</v>
      </c>
      <c r="C1565" s="262" t="s">
        <v>300</v>
      </c>
      <c r="D1565" s="262" t="s">
        <v>301</v>
      </c>
      <c r="E1565" s="263" t="s">
        <v>302</v>
      </c>
      <c r="G1565" s="264" t="s">
        <v>159</v>
      </c>
      <c r="H1565" s="265" t="s">
        <v>299</v>
      </c>
      <c r="I1565" s="265" t="s">
        <v>300</v>
      </c>
      <c r="J1565" s="265" t="s">
        <v>301</v>
      </c>
      <c r="K1565" s="266" t="s">
        <v>302</v>
      </c>
    </row>
    <row r="1566" spans="1:11" x14ac:dyDescent="0.35">
      <c r="A1566" s="221" t="s">
        <v>303</v>
      </c>
      <c r="B1566" s="222"/>
      <c r="C1566" s="222"/>
      <c r="D1566" s="222"/>
      <c r="E1566" s="223"/>
      <c r="G1566" s="221" t="s">
        <v>303</v>
      </c>
      <c r="H1566" s="222"/>
      <c r="I1566" s="222"/>
      <c r="J1566" s="222"/>
      <c r="K1566" s="223"/>
    </row>
    <row r="1567" spans="1:11" x14ac:dyDescent="0.35">
      <c r="A1567" s="225" t="s">
        <v>304</v>
      </c>
      <c r="B1567" s="226"/>
      <c r="C1567" s="226"/>
      <c r="D1567" s="226"/>
      <c r="E1567" s="227"/>
      <c r="G1567" s="225"/>
      <c r="H1567" s="226"/>
      <c r="I1567" s="226"/>
      <c r="J1567" s="226"/>
      <c r="K1567" s="227"/>
    </row>
    <row r="1568" spans="1:11" x14ac:dyDescent="0.35">
      <c r="A1568" s="225"/>
      <c r="B1568" s="226"/>
      <c r="C1568" s="226"/>
      <c r="D1568" s="226"/>
      <c r="E1568" s="227"/>
      <c r="G1568" s="225"/>
      <c r="H1568" s="226"/>
      <c r="I1568" s="226"/>
      <c r="J1568" s="226"/>
      <c r="K1568" s="227"/>
    </row>
    <row r="1569" spans="1:11" x14ac:dyDescent="0.35">
      <c r="A1569" s="221"/>
      <c r="B1569" s="222"/>
      <c r="C1569" s="222"/>
      <c r="D1569" s="222"/>
      <c r="E1569" s="223"/>
      <c r="G1569" s="221"/>
      <c r="H1569" s="222"/>
      <c r="I1569" s="222"/>
      <c r="J1569" s="222"/>
      <c r="K1569" s="223"/>
    </row>
    <row r="1570" spans="1:11" x14ac:dyDescent="0.35">
      <c r="A1570" s="225"/>
      <c r="B1570" s="226"/>
      <c r="C1570" s="226"/>
      <c r="D1570" s="226"/>
      <c r="E1570" s="227"/>
      <c r="G1570" s="225"/>
      <c r="H1570" s="226"/>
      <c r="I1570" s="226"/>
      <c r="J1570" s="226"/>
      <c r="K1570" s="227"/>
    </row>
    <row r="1571" spans="1:11" ht="15" thickBot="1" x14ac:dyDescent="0.4">
      <c r="A1571" s="218" t="s">
        <v>34</v>
      </c>
      <c r="B1571" s="219">
        <f>SUM(B1566:B1570)</f>
        <v>0</v>
      </c>
      <c r="C1571" s="219">
        <f>SUM(C1566:C1570)</f>
        <v>0</v>
      </c>
      <c r="D1571" s="219">
        <f>SUM(D1566:D1570)</f>
        <v>0</v>
      </c>
      <c r="E1571" s="219">
        <f>SUM(E1566:E1570)</f>
        <v>0</v>
      </c>
      <c r="G1571" s="218" t="s">
        <v>34</v>
      </c>
      <c r="H1571" s="219">
        <f>SUM(H1566:H1570)</f>
        <v>0</v>
      </c>
      <c r="I1571" s="219">
        <f>SUM(I1566:I1570)</f>
        <v>0</v>
      </c>
      <c r="J1571" s="219">
        <f>SUM(J1566:J1570)</f>
        <v>0</v>
      </c>
      <c r="K1571" s="219">
        <f>SUM(K1566:K1570)</f>
        <v>0</v>
      </c>
    </row>
    <row r="1572" spans="1:11" x14ac:dyDescent="0.35">
      <c r="A1572" s="220" t="s">
        <v>305</v>
      </c>
      <c r="B1572" s="220">
        <f>+B1571+C1571+D1571+E1571</f>
        <v>0</v>
      </c>
      <c r="C1572" s="220"/>
      <c r="D1572" s="220"/>
      <c r="E1572" s="220"/>
      <c r="G1572" s="220" t="s">
        <v>305</v>
      </c>
      <c r="H1572" s="220">
        <f>+H1571+I1571+J1571+K1571</f>
        <v>0</v>
      </c>
      <c r="I1572" s="220"/>
      <c r="J1572" s="220"/>
      <c r="K1572" s="220"/>
    </row>
    <row r="1573" spans="1:11" ht="15" thickBot="1" x14ac:dyDescent="0.4">
      <c r="A1573" s="315" t="s">
        <v>298</v>
      </c>
      <c r="B1573" s="315"/>
      <c r="C1573" s="315"/>
      <c r="D1573" s="315"/>
      <c r="E1573" s="315"/>
      <c r="G1573" s="315" t="s">
        <v>314</v>
      </c>
      <c r="H1573" s="315"/>
      <c r="I1573" s="315"/>
      <c r="J1573" s="315"/>
      <c r="K1573" s="315"/>
    </row>
    <row r="1574" spans="1:11" ht="15" thickTop="1" x14ac:dyDescent="0.35">
      <c r="A1574" s="313">
        <v>45447</v>
      </c>
      <c r="B1574" s="314"/>
      <c r="C1574" s="314"/>
      <c r="D1574" s="314"/>
      <c r="E1574" s="314"/>
      <c r="G1574" s="313">
        <v>45447</v>
      </c>
      <c r="H1574" s="314"/>
      <c r="I1574" s="314"/>
      <c r="J1574" s="314"/>
      <c r="K1574" s="314"/>
    </row>
    <row r="1575" spans="1:11" x14ac:dyDescent="0.35">
      <c r="A1575" s="261" t="s">
        <v>159</v>
      </c>
      <c r="B1575" s="262" t="s">
        <v>299</v>
      </c>
      <c r="C1575" s="262" t="s">
        <v>300</v>
      </c>
      <c r="D1575" s="262" t="s">
        <v>301</v>
      </c>
      <c r="E1575" s="263" t="s">
        <v>302</v>
      </c>
      <c r="G1575" s="264" t="s">
        <v>159</v>
      </c>
      <c r="H1575" s="265" t="s">
        <v>299</v>
      </c>
      <c r="I1575" s="265" t="s">
        <v>300</v>
      </c>
      <c r="J1575" s="265" t="s">
        <v>301</v>
      </c>
      <c r="K1575" s="266" t="s">
        <v>302</v>
      </c>
    </row>
    <row r="1576" spans="1:11" x14ac:dyDescent="0.35">
      <c r="A1576" s="221" t="s">
        <v>303</v>
      </c>
      <c r="B1576" s="222"/>
      <c r="C1576" s="222"/>
      <c r="D1576" s="222"/>
      <c r="E1576" s="223"/>
      <c r="G1576" s="221" t="s">
        <v>303</v>
      </c>
      <c r="H1576" s="222"/>
      <c r="I1576" s="222"/>
      <c r="J1576" s="222"/>
      <c r="K1576" s="223"/>
    </row>
    <row r="1577" spans="1:11" x14ac:dyDescent="0.35">
      <c r="A1577" s="225" t="s">
        <v>304</v>
      </c>
      <c r="B1577" s="226"/>
      <c r="C1577" s="226"/>
      <c r="D1577" s="226"/>
      <c r="E1577" s="227"/>
      <c r="G1577" s="225"/>
      <c r="H1577" s="226"/>
      <c r="I1577" s="226"/>
      <c r="J1577" s="226"/>
      <c r="K1577" s="227"/>
    </row>
    <row r="1578" spans="1:11" x14ac:dyDescent="0.35">
      <c r="A1578" s="225"/>
      <c r="B1578" s="226"/>
      <c r="C1578" s="226"/>
      <c r="D1578" s="226"/>
      <c r="E1578" s="227"/>
      <c r="G1578" s="225"/>
      <c r="H1578" s="226"/>
      <c r="I1578" s="226"/>
      <c r="J1578" s="226"/>
      <c r="K1578" s="227"/>
    </row>
    <row r="1579" spans="1:11" x14ac:dyDescent="0.35">
      <c r="A1579" s="221"/>
      <c r="B1579" s="222"/>
      <c r="C1579" s="222"/>
      <c r="D1579" s="222"/>
      <c r="E1579" s="223"/>
      <c r="G1579" s="221"/>
      <c r="H1579" s="222"/>
      <c r="I1579" s="222"/>
      <c r="J1579" s="222"/>
      <c r="K1579" s="223"/>
    </row>
    <row r="1580" spans="1:11" x14ac:dyDescent="0.35">
      <c r="A1580" s="225"/>
      <c r="B1580" s="226"/>
      <c r="C1580" s="226"/>
      <c r="D1580" s="226"/>
      <c r="E1580" s="227"/>
      <c r="G1580" s="225"/>
      <c r="H1580" s="226"/>
      <c r="I1580" s="226"/>
      <c r="J1580" s="226"/>
      <c r="K1580" s="227"/>
    </row>
    <row r="1581" spans="1:11" ht="15" thickBot="1" x14ac:dyDescent="0.4">
      <c r="A1581" s="218" t="s">
        <v>34</v>
      </c>
      <c r="B1581" s="219">
        <f>SUM(B1576:B1580)</f>
        <v>0</v>
      </c>
      <c r="C1581" s="219">
        <f>SUM(C1576:C1580)</f>
        <v>0</v>
      </c>
      <c r="D1581" s="219">
        <f>SUM(D1576:D1580)</f>
        <v>0</v>
      </c>
      <c r="E1581" s="219">
        <f>SUM(E1576:E1580)</f>
        <v>0</v>
      </c>
      <c r="G1581" s="218" t="s">
        <v>34</v>
      </c>
      <c r="H1581" s="219">
        <f>SUM(H1576:H1580)</f>
        <v>0</v>
      </c>
      <c r="I1581" s="219">
        <f>SUM(I1576:I1580)</f>
        <v>0</v>
      </c>
      <c r="J1581" s="219">
        <f>SUM(J1576:J1580)</f>
        <v>0</v>
      </c>
      <c r="K1581" s="219">
        <f>SUM(K1576:K1580)</f>
        <v>0</v>
      </c>
    </row>
    <row r="1582" spans="1:11" x14ac:dyDescent="0.35">
      <c r="A1582" s="220" t="s">
        <v>305</v>
      </c>
      <c r="B1582" s="220">
        <f>+B1581+C1581+D1581+E1581</f>
        <v>0</v>
      </c>
      <c r="C1582" s="220"/>
      <c r="D1582" s="220"/>
      <c r="E1582" s="220"/>
      <c r="G1582" s="220" t="s">
        <v>305</v>
      </c>
      <c r="H1582" s="220">
        <f>+H1581+I1581+J1581+K1581</f>
        <v>0</v>
      </c>
      <c r="I1582" s="220"/>
      <c r="J1582" s="220"/>
      <c r="K1582" s="220"/>
    </row>
    <row r="1583" spans="1:11" ht="15" thickBot="1" x14ac:dyDescent="0.4">
      <c r="A1583" s="315" t="s">
        <v>298</v>
      </c>
      <c r="B1583" s="315"/>
      <c r="C1583" s="315"/>
      <c r="D1583" s="315"/>
      <c r="E1583" s="315"/>
      <c r="G1583" s="315" t="s">
        <v>314</v>
      </c>
      <c r="H1583" s="315"/>
      <c r="I1583" s="315"/>
      <c r="J1583" s="315"/>
      <c r="K1583" s="315"/>
    </row>
    <row r="1584" spans="1:11" ht="15" thickTop="1" x14ac:dyDescent="0.35">
      <c r="A1584" s="313">
        <v>45448</v>
      </c>
      <c r="B1584" s="314"/>
      <c r="C1584" s="314"/>
      <c r="D1584" s="314"/>
      <c r="E1584" s="314"/>
      <c r="G1584" s="313">
        <v>45448</v>
      </c>
      <c r="H1584" s="314"/>
      <c r="I1584" s="314"/>
      <c r="J1584" s="314"/>
      <c r="K1584" s="314"/>
    </row>
    <row r="1585" spans="1:11" x14ac:dyDescent="0.35">
      <c r="A1585" s="261" t="s">
        <v>159</v>
      </c>
      <c r="B1585" s="262" t="s">
        <v>299</v>
      </c>
      <c r="C1585" s="262" t="s">
        <v>300</v>
      </c>
      <c r="D1585" s="262" t="s">
        <v>301</v>
      </c>
      <c r="E1585" s="263" t="s">
        <v>302</v>
      </c>
      <c r="G1585" s="264" t="s">
        <v>159</v>
      </c>
      <c r="H1585" s="265" t="s">
        <v>299</v>
      </c>
      <c r="I1585" s="265" t="s">
        <v>300</v>
      </c>
      <c r="J1585" s="265" t="s">
        <v>301</v>
      </c>
      <c r="K1585" s="266" t="s">
        <v>302</v>
      </c>
    </row>
    <row r="1586" spans="1:11" x14ac:dyDescent="0.35">
      <c r="A1586" s="221" t="s">
        <v>303</v>
      </c>
      <c r="B1586" s="222"/>
      <c r="C1586" s="222"/>
      <c r="D1586" s="222"/>
      <c r="E1586" s="223"/>
      <c r="G1586" s="221" t="s">
        <v>303</v>
      </c>
      <c r="H1586" s="222"/>
      <c r="I1586" s="222"/>
      <c r="J1586" s="222"/>
      <c r="K1586" s="223"/>
    </row>
    <row r="1587" spans="1:11" x14ac:dyDescent="0.35">
      <c r="A1587" s="225" t="s">
        <v>304</v>
      </c>
      <c r="B1587" s="226"/>
      <c r="C1587" s="226"/>
      <c r="D1587" s="226"/>
      <c r="E1587" s="227"/>
      <c r="G1587" s="225"/>
      <c r="H1587" s="226"/>
      <c r="I1587" s="226"/>
      <c r="J1587" s="226"/>
      <c r="K1587" s="227"/>
    </row>
    <row r="1588" spans="1:11" x14ac:dyDescent="0.35">
      <c r="A1588" s="225"/>
      <c r="B1588" s="226"/>
      <c r="C1588" s="226"/>
      <c r="D1588" s="226"/>
      <c r="E1588" s="227"/>
      <c r="G1588" s="225"/>
      <c r="H1588" s="226"/>
      <c r="I1588" s="226"/>
      <c r="J1588" s="226"/>
      <c r="K1588" s="227"/>
    </row>
    <row r="1589" spans="1:11" x14ac:dyDescent="0.35">
      <c r="A1589" s="221"/>
      <c r="B1589" s="222"/>
      <c r="C1589" s="222"/>
      <c r="D1589" s="222"/>
      <c r="E1589" s="223"/>
      <c r="G1589" s="221"/>
      <c r="H1589" s="222"/>
      <c r="I1589" s="222"/>
      <c r="J1589" s="222"/>
      <c r="K1589" s="223"/>
    </row>
    <row r="1590" spans="1:11" x14ac:dyDescent="0.35">
      <c r="A1590" s="225"/>
      <c r="B1590" s="226"/>
      <c r="C1590" s="226"/>
      <c r="D1590" s="226"/>
      <c r="E1590" s="227"/>
      <c r="G1590" s="225"/>
      <c r="H1590" s="226"/>
      <c r="I1590" s="226"/>
      <c r="J1590" s="226"/>
      <c r="K1590" s="227"/>
    </row>
    <row r="1591" spans="1:11" ht="15" thickBot="1" x14ac:dyDescent="0.4">
      <c r="A1591" s="218" t="s">
        <v>34</v>
      </c>
      <c r="B1591" s="219">
        <f>SUM(B1586:B1590)</f>
        <v>0</v>
      </c>
      <c r="C1591" s="219">
        <f>SUM(C1586:C1590)</f>
        <v>0</v>
      </c>
      <c r="D1591" s="219">
        <f>SUM(D1586:D1590)</f>
        <v>0</v>
      </c>
      <c r="E1591" s="219">
        <f>SUM(E1586:E1590)</f>
        <v>0</v>
      </c>
      <c r="G1591" s="218" t="s">
        <v>34</v>
      </c>
      <c r="H1591" s="219">
        <f>SUM(H1586:H1590)</f>
        <v>0</v>
      </c>
      <c r="I1591" s="219">
        <f>SUM(I1586:I1590)</f>
        <v>0</v>
      </c>
      <c r="J1591" s="219">
        <f>SUM(J1586:J1590)</f>
        <v>0</v>
      </c>
      <c r="K1591" s="219">
        <f>SUM(K1586:K1590)</f>
        <v>0</v>
      </c>
    </row>
    <row r="1592" spans="1:11" x14ac:dyDescent="0.35">
      <c r="A1592" s="220" t="s">
        <v>305</v>
      </c>
      <c r="B1592" s="220">
        <f>+B1591+C1591+D1591+E1591</f>
        <v>0</v>
      </c>
      <c r="C1592" s="220"/>
      <c r="D1592" s="220"/>
      <c r="E1592" s="220"/>
      <c r="G1592" s="220" t="s">
        <v>305</v>
      </c>
      <c r="H1592" s="220">
        <f>+H1591+I1591+J1591+K1591</f>
        <v>0</v>
      </c>
      <c r="I1592" s="220"/>
      <c r="J1592" s="220"/>
      <c r="K1592" s="220"/>
    </row>
    <row r="1593" spans="1:11" ht="15" thickBot="1" x14ac:dyDescent="0.4">
      <c r="A1593" s="315" t="s">
        <v>298</v>
      </c>
      <c r="B1593" s="315"/>
      <c r="C1593" s="315"/>
      <c r="D1593" s="315"/>
      <c r="E1593" s="315"/>
      <c r="G1593" s="315" t="s">
        <v>314</v>
      </c>
      <c r="H1593" s="315"/>
      <c r="I1593" s="315"/>
      <c r="J1593" s="315"/>
      <c r="K1593" s="315"/>
    </row>
    <row r="1594" spans="1:11" ht="15" thickTop="1" x14ac:dyDescent="0.35">
      <c r="A1594" s="313">
        <v>45449</v>
      </c>
      <c r="B1594" s="314"/>
      <c r="C1594" s="314"/>
      <c r="D1594" s="314"/>
      <c r="E1594" s="314"/>
      <c r="G1594" s="313">
        <v>45449</v>
      </c>
      <c r="H1594" s="314"/>
      <c r="I1594" s="314"/>
      <c r="J1594" s="314"/>
      <c r="K1594" s="314"/>
    </row>
    <row r="1595" spans="1:11" x14ac:dyDescent="0.35">
      <c r="A1595" s="261" t="s">
        <v>159</v>
      </c>
      <c r="B1595" s="262" t="s">
        <v>299</v>
      </c>
      <c r="C1595" s="262" t="s">
        <v>300</v>
      </c>
      <c r="D1595" s="262" t="s">
        <v>301</v>
      </c>
      <c r="E1595" s="263" t="s">
        <v>302</v>
      </c>
      <c r="G1595" s="264" t="s">
        <v>159</v>
      </c>
      <c r="H1595" s="265" t="s">
        <v>299</v>
      </c>
      <c r="I1595" s="265" t="s">
        <v>300</v>
      </c>
      <c r="J1595" s="265" t="s">
        <v>301</v>
      </c>
      <c r="K1595" s="266" t="s">
        <v>302</v>
      </c>
    </row>
    <row r="1596" spans="1:11" x14ac:dyDescent="0.35">
      <c r="A1596" s="221" t="s">
        <v>303</v>
      </c>
      <c r="B1596" s="222"/>
      <c r="C1596" s="222"/>
      <c r="D1596" s="222"/>
      <c r="E1596" s="223"/>
      <c r="G1596" s="221" t="s">
        <v>303</v>
      </c>
      <c r="H1596" s="222"/>
      <c r="I1596" s="222"/>
      <c r="J1596" s="222"/>
      <c r="K1596" s="223"/>
    </row>
    <row r="1597" spans="1:11" x14ac:dyDescent="0.35">
      <c r="A1597" s="225" t="s">
        <v>304</v>
      </c>
      <c r="B1597" s="226"/>
      <c r="C1597" s="226"/>
      <c r="D1597" s="226"/>
      <c r="E1597" s="227"/>
      <c r="G1597" s="225"/>
      <c r="H1597" s="226"/>
      <c r="I1597" s="226"/>
      <c r="J1597" s="226"/>
      <c r="K1597" s="227"/>
    </row>
    <row r="1598" spans="1:11" x14ac:dyDescent="0.35">
      <c r="A1598" s="225"/>
      <c r="B1598" s="226"/>
      <c r="C1598" s="226"/>
      <c r="D1598" s="226"/>
      <c r="E1598" s="227"/>
      <c r="G1598" s="225"/>
      <c r="H1598" s="226"/>
      <c r="I1598" s="226"/>
      <c r="J1598" s="226"/>
      <c r="K1598" s="227"/>
    </row>
    <row r="1599" spans="1:11" x14ac:dyDescent="0.35">
      <c r="A1599" s="221"/>
      <c r="B1599" s="222"/>
      <c r="C1599" s="222"/>
      <c r="D1599" s="222"/>
      <c r="E1599" s="223"/>
      <c r="G1599" s="221"/>
      <c r="H1599" s="222"/>
      <c r="I1599" s="222"/>
      <c r="J1599" s="222"/>
      <c r="K1599" s="223"/>
    </row>
    <row r="1600" spans="1:11" x14ac:dyDescent="0.35">
      <c r="A1600" s="225"/>
      <c r="B1600" s="226"/>
      <c r="C1600" s="226"/>
      <c r="D1600" s="226"/>
      <c r="E1600" s="227"/>
      <c r="G1600" s="225"/>
      <c r="H1600" s="226"/>
      <c r="I1600" s="226"/>
      <c r="J1600" s="226"/>
      <c r="K1600" s="227"/>
    </row>
    <row r="1601" spans="1:11" ht="15" thickBot="1" x14ac:dyDescent="0.4">
      <c r="A1601" s="218" t="s">
        <v>34</v>
      </c>
      <c r="B1601" s="219">
        <f>SUM(B1596:B1600)</f>
        <v>0</v>
      </c>
      <c r="C1601" s="219">
        <f>SUM(C1596:C1600)</f>
        <v>0</v>
      </c>
      <c r="D1601" s="219">
        <f>SUM(D1596:D1600)</f>
        <v>0</v>
      </c>
      <c r="E1601" s="219">
        <f>SUM(E1596:E1600)</f>
        <v>0</v>
      </c>
      <c r="G1601" s="218" t="s">
        <v>34</v>
      </c>
      <c r="H1601" s="219">
        <f>SUM(H1596:H1600)</f>
        <v>0</v>
      </c>
      <c r="I1601" s="219">
        <f>SUM(I1596:I1600)</f>
        <v>0</v>
      </c>
      <c r="J1601" s="219">
        <f>SUM(J1596:J1600)</f>
        <v>0</v>
      </c>
      <c r="K1601" s="219">
        <f>SUM(K1596:K1600)</f>
        <v>0</v>
      </c>
    </row>
    <row r="1602" spans="1:11" x14ac:dyDescent="0.35">
      <c r="A1602" s="220" t="s">
        <v>305</v>
      </c>
      <c r="B1602" s="220">
        <f>+B1601+C1601+D1601+E1601</f>
        <v>0</v>
      </c>
      <c r="C1602" s="220"/>
      <c r="D1602" s="220"/>
      <c r="E1602" s="220"/>
      <c r="G1602" s="220" t="s">
        <v>305</v>
      </c>
      <c r="H1602" s="220">
        <f>+H1601+I1601+J1601+K1601</f>
        <v>0</v>
      </c>
      <c r="I1602" s="220"/>
      <c r="J1602" s="220"/>
      <c r="K1602" s="220"/>
    </row>
    <row r="1603" spans="1:11" ht="15" thickBot="1" x14ac:dyDescent="0.4">
      <c r="A1603" s="315" t="s">
        <v>298</v>
      </c>
      <c r="B1603" s="315"/>
      <c r="C1603" s="315"/>
      <c r="D1603" s="315"/>
      <c r="E1603" s="315"/>
      <c r="G1603" s="315" t="s">
        <v>314</v>
      </c>
      <c r="H1603" s="315"/>
      <c r="I1603" s="315"/>
      <c r="J1603" s="315"/>
      <c r="K1603" s="315"/>
    </row>
    <row r="1604" spans="1:11" ht="15" thickTop="1" x14ac:dyDescent="0.35">
      <c r="A1604" s="313">
        <v>45450</v>
      </c>
      <c r="B1604" s="314"/>
      <c r="C1604" s="314"/>
      <c r="D1604" s="314"/>
      <c r="E1604" s="314"/>
      <c r="G1604" s="313">
        <v>45450</v>
      </c>
      <c r="H1604" s="314"/>
      <c r="I1604" s="314"/>
      <c r="J1604" s="314"/>
      <c r="K1604" s="314"/>
    </row>
    <row r="1605" spans="1:11" x14ac:dyDescent="0.35">
      <c r="A1605" s="261" t="s">
        <v>159</v>
      </c>
      <c r="B1605" s="262" t="s">
        <v>299</v>
      </c>
      <c r="C1605" s="262" t="s">
        <v>300</v>
      </c>
      <c r="D1605" s="262" t="s">
        <v>301</v>
      </c>
      <c r="E1605" s="263" t="s">
        <v>302</v>
      </c>
      <c r="G1605" s="264" t="s">
        <v>159</v>
      </c>
      <c r="H1605" s="265" t="s">
        <v>299</v>
      </c>
      <c r="I1605" s="265" t="s">
        <v>300</v>
      </c>
      <c r="J1605" s="265" t="s">
        <v>301</v>
      </c>
      <c r="K1605" s="266" t="s">
        <v>302</v>
      </c>
    </row>
    <row r="1606" spans="1:11" x14ac:dyDescent="0.35">
      <c r="A1606" s="221" t="s">
        <v>303</v>
      </c>
      <c r="B1606" s="222"/>
      <c r="C1606" s="222"/>
      <c r="D1606" s="222"/>
      <c r="E1606" s="223"/>
      <c r="G1606" s="221" t="s">
        <v>303</v>
      </c>
      <c r="H1606" s="222"/>
      <c r="I1606" s="222"/>
      <c r="J1606" s="222"/>
      <c r="K1606" s="223"/>
    </row>
    <row r="1607" spans="1:11" x14ac:dyDescent="0.35">
      <c r="A1607" s="225" t="s">
        <v>304</v>
      </c>
      <c r="B1607" s="226"/>
      <c r="C1607" s="226"/>
      <c r="D1607" s="226"/>
      <c r="E1607" s="227"/>
      <c r="G1607" s="225"/>
      <c r="H1607" s="226"/>
      <c r="I1607" s="226"/>
      <c r="J1607" s="226"/>
      <c r="K1607" s="227"/>
    </row>
    <row r="1608" spans="1:11" x14ac:dyDescent="0.35">
      <c r="A1608" s="225"/>
      <c r="B1608" s="226"/>
      <c r="C1608" s="226"/>
      <c r="D1608" s="226"/>
      <c r="E1608" s="227"/>
      <c r="G1608" s="225"/>
      <c r="H1608" s="226"/>
      <c r="I1608" s="226"/>
      <c r="J1608" s="226"/>
      <c r="K1608" s="227"/>
    </row>
    <row r="1609" spans="1:11" x14ac:dyDescent="0.35">
      <c r="A1609" s="221"/>
      <c r="B1609" s="222"/>
      <c r="C1609" s="222"/>
      <c r="D1609" s="222"/>
      <c r="E1609" s="223"/>
      <c r="G1609" s="221"/>
      <c r="H1609" s="222"/>
      <c r="I1609" s="222"/>
      <c r="J1609" s="222"/>
      <c r="K1609" s="223"/>
    </row>
    <row r="1610" spans="1:11" x14ac:dyDescent="0.35">
      <c r="A1610" s="225"/>
      <c r="B1610" s="226"/>
      <c r="C1610" s="226"/>
      <c r="D1610" s="226"/>
      <c r="E1610" s="227"/>
      <c r="G1610" s="225"/>
      <c r="H1610" s="226"/>
      <c r="I1610" s="226"/>
      <c r="J1610" s="226"/>
      <c r="K1610" s="227"/>
    </row>
    <row r="1611" spans="1:11" ht="15" thickBot="1" x14ac:dyDescent="0.4">
      <c r="A1611" s="218" t="s">
        <v>34</v>
      </c>
      <c r="B1611" s="219">
        <f>SUM(B1606:B1610)</f>
        <v>0</v>
      </c>
      <c r="C1611" s="219">
        <f>SUM(C1606:C1610)</f>
        <v>0</v>
      </c>
      <c r="D1611" s="219">
        <f>SUM(D1606:D1610)</f>
        <v>0</v>
      </c>
      <c r="E1611" s="219">
        <f>SUM(E1606:E1610)</f>
        <v>0</v>
      </c>
      <c r="G1611" s="218" t="s">
        <v>34</v>
      </c>
      <c r="H1611" s="219">
        <f>SUM(H1606:H1610)</f>
        <v>0</v>
      </c>
      <c r="I1611" s="219">
        <f>SUM(I1606:I1610)</f>
        <v>0</v>
      </c>
      <c r="J1611" s="219">
        <f>SUM(J1606:J1610)</f>
        <v>0</v>
      </c>
      <c r="K1611" s="219">
        <f>SUM(K1606:K1610)</f>
        <v>0</v>
      </c>
    </row>
    <row r="1612" spans="1:11" x14ac:dyDescent="0.35">
      <c r="A1612" s="220" t="s">
        <v>305</v>
      </c>
      <c r="B1612" s="220">
        <f>+B1611+C1611+D1611+E1611</f>
        <v>0</v>
      </c>
      <c r="C1612" s="220"/>
      <c r="D1612" s="220"/>
      <c r="E1612" s="220"/>
      <c r="G1612" s="220" t="s">
        <v>305</v>
      </c>
      <c r="H1612" s="220">
        <f>+H1611+I1611+J1611+K1611</f>
        <v>0</v>
      </c>
      <c r="I1612" s="220"/>
      <c r="J1612" s="220"/>
      <c r="K1612" s="220"/>
    </row>
    <row r="1613" spans="1:11" ht="15" thickBot="1" x14ac:dyDescent="0.4">
      <c r="A1613" s="315" t="s">
        <v>298</v>
      </c>
      <c r="B1613" s="315"/>
      <c r="C1613" s="315"/>
      <c r="D1613" s="315"/>
      <c r="E1613" s="315"/>
      <c r="G1613" s="315" t="s">
        <v>314</v>
      </c>
      <c r="H1613" s="315"/>
      <c r="I1613" s="315"/>
      <c r="J1613" s="315"/>
      <c r="K1613" s="315"/>
    </row>
    <row r="1614" spans="1:11" ht="15" thickTop="1" x14ac:dyDescent="0.35">
      <c r="A1614" s="313">
        <v>45451</v>
      </c>
      <c r="B1614" s="314"/>
      <c r="C1614" s="314"/>
      <c r="D1614" s="314"/>
      <c r="E1614" s="314"/>
      <c r="G1614" s="313">
        <v>45451</v>
      </c>
      <c r="H1614" s="314"/>
      <c r="I1614" s="314"/>
      <c r="J1614" s="314"/>
      <c r="K1614" s="314"/>
    </row>
    <row r="1615" spans="1:11" x14ac:dyDescent="0.35">
      <c r="A1615" s="261" t="s">
        <v>159</v>
      </c>
      <c r="B1615" s="262" t="s">
        <v>299</v>
      </c>
      <c r="C1615" s="262" t="s">
        <v>300</v>
      </c>
      <c r="D1615" s="262" t="s">
        <v>301</v>
      </c>
      <c r="E1615" s="263" t="s">
        <v>302</v>
      </c>
      <c r="G1615" s="264" t="s">
        <v>159</v>
      </c>
      <c r="H1615" s="265" t="s">
        <v>299</v>
      </c>
      <c r="I1615" s="265" t="s">
        <v>300</v>
      </c>
      <c r="J1615" s="265" t="s">
        <v>301</v>
      </c>
      <c r="K1615" s="266" t="s">
        <v>302</v>
      </c>
    </row>
    <row r="1616" spans="1:11" x14ac:dyDescent="0.35">
      <c r="A1616" s="221" t="s">
        <v>303</v>
      </c>
      <c r="B1616" s="222"/>
      <c r="C1616" s="222"/>
      <c r="D1616" s="222"/>
      <c r="E1616" s="223"/>
      <c r="G1616" s="221" t="s">
        <v>303</v>
      </c>
      <c r="H1616" s="222"/>
      <c r="I1616" s="222"/>
      <c r="J1616" s="222"/>
      <c r="K1616" s="223"/>
    </row>
    <row r="1617" spans="1:11" x14ac:dyDescent="0.35">
      <c r="A1617" s="225" t="s">
        <v>304</v>
      </c>
      <c r="B1617" s="226"/>
      <c r="C1617" s="226"/>
      <c r="D1617" s="226"/>
      <c r="E1617" s="227"/>
      <c r="G1617" s="225"/>
      <c r="H1617" s="226"/>
      <c r="I1617" s="226"/>
      <c r="J1617" s="226"/>
      <c r="K1617" s="227"/>
    </row>
    <row r="1618" spans="1:11" x14ac:dyDescent="0.35">
      <c r="A1618" s="225"/>
      <c r="B1618" s="226"/>
      <c r="C1618" s="226"/>
      <c r="D1618" s="226"/>
      <c r="E1618" s="227"/>
      <c r="G1618" s="225"/>
      <c r="H1618" s="226"/>
      <c r="I1618" s="226"/>
      <c r="J1618" s="226"/>
      <c r="K1618" s="227"/>
    </row>
    <row r="1619" spans="1:11" x14ac:dyDescent="0.35">
      <c r="A1619" s="221"/>
      <c r="B1619" s="222"/>
      <c r="C1619" s="222"/>
      <c r="D1619" s="222"/>
      <c r="E1619" s="223"/>
      <c r="G1619" s="221"/>
      <c r="H1619" s="222"/>
      <c r="I1619" s="222"/>
      <c r="J1619" s="222"/>
      <c r="K1619" s="223"/>
    </row>
    <row r="1620" spans="1:11" x14ac:dyDescent="0.35">
      <c r="A1620" s="225"/>
      <c r="B1620" s="226"/>
      <c r="C1620" s="226"/>
      <c r="D1620" s="226"/>
      <c r="E1620" s="227"/>
      <c r="G1620" s="225"/>
      <c r="H1620" s="226"/>
      <c r="I1620" s="226"/>
      <c r="J1620" s="226"/>
      <c r="K1620" s="227"/>
    </row>
    <row r="1621" spans="1:11" ht="15" thickBot="1" x14ac:dyDescent="0.4">
      <c r="A1621" s="218" t="s">
        <v>34</v>
      </c>
      <c r="B1621" s="219">
        <f>SUM(B1616:B1620)</f>
        <v>0</v>
      </c>
      <c r="C1621" s="219">
        <f>SUM(C1616:C1620)</f>
        <v>0</v>
      </c>
      <c r="D1621" s="219">
        <f>SUM(D1616:D1620)</f>
        <v>0</v>
      </c>
      <c r="E1621" s="219">
        <f>SUM(E1616:E1620)</f>
        <v>0</v>
      </c>
      <c r="G1621" s="218" t="s">
        <v>34</v>
      </c>
      <c r="H1621" s="219">
        <f>SUM(H1616:H1620)</f>
        <v>0</v>
      </c>
      <c r="I1621" s="219">
        <f>SUM(I1616:I1620)</f>
        <v>0</v>
      </c>
      <c r="J1621" s="219">
        <f>SUM(J1616:J1620)</f>
        <v>0</v>
      </c>
      <c r="K1621" s="219">
        <f>SUM(K1616:K1620)</f>
        <v>0</v>
      </c>
    </row>
    <row r="1622" spans="1:11" x14ac:dyDescent="0.35">
      <c r="A1622" s="220" t="s">
        <v>305</v>
      </c>
      <c r="B1622" s="220">
        <f>+B1621+C1621+D1621+E1621</f>
        <v>0</v>
      </c>
      <c r="C1622" s="220"/>
      <c r="D1622" s="220"/>
      <c r="E1622" s="220"/>
      <c r="G1622" s="220" t="s">
        <v>305</v>
      </c>
      <c r="H1622" s="220">
        <f>+H1621+I1621+J1621+K1621</f>
        <v>0</v>
      </c>
      <c r="I1622" s="220"/>
      <c r="J1622" s="220"/>
      <c r="K1622" s="220"/>
    </row>
    <row r="1623" spans="1:11" ht="15" thickBot="1" x14ac:dyDescent="0.4">
      <c r="A1623" s="315" t="s">
        <v>298</v>
      </c>
      <c r="B1623" s="315"/>
      <c r="C1623" s="315"/>
      <c r="D1623" s="315"/>
      <c r="E1623" s="315"/>
      <c r="G1623" s="315" t="s">
        <v>314</v>
      </c>
      <c r="H1623" s="315"/>
      <c r="I1623" s="315"/>
      <c r="J1623" s="315"/>
      <c r="K1623" s="315"/>
    </row>
    <row r="1624" spans="1:11" ht="15" thickTop="1" x14ac:dyDescent="0.35">
      <c r="A1624" s="313">
        <v>45452</v>
      </c>
      <c r="B1624" s="314"/>
      <c r="C1624" s="314"/>
      <c r="D1624" s="314"/>
      <c r="E1624" s="314"/>
      <c r="G1624" s="313">
        <v>45452</v>
      </c>
      <c r="H1624" s="314"/>
      <c r="I1624" s="314"/>
      <c r="J1624" s="314"/>
      <c r="K1624" s="314"/>
    </row>
    <row r="1625" spans="1:11" x14ac:dyDescent="0.35">
      <c r="A1625" s="261" t="s">
        <v>159</v>
      </c>
      <c r="B1625" s="262" t="s">
        <v>299</v>
      </c>
      <c r="C1625" s="262" t="s">
        <v>300</v>
      </c>
      <c r="D1625" s="262" t="s">
        <v>301</v>
      </c>
      <c r="E1625" s="263" t="s">
        <v>302</v>
      </c>
      <c r="G1625" s="264" t="s">
        <v>159</v>
      </c>
      <c r="H1625" s="265" t="s">
        <v>299</v>
      </c>
      <c r="I1625" s="265" t="s">
        <v>300</v>
      </c>
      <c r="J1625" s="265" t="s">
        <v>301</v>
      </c>
      <c r="K1625" s="266" t="s">
        <v>302</v>
      </c>
    </row>
    <row r="1626" spans="1:11" x14ac:dyDescent="0.35">
      <c r="A1626" s="221" t="s">
        <v>303</v>
      </c>
      <c r="B1626" s="222"/>
      <c r="C1626" s="222"/>
      <c r="D1626" s="222"/>
      <c r="E1626" s="223"/>
      <c r="G1626" s="221" t="s">
        <v>303</v>
      </c>
      <c r="H1626" s="222"/>
      <c r="I1626" s="222"/>
      <c r="J1626" s="222"/>
      <c r="K1626" s="223"/>
    </row>
    <row r="1627" spans="1:11" x14ac:dyDescent="0.35">
      <c r="A1627" s="225" t="s">
        <v>304</v>
      </c>
      <c r="B1627" s="226"/>
      <c r="C1627" s="226"/>
      <c r="D1627" s="226"/>
      <c r="E1627" s="227"/>
      <c r="G1627" s="225"/>
      <c r="H1627" s="226"/>
      <c r="I1627" s="226"/>
      <c r="J1627" s="226"/>
      <c r="K1627" s="227"/>
    </row>
    <row r="1628" spans="1:11" x14ac:dyDescent="0.35">
      <c r="A1628" s="225"/>
      <c r="B1628" s="226"/>
      <c r="C1628" s="226"/>
      <c r="D1628" s="226"/>
      <c r="E1628" s="227"/>
      <c r="G1628" s="225"/>
      <c r="H1628" s="226"/>
      <c r="I1628" s="226"/>
      <c r="J1628" s="226"/>
      <c r="K1628" s="227"/>
    </row>
    <row r="1629" spans="1:11" x14ac:dyDescent="0.35">
      <c r="A1629" s="221"/>
      <c r="B1629" s="222"/>
      <c r="C1629" s="222"/>
      <c r="D1629" s="222"/>
      <c r="E1629" s="223"/>
      <c r="G1629" s="221"/>
      <c r="H1629" s="222"/>
      <c r="I1629" s="222"/>
      <c r="J1629" s="222"/>
      <c r="K1629" s="223"/>
    </row>
    <row r="1630" spans="1:11" x14ac:dyDescent="0.35">
      <c r="A1630" s="225"/>
      <c r="B1630" s="226"/>
      <c r="C1630" s="226"/>
      <c r="D1630" s="226"/>
      <c r="E1630" s="227"/>
      <c r="G1630" s="225"/>
      <c r="H1630" s="226"/>
      <c r="I1630" s="226"/>
      <c r="J1630" s="226"/>
      <c r="K1630" s="227"/>
    </row>
    <row r="1631" spans="1:11" ht="15" thickBot="1" x14ac:dyDescent="0.4">
      <c r="A1631" s="218" t="s">
        <v>34</v>
      </c>
      <c r="B1631" s="219">
        <f>SUM(B1626:B1630)</f>
        <v>0</v>
      </c>
      <c r="C1631" s="219">
        <f>SUM(C1626:C1630)</f>
        <v>0</v>
      </c>
      <c r="D1631" s="219">
        <f>SUM(D1626:D1630)</f>
        <v>0</v>
      </c>
      <c r="E1631" s="219">
        <f>SUM(E1626:E1630)</f>
        <v>0</v>
      </c>
      <c r="G1631" s="218" t="s">
        <v>34</v>
      </c>
      <c r="H1631" s="219">
        <f>SUM(H1626:H1630)</f>
        <v>0</v>
      </c>
      <c r="I1631" s="219">
        <f>SUM(I1626:I1630)</f>
        <v>0</v>
      </c>
      <c r="J1631" s="219">
        <f>SUM(J1626:J1630)</f>
        <v>0</v>
      </c>
      <c r="K1631" s="219">
        <f>SUM(K1626:K1630)</f>
        <v>0</v>
      </c>
    </row>
    <row r="1632" spans="1:11" x14ac:dyDescent="0.35">
      <c r="A1632" s="220" t="s">
        <v>305</v>
      </c>
      <c r="B1632" s="220">
        <f>+B1631+C1631+D1631+E1631</f>
        <v>0</v>
      </c>
      <c r="C1632" s="220"/>
      <c r="D1632" s="220"/>
      <c r="E1632" s="220"/>
      <c r="G1632" s="220" t="s">
        <v>305</v>
      </c>
      <c r="H1632" s="220">
        <f>+H1631+I1631+J1631+K1631</f>
        <v>0</v>
      </c>
      <c r="I1632" s="220"/>
      <c r="J1632" s="220"/>
      <c r="K1632" s="220"/>
    </row>
    <row r="1633" spans="1:11" ht="15" thickBot="1" x14ac:dyDescent="0.4">
      <c r="A1633" s="315" t="s">
        <v>298</v>
      </c>
      <c r="B1633" s="315"/>
      <c r="C1633" s="315"/>
      <c r="D1633" s="315"/>
      <c r="E1633" s="315"/>
      <c r="G1633" s="315" t="s">
        <v>314</v>
      </c>
      <c r="H1633" s="315"/>
      <c r="I1633" s="315"/>
      <c r="J1633" s="315"/>
      <c r="K1633" s="315"/>
    </row>
    <row r="1634" spans="1:11" ht="15" thickTop="1" x14ac:dyDescent="0.35">
      <c r="A1634" s="313">
        <v>45453</v>
      </c>
      <c r="B1634" s="314"/>
      <c r="C1634" s="314"/>
      <c r="D1634" s="314"/>
      <c r="E1634" s="314"/>
      <c r="G1634" s="313">
        <v>45453</v>
      </c>
      <c r="H1634" s="314"/>
      <c r="I1634" s="314"/>
      <c r="J1634" s="314"/>
      <c r="K1634" s="314"/>
    </row>
    <row r="1635" spans="1:11" x14ac:dyDescent="0.35">
      <c r="A1635" s="261" t="s">
        <v>159</v>
      </c>
      <c r="B1635" s="262" t="s">
        <v>299</v>
      </c>
      <c r="C1635" s="262" t="s">
        <v>300</v>
      </c>
      <c r="D1635" s="262" t="s">
        <v>301</v>
      </c>
      <c r="E1635" s="263" t="s">
        <v>302</v>
      </c>
      <c r="G1635" s="264" t="s">
        <v>159</v>
      </c>
      <c r="H1635" s="265" t="s">
        <v>299</v>
      </c>
      <c r="I1635" s="265" t="s">
        <v>300</v>
      </c>
      <c r="J1635" s="265" t="s">
        <v>301</v>
      </c>
      <c r="K1635" s="266" t="s">
        <v>302</v>
      </c>
    </row>
    <row r="1636" spans="1:11" x14ac:dyDescent="0.35">
      <c r="A1636" s="221" t="s">
        <v>303</v>
      </c>
      <c r="B1636" s="222"/>
      <c r="C1636" s="222"/>
      <c r="D1636" s="222"/>
      <c r="E1636" s="223"/>
      <c r="G1636" s="221" t="s">
        <v>303</v>
      </c>
      <c r="H1636" s="222"/>
      <c r="I1636" s="222"/>
      <c r="J1636" s="222"/>
      <c r="K1636" s="223"/>
    </row>
    <row r="1637" spans="1:11" x14ac:dyDescent="0.35">
      <c r="A1637" s="225" t="s">
        <v>304</v>
      </c>
      <c r="B1637" s="226"/>
      <c r="C1637" s="226"/>
      <c r="D1637" s="226"/>
      <c r="E1637" s="227"/>
      <c r="G1637" s="225"/>
      <c r="H1637" s="226"/>
      <c r="I1637" s="226"/>
      <c r="J1637" s="226"/>
      <c r="K1637" s="227"/>
    </row>
    <row r="1638" spans="1:11" x14ac:dyDescent="0.35">
      <c r="A1638" s="225"/>
      <c r="B1638" s="226"/>
      <c r="C1638" s="226"/>
      <c r="D1638" s="226"/>
      <c r="E1638" s="227"/>
      <c r="G1638" s="225"/>
      <c r="H1638" s="226"/>
      <c r="I1638" s="226"/>
      <c r="J1638" s="226"/>
      <c r="K1638" s="227"/>
    </row>
    <row r="1639" spans="1:11" x14ac:dyDescent="0.35">
      <c r="A1639" s="221"/>
      <c r="B1639" s="222"/>
      <c r="C1639" s="222"/>
      <c r="D1639" s="222"/>
      <c r="E1639" s="223"/>
      <c r="G1639" s="221"/>
      <c r="H1639" s="222"/>
      <c r="I1639" s="222"/>
      <c r="J1639" s="222"/>
      <c r="K1639" s="223"/>
    </row>
    <row r="1640" spans="1:11" x14ac:dyDescent="0.35">
      <c r="A1640" s="225"/>
      <c r="B1640" s="226"/>
      <c r="C1640" s="226"/>
      <c r="D1640" s="226"/>
      <c r="E1640" s="227"/>
      <c r="G1640" s="225"/>
      <c r="H1640" s="226"/>
      <c r="I1640" s="226"/>
      <c r="J1640" s="226"/>
      <c r="K1640" s="227"/>
    </row>
    <row r="1641" spans="1:11" ht="15" thickBot="1" x14ac:dyDescent="0.4">
      <c r="A1641" s="218" t="s">
        <v>34</v>
      </c>
      <c r="B1641" s="219">
        <f>SUM(B1636:B1640)</f>
        <v>0</v>
      </c>
      <c r="C1641" s="219">
        <f>SUM(C1636:C1640)</f>
        <v>0</v>
      </c>
      <c r="D1641" s="219">
        <f>SUM(D1636:D1640)</f>
        <v>0</v>
      </c>
      <c r="E1641" s="219">
        <f>SUM(E1636:E1640)</f>
        <v>0</v>
      </c>
      <c r="G1641" s="218" t="s">
        <v>34</v>
      </c>
      <c r="H1641" s="219">
        <f>SUM(H1636:H1640)</f>
        <v>0</v>
      </c>
      <c r="I1641" s="219">
        <f>SUM(I1636:I1640)</f>
        <v>0</v>
      </c>
      <c r="J1641" s="219">
        <f>SUM(J1636:J1640)</f>
        <v>0</v>
      </c>
      <c r="K1641" s="219">
        <f>SUM(K1636:K1640)</f>
        <v>0</v>
      </c>
    </row>
    <row r="1642" spans="1:11" x14ac:dyDescent="0.35">
      <c r="A1642" s="220" t="s">
        <v>305</v>
      </c>
      <c r="B1642" s="220">
        <f>+B1641+C1641+D1641+E1641</f>
        <v>0</v>
      </c>
      <c r="C1642" s="220"/>
      <c r="D1642" s="220"/>
      <c r="E1642" s="220"/>
      <c r="G1642" s="220" t="s">
        <v>305</v>
      </c>
      <c r="H1642" s="220">
        <f>+H1641+I1641+J1641+K1641</f>
        <v>0</v>
      </c>
      <c r="I1642" s="220"/>
      <c r="J1642" s="220"/>
      <c r="K1642" s="220"/>
    </row>
    <row r="1643" spans="1:11" ht="15" thickBot="1" x14ac:dyDescent="0.4">
      <c r="A1643" s="315" t="s">
        <v>298</v>
      </c>
      <c r="B1643" s="315"/>
      <c r="C1643" s="315"/>
      <c r="D1643" s="315"/>
      <c r="E1643" s="315"/>
      <c r="G1643" s="315" t="s">
        <v>314</v>
      </c>
      <c r="H1643" s="315"/>
      <c r="I1643" s="315"/>
      <c r="J1643" s="315"/>
      <c r="K1643" s="315"/>
    </row>
    <row r="1644" spans="1:11" ht="15" thickTop="1" x14ac:dyDescent="0.35">
      <c r="A1644" s="313">
        <v>45454</v>
      </c>
      <c r="B1644" s="314"/>
      <c r="C1644" s="314"/>
      <c r="D1644" s="314"/>
      <c r="E1644" s="314"/>
      <c r="G1644" s="313">
        <v>45454</v>
      </c>
      <c r="H1644" s="314"/>
      <c r="I1644" s="314"/>
      <c r="J1644" s="314"/>
      <c r="K1644" s="314"/>
    </row>
    <row r="1645" spans="1:11" x14ac:dyDescent="0.35">
      <c r="A1645" s="261" t="s">
        <v>159</v>
      </c>
      <c r="B1645" s="262" t="s">
        <v>299</v>
      </c>
      <c r="C1645" s="262" t="s">
        <v>300</v>
      </c>
      <c r="D1645" s="262" t="s">
        <v>301</v>
      </c>
      <c r="E1645" s="263" t="s">
        <v>302</v>
      </c>
      <c r="G1645" s="264" t="s">
        <v>159</v>
      </c>
      <c r="H1645" s="265" t="s">
        <v>299</v>
      </c>
      <c r="I1645" s="265" t="s">
        <v>300</v>
      </c>
      <c r="J1645" s="265" t="s">
        <v>301</v>
      </c>
      <c r="K1645" s="266" t="s">
        <v>302</v>
      </c>
    </row>
    <row r="1646" spans="1:11" x14ac:dyDescent="0.35">
      <c r="A1646" s="221" t="s">
        <v>303</v>
      </c>
      <c r="B1646" s="222"/>
      <c r="C1646" s="222"/>
      <c r="D1646" s="222"/>
      <c r="E1646" s="223"/>
      <c r="G1646" s="221" t="s">
        <v>303</v>
      </c>
      <c r="H1646" s="222">
        <v>619</v>
      </c>
      <c r="I1646" s="222"/>
      <c r="J1646" s="222"/>
      <c r="K1646" s="223"/>
    </row>
    <row r="1647" spans="1:11" x14ac:dyDescent="0.35">
      <c r="A1647" s="225" t="s">
        <v>304</v>
      </c>
      <c r="B1647" s="226">
        <v>500</v>
      </c>
      <c r="C1647" s="226"/>
      <c r="D1647" s="226"/>
      <c r="E1647" s="227"/>
      <c r="G1647" s="225"/>
      <c r="H1647" s="226"/>
      <c r="I1647" s="226"/>
      <c r="J1647" s="226"/>
      <c r="K1647" s="227"/>
    </row>
    <row r="1648" spans="1:11" x14ac:dyDescent="0.35">
      <c r="A1648" s="225"/>
      <c r="B1648" s="226"/>
      <c r="C1648" s="226"/>
      <c r="D1648" s="226"/>
      <c r="E1648" s="227"/>
      <c r="G1648" s="225"/>
      <c r="H1648" s="226"/>
      <c r="I1648" s="226"/>
      <c r="J1648" s="226"/>
      <c r="K1648" s="227"/>
    </row>
    <row r="1649" spans="1:11" x14ac:dyDescent="0.35">
      <c r="A1649" s="221"/>
      <c r="B1649" s="222"/>
      <c r="C1649" s="222"/>
      <c r="D1649" s="222"/>
      <c r="E1649" s="223"/>
      <c r="G1649" s="221"/>
      <c r="H1649" s="222"/>
      <c r="I1649" s="222"/>
      <c r="J1649" s="222"/>
      <c r="K1649" s="223"/>
    </row>
    <row r="1650" spans="1:11" x14ac:dyDescent="0.35">
      <c r="A1650" s="225"/>
      <c r="B1650" s="226"/>
      <c r="C1650" s="226"/>
      <c r="D1650" s="226"/>
      <c r="E1650" s="227"/>
      <c r="G1650" s="225"/>
      <c r="H1650" s="226"/>
      <c r="I1650" s="226"/>
      <c r="J1650" s="226"/>
      <c r="K1650" s="227"/>
    </row>
    <row r="1651" spans="1:11" ht="15" thickBot="1" x14ac:dyDescent="0.4">
      <c r="A1651" s="218" t="s">
        <v>34</v>
      </c>
      <c r="B1651" s="219">
        <f>SUM(B1646:B1650)</f>
        <v>500</v>
      </c>
      <c r="C1651" s="219">
        <f>SUM(C1646:C1650)</f>
        <v>0</v>
      </c>
      <c r="D1651" s="219">
        <f>SUM(D1646:D1650)</f>
        <v>0</v>
      </c>
      <c r="E1651" s="219">
        <f>SUM(E1646:E1650)</f>
        <v>0</v>
      </c>
      <c r="G1651" s="218" t="s">
        <v>34</v>
      </c>
      <c r="H1651" s="219">
        <f>SUM(H1646:H1650)</f>
        <v>619</v>
      </c>
      <c r="I1651" s="219">
        <f>SUM(I1646:I1650)</f>
        <v>0</v>
      </c>
      <c r="J1651" s="219">
        <f>SUM(J1646:J1650)</f>
        <v>0</v>
      </c>
      <c r="K1651" s="219">
        <f>SUM(K1646:K1650)</f>
        <v>0</v>
      </c>
    </row>
    <row r="1652" spans="1:11" x14ac:dyDescent="0.35">
      <c r="A1652" s="220" t="s">
        <v>305</v>
      </c>
      <c r="B1652" s="220">
        <f>+B1651+C1651+D1651+E1651</f>
        <v>500</v>
      </c>
      <c r="C1652" s="220"/>
      <c r="D1652" s="220"/>
      <c r="E1652" s="220"/>
      <c r="G1652" s="220" t="s">
        <v>305</v>
      </c>
      <c r="H1652" s="220">
        <f>+H1651+I1651+J1651+K1651</f>
        <v>619</v>
      </c>
      <c r="I1652" s="220"/>
      <c r="J1652" s="220"/>
      <c r="K1652" s="220"/>
    </row>
    <row r="1653" spans="1:11" ht="15" thickBot="1" x14ac:dyDescent="0.4">
      <c r="A1653" s="315" t="s">
        <v>298</v>
      </c>
      <c r="B1653" s="315"/>
      <c r="C1653" s="315"/>
      <c r="D1653" s="315"/>
      <c r="E1653" s="315"/>
      <c r="G1653" s="315" t="s">
        <v>314</v>
      </c>
      <c r="H1653" s="315"/>
      <c r="I1653" s="315"/>
      <c r="J1653" s="315"/>
      <c r="K1653" s="315"/>
    </row>
    <row r="1654" spans="1:11" ht="15" thickTop="1" x14ac:dyDescent="0.35">
      <c r="A1654" s="313">
        <v>45455</v>
      </c>
      <c r="B1654" s="314"/>
      <c r="C1654" s="314"/>
      <c r="D1654" s="314"/>
      <c r="E1654" s="314"/>
      <c r="G1654" s="313">
        <v>45455</v>
      </c>
      <c r="H1654" s="314"/>
      <c r="I1654" s="314"/>
      <c r="J1654" s="314"/>
      <c r="K1654" s="314"/>
    </row>
    <row r="1655" spans="1:11" x14ac:dyDescent="0.35">
      <c r="A1655" s="261" t="s">
        <v>159</v>
      </c>
      <c r="B1655" s="262" t="s">
        <v>299</v>
      </c>
      <c r="C1655" s="262" t="s">
        <v>300</v>
      </c>
      <c r="D1655" s="262" t="s">
        <v>301</v>
      </c>
      <c r="E1655" s="263" t="s">
        <v>302</v>
      </c>
      <c r="G1655" s="264" t="s">
        <v>159</v>
      </c>
      <c r="H1655" s="265" t="s">
        <v>299</v>
      </c>
      <c r="I1655" s="265" t="s">
        <v>300</v>
      </c>
      <c r="J1655" s="265" t="s">
        <v>301</v>
      </c>
      <c r="K1655" s="266" t="s">
        <v>302</v>
      </c>
    </row>
    <row r="1656" spans="1:11" x14ac:dyDescent="0.35">
      <c r="A1656" s="221" t="s">
        <v>303</v>
      </c>
      <c r="B1656" s="222">
        <v>4817</v>
      </c>
      <c r="C1656" s="222"/>
      <c r="D1656" s="222"/>
      <c r="E1656" s="223"/>
      <c r="G1656" s="221" t="s">
        <v>303</v>
      </c>
      <c r="H1656" s="222"/>
      <c r="I1656" s="222"/>
      <c r="J1656" s="222"/>
      <c r="K1656" s="223"/>
    </row>
    <row r="1657" spans="1:11" x14ac:dyDescent="0.35">
      <c r="A1657" s="225" t="s">
        <v>304</v>
      </c>
      <c r="B1657" s="226">
        <v>344</v>
      </c>
      <c r="C1657" s="226"/>
      <c r="D1657" s="226"/>
      <c r="E1657" s="227"/>
      <c r="G1657" s="225"/>
      <c r="H1657" s="226"/>
      <c r="I1657" s="226"/>
      <c r="J1657" s="226"/>
      <c r="K1657" s="227"/>
    </row>
    <row r="1658" spans="1:11" x14ac:dyDescent="0.35">
      <c r="A1658" s="225"/>
      <c r="B1658" s="226"/>
      <c r="C1658" s="226"/>
      <c r="D1658" s="226"/>
      <c r="E1658" s="227"/>
      <c r="G1658" s="225"/>
      <c r="H1658" s="226"/>
      <c r="I1658" s="226"/>
      <c r="J1658" s="226"/>
      <c r="K1658" s="227"/>
    </row>
    <row r="1659" spans="1:11" x14ac:dyDescent="0.35">
      <c r="A1659" s="221"/>
      <c r="B1659" s="222"/>
      <c r="C1659" s="222"/>
      <c r="D1659" s="222"/>
      <c r="E1659" s="223"/>
      <c r="G1659" s="221"/>
      <c r="H1659" s="222"/>
      <c r="I1659" s="222"/>
      <c r="J1659" s="222"/>
      <c r="K1659" s="223"/>
    </row>
    <row r="1660" spans="1:11" x14ac:dyDescent="0.35">
      <c r="A1660" s="225"/>
      <c r="B1660" s="226"/>
      <c r="C1660" s="226"/>
      <c r="D1660" s="226"/>
      <c r="E1660" s="227"/>
      <c r="G1660" s="225"/>
      <c r="H1660" s="226"/>
      <c r="I1660" s="226"/>
      <c r="J1660" s="226"/>
      <c r="K1660" s="227"/>
    </row>
    <row r="1661" spans="1:11" ht="15" thickBot="1" x14ac:dyDescent="0.4">
      <c r="A1661" s="218" t="s">
        <v>34</v>
      </c>
      <c r="B1661" s="219">
        <f>SUM(B1656:B1660)</f>
        <v>5161</v>
      </c>
      <c r="C1661" s="219">
        <f>SUM(C1656:C1660)</f>
        <v>0</v>
      </c>
      <c r="D1661" s="219">
        <f>SUM(D1656:D1660)</f>
        <v>0</v>
      </c>
      <c r="E1661" s="219">
        <f>SUM(E1656:E1660)</f>
        <v>0</v>
      </c>
      <c r="G1661" s="218" t="s">
        <v>34</v>
      </c>
      <c r="H1661" s="219">
        <f>SUM(H1656:H1660)</f>
        <v>0</v>
      </c>
      <c r="I1661" s="219">
        <f>SUM(I1656:I1660)</f>
        <v>0</v>
      </c>
      <c r="J1661" s="219">
        <f>SUM(J1656:J1660)</f>
        <v>0</v>
      </c>
      <c r="K1661" s="219">
        <f>SUM(K1656:K1660)</f>
        <v>0</v>
      </c>
    </row>
    <row r="1662" spans="1:11" x14ac:dyDescent="0.35">
      <c r="A1662" s="220" t="s">
        <v>305</v>
      </c>
      <c r="B1662" s="220">
        <f>+B1661+C1661+D1661+E1661</f>
        <v>5161</v>
      </c>
      <c r="C1662" s="220"/>
      <c r="D1662" s="220"/>
      <c r="E1662" s="220"/>
      <c r="G1662" s="220" t="s">
        <v>305</v>
      </c>
      <c r="H1662" s="220">
        <f>+H1661+I1661+J1661+K1661</f>
        <v>0</v>
      </c>
      <c r="I1662" s="220"/>
      <c r="J1662" s="220"/>
      <c r="K1662" s="220"/>
    </row>
    <row r="1663" spans="1:11" ht="15" thickBot="1" x14ac:dyDescent="0.4">
      <c r="A1663" s="315" t="s">
        <v>298</v>
      </c>
      <c r="B1663" s="315"/>
      <c r="C1663" s="315"/>
      <c r="D1663" s="315"/>
      <c r="E1663" s="315"/>
      <c r="G1663" s="315" t="s">
        <v>314</v>
      </c>
      <c r="H1663" s="315"/>
      <c r="I1663" s="315"/>
      <c r="J1663" s="315"/>
      <c r="K1663" s="315"/>
    </row>
    <row r="1664" spans="1:11" ht="15" thickTop="1" x14ac:dyDescent="0.35">
      <c r="A1664" s="313">
        <v>45456</v>
      </c>
      <c r="B1664" s="314"/>
      <c r="C1664" s="314"/>
      <c r="D1664" s="314"/>
      <c r="E1664" s="314"/>
      <c r="G1664" s="313">
        <v>45456</v>
      </c>
      <c r="H1664" s="314"/>
      <c r="I1664" s="314"/>
      <c r="J1664" s="314"/>
      <c r="K1664" s="314"/>
    </row>
    <row r="1665" spans="1:11" x14ac:dyDescent="0.35">
      <c r="A1665" s="261" t="s">
        <v>159</v>
      </c>
      <c r="B1665" s="262" t="s">
        <v>299</v>
      </c>
      <c r="C1665" s="262" t="s">
        <v>300</v>
      </c>
      <c r="D1665" s="262" t="s">
        <v>301</v>
      </c>
      <c r="E1665" s="263" t="s">
        <v>302</v>
      </c>
      <c r="G1665" s="264" t="s">
        <v>159</v>
      </c>
      <c r="H1665" s="265" t="s">
        <v>299</v>
      </c>
      <c r="I1665" s="265" t="s">
        <v>300</v>
      </c>
      <c r="J1665" s="265" t="s">
        <v>301</v>
      </c>
      <c r="K1665" s="266" t="s">
        <v>302</v>
      </c>
    </row>
    <row r="1666" spans="1:11" x14ac:dyDescent="0.35">
      <c r="A1666" s="221" t="s">
        <v>303</v>
      </c>
      <c r="B1666" s="222">
        <v>7591</v>
      </c>
      <c r="C1666" s="222"/>
      <c r="D1666" s="222"/>
      <c r="E1666" s="223"/>
      <c r="G1666" s="221" t="s">
        <v>303</v>
      </c>
      <c r="H1666" s="222">
        <v>710</v>
      </c>
      <c r="I1666" s="222"/>
      <c r="J1666" s="222"/>
      <c r="K1666" s="223"/>
    </row>
    <row r="1667" spans="1:11" x14ac:dyDescent="0.35">
      <c r="A1667" s="225" t="s">
        <v>304</v>
      </c>
      <c r="B1667" s="226">
        <v>3120</v>
      </c>
      <c r="C1667" s="226"/>
      <c r="D1667" s="226"/>
      <c r="E1667" s="227"/>
      <c r="G1667" s="225"/>
      <c r="H1667" s="226"/>
      <c r="I1667" s="226"/>
      <c r="J1667" s="226"/>
      <c r="K1667" s="227"/>
    </row>
    <row r="1668" spans="1:11" x14ac:dyDescent="0.35">
      <c r="A1668" s="225"/>
      <c r="B1668" s="226"/>
      <c r="C1668" s="226"/>
      <c r="D1668" s="226"/>
      <c r="E1668" s="227"/>
      <c r="G1668" s="225"/>
      <c r="H1668" s="226"/>
      <c r="I1668" s="226"/>
      <c r="J1668" s="226"/>
      <c r="K1668" s="227"/>
    </row>
    <row r="1669" spans="1:11" x14ac:dyDescent="0.35">
      <c r="A1669" s="221"/>
      <c r="B1669" s="222"/>
      <c r="C1669" s="222"/>
      <c r="D1669" s="222"/>
      <c r="E1669" s="223"/>
      <c r="G1669" s="221"/>
      <c r="H1669" s="222"/>
      <c r="I1669" s="222"/>
      <c r="J1669" s="222"/>
      <c r="K1669" s="223"/>
    </row>
    <row r="1670" spans="1:11" x14ac:dyDescent="0.35">
      <c r="A1670" s="225"/>
      <c r="B1670" s="226"/>
      <c r="C1670" s="226"/>
      <c r="D1670" s="226"/>
      <c r="E1670" s="227"/>
      <c r="G1670" s="225"/>
      <c r="H1670" s="226"/>
      <c r="I1670" s="226"/>
      <c r="J1670" s="226"/>
      <c r="K1670" s="227"/>
    </row>
    <row r="1671" spans="1:11" ht="15" thickBot="1" x14ac:dyDescent="0.4">
      <c r="A1671" s="218" t="s">
        <v>34</v>
      </c>
      <c r="B1671" s="219">
        <f>SUM(B1666:B1670)</f>
        <v>10711</v>
      </c>
      <c r="C1671" s="219">
        <f>SUM(C1666:C1670)</f>
        <v>0</v>
      </c>
      <c r="D1671" s="219">
        <f>SUM(D1666:D1670)</f>
        <v>0</v>
      </c>
      <c r="E1671" s="219">
        <f>SUM(E1666:E1670)</f>
        <v>0</v>
      </c>
      <c r="G1671" s="218" t="s">
        <v>34</v>
      </c>
      <c r="H1671" s="219">
        <f>SUM(H1666:H1670)</f>
        <v>710</v>
      </c>
      <c r="I1671" s="219">
        <f>SUM(I1666:I1670)</f>
        <v>0</v>
      </c>
      <c r="J1671" s="219">
        <f>SUM(J1666:J1670)</f>
        <v>0</v>
      </c>
      <c r="K1671" s="219">
        <f>SUM(K1666:K1670)</f>
        <v>0</v>
      </c>
    </row>
    <row r="1672" spans="1:11" x14ac:dyDescent="0.35">
      <c r="A1672" s="220" t="s">
        <v>305</v>
      </c>
      <c r="B1672" s="220">
        <f>+B1671+C1671+D1671+E1671</f>
        <v>10711</v>
      </c>
      <c r="C1672" s="220"/>
      <c r="D1672" s="220"/>
      <c r="E1672" s="220"/>
      <c r="G1672" s="220" t="s">
        <v>305</v>
      </c>
      <c r="H1672" s="220">
        <f>+H1671+I1671+J1671+K1671</f>
        <v>710</v>
      </c>
      <c r="I1672" s="220"/>
      <c r="J1672" s="220"/>
      <c r="K1672" s="220"/>
    </row>
    <row r="1673" spans="1:11" ht="15" thickBot="1" x14ac:dyDescent="0.4">
      <c r="A1673" s="315" t="s">
        <v>298</v>
      </c>
      <c r="B1673" s="315"/>
      <c r="C1673" s="315"/>
      <c r="D1673" s="315"/>
      <c r="E1673" s="315"/>
      <c r="G1673" s="315" t="s">
        <v>314</v>
      </c>
      <c r="H1673" s="315"/>
      <c r="I1673" s="315"/>
      <c r="J1673" s="315"/>
      <c r="K1673" s="315"/>
    </row>
    <row r="1674" spans="1:11" ht="15" thickTop="1" x14ac:dyDescent="0.35">
      <c r="A1674" s="313">
        <v>45457</v>
      </c>
      <c r="B1674" s="314"/>
      <c r="C1674" s="314"/>
      <c r="D1674" s="314"/>
      <c r="E1674" s="314"/>
      <c r="G1674" s="313">
        <v>45457</v>
      </c>
      <c r="H1674" s="314"/>
      <c r="I1674" s="314"/>
      <c r="J1674" s="314"/>
      <c r="K1674" s="314"/>
    </row>
    <row r="1675" spans="1:11" x14ac:dyDescent="0.35">
      <c r="A1675" s="261" t="s">
        <v>159</v>
      </c>
      <c r="B1675" s="262" t="s">
        <v>299</v>
      </c>
      <c r="C1675" s="262" t="s">
        <v>300</v>
      </c>
      <c r="D1675" s="262" t="s">
        <v>301</v>
      </c>
      <c r="E1675" s="263" t="s">
        <v>302</v>
      </c>
      <c r="G1675" s="264" t="s">
        <v>159</v>
      </c>
      <c r="H1675" s="265" t="s">
        <v>299</v>
      </c>
      <c r="I1675" s="265" t="s">
        <v>300</v>
      </c>
      <c r="J1675" s="265" t="s">
        <v>301</v>
      </c>
      <c r="K1675" s="266" t="s">
        <v>302</v>
      </c>
    </row>
    <row r="1676" spans="1:11" x14ac:dyDescent="0.35">
      <c r="A1676" s="221" t="s">
        <v>303</v>
      </c>
      <c r="B1676" s="222">
        <v>5199</v>
      </c>
      <c r="C1676" s="222"/>
      <c r="D1676" s="222"/>
      <c r="E1676" s="223"/>
      <c r="G1676" s="221" t="s">
        <v>303</v>
      </c>
      <c r="H1676" s="222">
        <v>1374</v>
      </c>
      <c r="I1676" s="222"/>
      <c r="J1676" s="222"/>
      <c r="K1676" s="223"/>
    </row>
    <row r="1677" spans="1:11" x14ac:dyDescent="0.35">
      <c r="A1677" s="225" t="s">
        <v>304</v>
      </c>
      <c r="B1677" s="226">
        <v>1845</v>
      </c>
      <c r="C1677" s="226"/>
      <c r="D1677" s="226"/>
      <c r="E1677" s="227"/>
      <c r="G1677" s="225"/>
      <c r="H1677" s="226"/>
      <c r="I1677" s="226"/>
      <c r="J1677" s="226"/>
      <c r="K1677" s="227"/>
    </row>
    <row r="1678" spans="1:11" x14ac:dyDescent="0.35">
      <c r="A1678" s="225"/>
      <c r="B1678" s="226"/>
      <c r="C1678" s="226"/>
      <c r="D1678" s="226"/>
      <c r="E1678" s="227"/>
      <c r="G1678" s="225"/>
      <c r="H1678" s="226"/>
      <c r="I1678" s="226"/>
      <c r="J1678" s="226"/>
      <c r="K1678" s="227"/>
    </row>
    <row r="1679" spans="1:11" x14ac:dyDescent="0.35">
      <c r="A1679" s="221"/>
      <c r="B1679" s="222"/>
      <c r="C1679" s="222"/>
      <c r="D1679" s="222"/>
      <c r="E1679" s="223"/>
      <c r="G1679" s="221"/>
      <c r="H1679" s="222"/>
      <c r="I1679" s="222"/>
      <c r="J1679" s="222"/>
      <c r="K1679" s="223"/>
    </row>
    <row r="1680" spans="1:11" x14ac:dyDescent="0.35">
      <c r="A1680" s="225"/>
      <c r="B1680" s="226"/>
      <c r="C1680" s="226"/>
      <c r="D1680" s="226"/>
      <c r="E1680" s="227"/>
      <c r="G1680" s="225"/>
      <c r="H1680" s="226"/>
      <c r="I1680" s="226"/>
      <c r="J1680" s="226"/>
      <c r="K1680" s="227"/>
    </row>
    <row r="1681" spans="1:11" ht="15" thickBot="1" x14ac:dyDescent="0.4">
      <c r="A1681" s="218" t="s">
        <v>34</v>
      </c>
      <c r="B1681" s="219">
        <f>SUM(B1676:B1680)</f>
        <v>7044</v>
      </c>
      <c r="C1681" s="219">
        <f>SUM(C1676:C1680)</f>
        <v>0</v>
      </c>
      <c r="D1681" s="219">
        <f>SUM(D1676:D1680)</f>
        <v>0</v>
      </c>
      <c r="E1681" s="219">
        <f>SUM(E1676:E1680)</f>
        <v>0</v>
      </c>
      <c r="G1681" s="218" t="s">
        <v>34</v>
      </c>
      <c r="H1681" s="219">
        <f>SUM(H1676:H1680)</f>
        <v>1374</v>
      </c>
      <c r="I1681" s="219">
        <f>SUM(I1676:I1680)</f>
        <v>0</v>
      </c>
      <c r="J1681" s="219">
        <f>SUM(J1676:J1680)</f>
        <v>0</v>
      </c>
      <c r="K1681" s="219">
        <f>SUM(K1676:K1680)</f>
        <v>0</v>
      </c>
    </row>
    <row r="1682" spans="1:11" x14ac:dyDescent="0.35">
      <c r="A1682" s="220" t="s">
        <v>305</v>
      </c>
      <c r="B1682" s="220">
        <f>+B1681+C1681+D1681+E1681</f>
        <v>7044</v>
      </c>
      <c r="C1682" s="220"/>
      <c r="D1682" s="220"/>
      <c r="E1682" s="220"/>
      <c r="G1682" s="220" t="s">
        <v>305</v>
      </c>
      <c r="H1682" s="220">
        <f>+H1681+I1681+J1681+K1681</f>
        <v>1374</v>
      </c>
      <c r="I1682" s="220"/>
      <c r="J1682" s="220"/>
      <c r="K1682" s="220"/>
    </row>
    <row r="1683" spans="1:11" ht="15" thickBot="1" x14ac:dyDescent="0.4">
      <c r="A1683" s="315" t="s">
        <v>298</v>
      </c>
      <c r="B1683" s="315"/>
      <c r="C1683" s="315"/>
      <c r="D1683" s="315"/>
      <c r="E1683" s="315"/>
      <c r="G1683" s="315" t="s">
        <v>314</v>
      </c>
      <c r="H1683" s="315"/>
      <c r="I1683" s="315"/>
      <c r="J1683" s="315"/>
      <c r="K1683" s="315"/>
    </row>
    <row r="1684" spans="1:11" ht="15" thickTop="1" x14ac:dyDescent="0.35">
      <c r="A1684" s="313">
        <v>45458</v>
      </c>
      <c r="B1684" s="314"/>
      <c r="C1684" s="314"/>
      <c r="D1684" s="314"/>
      <c r="E1684" s="314"/>
      <c r="G1684" s="313">
        <v>45458</v>
      </c>
      <c r="H1684" s="314"/>
      <c r="I1684" s="314"/>
      <c r="J1684" s="314"/>
      <c r="K1684" s="314"/>
    </row>
    <row r="1685" spans="1:11" x14ac:dyDescent="0.35">
      <c r="A1685" s="261" t="s">
        <v>159</v>
      </c>
      <c r="B1685" s="262" t="s">
        <v>299</v>
      </c>
      <c r="C1685" s="262" t="s">
        <v>300</v>
      </c>
      <c r="D1685" s="262" t="s">
        <v>301</v>
      </c>
      <c r="E1685" s="263" t="s">
        <v>302</v>
      </c>
      <c r="G1685" s="264" t="s">
        <v>159</v>
      </c>
      <c r="H1685" s="265" t="s">
        <v>299</v>
      </c>
      <c r="I1685" s="265" t="s">
        <v>300</v>
      </c>
      <c r="J1685" s="265" t="s">
        <v>301</v>
      </c>
      <c r="K1685" s="266" t="s">
        <v>302</v>
      </c>
    </row>
    <row r="1686" spans="1:11" x14ac:dyDescent="0.35">
      <c r="A1686" s="221" t="s">
        <v>303</v>
      </c>
      <c r="B1686" s="222">
        <v>17151</v>
      </c>
      <c r="C1686" s="222"/>
      <c r="D1686" s="222"/>
      <c r="E1686" s="223"/>
      <c r="G1686" s="221" t="s">
        <v>303</v>
      </c>
      <c r="H1686" s="222">
        <v>3260</v>
      </c>
      <c r="I1686" s="222"/>
      <c r="J1686" s="222"/>
      <c r="K1686" s="223"/>
    </row>
    <row r="1687" spans="1:11" x14ac:dyDescent="0.35">
      <c r="A1687" s="225" t="s">
        <v>304</v>
      </c>
      <c r="B1687" s="226">
        <v>1140</v>
      </c>
      <c r="C1687" s="226"/>
      <c r="D1687" s="226"/>
      <c r="E1687" s="227"/>
      <c r="G1687" s="225"/>
      <c r="H1687" s="226"/>
      <c r="I1687" s="226"/>
      <c r="J1687" s="226"/>
      <c r="K1687" s="227"/>
    </row>
    <row r="1688" spans="1:11" x14ac:dyDescent="0.35">
      <c r="A1688" s="225"/>
      <c r="B1688" s="226"/>
      <c r="C1688" s="226"/>
      <c r="D1688" s="226"/>
      <c r="E1688" s="227"/>
      <c r="G1688" s="225"/>
      <c r="H1688" s="226"/>
      <c r="I1688" s="226"/>
      <c r="J1688" s="226"/>
      <c r="K1688" s="227"/>
    </row>
    <row r="1689" spans="1:11" x14ac:dyDescent="0.35">
      <c r="A1689" s="221"/>
      <c r="B1689" s="222"/>
      <c r="C1689" s="222"/>
      <c r="D1689" s="222"/>
      <c r="E1689" s="223"/>
      <c r="G1689" s="221"/>
      <c r="H1689" s="222"/>
      <c r="I1689" s="222"/>
      <c r="J1689" s="222"/>
      <c r="K1689" s="223"/>
    </row>
    <row r="1690" spans="1:11" x14ac:dyDescent="0.35">
      <c r="A1690" s="225"/>
      <c r="B1690" s="226"/>
      <c r="C1690" s="226"/>
      <c r="D1690" s="226"/>
      <c r="E1690" s="227"/>
      <c r="G1690" s="225"/>
      <c r="H1690" s="226"/>
      <c r="I1690" s="226"/>
      <c r="J1690" s="226"/>
      <c r="K1690" s="227"/>
    </row>
    <row r="1691" spans="1:11" ht="15" thickBot="1" x14ac:dyDescent="0.4">
      <c r="A1691" s="218" t="s">
        <v>34</v>
      </c>
      <c r="B1691" s="219">
        <f>SUM(B1686:B1690)</f>
        <v>18291</v>
      </c>
      <c r="C1691" s="219">
        <f>SUM(C1686:C1690)</f>
        <v>0</v>
      </c>
      <c r="D1691" s="219">
        <f>SUM(D1686:D1690)</f>
        <v>0</v>
      </c>
      <c r="E1691" s="219">
        <f>SUM(E1686:E1690)</f>
        <v>0</v>
      </c>
      <c r="G1691" s="218" t="s">
        <v>34</v>
      </c>
      <c r="H1691" s="219">
        <f>SUM(H1686:H1690)</f>
        <v>3260</v>
      </c>
      <c r="I1691" s="219">
        <f>SUM(I1686:I1690)</f>
        <v>0</v>
      </c>
      <c r="J1691" s="219">
        <f>SUM(J1686:J1690)</f>
        <v>0</v>
      </c>
      <c r="K1691" s="219">
        <f>SUM(K1686:K1690)</f>
        <v>0</v>
      </c>
    </row>
    <row r="1692" spans="1:11" x14ac:dyDescent="0.35">
      <c r="A1692" s="220" t="s">
        <v>305</v>
      </c>
      <c r="B1692" s="220">
        <f>+B1691+C1691+D1691+E1691</f>
        <v>18291</v>
      </c>
      <c r="C1692" s="220"/>
      <c r="D1692" s="220"/>
      <c r="E1692" s="220"/>
      <c r="G1692" s="220" t="s">
        <v>305</v>
      </c>
      <c r="H1692" s="220">
        <f>+H1691+I1691+J1691+K1691</f>
        <v>3260</v>
      </c>
      <c r="I1692" s="220"/>
      <c r="J1692" s="220"/>
      <c r="K1692" s="220"/>
    </row>
    <row r="1693" spans="1:11" ht="15" thickBot="1" x14ac:dyDescent="0.4">
      <c r="A1693" s="315" t="s">
        <v>298</v>
      </c>
      <c r="B1693" s="315"/>
      <c r="C1693" s="315"/>
      <c r="D1693" s="315"/>
      <c r="E1693" s="315"/>
      <c r="G1693" s="315" t="s">
        <v>314</v>
      </c>
      <c r="H1693" s="315"/>
      <c r="I1693" s="315"/>
      <c r="J1693" s="315"/>
      <c r="K1693" s="315"/>
    </row>
    <row r="1694" spans="1:11" ht="15" thickTop="1" x14ac:dyDescent="0.35">
      <c r="A1694" s="313">
        <v>45459</v>
      </c>
      <c r="B1694" s="314"/>
      <c r="C1694" s="314"/>
      <c r="D1694" s="314"/>
      <c r="E1694" s="314"/>
      <c r="G1694" s="313">
        <v>45459</v>
      </c>
      <c r="H1694" s="314"/>
      <c r="I1694" s="314"/>
      <c r="J1694" s="314"/>
      <c r="K1694" s="314"/>
    </row>
    <row r="1695" spans="1:11" x14ac:dyDescent="0.35">
      <c r="A1695" s="261" t="s">
        <v>159</v>
      </c>
      <c r="B1695" s="262" t="s">
        <v>299</v>
      </c>
      <c r="C1695" s="262" t="s">
        <v>300</v>
      </c>
      <c r="D1695" s="262" t="s">
        <v>301</v>
      </c>
      <c r="E1695" s="263" t="s">
        <v>302</v>
      </c>
      <c r="G1695" s="264" t="s">
        <v>159</v>
      </c>
      <c r="H1695" s="265" t="s">
        <v>299</v>
      </c>
      <c r="I1695" s="265" t="s">
        <v>300</v>
      </c>
      <c r="J1695" s="265" t="s">
        <v>301</v>
      </c>
      <c r="K1695" s="266" t="s">
        <v>302</v>
      </c>
    </row>
    <row r="1696" spans="1:11" x14ac:dyDescent="0.35">
      <c r="A1696" s="221" t="s">
        <v>303</v>
      </c>
      <c r="B1696" s="222">
        <v>43323</v>
      </c>
      <c r="C1696" s="222"/>
      <c r="D1696" s="222"/>
      <c r="E1696" s="223"/>
      <c r="G1696" s="221" t="s">
        <v>303</v>
      </c>
      <c r="H1696" s="222">
        <v>13848</v>
      </c>
      <c r="I1696" s="222"/>
      <c r="J1696" s="222"/>
      <c r="K1696" s="223"/>
    </row>
    <row r="1697" spans="1:11" x14ac:dyDescent="0.35">
      <c r="A1697" s="225" t="s">
        <v>304</v>
      </c>
      <c r="B1697" s="226"/>
      <c r="C1697" s="226"/>
      <c r="D1697" s="226"/>
      <c r="E1697" s="227"/>
      <c r="G1697" s="225"/>
      <c r="H1697" s="226"/>
      <c r="I1697" s="226"/>
      <c r="J1697" s="226"/>
      <c r="K1697" s="227"/>
    </row>
    <row r="1698" spans="1:11" x14ac:dyDescent="0.35">
      <c r="A1698" s="225"/>
      <c r="B1698" s="226"/>
      <c r="C1698" s="226"/>
      <c r="D1698" s="226"/>
      <c r="E1698" s="227"/>
      <c r="G1698" s="225"/>
      <c r="H1698" s="226"/>
      <c r="I1698" s="226"/>
      <c r="J1698" s="226"/>
      <c r="K1698" s="227"/>
    </row>
    <row r="1699" spans="1:11" x14ac:dyDescent="0.35">
      <c r="A1699" s="221"/>
      <c r="B1699" s="222"/>
      <c r="C1699" s="222"/>
      <c r="D1699" s="222"/>
      <c r="E1699" s="223"/>
      <c r="G1699" s="221"/>
      <c r="H1699" s="222"/>
      <c r="I1699" s="222"/>
      <c r="J1699" s="222"/>
      <c r="K1699" s="223"/>
    </row>
    <row r="1700" spans="1:11" x14ac:dyDescent="0.35">
      <c r="A1700" s="225"/>
      <c r="B1700" s="226"/>
      <c r="C1700" s="226"/>
      <c r="D1700" s="226"/>
      <c r="E1700" s="227"/>
      <c r="G1700" s="225"/>
      <c r="H1700" s="226"/>
      <c r="I1700" s="226"/>
      <c r="J1700" s="226"/>
      <c r="K1700" s="227"/>
    </row>
    <row r="1701" spans="1:11" ht="15" thickBot="1" x14ac:dyDescent="0.4">
      <c r="A1701" s="218" t="s">
        <v>34</v>
      </c>
      <c r="B1701" s="219">
        <f>SUM(B1696:B1700)</f>
        <v>43323</v>
      </c>
      <c r="C1701" s="219">
        <f>SUM(C1696:C1700)</f>
        <v>0</v>
      </c>
      <c r="D1701" s="219">
        <f>SUM(D1696:D1700)</f>
        <v>0</v>
      </c>
      <c r="E1701" s="219">
        <f>SUM(E1696:E1700)</f>
        <v>0</v>
      </c>
      <c r="G1701" s="218" t="s">
        <v>34</v>
      </c>
      <c r="H1701" s="219">
        <f>SUM(H1696:H1700)</f>
        <v>13848</v>
      </c>
      <c r="I1701" s="219">
        <f>SUM(I1696:I1700)</f>
        <v>0</v>
      </c>
      <c r="J1701" s="219">
        <f>SUM(J1696:J1700)</f>
        <v>0</v>
      </c>
      <c r="K1701" s="219">
        <f>SUM(K1696:K1700)</f>
        <v>0</v>
      </c>
    </row>
    <row r="1702" spans="1:11" x14ac:dyDescent="0.35">
      <c r="A1702" s="220" t="s">
        <v>305</v>
      </c>
      <c r="B1702" s="220">
        <f>+B1701+C1701+D1701+E1701</f>
        <v>43323</v>
      </c>
      <c r="C1702" s="220"/>
      <c r="D1702" s="220"/>
      <c r="E1702" s="220"/>
      <c r="G1702" s="220" t="s">
        <v>305</v>
      </c>
      <c r="H1702" s="220">
        <f>+H1701+I1701+J1701+K1701</f>
        <v>13848</v>
      </c>
      <c r="I1702" s="220"/>
      <c r="J1702" s="220"/>
      <c r="K1702" s="220"/>
    </row>
    <row r="1703" spans="1:11" ht="15" thickBot="1" x14ac:dyDescent="0.4">
      <c r="A1703" s="315" t="s">
        <v>298</v>
      </c>
      <c r="B1703" s="315"/>
      <c r="C1703" s="315"/>
      <c r="D1703" s="315"/>
      <c r="E1703" s="315"/>
      <c r="G1703" s="315" t="s">
        <v>314</v>
      </c>
      <c r="H1703" s="315"/>
      <c r="I1703" s="315"/>
      <c r="J1703" s="315"/>
      <c r="K1703" s="315"/>
    </row>
    <row r="1704" spans="1:11" ht="15" thickTop="1" x14ac:dyDescent="0.35">
      <c r="A1704" s="313">
        <v>45460</v>
      </c>
      <c r="B1704" s="314"/>
      <c r="C1704" s="314"/>
      <c r="D1704" s="314"/>
      <c r="E1704" s="314"/>
      <c r="G1704" s="313">
        <v>45460</v>
      </c>
      <c r="H1704" s="314"/>
      <c r="I1704" s="314"/>
      <c r="J1704" s="314"/>
      <c r="K1704" s="314"/>
    </row>
    <row r="1705" spans="1:11" x14ac:dyDescent="0.35">
      <c r="A1705" s="261" t="s">
        <v>159</v>
      </c>
      <c r="B1705" s="262" t="s">
        <v>299</v>
      </c>
      <c r="C1705" s="262" t="s">
        <v>300</v>
      </c>
      <c r="D1705" s="262" t="s">
        <v>301</v>
      </c>
      <c r="E1705" s="263" t="s">
        <v>302</v>
      </c>
      <c r="G1705" s="264" t="s">
        <v>159</v>
      </c>
      <c r="H1705" s="265" t="s">
        <v>299</v>
      </c>
      <c r="I1705" s="265" t="s">
        <v>300</v>
      </c>
      <c r="J1705" s="265" t="s">
        <v>301</v>
      </c>
      <c r="K1705" s="266" t="s">
        <v>302</v>
      </c>
    </row>
    <row r="1706" spans="1:11" x14ac:dyDescent="0.35">
      <c r="A1706" s="221" t="s">
        <v>303</v>
      </c>
      <c r="B1706" s="222">
        <v>1999</v>
      </c>
      <c r="C1706" s="222"/>
      <c r="D1706" s="222"/>
      <c r="E1706" s="223"/>
      <c r="G1706" s="221" t="s">
        <v>303</v>
      </c>
      <c r="H1706" s="222">
        <v>514</v>
      </c>
      <c r="I1706" s="222"/>
      <c r="J1706" s="222"/>
      <c r="K1706" s="223"/>
    </row>
    <row r="1707" spans="1:11" x14ac:dyDescent="0.35">
      <c r="A1707" s="225" t="s">
        <v>304</v>
      </c>
      <c r="B1707" s="226">
        <v>29668</v>
      </c>
      <c r="C1707" s="226"/>
      <c r="D1707" s="226"/>
      <c r="E1707" s="227"/>
      <c r="G1707" s="225"/>
      <c r="H1707" s="226"/>
      <c r="I1707" s="226"/>
      <c r="J1707" s="226"/>
      <c r="K1707" s="227"/>
    </row>
    <row r="1708" spans="1:11" x14ac:dyDescent="0.35">
      <c r="A1708" s="225"/>
      <c r="B1708" s="226"/>
      <c r="C1708" s="226"/>
      <c r="D1708" s="226"/>
      <c r="E1708" s="227"/>
      <c r="G1708" s="225"/>
      <c r="H1708" s="226"/>
      <c r="I1708" s="226"/>
      <c r="J1708" s="226"/>
      <c r="K1708" s="227"/>
    </row>
    <row r="1709" spans="1:11" x14ac:dyDescent="0.35">
      <c r="A1709" s="221"/>
      <c r="B1709" s="222"/>
      <c r="C1709" s="222"/>
      <c r="D1709" s="222"/>
      <c r="E1709" s="223"/>
      <c r="G1709" s="221"/>
      <c r="H1709" s="222"/>
      <c r="I1709" s="222"/>
      <c r="J1709" s="222"/>
      <c r="K1709" s="223"/>
    </row>
    <row r="1710" spans="1:11" x14ac:dyDescent="0.35">
      <c r="A1710" s="225"/>
      <c r="B1710" s="226"/>
      <c r="C1710" s="226"/>
      <c r="D1710" s="226"/>
      <c r="E1710" s="227"/>
      <c r="G1710" s="225"/>
      <c r="H1710" s="226"/>
      <c r="I1710" s="226"/>
      <c r="J1710" s="226"/>
      <c r="K1710" s="227"/>
    </row>
    <row r="1711" spans="1:11" ht="15" thickBot="1" x14ac:dyDescent="0.4">
      <c r="A1711" s="218" t="s">
        <v>34</v>
      </c>
      <c r="B1711" s="219">
        <f>SUM(B1706:B1710)</f>
        <v>31667</v>
      </c>
      <c r="C1711" s="219">
        <f>SUM(C1706:C1710)</f>
        <v>0</v>
      </c>
      <c r="D1711" s="219">
        <f>SUM(D1706:D1710)</f>
        <v>0</v>
      </c>
      <c r="E1711" s="219">
        <f>SUM(E1706:E1710)</f>
        <v>0</v>
      </c>
      <c r="G1711" s="218" t="s">
        <v>34</v>
      </c>
      <c r="H1711" s="219">
        <f>SUM(H1706:H1710)</f>
        <v>514</v>
      </c>
      <c r="I1711" s="219">
        <f>SUM(I1706:I1710)</f>
        <v>0</v>
      </c>
      <c r="J1711" s="219">
        <f>SUM(J1706:J1710)</f>
        <v>0</v>
      </c>
      <c r="K1711" s="219">
        <f>SUM(K1706:K1710)</f>
        <v>0</v>
      </c>
    </row>
    <row r="1712" spans="1:11" x14ac:dyDescent="0.35">
      <c r="A1712" s="220" t="s">
        <v>305</v>
      </c>
      <c r="B1712" s="220">
        <f>+B1711+C1711+D1711+E1711</f>
        <v>31667</v>
      </c>
      <c r="C1712" s="220"/>
      <c r="D1712" s="220"/>
      <c r="E1712" s="220"/>
      <c r="G1712" s="220" t="s">
        <v>305</v>
      </c>
      <c r="H1712" s="220">
        <f>+H1711+I1711+J1711+K1711</f>
        <v>514</v>
      </c>
      <c r="I1712" s="220"/>
      <c r="J1712" s="220"/>
      <c r="K1712" s="220"/>
    </row>
    <row r="1713" spans="1:11" ht="15" thickBot="1" x14ac:dyDescent="0.4">
      <c r="A1713" s="315" t="s">
        <v>298</v>
      </c>
      <c r="B1713" s="315"/>
      <c r="C1713" s="315"/>
      <c r="D1713" s="315"/>
      <c r="E1713" s="315"/>
      <c r="G1713" s="315" t="s">
        <v>314</v>
      </c>
      <c r="H1713" s="315"/>
      <c r="I1713" s="315"/>
      <c r="J1713" s="315"/>
      <c r="K1713" s="315"/>
    </row>
    <row r="1714" spans="1:11" ht="15" thickTop="1" x14ac:dyDescent="0.35">
      <c r="A1714" s="313">
        <v>45461</v>
      </c>
      <c r="B1714" s="314"/>
      <c r="C1714" s="314"/>
      <c r="D1714" s="314"/>
      <c r="E1714" s="314"/>
      <c r="G1714" s="313">
        <v>45461</v>
      </c>
      <c r="H1714" s="314"/>
      <c r="I1714" s="314"/>
      <c r="J1714" s="314"/>
      <c r="K1714" s="314"/>
    </row>
    <row r="1715" spans="1:11" x14ac:dyDescent="0.35">
      <c r="A1715" s="261" t="s">
        <v>159</v>
      </c>
      <c r="B1715" s="262" t="s">
        <v>299</v>
      </c>
      <c r="C1715" s="262" t="s">
        <v>300</v>
      </c>
      <c r="D1715" s="262" t="s">
        <v>301</v>
      </c>
      <c r="E1715" s="263" t="s">
        <v>302</v>
      </c>
      <c r="G1715" s="264" t="s">
        <v>159</v>
      </c>
      <c r="H1715" s="265" t="s">
        <v>299</v>
      </c>
      <c r="I1715" s="265" t="s">
        <v>300</v>
      </c>
      <c r="J1715" s="265" t="s">
        <v>301</v>
      </c>
      <c r="K1715" s="266" t="s">
        <v>302</v>
      </c>
    </row>
    <row r="1716" spans="1:11" x14ac:dyDescent="0.35">
      <c r="A1716" s="221" t="s">
        <v>303</v>
      </c>
      <c r="B1716" s="222">
        <v>1500</v>
      </c>
      <c r="C1716" s="222"/>
      <c r="D1716" s="222"/>
      <c r="E1716" s="223"/>
      <c r="G1716" s="221" t="s">
        <v>303</v>
      </c>
      <c r="H1716" s="222">
        <v>561</v>
      </c>
      <c r="I1716" s="222"/>
      <c r="J1716" s="222"/>
      <c r="K1716" s="223"/>
    </row>
    <row r="1717" spans="1:11" x14ac:dyDescent="0.35">
      <c r="A1717" s="225" t="s">
        <v>304</v>
      </c>
      <c r="B1717" s="226"/>
      <c r="C1717" s="226"/>
      <c r="D1717" s="226"/>
      <c r="E1717" s="227"/>
      <c r="G1717" s="225"/>
      <c r="H1717" s="226"/>
      <c r="I1717" s="226"/>
      <c r="J1717" s="226"/>
      <c r="K1717" s="227"/>
    </row>
    <row r="1718" spans="1:11" x14ac:dyDescent="0.35">
      <c r="A1718" s="225"/>
      <c r="B1718" s="226"/>
      <c r="C1718" s="226"/>
      <c r="D1718" s="226"/>
      <c r="E1718" s="227"/>
      <c r="G1718" s="225"/>
      <c r="H1718" s="226"/>
      <c r="I1718" s="226"/>
      <c r="J1718" s="226"/>
      <c r="K1718" s="227"/>
    </row>
    <row r="1719" spans="1:11" x14ac:dyDescent="0.35">
      <c r="A1719" s="221"/>
      <c r="B1719" s="222"/>
      <c r="C1719" s="222"/>
      <c r="D1719" s="222"/>
      <c r="E1719" s="223"/>
      <c r="G1719" s="221"/>
      <c r="H1719" s="222"/>
      <c r="I1719" s="222"/>
      <c r="J1719" s="222"/>
      <c r="K1719" s="223"/>
    </row>
    <row r="1720" spans="1:11" x14ac:dyDescent="0.35">
      <c r="A1720" s="225"/>
      <c r="B1720" s="226"/>
      <c r="C1720" s="226"/>
      <c r="D1720" s="226"/>
      <c r="E1720" s="227"/>
      <c r="G1720" s="225"/>
      <c r="H1720" s="226"/>
      <c r="I1720" s="226"/>
      <c r="J1720" s="226"/>
      <c r="K1720" s="227"/>
    </row>
    <row r="1721" spans="1:11" ht="15" thickBot="1" x14ac:dyDescent="0.4">
      <c r="A1721" s="218" t="s">
        <v>34</v>
      </c>
      <c r="B1721" s="219">
        <f>SUM(B1716:B1720)</f>
        <v>1500</v>
      </c>
      <c r="C1721" s="219">
        <f>SUM(C1716:C1720)</f>
        <v>0</v>
      </c>
      <c r="D1721" s="219">
        <f>SUM(D1716:D1720)</f>
        <v>0</v>
      </c>
      <c r="E1721" s="219">
        <f>SUM(E1716:E1720)</f>
        <v>0</v>
      </c>
      <c r="G1721" s="218" t="s">
        <v>34</v>
      </c>
      <c r="H1721" s="219">
        <f>SUM(H1716:H1720)</f>
        <v>561</v>
      </c>
      <c r="I1721" s="219">
        <f>SUM(I1716:I1720)</f>
        <v>0</v>
      </c>
      <c r="J1721" s="219">
        <f>SUM(J1716:J1720)</f>
        <v>0</v>
      </c>
      <c r="K1721" s="219">
        <f>SUM(K1716:K1720)</f>
        <v>0</v>
      </c>
    </row>
    <row r="1722" spans="1:11" x14ac:dyDescent="0.35">
      <c r="A1722" s="220" t="s">
        <v>305</v>
      </c>
      <c r="B1722" s="220">
        <f>+B1721+C1721+D1721+E1721</f>
        <v>1500</v>
      </c>
      <c r="C1722" s="220"/>
      <c r="D1722" s="220"/>
      <c r="E1722" s="220"/>
      <c r="G1722" s="220" t="s">
        <v>305</v>
      </c>
      <c r="H1722" s="220">
        <f>+H1721+I1721+J1721+K1721</f>
        <v>561</v>
      </c>
      <c r="I1722" s="220"/>
      <c r="J1722" s="220"/>
      <c r="K1722" s="220"/>
    </row>
    <row r="1723" spans="1:11" ht="15" thickBot="1" x14ac:dyDescent="0.4">
      <c r="A1723" s="315" t="s">
        <v>298</v>
      </c>
      <c r="B1723" s="315"/>
      <c r="C1723" s="315"/>
      <c r="D1723" s="315"/>
      <c r="E1723" s="315"/>
      <c r="G1723" s="315" t="s">
        <v>314</v>
      </c>
      <c r="H1723" s="315"/>
      <c r="I1723" s="315"/>
      <c r="J1723" s="315"/>
      <c r="K1723" s="315"/>
    </row>
    <row r="1724" spans="1:11" ht="15" thickTop="1" x14ac:dyDescent="0.35">
      <c r="A1724" s="313">
        <v>45462</v>
      </c>
      <c r="B1724" s="314"/>
      <c r="C1724" s="314"/>
      <c r="D1724" s="314"/>
      <c r="E1724" s="314"/>
      <c r="G1724" s="313">
        <v>45462</v>
      </c>
      <c r="H1724" s="314"/>
      <c r="I1724" s="314"/>
      <c r="J1724" s="314"/>
      <c r="K1724" s="314"/>
    </row>
    <row r="1725" spans="1:11" x14ac:dyDescent="0.35">
      <c r="A1725" s="261" t="s">
        <v>159</v>
      </c>
      <c r="B1725" s="262" t="s">
        <v>299</v>
      </c>
      <c r="C1725" s="262" t="s">
        <v>300</v>
      </c>
      <c r="D1725" s="262" t="s">
        <v>301</v>
      </c>
      <c r="E1725" s="263" t="s">
        <v>302</v>
      </c>
      <c r="G1725" s="264" t="s">
        <v>159</v>
      </c>
      <c r="H1725" s="265" t="s">
        <v>299</v>
      </c>
      <c r="I1725" s="265" t="s">
        <v>300</v>
      </c>
      <c r="J1725" s="265" t="s">
        <v>301</v>
      </c>
      <c r="K1725" s="266" t="s">
        <v>302</v>
      </c>
    </row>
    <row r="1726" spans="1:11" x14ac:dyDescent="0.35">
      <c r="A1726" s="221" t="s">
        <v>303</v>
      </c>
      <c r="B1726" s="222">
        <v>5104</v>
      </c>
      <c r="C1726" s="222"/>
      <c r="D1726" s="222"/>
      <c r="E1726" s="223"/>
      <c r="G1726" s="221" t="s">
        <v>303</v>
      </c>
      <c r="H1726" s="222"/>
      <c r="I1726" s="222"/>
      <c r="J1726" s="222"/>
      <c r="K1726" s="223"/>
    </row>
    <row r="1727" spans="1:11" x14ac:dyDescent="0.35">
      <c r="A1727" s="225" t="s">
        <v>304</v>
      </c>
      <c r="B1727" s="226"/>
      <c r="C1727" s="226"/>
      <c r="D1727" s="226"/>
      <c r="E1727" s="227"/>
      <c r="G1727" s="225"/>
      <c r="H1727" s="226"/>
      <c r="I1727" s="226"/>
      <c r="J1727" s="226"/>
      <c r="K1727" s="227"/>
    </row>
    <row r="1728" spans="1:11" x14ac:dyDescent="0.35">
      <c r="A1728" s="225"/>
      <c r="B1728" s="226"/>
      <c r="C1728" s="226"/>
      <c r="D1728" s="226"/>
      <c r="E1728" s="227"/>
      <c r="G1728" s="225"/>
      <c r="H1728" s="226"/>
      <c r="I1728" s="226"/>
      <c r="J1728" s="226"/>
      <c r="K1728" s="227"/>
    </row>
    <row r="1729" spans="1:11" x14ac:dyDescent="0.35">
      <c r="A1729" s="221"/>
      <c r="B1729" s="222"/>
      <c r="C1729" s="222"/>
      <c r="D1729" s="222"/>
      <c r="E1729" s="223"/>
      <c r="G1729" s="221"/>
      <c r="H1729" s="222"/>
      <c r="I1729" s="222"/>
      <c r="J1729" s="222"/>
      <c r="K1729" s="223"/>
    </row>
    <row r="1730" spans="1:11" x14ac:dyDescent="0.35">
      <c r="A1730" s="225"/>
      <c r="B1730" s="226"/>
      <c r="C1730" s="226"/>
      <c r="D1730" s="226"/>
      <c r="E1730" s="227"/>
      <c r="G1730" s="225"/>
      <c r="H1730" s="226"/>
      <c r="I1730" s="226"/>
      <c r="J1730" s="226"/>
      <c r="K1730" s="227"/>
    </row>
    <row r="1731" spans="1:11" ht="15" thickBot="1" x14ac:dyDescent="0.4">
      <c r="A1731" s="218" t="s">
        <v>34</v>
      </c>
      <c r="B1731" s="219">
        <f>SUM(B1726:B1730)</f>
        <v>5104</v>
      </c>
      <c r="C1731" s="219">
        <f>SUM(C1726:C1730)</f>
        <v>0</v>
      </c>
      <c r="D1731" s="219">
        <f>SUM(D1726:D1730)</f>
        <v>0</v>
      </c>
      <c r="E1731" s="219">
        <f>SUM(E1726:E1730)</f>
        <v>0</v>
      </c>
      <c r="G1731" s="218" t="s">
        <v>34</v>
      </c>
      <c r="H1731" s="219">
        <f>SUM(H1726:H1730)</f>
        <v>0</v>
      </c>
      <c r="I1731" s="219">
        <f>SUM(I1726:I1730)</f>
        <v>0</v>
      </c>
      <c r="J1731" s="219">
        <f>SUM(J1726:J1730)</f>
        <v>0</v>
      </c>
      <c r="K1731" s="219">
        <f>SUM(K1726:K1730)</f>
        <v>0</v>
      </c>
    </row>
    <row r="1732" spans="1:11" x14ac:dyDescent="0.35">
      <c r="A1732" s="220" t="s">
        <v>305</v>
      </c>
      <c r="B1732" s="220">
        <f>+B1731+C1731+D1731+E1731</f>
        <v>5104</v>
      </c>
      <c r="C1732" s="220"/>
      <c r="D1732" s="220"/>
      <c r="E1732" s="220"/>
      <c r="G1732" s="220" t="s">
        <v>305</v>
      </c>
      <c r="H1732" s="220">
        <f>+H1731+I1731+J1731+K1731</f>
        <v>0</v>
      </c>
      <c r="I1732" s="220"/>
      <c r="J1732" s="220"/>
      <c r="K1732" s="220"/>
    </row>
    <row r="1733" spans="1:11" ht="15" thickBot="1" x14ac:dyDescent="0.4">
      <c r="A1733" s="315" t="s">
        <v>298</v>
      </c>
      <c r="B1733" s="315"/>
      <c r="C1733" s="315"/>
      <c r="D1733" s="315"/>
      <c r="E1733" s="315"/>
      <c r="G1733" s="315" t="s">
        <v>314</v>
      </c>
      <c r="H1733" s="315"/>
      <c r="I1733" s="315"/>
      <c r="J1733" s="315"/>
      <c r="K1733" s="315"/>
    </row>
    <row r="1734" spans="1:11" ht="15" thickTop="1" x14ac:dyDescent="0.35">
      <c r="A1734" s="313">
        <v>45463</v>
      </c>
      <c r="B1734" s="314"/>
      <c r="C1734" s="314"/>
      <c r="D1734" s="314"/>
      <c r="E1734" s="314"/>
      <c r="G1734" s="313">
        <v>45463</v>
      </c>
      <c r="H1734" s="314"/>
      <c r="I1734" s="314"/>
      <c r="J1734" s="314"/>
      <c r="K1734" s="314"/>
    </row>
    <row r="1735" spans="1:11" x14ac:dyDescent="0.35">
      <c r="A1735" s="261" t="s">
        <v>159</v>
      </c>
      <c r="B1735" s="262" t="s">
        <v>299</v>
      </c>
      <c r="C1735" s="262" t="s">
        <v>300</v>
      </c>
      <c r="D1735" s="262" t="s">
        <v>301</v>
      </c>
      <c r="E1735" s="263" t="s">
        <v>302</v>
      </c>
      <c r="G1735" s="264" t="s">
        <v>159</v>
      </c>
      <c r="H1735" s="265" t="s">
        <v>299</v>
      </c>
      <c r="I1735" s="265" t="s">
        <v>300</v>
      </c>
      <c r="J1735" s="265" t="s">
        <v>301</v>
      </c>
      <c r="K1735" s="266" t="s">
        <v>302</v>
      </c>
    </row>
    <row r="1736" spans="1:11" x14ac:dyDescent="0.35">
      <c r="A1736" s="221" t="s">
        <v>303</v>
      </c>
      <c r="B1736" s="222">
        <v>3674</v>
      </c>
      <c r="C1736" s="222"/>
      <c r="D1736" s="222"/>
      <c r="E1736" s="223"/>
      <c r="G1736" s="221" t="s">
        <v>303</v>
      </c>
      <c r="H1736" s="222">
        <v>1094</v>
      </c>
      <c r="I1736" s="222"/>
      <c r="J1736" s="222"/>
      <c r="K1736" s="223"/>
    </row>
    <row r="1737" spans="1:11" x14ac:dyDescent="0.35">
      <c r="A1737" s="225" t="s">
        <v>304</v>
      </c>
      <c r="B1737" s="226"/>
      <c r="C1737" s="226"/>
      <c r="D1737" s="226"/>
      <c r="E1737" s="227"/>
      <c r="G1737" s="225"/>
      <c r="H1737" s="226"/>
      <c r="I1737" s="226"/>
      <c r="J1737" s="226"/>
      <c r="K1737" s="227"/>
    </row>
    <row r="1738" spans="1:11" x14ac:dyDescent="0.35">
      <c r="A1738" s="225"/>
      <c r="B1738" s="226"/>
      <c r="C1738" s="226"/>
      <c r="D1738" s="226"/>
      <c r="E1738" s="227"/>
      <c r="G1738" s="225"/>
      <c r="H1738" s="226"/>
      <c r="I1738" s="226"/>
      <c r="J1738" s="226"/>
      <c r="K1738" s="227"/>
    </row>
    <row r="1739" spans="1:11" x14ac:dyDescent="0.35">
      <c r="A1739" s="221"/>
      <c r="B1739" s="222"/>
      <c r="C1739" s="222"/>
      <c r="D1739" s="222"/>
      <c r="E1739" s="223"/>
      <c r="G1739" s="221"/>
      <c r="H1739" s="222"/>
      <c r="I1739" s="222"/>
      <c r="J1739" s="222"/>
      <c r="K1739" s="223"/>
    </row>
    <row r="1740" spans="1:11" x14ac:dyDescent="0.35">
      <c r="A1740" s="225"/>
      <c r="B1740" s="226"/>
      <c r="C1740" s="226"/>
      <c r="D1740" s="226"/>
      <c r="E1740" s="227"/>
      <c r="G1740" s="225"/>
      <c r="H1740" s="226"/>
      <c r="I1740" s="226"/>
      <c r="J1740" s="226"/>
      <c r="K1740" s="227"/>
    </row>
    <row r="1741" spans="1:11" ht="15" thickBot="1" x14ac:dyDescent="0.4">
      <c r="A1741" s="218" t="s">
        <v>34</v>
      </c>
      <c r="B1741" s="219">
        <f>SUM(B1736:B1740)</f>
        <v>3674</v>
      </c>
      <c r="C1741" s="219">
        <f>SUM(C1736:C1740)</f>
        <v>0</v>
      </c>
      <c r="D1741" s="219">
        <f>SUM(D1736:D1740)</f>
        <v>0</v>
      </c>
      <c r="E1741" s="219">
        <f>SUM(E1736:E1740)</f>
        <v>0</v>
      </c>
      <c r="G1741" s="218" t="s">
        <v>34</v>
      </c>
      <c r="H1741" s="219">
        <f>SUM(H1736:H1740)</f>
        <v>1094</v>
      </c>
      <c r="I1741" s="219">
        <f>SUM(I1736:I1740)</f>
        <v>0</v>
      </c>
      <c r="J1741" s="219">
        <f>SUM(J1736:J1740)</f>
        <v>0</v>
      </c>
      <c r="K1741" s="219">
        <f>SUM(K1736:K1740)</f>
        <v>0</v>
      </c>
    </row>
    <row r="1742" spans="1:11" x14ac:dyDescent="0.35">
      <c r="A1742" s="220" t="s">
        <v>305</v>
      </c>
      <c r="B1742" s="220">
        <f>+B1741+C1741+D1741+E1741</f>
        <v>3674</v>
      </c>
      <c r="C1742" s="220"/>
      <c r="D1742" s="220"/>
      <c r="E1742" s="220"/>
      <c r="G1742" s="220" t="s">
        <v>305</v>
      </c>
      <c r="H1742" s="220">
        <f>+H1741+I1741+J1741+K1741</f>
        <v>1094</v>
      </c>
      <c r="I1742" s="220"/>
      <c r="J1742" s="220"/>
      <c r="K1742" s="220"/>
    </row>
    <row r="1743" spans="1:11" ht="15" thickBot="1" x14ac:dyDescent="0.4">
      <c r="A1743" s="315" t="s">
        <v>298</v>
      </c>
      <c r="B1743" s="315"/>
      <c r="C1743" s="315"/>
      <c r="D1743" s="315"/>
      <c r="E1743" s="315"/>
      <c r="G1743" s="315" t="s">
        <v>314</v>
      </c>
      <c r="H1743" s="315"/>
      <c r="I1743" s="315"/>
      <c r="J1743" s="315"/>
      <c r="K1743" s="315"/>
    </row>
    <row r="1744" spans="1:11" ht="15" thickTop="1" x14ac:dyDescent="0.35">
      <c r="A1744" s="313">
        <v>45464</v>
      </c>
      <c r="B1744" s="314"/>
      <c r="C1744" s="314"/>
      <c r="D1744" s="314"/>
      <c r="E1744" s="314"/>
      <c r="G1744" s="313">
        <v>45464</v>
      </c>
      <c r="H1744" s="314"/>
      <c r="I1744" s="314"/>
      <c r="J1744" s="314"/>
      <c r="K1744" s="314"/>
    </row>
    <row r="1745" spans="1:11" x14ac:dyDescent="0.35">
      <c r="A1745" s="261" t="s">
        <v>159</v>
      </c>
      <c r="B1745" s="262" t="s">
        <v>299</v>
      </c>
      <c r="C1745" s="262" t="s">
        <v>300</v>
      </c>
      <c r="D1745" s="262" t="s">
        <v>301</v>
      </c>
      <c r="E1745" s="263" t="s">
        <v>302</v>
      </c>
      <c r="G1745" s="264" t="s">
        <v>159</v>
      </c>
      <c r="H1745" s="265" t="s">
        <v>299</v>
      </c>
      <c r="I1745" s="265" t="s">
        <v>300</v>
      </c>
      <c r="J1745" s="265" t="s">
        <v>301</v>
      </c>
      <c r="K1745" s="266" t="s">
        <v>302</v>
      </c>
    </row>
    <row r="1746" spans="1:11" x14ac:dyDescent="0.35">
      <c r="A1746" s="221" t="s">
        <v>303</v>
      </c>
      <c r="B1746" s="222">
        <v>11746</v>
      </c>
      <c r="C1746" s="222"/>
      <c r="D1746" s="222"/>
      <c r="E1746" s="223"/>
      <c r="G1746" s="221" t="s">
        <v>303</v>
      </c>
      <c r="H1746" s="222">
        <v>644</v>
      </c>
      <c r="I1746" s="222"/>
      <c r="J1746" s="222"/>
      <c r="K1746" s="223"/>
    </row>
    <row r="1747" spans="1:11" x14ac:dyDescent="0.35">
      <c r="A1747" s="225" t="s">
        <v>304</v>
      </c>
      <c r="B1747" s="226">
        <v>560</v>
      </c>
      <c r="C1747" s="226"/>
      <c r="D1747" s="226"/>
      <c r="E1747" s="227"/>
      <c r="G1747" s="225"/>
      <c r="H1747" s="226"/>
      <c r="I1747" s="226"/>
      <c r="J1747" s="226"/>
      <c r="K1747" s="227"/>
    </row>
    <row r="1748" spans="1:11" x14ac:dyDescent="0.35">
      <c r="A1748" s="225"/>
      <c r="B1748" s="226"/>
      <c r="C1748" s="226"/>
      <c r="D1748" s="226"/>
      <c r="E1748" s="227"/>
      <c r="G1748" s="225"/>
      <c r="H1748" s="226"/>
      <c r="I1748" s="226"/>
      <c r="J1748" s="226"/>
      <c r="K1748" s="227"/>
    </row>
    <row r="1749" spans="1:11" x14ac:dyDescent="0.35">
      <c r="A1749" s="221"/>
      <c r="B1749" s="222"/>
      <c r="C1749" s="222"/>
      <c r="D1749" s="222"/>
      <c r="E1749" s="223"/>
      <c r="G1749" s="221"/>
      <c r="H1749" s="222"/>
      <c r="I1749" s="222"/>
      <c r="J1749" s="222"/>
      <c r="K1749" s="223"/>
    </row>
    <row r="1750" spans="1:11" x14ac:dyDescent="0.35">
      <c r="A1750" s="225"/>
      <c r="B1750" s="226"/>
      <c r="C1750" s="226"/>
      <c r="D1750" s="226"/>
      <c r="E1750" s="227"/>
      <c r="G1750" s="225"/>
      <c r="H1750" s="226"/>
      <c r="I1750" s="226"/>
      <c r="J1750" s="226"/>
      <c r="K1750" s="227"/>
    </row>
    <row r="1751" spans="1:11" ht="15" thickBot="1" x14ac:dyDescent="0.4">
      <c r="A1751" s="218" t="s">
        <v>34</v>
      </c>
      <c r="B1751" s="219">
        <f>SUM(B1746:B1750)</f>
        <v>12306</v>
      </c>
      <c r="C1751" s="219">
        <f>SUM(C1746:C1750)</f>
        <v>0</v>
      </c>
      <c r="D1751" s="219">
        <f>SUM(D1746:D1750)</f>
        <v>0</v>
      </c>
      <c r="E1751" s="219">
        <f>SUM(E1746:E1750)</f>
        <v>0</v>
      </c>
      <c r="G1751" s="218" t="s">
        <v>34</v>
      </c>
      <c r="H1751" s="219">
        <f>SUM(H1746:H1750)</f>
        <v>644</v>
      </c>
      <c r="I1751" s="219">
        <f>SUM(I1746:I1750)</f>
        <v>0</v>
      </c>
      <c r="J1751" s="219">
        <f>SUM(J1746:J1750)</f>
        <v>0</v>
      </c>
      <c r="K1751" s="219">
        <f>SUM(K1746:K1750)</f>
        <v>0</v>
      </c>
    </row>
    <row r="1752" spans="1:11" x14ac:dyDescent="0.35">
      <c r="A1752" s="220" t="s">
        <v>305</v>
      </c>
      <c r="B1752" s="220">
        <f>+B1751+C1751+D1751+E1751</f>
        <v>12306</v>
      </c>
      <c r="C1752" s="220"/>
      <c r="D1752" s="220"/>
      <c r="E1752" s="220"/>
      <c r="G1752" s="220" t="s">
        <v>305</v>
      </c>
      <c r="H1752" s="220">
        <f>+H1751+I1751+J1751+K1751</f>
        <v>644</v>
      </c>
      <c r="I1752" s="220"/>
      <c r="J1752" s="220"/>
      <c r="K1752" s="220"/>
    </row>
    <row r="1753" spans="1:11" ht="15" thickBot="1" x14ac:dyDescent="0.4">
      <c r="A1753" s="315" t="s">
        <v>298</v>
      </c>
      <c r="B1753" s="315"/>
      <c r="C1753" s="315"/>
      <c r="D1753" s="315"/>
      <c r="E1753" s="315"/>
      <c r="G1753" s="315" t="s">
        <v>314</v>
      </c>
      <c r="H1753" s="315"/>
      <c r="I1753" s="315"/>
      <c r="J1753" s="315"/>
      <c r="K1753" s="315"/>
    </row>
    <row r="1754" spans="1:11" ht="15" thickTop="1" x14ac:dyDescent="0.35">
      <c r="A1754" s="313">
        <v>45465</v>
      </c>
      <c r="B1754" s="314"/>
      <c r="C1754" s="314"/>
      <c r="D1754" s="314"/>
      <c r="E1754" s="314"/>
      <c r="G1754" s="313">
        <v>45465</v>
      </c>
      <c r="H1754" s="314"/>
      <c r="I1754" s="314"/>
      <c r="J1754" s="314"/>
      <c r="K1754" s="314"/>
    </row>
    <row r="1755" spans="1:11" x14ac:dyDescent="0.35">
      <c r="A1755" s="261" t="s">
        <v>159</v>
      </c>
      <c r="B1755" s="262" t="s">
        <v>299</v>
      </c>
      <c r="C1755" s="262" t="s">
        <v>300</v>
      </c>
      <c r="D1755" s="262" t="s">
        <v>301</v>
      </c>
      <c r="E1755" s="263" t="s">
        <v>302</v>
      </c>
      <c r="G1755" s="264" t="s">
        <v>159</v>
      </c>
      <c r="H1755" s="265" t="s">
        <v>299</v>
      </c>
      <c r="I1755" s="265" t="s">
        <v>300</v>
      </c>
      <c r="J1755" s="265" t="s">
        <v>301</v>
      </c>
      <c r="K1755" s="266" t="s">
        <v>302</v>
      </c>
    </row>
    <row r="1756" spans="1:11" x14ac:dyDescent="0.35">
      <c r="A1756" s="221" t="s">
        <v>303</v>
      </c>
      <c r="B1756" s="222">
        <v>13706</v>
      </c>
      <c r="C1756" s="222"/>
      <c r="D1756" s="222"/>
      <c r="E1756" s="223"/>
      <c r="G1756" s="221" t="s">
        <v>303</v>
      </c>
      <c r="H1756" s="222">
        <v>3084</v>
      </c>
      <c r="I1756" s="222"/>
      <c r="J1756" s="222"/>
      <c r="K1756" s="223"/>
    </row>
    <row r="1757" spans="1:11" x14ac:dyDescent="0.35">
      <c r="A1757" s="225" t="s">
        <v>304</v>
      </c>
      <c r="B1757" s="226"/>
      <c r="C1757" s="226"/>
      <c r="D1757" s="226"/>
      <c r="E1757" s="227"/>
      <c r="G1757" s="225"/>
      <c r="H1757" s="226"/>
      <c r="I1757" s="226"/>
      <c r="J1757" s="226"/>
      <c r="K1757" s="227"/>
    </row>
    <row r="1758" spans="1:11" x14ac:dyDescent="0.35">
      <c r="A1758" s="225"/>
      <c r="B1758" s="226"/>
      <c r="C1758" s="226"/>
      <c r="D1758" s="226"/>
      <c r="E1758" s="227"/>
      <c r="G1758" s="225"/>
      <c r="H1758" s="226"/>
      <c r="I1758" s="226"/>
      <c r="J1758" s="226"/>
      <c r="K1758" s="227"/>
    </row>
    <row r="1759" spans="1:11" x14ac:dyDescent="0.35">
      <c r="A1759" s="221"/>
      <c r="B1759" s="222"/>
      <c r="C1759" s="222"/>
      <c r="D1759" s="222"/>
      <c r="E1759" s="223"/>
      <c r="G1759" s="221"/>
      <c r="H1759" s="222"/>
      <c r="I1759" s="222"/>
      <c r="J1759" s="222"/>
      <c r="K1759" s="223"/>
    </row>
    <row r="1760" spans="1:11" x14ac:dyDescent="0.35">
      <c r="A1760" s="225"/>
      <c r="B1760" s="226"/>
      <c r="C1760" s="226"/>
      <c r="D1760" s="226"/>
      <c r="E1760" s="227"/>
      <c r="G1760" s="225"/>
      <c r="H1760" s="226"/>
      <c r="I1760" s="226"/>
      <c r="J1760" s="226"/>
      <c r="K1760" s="227"/>
    </row>
    <row r="1761" spans="1:11" ht="15" thickBot="1" x14ac:dyDescent="0.4">
      <c r="A1761" s="218" t="s">
        <v>34</v>
      </c>
      <c r="B1761" s="219">
        <f>SUM(B1756:B1760)</f>
        <v>13706</v>
      </c>
      <c r="C1761" s="219">
        <f>SUM(C1756:C1760)</f>
        <v>0</v>
      </c>
      <c r="D1761" s="219">
        <f>SUM(D1756:D1760)</f>
        <v>0</v>
      </c>
      <c r="E1761" s="219">
        <f>SUM(E1756:E1760)</f>
        <v>0</v>
      </c>
      <c r="G1761" s="218" t="s">
        <v>34</v>
      </c>
      <c r="H1761" s="219">
        <f>SUM(H1756:H1760)</f>
        <v>3084</v>
      </c>
      <c r="I1761" s="219">
        <f>SUM(I1756:I1760)</f>
        <v>0</v>
      </c>
      <c r="J1761" s="219">
        <f>SUM(J1756:J1760)</f>
        <v>0</v>
      </c>
      <c r="K1761" s="219">
        <f>SUM(K1756:K1760)</f>
        <v>0</v>
      </c>
    </row>
    <row r="1762" spans="1:11" x14ac:dyDescent="0.35">
      <c r="A1762" s="220" t="s">
        <v>305</v>
      </c>
      <c r="B1762" s="220">
        <f>+B1761+C1761+D1761+E1761</f>
        <v>13706</v>
      </c>
      <c r="C1762" s="220"/>
      <c r="D1762" s="220"/>
      <c r="E1762" s="220"/>
      <c r="G1762" s="220" t="s">
        <v>305</v>
      </c>
      <c r="H1762" s="220">
        <f>+H1761+I1761+J1761+K1761</f>
        <v>3084</v>
      </c>
      <c r="I1762" s="220"/>
      <c r="J1762" s="220"/>
      <c r="K1762" s="220"/>
    </row>
    <row r="1763" spans="1:11" ht="15" thickBot="1" x14ac:dyDescent="0.4">
      <c r="A1763" s="315" t="s">
        <v>298</v>
      </c>
      <c r="B1763" s="315"/>
      <c r="C1763" s="315"/>
      <c r="D1763" s="315"/>
      <c r="E1763" s="315"/>
      <c r="G1763" s="315" t="s">
        <v>314</v>
      </c>
      <c r="H1763" s="315"/>
      <c r="I1763" s="315"/>
      <c r="J1763" s="315"/>
      <c r="K1763" s="315"/>
    </row>
    <row r="1764" spans="1:11" ht="15" thickTop="1" x14ac:dyDescent="0.35">
      <c r="A1764" s="313">
        <v>45466</v>
      </c>
      <c r="B1764" s="314"/>
      <c r="C1764" s="314"/>
      <c r="D1764" s="314"/>
      <c r="E1764" s="314"/>
      <c r="G1764" s="313">
        <v>45466</v>
      </c>
      <c r="H1764" s="314"/>
      <c r="I1764" s="314"/>
      <c r="J1764" s="314"/>
      <c r="K1764" s="314"/>
    </row>
    <row r="1765" spans="1:11" x14ac:dyDescent="0.35">
      <c r="A1765" s="261" t="s">
        <v>159</v>
      </c>
      <c r="B1765" s="262" t="s">
        <v>299</v>
      </c>
      <c r="C1765" s="262" t="s">
        <v>300</v>
      </c>
      <c r="D1765" s="262" t="s">
        <v>301</v>
      </c>
      <c r="E1765" s="263" t="s">
        <v>302</v>
      </c>
      <c r="G1765" s="264" t="s">
        <v>159</v>
      </c>
      <c r="H1765" s="265" t="s">
        <v>299</v>
      </c>
      <c r="I1765" s="265" t="s">
        <v>300</v>
      </c>
      <c r="J1765" s="265" t="s">
        <v>301</v>
      </c>
      <c r="K1765" s="266" t="s">
        <v>302</v>
      </c>
    </row>
    <row r="1766" spans="1:11" x14ac:dyDescent="0.35">
      <c r="A1766" s="221" t="s">
        <v>303</v>
      </c>
      <c r="B1766" s="222">
        <v>12111</v>
      </c>
      <c r="C1766" s="222"/>
      <c r="D1766" s="222"/>
      <c r="E1766" s="223"/>
      <c r="G1766" s="221" t="s">
        <v>303</v>
      </c>
      <c r="H1766" s="222">
        <v>3895</v>
      </c>
      <c r="I1766" s="222"/>
      <c r="J1766" s="222"/>
      <c r="K1766" s="223"/>
    </row>
    <row r="1767" spans="1:11" x14ac:dyDescent="0.35">
      <c r="A1767" s="225" t="s">
        <v>304</v>
      </c>
      <c r="B1767" s="226"/>
      <c r="C1767" s="226"/>
      <c r="D1767" s="226"/>
      <c r="E1767" s="227"/>
      <c r="G1767" s="225"/>
      <c r="H1767" s="226"/>
      <c r="I1767" s="226"/>
      <c r="J1767" s="226"/>
      <c r="K1767" s="227"/>
    </row>
    <row r="1768" spans="1:11" x14ac:dyDescent="0.35">
      <c r="A1768" s="225"/>
      <c r="B1768" s="226"/>
      <c r="C1768" s="226"/>
      <c r="D1768" s="226"/>
      <c r="E1768" s="227"/>
      <c r="G1768" s="225"/>
      <c r="H1768" s="226"/>
      <c r="I1768" s="226"/>
      <c r="J1768" s="226"/>
      <c r="K1768" s="227"/>
    </row>
    <row r="1769" spans="1:11" x14ac:dyDescent="0.35">
      <c r="A1769" s="221"/>
      <c r="B1769" s="222"/>
      <c r="C1769" s="222"/>
      <c r="D1769" s="222"/>
      <c r="E1769" s="223"/>
      <c r="G1769" s="221"/>
      <c r="H1769" s="222"/>
      <c r="I1769" s="222"/>
      <c r="J1769" s="222"/>
      <c r="K1769" s="223"/>
    </row>
    <row r="1770" spans="1:11" x14ac:dyDescent="0.35">
      <c r="A1770" s="225"/>
      <c r="B1770" s="226"/>
      <c r="C1770" s="226"/>
      <c r="D1770" s="226"/>
      <c r="E1770" s="227"/>
      <c r="G1770" s="225"/>
      <c r="H1770" s="226"/>
      <c r="I1770" s="226"/>
      <c r="J1770" s="226"/>
      <c r="K1770" s="227"/>
    </row>
    <row r="1771" spans="1:11" ht="15" thickBot="1" x14ac:dyDescent="0.4">
      <c r="A1771" s="218" t="s">
        <v>34</v>
      </c>
      <c r="B1771" s="219">
        <f>SUM(B1766:B1770)</f>
        <v>12111</v>
      </c>
      <c r="C1771" s="219">
        <f>SUM(C1766:C1770)</f>
        <v>0</v>
      </c>
      <c r="D1771" s="219">
        <f>SUM(D1766:D1770)</f>
        <v>0</v>
      </c>
      <c r="E1771" s="219">
        <f>SUM(E1766:E1770)</f>
        <v>0</v>
      </c>
      <c r="G1771" s="218" t="s">
        <v>34</v>
      </c>
      <c r="H1771" s="219">
        <f>SUM(H1766:H1770)</f>
        <v>3895</v>
      </c>
      <c r="I1771" s="219">
        <f>SUM(I1766:I1770)</f>
        <v>0</v>
      </c>
      <c r="J1771" s="219">
        <f>SUM(J1766:J1770)</f>
        <v>0</v>
      </c>
      <c r="K1771" s="219">
        <f>SUM(K1766:K1770)</f>
        <v>0</v>
      </c>
    </row>
    <row r="1772" spans="1:11" x14ac:dyDescent="0.35">
      <c r="A1772" s="220" t="s">
        <v>305</v>
      </c>
      <c r="B1772" s="220">
        <f>+B1771+C1771+D1771+E1771</f>
        <v>12111</v>
      </c>
      <c r="C1772" s="220"/>
      <c r="D1772" s="220"/>
      <c r="E1772" s="220"/>
      <c r="G1772" s="220" t="s">
        <v>305</v>
      </c>
      <c r="H1772" s="220">
        <f>+H1771+I1771+J1771+K1771</f>
        <v>3895</v>
      </c>
      <c r="I1772" s="220"/>
      <c r="J1772" s="220"/>
      <c r="K1772" s="220"/>
    </row>
    <row r="1773" spans="1:11" ht="15" thickBot="1" x14ac:dyDescent="0.4">
      <c r="A1773" s="315" t="s">
        <v>298</v>
      </c>
      <c r="B1773" s="315"/>
      <c r="C1773" s="315"/>
      <c r="D1773" s="315"/>
      <c r="E1773" s="315"/>
      <c r="G1773" s="315" t="s">
        <v>314</v>
      </c>
      <c r="H1773" s="315"/>
      <c r="I1773" s="315"/>
      <c r="J1773" s="315"/>
      <c r="K1773" s="315"/>
    </row>
    <row r="1774" spans="1:11" ht="15" thickTop="1" x14ac:dyDescent="0.35">
      <c r="A1774" s="313">
        <v>45467</v>
      </c>
      <c r="B1774" s="314"/>
      <c r="C1774" s="314"/>
      <c r="D1774" s="314"/>
      <c r="E1774" s="314"/>
      <c r="G1774" s="313">
        <v>45467</v>
      </c>
      <c r="H1774" s="314"/>
      <c r="I1774" s="314"/>
      <c r="J1774" s="314"/>
      <c r="K1774" s="314"/>
    </row>
    <row r="1775" spans="1:11" x14ac:dyDescent="0.35">
      <c r="A1775" s="261" t="s">
        <v>159</v>
      </c>
      <c r="B1775" s="262" t="s">
        <v>299</v>
      </c>
      <c r="C1775" s="262" t="s">
        <v>300</v>
      </c>
      <c r="D1775" s="262" t="s">
        <v>301</v>
      </c>
      <c r="E1775" s="263" t="s">
        <v>302</v>
      </c>
      <c r="G1775" s="264" t="s">
        <v>159</v>
      </c>
      <c r="H1775" s="265" t="s">
        <v>299</v>
      </c>
      <c r="I1775" s="265" t="s">
        <v>300</v>
      </c>
      <c r="J1775" s="265" t="s">
        <v>301</v>
      </c>
      <c r="K1775" s="266" t="s">
        <v>302</v>
      </c>
    </row>
    <row r="1776" spans="1:11" x14ac:dyDescent="0.35">
      <c r="A1776" s="221" t="s">
        <v>303</v>
      </c>
      <c r="B1776" s="222">
        <v>2162</v>
      </c>
      <c r="C1776" s="222"/>
      <c r="D1776" s="222"/>
      <c r="E1776" s="223"/>
      <c r="G1776" s="221" t="s">
        <v>303</v>
      </c>
      <c r="H1776" s="222">
        <v>666</v>
      </c>
      <c r="I1776" s="222"/>
      <c r="J1776" s="222"/>
      <c r="K1776" s="223"/>
    </row>
    <row r="1777" spans="1:11" x14ac:dyDescent="0.35">
      <c r="A1777" s="225" t="s">
        <v>304</v>
      </c>
      <c r="B1777" s="226">
        <v>26225</v>
      </c>
      <c r="C1777" s="226"/>
      <c r="D1777" s="226"/>
      <c r="E1777" s="227"/>
      <c r="G1777" s="225"/>
      <c r="H1777" s="226"/>
      <c r="I1777" s="226"/>
      <c r="J1777" s="226"/>
      <c r="K1777" s="227"/>
    </row>
    <row r="1778" spans="1:11" x14ac:dyDescent="0.35">
      <c r="A1778" s="225"/>
      <c r="B1778" s="226"/>
      <c r="C1778" s="226"/>
      <c r="D1778" s="226"/>
      <c r="E1778" s="227"/>
      <c r="G1778" s="225"/>
      <c r="H1778" s="226"/>
      <c r="I1778" s="226"/>
      <c r="J1778" s="226"/>
      <c r="K1778" s="227"/>
    </row>
    <row r="1779" spans="1:11" x14ac:dyDescent="0.35">
      <c r="A1779" s="221"/>
      <c r="B1779" s="222"/>
      <c r="C1779" s="222"/>
      <c r="D1779" s="222"/>
      <c r="E1779" s="223"/>
      <c r="G1779" s="221"/>
      <c r="H1779" s="222"/>
      <c r="I1779" s="222"/>
      <c r="J1779" s="222"/>
      <c r="K1779" s="223"/>
    </row>
    <row r="1780" spans="1:11" x14ac:dyDescent="0.35">
      <c r="A1780" s="225"/>
      <c r="B1780" s="226"/>
      <c r="C1780" s="226"/>
      <c r="D1780" s="226"/>
      <c r="E1780" s="227"/>
      <c r="G1780" s="225"/>
      <c r="H1780" s="226"/>
      <c r="I1780" s="226"/>
      <c r="J1780" s="226"/>
      <c r="K1780" s="227"/>
    </row>
    <row r="1781" spans="1:11" ht="15" thickBot="1" x14ac:dyDescent="0.4">
      <c r="A1781" s="218" t="s">
        <v>34</v>
      </c>
      <c r="B1781" s="219">
        <f>SUM(B1776:B1780)</f>
        <v>28387</v>
      </c>
      <c r="C1781" s="219">
        <f>SUM(C1776:C1780)</f>
        <v>0</v>
      </c>
      <c r="D1781" s="219">
        <f>SUM(D1776:D1780)</f>
        <v>0</v>
      </c>
      <c r="E1781" s="219">
        <f>SUM(E1776:E1780)</f>
        <v>0</v>
      </c>
      <c r="G1781" s="218" t="s">
        <v>34</v>
      </c>
      <c r="H1781" s="219">
        <f>SUM(H1776:H1780)</f>
        <v>666</v>
      </c>
      <c r="I1781" s="219">
        <f>SUM(I1776:I1780)</f>
        <v>0</v>
      </c>
      <c r="J1781" s="219">
        <f>SUM(J1776:J1780)</f>
        <v>0</v>
      </c>
      <c r="K1781" s="219">
        <f>SUM(K1776:K1780)</f>
        <v>0</v>
      </c>
    </row>
    <row r="1782" spans="1:11" x14ac:dyDescent="0.35">
      <c r="A1782" s="220" t="s">
        <v>305</v>
      </c>
      <c r="B1782" s="220">
        <f>+B1781+C1781+D1781+E1781</f>
        <v>28387</v>
      </c>
      <c r="C1782" s="220"/>
      <c r="D1782" s="220"/>
      <c r="E1782" s="220"/>
      <c r="G1782" s="220" t="s">
        <v>305</v>
      </c>
      <c r="H1782" s="220">
        <f>+H1781+I1781+J1781+K1781</f>
        <v>666</v>
      </c>
      <c r="I1782" s="220"/>
      <c r="J1782" s="220"/>
      <c r="K1782" s="220"/>
    </row>
    <row r="1783" spans="1:11" ht="15" thickBot="1" x14ac:dyDescent="0.4">
      <c r="A1783" s="315" t="s">
        <v>298</v>
      </c>
      <c r="B1783" s="315"/>
      <c r="C1783" s="315"/>
      <c r="D1783" s="315"/>
      <c r="E1783" s="315"/>
      <c r="G1783" s="315" t="s">
        <v>314</v>
      </c>
      <c r="H1783" s="315"/>
      <c r="I1783" s="315"/>
      <c r="J1783" s="315"/>
      <c r="K1783" s="315"/>
    </row>
    <row r="1784" spans="1:11" ht="15" thickTop="1" x14ac:dyDescent="0.35">
      <c r="A1784" s="313">
        <v>45468</v>
      </c>
      <c r="B1784" s="314"/>
      <c r="C1784" s="314"/>
      <c r="D1784" s="314"/>
      <c r="E1784" s="314"/>
      <c r="G1784" s="313">
        <v>45468</v>
      </c>
      <c r="H1784" s="314"/>
      <c r="I1784" s="314"/>
      <c r="J1784" s="314"/>
      <c r="K1784" s="314"/>
    </row>
    <row r="1785" spans="1:11" x14ac:dyDescent="0.35">
      <c r="A1785" s="261" t="s">
        <v>159</v>
      </c>
      <c r="B1785" s="262" t="s">
        <v>299</v>
      </c>
      <c r="C1785" s="262" t="s">
        <v>300</v>
      </c>
      <c r="D1785" s="262" t="s">
        <v>301</v>
      </c>
      <c r="E1785" s="263" t="s">
        <v>302</v>
      </c>
      <c r="G1785" s="264" t="s">
        <v>159</v>
      </c>
      <c r="H1785" s="265" t="s">
        <v>299</v>
      </c>
      <c r="I1785" s="265" t="s">
        <v>300</v>
      </c>
      <c r="J1785" s="265" t="s">
        <v>301</v>
      </c>
      <c r="K1785" s="266" t="s">
        <v>302</v>
      </c>
    </row>
    <row r="1786" spans="1:11" x14ac:dyDescent="0.35">
      <c r="A1786" s="221" t="s">
        <v>303</v>
      </c>
      <c r="B1786" s="222">
        <v>1550</v>
      </c>
      <c r="C1786" s="222"/>
      <c r="D1786" s="222"/>
      <c r="E1786" s="223"/>
      <c r="G1786" s="221" t="s">
        <v>303</v>
      </c>
      <c r="H1786" s="222">
        <v>229</v>
      </c>
      <c r="I1786" s="222"/>
      <c r="J1786" s="222"/>
      <c r="K1786" s="223"/>
    </row>
    <row r="1787" spans="1:11" x14ac:dyDescent="0.35">
      <c r="A1787" s="225" t="s">
        <v>304</v>
      </c>
      <c r="B1787" s="226"/>
      <c r="C1787" s="226"/>
      <c r="D1787" s="226"/>
      <c r="E1787" s="227"/>
      <c r="G1787" s="225"/>
      <c r="H1787" s="226"/>
      <c r="I1787" s="226"/>
      <c r="J1787" s="226"/>
      <c r="K1787" s="227"/>
    </row>
    <row r="1788" spans="1:11" x14ac:dyDescent="0.35">
      <c r="A1788" s="225"/>
      <c r="B1788" s="226"/>
      <c r="C1788" s="226"/>
      <c r="D1788" s="226"/>
      <c r="E1788" s="227"/>
      <c r="G1788" s="225"/>
      <c r="H1788" s="226"/>
      <c r="I1788" s="226"/>
      <c r="J1788" s="226"/>
      <c r="K1788" s="227"/>
    </row>
    <row r="1789" spans="1:11" x14ac:dyDescent="0.35">
      <c r="A1789" s="221"/>
      <c r="B1789" s="222"/>
      <c r="C1789" s="222"/>
      <c r="D1789" s="222"/>
      <c r="E1789" s="223"/>
      <c r="G1789" s="221"/>
      <c r="H1789" s="222"/>
      <c r="I1789" s="222"/>
      <c r="J1789" s="222"/>
      <c r="K1789" s="223"/>
    </row>
    <row r="1790" spans="1:11" x14ac:dyDescent="0.35">
      <c r="A1790" s="225"/>
      <c r="B1790" s="226"/>
      <c r="C1790" s="226"/>
      <c r="D1790" s="226"/>
      <c r="E1790" s="227"/>
      <c r="G1790" s="225"/>
      <c r="H1790" s="226"/>
      <c r="I1790" s="226"/>
      <c r="J1790" s="226"/>
      <c r="K1790" s="227"/>
    </row>
    <row r="1791" spans="1:11" ht="15" thickBot="1" x14ac:dyDescent="0.4">
      <c r="A1791" s="218" t="s">
        <v>34</v>
      </c>
      <c r="B1791" s="219">
        <f>SUM(B1786:B1790)</f>
        <v>1550</v>
      </c>
      <c r="C1791" s="219">
        <f>SUM(C1786:C1790)</f>
        <v>0</v>
      </c>
      <c r="D1791" s="219">
        <f>SUM(D1786:D1790)</f>
        <v>0</v>
      </c>
      <c r="E1791" s="219">
        <f>SUM(E1786:E1790)</f>
        <v>0</v>
      </c>
      <c r="G1791" s="218" t="s">
        <v>34</v>
      </c>
      <c r="H1791" s="219">
        <f>SUM(H1786:H1790)</f>
        <v>229</v>
      </c>
      <c r="I1791" s="219">
        <f>SUM(I1786:I1790)</f>
        <v>0</v>
      </c>
      <c r="J1791" s="219">
        <f>SUM(J1786:J1790)</f>
        <v>0</v>
      </c>
      <c r="K1791" s="219">
        <f>SUM(K1786:K1790)</f>
        <v>0</v>
      </c>
    </row>
    <row r="1792" spans="1:11" x14ac:dyDescent="0.35">
      <c r="A1792" s="220" t="s">
        <v>305</v>
      </c>
      <c r="B1792" s="220">
        <f>+B1791+C1791+D1791+E1791</f>
        <v>1550</v>
      </c>
      <c r="C1792" s="220"/>
      <c r="D1792" s="220"/>
      <c r="E1792" s="220"/>
      <c r="G1792" s="220" t="s">
        <v>305</v>
      </c>
      <c r="H1792" s="220">
        <f>+H1791+I1791+J1791+K1791</f>
        <v>229</v>
      </c>
      <c r="I1792" s="220"/>
      <c r="J1792" s="220"/>
      <c r="K1792" s="220"/>
    </row>
    <row r="1793" spans="1:11" ht="15" thickBot="1" x14ac:dyDescent="0.4">
      <c r="A1793" s="315" t="s">
        <v>298</v>
      </c>
      <c r="B1793" s="315"/>
      <c r="C1793" s="315"/>
      <c r="D1793" s="315"/>
      <c r="E1793" s="315"/>
      <c r="G1793" s="315" t="s">
        <v>314</v>
      </c>
      <c r="H1793" s="315"/>
      <c r="I1793" s="315"/>
      <c r="J1793" s="315"/>
      <c r="K1793" s="315"/>
    </row>
    <row r="1794" spans="1:11" ht="15" thickTop="1" x14ac:dyDescent="0.35">
      <c r="A1794" s="313">
        <v>45469</v>
      </c>
      <c r="B1794" s="314"/>
      <c r="C1794" s="314"/>
      <c r="D1794" s="314"/>
      <c r="E1794" s="314"/>
      <c r="G1794" s="313">
        <v>45469</v>
      </c>
      <c r="H1794" s="314"/>
      <c r="I1794" s="314"/>
      <c r="J1794" s="314"/>
      <c r="K1794" s="314"/>
    </row>
    <row r="1795" spans="1:11" x14ac:dyDescent="0.35">
      <c r="A1795" s="261" t="s">
        <v>159</v>
      </c>
      <c r="B1795" s="262" t="s">
        <v>299</v>
      </c>
      <c r="C1795" s="262" t="s">
        <v>300</v>
      </c>
      <c r="D1795" s="262" t="s">
        <v>301</v>
      </c>
      <c r="E1795" s="263" t="s">
        <v>302</v>
      </c>
      <c r="G1795" s="264" t="s">
        <v>159</v>
      </c>
      <c r="H1795" s="265" t="s">
        <v>299</v>
      </c>
      <c r="I1795" s="265" t="s">
        <v>300</v>
      </c>
      <c r="J1795" s="265" t="s">
        <v>301</v>
      </c>
      <c r="K1795" s="266" t="s">
        <v>302</v>
      </c>
    </row>
    <row r="1796" spans="1:11" x14ac:dyDescent="0.35">
      <c r="A1796" s="221" t="s">
        <v>303</v>
      </c>
      <c r="B1796" s="222">
        <v>2484</v>
      </c>
      <c r="C1796" s="222"/>
      <c r="D1796" s="222"/>
      <c r="E1796" s="223"/>
      <c r="G1796" s="221" t="s">
        <v>303</v>
      </c>
      <c r="H1796" s="222"/>
      <c r="I1796" s="222"/>
      <c r="J1796" s="222"/>
      <c r="K1796" s="223"/>
    </row>
    <row r="1797" spans="1:11" x14ac:dyDescent="0.35">
      <c r="A1797" s="225" t="s">
        <v>304</v>
      </c>
      <c r="B1797" s="226"/>
      <c r="C1797" s="226"/>
      <c r="D1797" s="226"/>
      <c r="E1797" s="227"/>
      <c r="G1797" s="225"/>
      <c r="H1797" s="226"/>
      <c r="I1797" s="226"/>
      <c r="J1797" s="226"/>
      <c r="K1797" s="227"/>
    </row>
    <row r="1798" spans="1:11" x14ac:dyDescent="0.35">
      <c r="A1798" s="225"/>
      <c r="B1798" s="226"/>
      <c r="C1798" s="226"/>
      <c r="D1798" s="226"/>
      <c r="E1798" s="227"/>
      <c r="G1798" s="225"/>
      <c r="H1798" s="226"/>
      <c r="I1798" s="226"/>
      <c r="J1798" s="226"/>
      <c r="K1798" s="227"/>
    </row>
    <row r="1799" spans="1:11" x14ac:dyDescent="0.35">
      <c r="A1799" s="221"/>
      <c r="B1799" s="222"/>
      <c r="C1799" s="222"/>
      <c r="D1799" s="222"/>
      <c r="E1799" s="223"/>
      <c r="G1799" s="221"/>
      <c r="H1799" s="222"/>
      <c r="I1799" s="222"/>
      <c r="J1799" s="222"/>
      <c r="K1799" s="223"/>
    </row>
    <row r="1800" spans="1:11" x14ac:dyDescent="0.35">
      <c r="A1800" s="225"/>
      <c r="B1800" s="226"/>
      <c r="C1800" s="226"/>
      <c r="D1800" s="226"/>
      <c r="E1800" s="227"/>
      <c r="G1800" s="225"/>
      <c r="H1800" s="226"/>
      <c r="I1800" s="226"/>
      <c r="J1800" s="226"/>
      <c r="K1800" s="227"/>
    </row>
    <row r="1801" spans="1:11" ht="15" thickBot="1" x14ac:dyDescent="0.4">
      <c r="A1801" s="218" t="s">
        <v>34</v>
      </c>
      <c r="B1801" s="219">
        <f>SUM(B1796:B1800)</f>
        <v>2484</v>
      </c>
      <c r="C1801" s="219">
        <f>SUM(C1796:C1800)</f>
        <v>0</v>
      </c>
      <c r="D1801" s="219">
        <f>SUM(D1796:D1800)</f>
        <v>0</v>
      </c>
      <c r="E1801" s="219">
        <f>SUM(E1796:E1800)</f>
        <v>0</v>
      </c>
      <c r="G1801" s="218" t="s">
        <v>34</v>
      </c>
      <c r="H1801" s="219">
        <f>SUM(H1796:H1800)</f>
        <v>0</v>
      </c>
      <c r="I1801" s="219">
        <f>SUM(I1796:I1800)</f>
        <v>0</v>
      </c>
      <c r="J1801" s="219">
        <f>SUM(J1796:J1800)</f>
        <v>0</v>
      </c>
      <c r="K1801" s="219">
        <f>SUM(K1796:K1800)</f>
        <v>0</v>
      </c>
    </row>
    <row r="1802" spans="1:11" x14ac:dyDescent="0.35">
      <c r="A1802" s="220" t="s">
        <v>305</v>
      </c>
      <c r="B1802" s="220">
        <f>+B1801+C1801+D1801+E1801</f>
        <v>2484</v>
      </c>
      <c r="C1802" s="220"/>
      <c r="D1802" s="220"/>
      <c r="E1802" s="220"/>
      <c r="G1802" s="220" t="s">
        <v>305</v>
      </c>
      <c r="H1802" s="220">
        <f>+H1801+I1801+J1801+K1801</f>
        <v>0</v>
      </c>
      <c r="I1802" s="220"/>
      <c r="J1802" s="220"/>
      <c r="K1802" s="220"/>
    </row>
    <row r="1803" spans="1:11" ht="15" thickBot="1" x14ac:dyDescent="0.4">
      <c r="A1803" s="315" t="s">
        <v>298</v>
      </c>
      <c r="B1803" s="315"/>
      <c r="C1803" s="315"/>
      <c r="D1803" s="315"/>
      <c r="E1803" s="315"/>
      <c r="G1803" s="315" t="s">
        <v>314</v>
      </c>
      <c r="H1803" s="315"/>
      <c r="I1803" s="315"/>
      <c r="J1803" s="315"/>
      <c r="K1803" s="315"/>
    </row>
    <row r="1804" spans="1:11" ht="15" thickTop="1" x14ac:dyDescent="0.35">
      <c r="A1804" s="313">
        <v>45470</v>
      </c>
      <c r="B1804" s="314"/>
      <c r="C1804" s="314"/>
      <c r="D1804" s="314"/>
      <c r="E1804" s="314"/>
      <c r="G1804" s="313">
        <v>45470</v>
      </c>
      <c r="H1804" s="314"/>
      <c r="I1804" s="314"/>
      <c r="J1804" s="314"/>
      <c r="K1804" s="314"/>
    </row>
    <row r="1805" spans="1:11" x14ac:dyDescent="0.35">
      <c r="A1805" s="261" t="s">
        <v>159</v>
      </c>
      <c r="B1805" s="262" t="s">
        <v>299</v>
      </c>
      <c r="C1805" s="262" t="s">
        <v>300</v>
      </c>
      <c r="D1805" s="262" t="s">
        <v>301</v>
      </c>
      <c r="E1805" s="263" t="s">
        <v>302</v>
      </c>
      <c r="G1805" s="264" t="s">
        <v>159</v>
      </c>
      <c r="H1805" s="265" t="s">
        <v>299</v>
      </c>
      <c r="I1805" s="265" t="s">
        <v>300</v>
      </c>
      <c r="J1805" s="265" t="s">
        <v>301</v>
      </c>
      <c r="K1805" s="266" t="s">
        <v>302</v>
      </c>
    </row>
    <row r="1806" spans="1:11" x14ac:dyDescent="0.35">
      <c r="A1806" s="221" t="s">
        <v>303</v>
      </c>
      <c r="B1806" s="222">
        <v>5108</v>
      </c>
      <c r="C1806" s="222"/>
      <c r="D1806" s="222"/>
      <c r="E1806" s="223"/>
      <c r="G1806" s="221" t="s">
        <v>303</v>
      </c>
      <c r="H1806" s="222">
        <v>1600</v>
      </c>
      <c r="I1806" s="222"/>
      <c r="J1806" s="222"/>
      <c r="K1806" s="223"/>
    </row>
    <row r="1807" spans="1:11" x14ac:dyDescent="0.35">
      <c r="A1807" s="225" t="s">
        <v>304</v>
      </c>
      <c r="B1807" s="226"/>
      <c r="C1807" s="226"/>
      <c r="D1807" s="226"/>
      <c r="E1807" s="227"/>
      <c r="G1807" s="225"/>
      <c r="H1807" s="226"/>
      <c r="I1807" s="226"/>
      <c r="J1807" s="226"/>
      <c r="K1807" s="227"/>
    </row>
    <row r="1808" spans="1:11" x14ac:dyDescent="0.35">
      <c r="A1808" s="225"/>
      <c r="B1808" s="226"/>
      <c r="C1808" s="226"/>
      <c r="D1808" s="226"/>
      <c r="E1808" s="227"/>
      <c r="G1808" s="225"/>
      <c r="H1808" s="226"/>
      <c r="I1808" s="226"/>
      <c r="J1808" s="226"/>
      <c r="K1808" s="227"/>
    </row>
    <row r="1809" spans="1:11" x14ac:dyDescent="0.35">
      <c r="A1809" s="221"/>
      <c r="B1809" s="222"/>
      <c r="C1809" s="222"/>
      <c r="D1809" s="222"/>
      <c r="E1809" s="223"/>
      <c r="G1809" s="221"/>
      <c r="H1809" s="222"/>
      <c r="I1809" s="222"/>
      <c r="J1809" s="222"/>
      <c r="K1809" s="223"/>
    </row>
    <row r="1810" spans="1:11" x14ac:dyDescent="0.35">
      <c r="A1810" s="225"/>
      <c r="B1810" s="226"/>
      <c r="C1810" s="226"/>
      <c r="D1810" s="226"/>
      <c r="E1810" s="227"/>
      <c r="G1810" s="225"/>
      <c r="H1810" s="226"/>
      <c r="I1810" s="226"/>
      <c r="J1810" s="226"/>
      <c r="K1810" s="227"/>
    </row>
    <row r="1811" spans="1:11" ht="15" thickBot="1" x14ac:dyDescent="0.4">
      <c r="A1811" s="218" t="s">
        <v>34</v>
      </c>
      <c r="B1811" s="219">
        <f>SUM(B1806:B1810)</f>
        <v>5108</v>
      </c>
      <c r="C1811" s="219">
        <f>SUM(C1806:C1810)</f>
        <v>0</v>
      </c>
      <c r="D1811" s="219">
        <f>SUM(D1806:D1810)</f>
        <v>0</v>
      </c>
      <c r="E1811" s="219">
        <f>SUM(E1806:E1810)</f>
        <v>0</v>
      </c>
      <c r="G1811" s="218" t="s">
        <v>34</v>
      </c>
      <c r="H1811" s="219">
        <f>SUM(H1806:H1810)</f>
        <v>1600</v>
      </c>
      <c r="I1811" s="219">
        <f>SUM(I1806:I1810)</f>
        <v>0</v>
      </c>
      <c r="J1811" s="219">
        <f>SUM(J1806:J1810)</f>
        <v>0</v>
      </c>
      <c r="K1811" s="219">
        <f>SUM(K1806:K1810)</f>
        <v>0</v>
      </c>
    </row>
    <row r="1812" spans="1:11" x14ac:dyDescent="0.35">
      <c r="A1812" s="220" t="s">
        <v>305</v>
      </c>
      <c r="B1812" s="220">
        <f>+B1811+C1811+D1811+E1811</f>
        <v>5108</v>
      </c>
      <c r="C1812" s="220"/>
      <c r="D1812" s="220"/>
      <c r="E1812" s="220"/>
      <c r="G1812" s="220" t="s">
        <v>305</v>
      </c>
      <c r="H1812" s="220">
        <f>+H1811+I1811+J1811+K1811</f>
        <v>1600</v>
      </c>
      <c r="I1812" s="220"/>
      <c r="J1812" s="220"/>
      <c r="K1812" s="220"/>
    </row>
    <row r="1813" spans="1:11" ht="15" thickBot="1" x14ac:dyDescent="0.4">
      <c r="A1813" s="315" t="s">
        <v>298</v>
      </c>
      <c r="B1813" s="315"/>
      <c r="C1813" s="315"/>
      <c r="D1813" s="315"/>
      <c r="E1813" s="315"/>
      <c r="G1813" s="315" t="s">
        <v>314</v>
      </c>
      <c r="H1813" s="315"/>
      <c r="I1813" s="315"/>
      <c r="J1813" s="315"/>
      <c r="K1813" s="315"/>
    </row>
    <row r="1814" spans="1:11" ht="15" thickTop="1" x14ac:dyDescent="0.35">
      <c r="A1814" s="313">
        <v>45471</v>
      </c>
      <c r="B1814" s="314"/>
      <c r="C1814" s="314"/>
      <c r="D1814" s="314"/>
      <c r="E1814" s="314"/>
      <c r="G1814" s="313">
        <v>45471</v>
      </c>
      <c r="H1814" s="314"/>
      <c r="I1814" s="314"/>
      <c r="J1814" s="314"/>
      <c r="K1814" s="314"/>
    </row>
    <row r="1815" spans="1:11" x14ac:dyDescent="0.35">
      <c r="A1815" s="261" t="s">
        <v>159</v>
      </c>
      <c r="B1815" s="262" t="s">
        <v>299</v>
      </c>
      <c r="C1815" s="262" t="s">
        <v>300</v>
      </c>
      <c r="D1815" s="262" t="s">
        <v>301</v>
      </c>
      <c r="E1815" s="263" t="s">
        <v>302</v>
      </c>
      <c r="G1815" s="264" t="s">
        <v>159</v>
      </c>
      <c r="H1815" s="265" t="s">
        <v>299</v>
      </c>
      <c r="I1815" s="265" t="s">
        <v>300</v>
      </c>
      <c r="J1815" s="265" t="s">
        <v>301</v>
      </c>
      <c r="K1815" s="266" t="s">
        <v>302</v>
      </c>
    </row>
    <row r="1816" spans="1:11" x14ac:dyDescent="0.35">
      <c r="A1816" s="221" t="s">
        <v>303</v>
      </c>
      <c r="B1816" s="222">
        <v>12170</v>
      </c>
      <c r="C1816" s="222"/>
      <c r="D1816" s="222"/>
      <c r="E1816" s="223"/>
      <c r="G1816" s="221" t="s">
        <v>303</v>
      </c>
      <c r="H1816" s="222">
        <v>1253</v>
      </c>
      <c r="I1816" s="222"/>
      <c r="J1816" s="222"/>
      <c r="K1816" s="223"/>
    </row>
    <row r="1817" spans="1:11" x14ac:dyDescent="0.35">
      <c r="A1817" s="225" t="s">
        <v>304</v>
      </c>
      <c r="B1817" s="226"/>
      <c r="C1817" s="226"/>
      <c r="D1817" s="226"/>
      <c r="E1817" s="227"/>
      <c r="G1817" s="225"/>
      <c r="H1817" s="226"/>
      <c r="I1817" s="226"/>
      <c r="J1817" s="226"/>
      <c r="K1817" s="227"/>
    </row>
    <row r="1818" spans="1:11" x14ac:dyDescent="0.35">
      <c r="A1818" s="225"/>
      <c r="B1818" s="226"/>
      <c r="C1818" s="226"/>
      <c r="D1818" s="226"/>
      <c r="E1818" s="227"/>
      <c r="G1818" s="225"/>
      <c r="H1818" s="226"/>
      <c r="I1818" s="226"/>
      <c r="J1818" s="226"/>
      <c r="K1818" s="227"/>
    </row>
    <row r="1819" spans="1:11" x14ac:dyDescent="0.35">
      <c r="A1819" s="221"/>
      <c r="B1819" s="222"/>
      <c r="C1819" s="222"/>
      <c r="D1819" s="222"/>
      <c r="E1819" s="223"/>
      <c r="G1819" s="221"/>
      <c r="H1819" s="222"/>
      <c r="I1819" s="222"/>
      <c r="J1819" s="222"/>
      <c r="K1819" s="223"/>
    </row>
    <row r="1820" spans="1:11" x14ac:dyDescent="0.35">
      <c r="A1820" s="225"/>
      <c r="B1820" s="226"/>
      <c r="C1820" s="226"/>
      <c r="D1820" s="226"/>
      <c r="E1820" s="227"/>
      <c r="G1820" s="225"/>
      <c r="H1820" s="226"/>
      <c r="I1820" s="226"/>
      <c r="J1820" s="226"/>
      <c r="K1820" s="227"/>
    </row>
    <row r="1821" spans="1:11" ht="15" thickBot="1" x14ac:dyDescent="0.4">
      <c r="A1821" s="218" t="s">
        <v>34</v>
      </c>
      <c r="B1821" s="219">
        <f>SUM(B1816:B1820)</f>
        <v>12170</v>
      </c>
      <c r="C1821" s="219">
        <f>SUM(C1816:C1820)</f>
        <v>0</v>
      </c>
      <c r="D1821" s="219">
        <f>SUM(D1816:D1820)</f>
        <v>0</v>
      </c>
      <c r="E1821" s="219">
        <f>SUM(E1816:E1820)</f>
        <v>0</v>
      </c>
      <c r="G1821" s="218" t="s">
        <v>34</v>
      </c>
      <c r="H1821" s="219">
        <f>SUM(H1816:H1820)</f>
        <v>1253</v>
      </c>
      <c r="I1821" s="219">
        <f>SUM(I1816:I1820)</f>
        <v>0</v>
      </c>
      <c r="J1821" s="219">
        <f>SUM(J1816:J1820)</f>
        <v>0</v>
      </c>
      <c r="K1821" s="219">
        <f>SUM(K1816:K1820)</f>
        <v>0</v>
      </c>
    </row>
    <row r="1822" spans="1:11" x14ac:dyDescent="0.35">
      <c r="A1822" s="220" t="s">
        <v>305</v>
      </c>
      <c r="B1822" s="220">
        <f>+B1821+C1821+D1821+E1821</f>
        <v>12170</v>
      </c>
      <c r="C1822" s="220"/>
      <c r="D1822" s="220"/>
      <c r="E1822" s="220"/>
      <c r="G1822" s="220" t="s">
        <v>305</v>
      </c>
      <c r="H1822" s="220">
        <f>+H1821+I1821+J1821+K1821</f>
        <v>1253</v>
      </c>
      <c r="I1822" s="220"/>
      <c r="J1822" s="220"/>
      <c r="K1822" s="220"/>
    </row>
    <row r="1823" spans="1:11" ht="15" thickBot="1" x14ac:dyDescent="0.4">
      <c r="A1823" s="315" t="s">
        <v>298</v>
      </c>
      <c r="B1823" s="315"/>
      <c r="C1823" s="315"/>
      <c r="D1823" s="315"/>
      <c r="E1823" s="315"/>
      <c r="G1823" s="315" t="s">
        <v>314</v>
      </c>
      <c r="H1823" s="315"/>
      <c r="I1823" s="315"/>
      <c r="J1823" s="315"/>
      <c r="K1823" s="315"/>
    </row>
    <row r="1824" spans="1:11" ht="15" thickTop="1" x14ac:dyDescent="0.35">
      <c r="A1824" s="313">
        <v>45472</v>
      </c>
      <c r="B1824" s="314"/>
      <c r="C1824" s="314"/>
      <c r="D1824" s="314"/>
      <c r="E1824" s="314"/>
      <c r="G1824" s="313">
        <v>45472</v>
      </c>
      <c r="H1824" s="314"/>
      <c r="I1824" s="314"/>
      <c r="J1824" s="314"/>
      <c r="K1824" s="314"/>
    </row>
    <row r="1825" spans="1:11" x14ac:dyDescent="0.35">
      <c r="A1825" s="261" t="s">
        <v>159</v>
      </c>
      <c r="B1825" s="262" t="s">
        <v>299</v>
      </c>
      <c r="C1825" s="262" t="s">
        <v>300</v>
      </c>
      <c r="D1825" s="262" t="s">
        <v>301</v>
      </c>
      <c r="E1825" s="263" t="s">
        <v>302</v>
      </c>
      <c r="G1825" s="264" t="s">
        <v>159</v>
      </c>
      <c r="H1825" s="265" t="s">
        <v>299</v>
      </c>
      <c r="I1825" s="265" t="s">
        <v>300</v>
      </c>
      <c r="J1825" s="265" t="s">
        <v>301</v>
      </c>
      <c r="K1825" s="266" t="s">
        <v>302</v>
      </c>
    </row>
    <row r="1826" spans="1:11" x14ac:dyDescent="0.35">
      <c r="A1826" s="221" t="s">
        <v>303</v>
      </c>
      <c r="B1826" s="222">
        <v>7360</v>
      </c>
      <c r="C1826" s="222"/>
      <c r="D1826" s="222"/>
      <c r="E1826" s="223"/>
      <c r="G1826" s="221" t="s">
        <v>303</v>
      </c>
      <c r="H1826" s="222">
        <v>3552</v>
      </c>
      <c r="I1826" s="222"/>
      <c r="J1826" s="222"/>
      <c r="K1826" s="223"/>
    </row>
    <row r="1827" spans="1:11" x14ac:dyDescent="0.35">
      <c r="A1827" s="225" t="s">
        <v>304</v>
      </c>
      <c r="B1827" s="226"/>
      <c r="C1827" s="226"/>
      <c r="D1827" s="226"/>
      <c r="E1827" s="227"/>
      <c r="G1827" s="225"/>
      <c r="H1827" s="226"/>
      <c r="I1827" s="226"/>
      <c r="J1827" s="226"/>
      <c r="K1827" s="227"/>
    </row>
    <row r="1828" spans="1:11" x14ac:dyDescent="0.35">
      <c r="A1828" s="225"/>
      <c r="B1828" s="226"/>
      <c r="C1828" s="226"/>
      <c r="D1828" s="226"/>
      <c r="E1828" s="227"/>
      <c r="G1828" s="225"/>
      <c r="H1828" s="226"/>
      <c r="I1828" s="226"/>
      <c r="J1828" s="226"/>
      <c r="K1828" s="227"/>
    </row>
    <row r="1829" spans="1:11" x14ac:dyDescent="0.35">
      <c r="A1829" s="221"/>
      <c r="B1829" s="222"/>
      <c r="C1829" s="222"/>
      <c r="D1829" s="222"/>
      <c r="E1829" s="223"/>
      <c r="G1829" s="221"/>
      <c r="H1829" s="222"/>
      <c r="I1829" s="222"/>
      <c r="J1829" s="222"/>
      <c r="K1829" s="223"/>
    </row>
    <row r="1830" spans="1:11" x14ac:dyDescent="0.35">
      <c r="A1830" s="225"/>
      <c r="B1830" s="226"/>
      <c r="C1830" s="226"/>
      <c r="D1830" s="226"/>
      <c r="E1830" s="227"/>
      <c r="G1830" s="225"/>
      <c r="H1830" s="226"/>
      <c r="I1830" s="226"/>
      <c r="J1830" s="226"/>
      <c r="K1830" s="227"/>
    </row>
    <row r="1831" spans="1:11" ht="15" thickBot="1" x14ac:dyDescent="0.4">
      <c r="A1831" s="218" t="s">
        <v>34</v>
      </c>
      <c r="B1831" s="219">
        <f>SUM(B1826:B1830)</f>
        <v>7360</v>
      </c>
      <c r="C1831" s="219">
        <f>SUM(C1826:C1830)</f>
        <v>0</v>
      </c>
      <c r="D1831" s="219">
        <f>SUM(D1826:D1830)</f>
        <v>0</v>
      </c>
      <c r="E1831" s="219">
        <f>SUM(E1826:E1830)</f>
        <v>0</v>
      </c>
      <c r="G1831" s="218" t="s">
        <v>34</v>
      </c>
      <c r="H1831" s="219">
        <f>SUM(H1826:H1830)</f>
        <v>3552</v>
      </c>
      <c r="I1831" s="219">
        <f>SUM(I1826:I1830)</f>
        <v>0</v>
      </c>
      <c r="J1831" s="219">
        <f>SUM(J1826:J1830)</f>
        <v>0</v>
      </c>
      <c r="K1831" s="219">
        <f>SUM(K1826:K1830)</f>
        <v>0</v>
      </c>
    </row>
    <row r="1832" spans="1:11" x14ac:dyDescent="0.35">
      <c r="A1832" s="220" t="s">
        <v>305</v>
      </c>
      <c r="B1832" s="220">
        <f>+B1831+C1831+D1831+E1831</f>
        <v>7360</v>
      </c>
      <c r="C1832" s="220"/>
      <c r="D1832" s="220"/>
      <c r="E1832" s="220"/>
      <c r="G1832" s="220" t="s">
        <v>305</v>
      </c>
      <c r="H1832" s="220">
        <f>+H1831+I1831+J1831+K1831</f>
        <v>3552</v>
      </c>
      <c r="I1832" s="220"/>
      <c r="J1832" s="220"/>
      <c r="K1832" s="220"/>
    </row>
    <row r="1833" spans="1:11" ht="15" thickBot="1" x14ac:dyDescent="0.4">
      <c r="A1833" s="315" t="s">
        <v>298</v>
      </c>
      <c r="B1833" s="315"/>
      <c r="C1833" s="315"/>
      <c r="D1833" s="315"/>
      <c r="E1833" s="315"/>
      <c r="G1833" s="315" t="s">
        <v>314</v>
      </c>
      <c r="H1833" s="315"/>
      <c r="I1833" s="315"/>
      <c r="J1833" s="315"/>
      <c r="K1833" s="315"/>
    </row>
    <row r="1834" spans="1:11" ht="15" thickTop="1" x14ac:dyDescent="0.35">
      <c r="A1834" s="313">
        <v>45473</v>
      </c>
      <c r="B1834" s="314"/>
      <c r="C1834" s="314"/>
      <c r="D1834" s="314"/>
      <c r="E1834" s="314"/>
      <c r="G1834" s="313">
        <v>45473</v>
      </c>
      <c r="H1834" s="314"/>
      <c r="I1834" s="314"/>
      <c r="J1834" s="314"/>
      <c r="K1834" s="314"/>
    </row>
    <row r="1835" spans="1:11" x14ac:dyDescent="0.35">
      <c r="A1835" s="261" t="s">
        <v>159</v>
      </c>
      <c r="B1835" s="262" t="s">
        <v>299</v>
      </c>
      <c r="C1835" s="262" t="s">
        <v>300</v>
      </c>
      <c r="D1835" s="262" t="s">
        <v>301</v>
      </c>
      <c r="E1835" s="263" t="s">
        <v>302</v>
      </c>
      <c r="G1835" s="264" t="s">
        <v>159</v>
      </c>
      <c r="H1835" s="265" t="s">
        <v>299</v>
      </c>
      <c r="I1835" s="265" t="s">
        <v>300</v>
      </c>
      <c r="J1835" s="265" t="s">
        <v>301</v>
      </c>
      <c r="K1835" s="266" t="s">
        <v>302</v>
      </c>
    </row>
    <row r="1836" spans="1:11" x14ac:dyDescent="0.35">
      <c r="A1836" s="221" t="s">
        <v>303</v>
      </c>
      <c r="B1836" s="222">
        <v>14300</v>
      </c>
      <c r="C1836" s="222"/>
      <c r="D1836" s="222"/>
      <c r="E1836" s="223"/>
      <c r="G1836" s="221" t="s">
        <v>303</v>
      </c>
      <c r="H1836" s="222">
        <v>4237</v>
      </c>
      <c r="I1836" s="222"/>
      <c r="J1836" s="222"/>
      <c r="K1836" s="223"/>
    </row>
    <row r="1837" spans="1:11" x14ac:dyDescent="0.35">
      <c r="A1837" s="225" t="s">
        <v>304</v>
      </c>
      <c r="B1837" s="226"/>
      <c r="C1837" s="226"/>
      <c r="D1837" s="226"/>
      <c r="E1837" s="227"/>
      <c r="G1837" s="225"/>
      <c r="H1837" s="226"/>
      <c r="I1837" s="226"/>
      <c r="J1837" s="226"/>
      <c r="K1837" s="227"/>
    </row>
    <row r="1838" spans="1:11" x14ac:dyDescent="0.35">
      <c r="A1838" s="225"/>
      <c r="B1838" s="226"/>
      <c r="C1838" s="226"/>
      <c r="D1838" s="226"/>
      <c r="E1838" s="227"/>
      <c r="G1838" s="225"/>
      <c r="H1838" s="226"/>
      <c r="I1838" s="226"/>
      <c r="J1838" s="226"/>
      <c r="K1838" s="227"/>
    </row>
    <row r="1839" spans="1:11" x14ac:dyDescent="0.35">
      <c r="A1839" s="221"/>
      <c r="B1839" s="222"/>
      <c r="C1839" s="222"/>
      <c r="D1839" s="222"/>
      <c r="E1839" s="223"/>
      <c r="G1839" s="221"/>
      <c r="H1839" s="222"/>
      <c r="I1839" s="222"/>
      <c r="J1839" s="222"/>
      <c r="K1839" s="223"/>
    </row>
    <row r="1840" spans="1:11" x14ac:dyDescent="0.35">
      <c r="A1840" s="225"/>
      <c r="B1840" s="226"/>
      <c r="C1840" s="226"/>
      <c r="D1840" s="226"/>
      <c r="E1840" s="227"/>
      <c r="G1840" s="225"/>
      <c r="H1840" s="226"/>
      <c r="I1840" s="226"/>
      <c r="J1840" s="226"/>
      <c r="K1840" s="227"/>
    </row>
    <row r="1841" spans="1:13" ht="15" thickBot="1" x14ac:dyDescent="0.4">
      <c r="A1841" s="218" t="s">
        <v>34</v>
      </c>
      <c r="B1841" s="219">
        <f>SUM(B1836:B1840)</f>
        <v>14300</v>
      </c>
      <c r="C1841" s="219">
        <f>SUM(C1836:C1840)</f>
        <v>0</v>
      </c>
      <c r="D1841" s="219">
        <f>SUM(D1836:D1840)</f>
        <v>0</v>
      </c>
      <c r="E1841" s="219">
        <f>SUM(E1836:E1840)</f>
        <v>0</v>
      </c>
      <c r="G1841" s="218" t="s">
        <v>34</v>
      </c>
      <c r="H1841" s="219">
        <f>SUM(H1836:H1840)</f>
        <v>4237</v>
      </c>
      <c r="I1841" s="219">
        <f>SUM(I1836:I1840)</f>
        <v>0</v>
      </c>
      <c r="J1841" s="219">
        <f>SUM(J1836:J1840)</f>
        <v>0</v>
      </c>
      <c r="K1841" s="219">
        <f>SUM(K1836:K1840)</f>
        <v>0</v>
      </c>
    </row>
    <row r="1842" spans="1:13" x14ac:dyDescent="0.35">
      <c r="A1842" s="220" t="s">
        <v>305</v>
      </c>
      <c r="B1842" s="220">
        <f>+B1841+C1841+D1841+E1841</f>
        <v>14300</v>
      </c>
      <c r="C1842" s="220"/>
      <c r="D1842" s="220"/>
      <c r="E1842" s="220"/>
      <c r="G1842" s="220" t="s">
        <v>305</v>
      </c>
      <c r="H1842" s="220">
        <f>+H1841+I1841+J1841+K1841</f>
        <v>4237</v>
      </c>
      <c r="I1842" s="220"/>
      <c r="J1842" s="220"/>
      <c r="K1842" s="220"/>
    </row>
    <row r="1843" spans="1:13" ht="15" thickBot="1" x14ac:dyDescent="0.4"/>
    <row r="1844" spans="1:13" ht="34" customHeight="1" thickBot="1" x14ac:dyDescent="0.4">
      <c r="A1844" s="316" t="s">
        <v>333</v>
      </c>
      <c r="B1844" s="317"/>
      <c r="C1844" s="317"/>
      <c r="D1844" s="317"/>
      <c r="E1844" s="317"/>
      <c r="F1844" s="318"/>
      <c r="G1844" s="324">
        <f>SUMIF($A$1544:M1843,"*"&amp;K1844&amp;"*",$B$1544:N1843)</f>
        <v>277597</v>
      </c>
      <c r="H1844" s="319"/>
      <c r="I1844" s="319"/>
      <c r="J1844" s="325"/>
      <c r="K1844" s="322" t="s">
        <v>305</v>
      </c>
      <c r="L1844" s="323"/>
      <c r="M1844" s="228">
        <f>+G1844</f>
        <v>277597</v>
      </c>
    </row>
    <row r="1846" spans="1:13" ht="15" thickBot="1" x14ac:dyDescent="0.4">
      <c r="A1846" s="315" t="s">
        <v>298</v>
      </c>
      <c r="B1846" s="315"/>
      <c r="C1846" s="315"/>
      <c r="D1846" s="315"/>
      <c r="E1846" s="315"/>
      <c r="G1846" s="315" t="s">
        <v>314</v>
      </c>
      <c r="H1846" s="315"/>
      <c r="I1846" s="315"/>
      <c r="J1846" s="315"/>
      <c r="K1846" s="315"/>
    </row>
    <row r="1847" spans="1:13" ht="15" thickTop="1" x14ac:dyDescent="0.35">
      <c r="A1847" s="313">
        <v>45474</v>
      </c>
      <c r="B1847" s="314"/>
      <c r="C1847" s="314"/>
      <c r="D1847" s="314"/>
      <c r="E1847" s="314"/>
      <c r="G1847" s="313">
        <v>45474</v>
      </c>
      <c r="H1847" s="314"/>
      <c r="I1847" s="314"/>
      <c r="J1847" s="314"/>
      <c r="K1847" s="314"/>
    </row>
    <row r="1848" spans="1:13" x14ac:dyDescent="0.35">
      <c r="A1848" s="261" t="s">
        <v>159</v>
      </c>
      <c r="B1848" s="262" t="s">
        <v>299</v>
      </c>
      <c r="C1848" s="262" t="s">
        <v>300</v>
      </c>
      <c r="D1848" s="262" t="s">
        <v>301</v>
      </c>
      <c r="E1848" s="263" t="s">
        <v>302</v>
      </c>
      <c r="G1848" s="264" t="s">
        <v>159</v>
      </c>
      <c r="H1848" s="265" t="s">
        <v>299</v>
      </c>
      <c r="I1848" s="265" t="s">
        <v>300</v>
      </c>
      <c r="J1848" s="265" t="s">
        <v>301</v>
      </c>
      <c r="K1848" s="266" t="s">
        <v>302</v>
      </c>
    </row>
    <row r="1849" spans="1:13" x14ac:dyDescent="0.35">
      <c r="A1849" s="221" t="s">
        <v>303</v>
      </c>
      <c r="B1849" s="222">
        <v>3792</v>
      </c>
      <c r="C1849" s="222"/>
      <c r="D1849" s="222"/>
      <c r="E1849" s="223"/>
      <c r="G1849" s="221" t="s">
        <v>303</v>
      </c>
      <c r="H1849" s="222">
        <v>599</v>
      </c>
      <c r="I1849" s="222"/>
      <c r="J1849" s="222"/>
      <c r="K1849" s="223"/>
    </row>
    <row r="1850" spans="1:13" x14ac:dyDescent="0.35">
      <c r="A1850" s="225" t="s">
        <v>304</v>
      </c>
      <c r="B1850" s="226">
        <v>22657</v>
      </c>
      <c r="C1850" s="226"/>
      <c r="D1850" s="226"/>
      <c r="E1850" s="227"/>
      <c r="G1850" s="225"/>
      <c r="H1850" s="226"/>
      <c r="I1850" s="226"/>
      <c r="J1850" s="226"/>
      <c r="K1850" s="227"/>
    </row>
    <row r="1851" spans="1:13" x14ac:dyDescent="0.35">
      <c r="A1851" s="225"/>
      <c r="B1851" s="226"/>
      <c r="C1851" s="226"/>
      <c r="D1851" s="226"/>
      <c r="E1851" s="227"/>
      <c r="G1851" s="225"/>
      <c r="H1851" s="226"/>
      <c r="I1851" s="226"/>
      <c r="J1851" s="226"/>
      <c r="K1851" s="227"/>
    </row>
    <row r="1852" spans="1:13" x14ac:dyDescent="0.35">
      <c r="A1852" s="221"/>
      <c r="B1852" s="222"/>
      <c r="C1852" s="222"/>
      <c r="D1852" s="222"/>
      <c r="E1852" s="223"/>
      <c r="G1852" s="221"/>
      <c r="H1852" s="222"/>
      <c r="I1852" s="222"/>
      <c r="J1852" s="222"/>
      <c r="K1852" s="223"/>
    </row>
    <row r="1853" spans="1:13" x14ac:dyDescent="0.35">
      <c r="A1853" s="225"/>
      <c r="B1853" s="226"/>
      <c r="C1853" s="226"/>
      <c r="D1853" s="226"/>
      <c r="E1853" s="227"/>
      <c r="G1853" s="225"/>
      <c r="H1853" s="226"/>
      <c r="I1853" s="226"/>
      <c r="J1853" s="226"/>
      <c r="K1853" s="227"/>
    </row>
    <row r="1854" spans="1:13" ht="15" thickBot="1" x14ac:dyDescent="0.4">
      <c r="A1854" s="218" t="s">
        <v>34</v>
      </c>
      <c r="B1854" s="219">
        <f>SUM(B1849:B1853)</f>
        <v>26449</v>
      </c>
      <c r="C1854" s="219">
        <f>SUM(C1849:C1853)</f>
        <v>0</v>
      </c>
      <c r="D1854" s="219">
        <f>SUM(D1849:D1853)</f>
        <v>0</v>
      </c>
      <c r="E1854" s="219">
        <f>SUM(E1849:E1853)</f>
        <v>0</v>
      </c>
      <c r="G1854" s="218" t="s">
        <v>34</v>
      </c>
      <c r="H1854" s="219">
        <f>SUM(H1849:H1853)</f>
        <v>599</v>
      </c>
      <c r="I1854" s="219">
        <f>SUM(I1849:I1853)</f>
        <v>0</v>
      </c>
      <c r="J1854" s="219">
        <f>SUM(J1849:J1853)</f>
        <v>0</v>
      </c>
      <c r="K1854" s="219">
        <f>SUM(K1849:K1853)</f>
        <v>0</v>
      </c>
    </row>
    <row r="1855" spans="1:13" x14ac:dyDescent="0.35">
      <c r="A1855" s="220" t="s">
        <v>305</v>
      </c>
      <c r="B1855" s="220">
        <f>+B1854+C1854+D1854+E1854</f>
        <v>26449</v>
      </c>
      <c r="C1855" s="220"/>
      <c r="D1855" s="220"/>
      <c r="E1855" s="220"/>
      <c r="G1855" s="220" t="s">
        <v>305</v>
      </c>
      <c r="H1855" s="220">
        <f>+H1854+I1854+J1854+K1854</f>
        <v>599</v>
      </c>
      <c r="I1855" s="220"/>
      <c r="J1855" s="220"/>
      <c r="K1855" s="220"/>
    </row>
    <row r="1856" spans="1:13" ht="15" thickBot="1" x14ac:dyDescent="0.4">
      <c r="A1856" s="315" t="s">
        <v>298</v>
      </c>
      <c r="B1856" s="315"/>
      <c r="C1856" s="315"/>
      <c r="D1856" s="315"/>
      <c r="E1856" s="315"/>
      <c r="G1856" s="315" t="s">
        <v>314</v>
      </c>
      <c r="H1856" s="315"/>
      <c r="I1856" s="315"/>
      <c r="J1856" s="315"/>
      <c r="K1856" s="315"/>
    </row>
    <row r="1857" spans="1:11" ht="15" thickTop="1" x14ac:dyDescent="0.35">
      <c r="A1857" s="313">
        <v>45475</v>
      </c>
      <c r="B1857" s="314"/>
      <c r="C1857" s="314"/>
      <c r="D1857" s="314"/>
      <c r="E1857" s="314"/>
      <c r="G1857" s="313">
        <v>45475</v>
      </c>
      <c r="H1857" s="314"/>
      <c r="I1857" s="314"/>
      <c r="J1857" s="314"/>
      <c r="K1857" s="314"/>
    </row>
    <row r="1858" spans="1:11" x14ac:dyDescent="0.35">
      <c r="A1858" s="261" t="s">
        <v>159</v>
      </c>
      <c r="B1858" s="262" t="s">
        <v>299</v>
      </c>
      <c r="C1858" s="262" t="s">
        <v>300</v>
      </c>
      <c r="D1858" s="262" t="s">
        <v>301</v>
      </c>
      <c r="E1858" s="263" t="s">
        <v>302</v>
      </c>
      <c r="G1858" s="264" t="s">
        <v>159</v>
      </c>
      <c r="H1858" s="265" t="s">
        <v>299</v>
      </c>
      <c r="I1858" s="265" t="s">
        <v>300</v>
      </c>
      <c r="J1858" s="265" t="s">
        <v>301</v>
      </c>
      <c r="K1858" s="266" t="s">
        <v>302</v>
      </c>
    </row>
    <row r="1859" spans="1:11" x14ac:dyDescent="0.35">
      <c r="A1859" s="221" t="s">
        <v>303</v>
      </c>
      <c r="B1859" s="222">
        <v>100</v>
      </c>
      <c r="C1859" s="222"/>
      <c r="D1859" s="222"/>
      <c r="E1859" s="223"/>
      <c r="G1859" s="221" t="s">
        <v>303</v>
      </c>
      <c r="H1859" s="222">
        <v>84</v>
      </c>
      <c r="I1859" s="222"/>
      <c r="J1859" s="222"/>
      <c r="K1859" s="223"/>
    </row>
    <row r="1860" spans="1:11" x14ac:dyDescent="0.35">
      <c r="A1860" s="225" t="s">
        <v>304</v>
      </c>
      <c r="B1860" s="226"/>
      <c r="C1860" s="226"/>
      <c r="D1860" s="226"/>
      <c r="E1860" s="227"/>
      <c r="G1860" s="225"/>
      <c r="H1860" s="226"/>
      <c r="I1860" s="226"/>
      <c r="J1860" s="226"/>
      <c r="K1860" s="227"/>
    </row>
    <row r="1861" spans="1:11" x14ac:dyDescent="0.35">
      <c r="A1861" s="225"/>
      <c r="B1861" s="226"/>
      <c r="C1861" s="226"/>
      <c r="D1861" s="226"/>
      <c r="E1861" s="227"/>
      <c r="G1861" s="225"/>
      <c r="H1861" s="226"/>
      <c r="I1861" s="226"/>
      <c r="J1861" s="226"/>
      <c r="K1861" s="227"/>
    </row>
    <row r="1862" spans="1:11" x14ac:dyDescent="0.35">
      <c r="A1862" s="221"/>
      <c r="B1862" s="222"/>
      <c r="C1862" s="222"/>
      <c r="D1862" s="222"/>
      <c r="E1862" s="223"/>
      <c r="G1862" s="221"/>
      <c r="H1862" s="222"/>
      <c r="I1862" s="222"/>
      <c r="J1862" s="222"/>
      <c r="K1862" s="223"/>
    </row>
    <row r="1863" spans="1:11" x14ac:dyDescent="0.35">
      <c r="A1863" s="225"/>
      <c r="B1863" s="226"/>
      <c r="C1863" s="226"/>
      <c r="D1863" s="226"/>
      <c r="E1863" s="227"/>
      <c r="G1863" s="225"/>
      <c r="H1863" s="226"/>
      <c r="I1863" s="226"/>
      <c r="J1863" s="226"/>
      <c r="K1863" s="227"/>
    </row>
    <row r="1864" spans="1:11" ht="15" thickBot="1" x14ac:dyDescent="0.4">
      <c r="A1864" s="218" t="s">
        <v>34</v>
      </c>
      <c r="B1864" s="219">
        <f>SUM(B1859:B1863)</f>
        <v>100</v>
      </c>
      <c r="C1864" s="219">
        <f>SUM(C1859:C1863)</f>
        <v>0</v>
      </c>
      <c r="D1864" s="219">
        <f>SUM(D1859:D1863)</f>
        <v>0</v>
      </c>
      <c r="E1864" s="219">
        <f>SUM(E1859:E1863)</f>
        <v>0</v>
      </c>
      <c r="G1864" s="218" t="s">
        <v>34</v>
      </c>
      <c r="H1864" s="219">
        <f>SUM(H1859:H1863)</f>
        <v>84</v>
      </c>
      <c r="I1864" s="219">
        <f>SUM(I1859:I1863)</f>
        <v>0</v>
      </c>
      <c r="J1864" s="219">
        <f>SUM(J1859:J1863)</f>
        <v>0</v>
      </c>
      <c r="K1864" s="219">
        <f>SUM(K1859:K1863)</f>
        <v>0</v>
      </c>
    </row>
    <row r="1865" spans="1:11" x14ac:dyDescent="0.35">
      <c r="A1865" s="220" t="s">
        <v>305</v>
      </c>
      <c r="B1865" s="220">
        <f>+B1864+C1864+D1864+E1864</f>
        <v>100</v>
      </c>
      <c r="C1865" s="220"/>
      <c r="D1865" s="220"/>
      <c r="E1865" s="220"/>
      <c r="G1865" s="220" t="s">
        <v>305</v>
      </c>
      <c r="H1865" s="220">
        <f>+H1864+I1864+J1864+K1864</f>
        <v>84</v>
      </c>
      <c r="I1865" s="220"/>
      <c r="J1865" s="220"/>
      <c r="K1865" s="220"/>
    </row>
    <row r="1866" spans="1:11" ht="15" thickBot="1" x14ac:dyDescent="0.4">
      <c r="A1866" s="315" t="s">
        <v>298</v>
      </c>
      <c r="B1866" s="315"/>
      <c r="C1866" s="315"/>
      <c r="D1866" s="315"/>
      <c r="E1866" s="315"/>
      <c r="G1866" s="315" t="s">
        <v>314</v>
      </c>
      <c r="H1866" s="315"/>
      <c r="I1866" s="315"/>
      <c r="J1866" s="315"/>
      <c r="K1866" s="315"/>
    </row>
    <row r="1867" spans="1:11" ht="15" thickTop="1" x14ac:dyDescent="0.35">
      <c r="A1867" s="313">
        <v>45476</v>
      </c>
      <c r="B1867" s="314"/>
      <c r="C1867" s="314"/>
      <c r="D1867" s="314"/>
      <c r="E1867" s="314"/>
      <c r="G1867" s="313">
        <v>45476</v>
      </c>
      <c r="H1867" s="314"/>
      <c r="I1867" s="314"/>
      <c r="J1867" s="314"/>
      <c r="K1867" s="314"/>
    </row>
    <row r="1868" spans="1:11" x14ac:dyDescent="0.35">
      <c r="A1868" s="261" t="s">
        <v>159</v>
      </c>
      <c r="B1868" s="262" t="s">
        <v>299</v>
      </c>
      <c r="C1868" s="262" t="s">
        <v>300</v>
      </c>
      <c r="D1868" s="262" t="s">
        <v>301</v>
      </c>
      <c r="E1868" s="263" t="s">
        <v>302</v>
      </c>
      <c r="G1868" s="264" t="s">
        <v>159</v>
      </c>
      <c r="H1868" s="265" t="s">
        <v>299</v>
      </c>
      <c r="I1868" s="265" t="s">
        <v>300</v>
      </c>
      <c r="J1868" s="265" t="s">
        <v>301</v>
      </c>
      <c r="K1868" s="266" t="s">
        <v>302</v>
      </c>
    </row>
    <row r="1869" spans="1:11" x14ac:dyDescent="0.35">
      <c r="A1869" s="221" t="s">
        <v>303</v>
      </c>
      <c r="B1869" s="222">
        <v>2107</v>
      </c>
      <c r="C1869" s="222"/>
      <c r="D1869" s="222"/>
      <c r="E1869" s="223"/>
      <c r="G1869" s="221" t="s">
        <v>303</v>
      </c>
      <c r="H1869" s="222"/>
      <c r="I1869" s="222"/>
      <c r="J1869" s="222"/>
      <c r="K1869" s="223"/>
    </row>
    <row r="1870" spans="1:11" x14ac:dyDescent="0.35">
      <c r="A1870" s="225" t="s">
        <v>304</v>
      </c>
      <c r="B1870" s="226"/>
      <c r="C1870" s="226"/>
      <c r="D1870" s="226"/>
      <c r="E1870" s="227"/>
      <c r="G1870" s="225"/>
      <c r="H1870" s="226"/>
      <c r="I1870" s="226"/>
      <c r="J1870" s="226"/>
      <c r="K1870" s="227"/>
    </row>
    <row r="1871" spans="1:11" x14ac:dyDescent="0.35">
      <c r="A1871" s="225"/>
      <c r="B1871" s="226"/>
      <c r="C1871" s="226"/>
      <c r="D1871" s="226"/>
      <c r="E1871" s="227"/>
      <c r="G1871" s="225"/>
      <c r="H1871" s="226"/>
      <c r="I1871" s="226"/>
      <c r="J1871" s="226"/>
      <c r="K1871" s="227"/>
    </row>
    <row r="1872" spans="1:11" x14ac:dyDescent="0.35">
      <c r="A1872" s="221"/>
      <c r="B1872" s="222"/>
      <c r="C1872" s="222"/>
      <c r="D1872" s="222"/>
      <c r="E1872" s="223"/>
      <c r="G1872" s="221"/>
      <c r="H1872" s="222"/>
      <c r="I1872" s="222"/>
      <c r="J1872" s="222"/>
      <c r="K1872" s="223"/>
    </row>
    <row r="1873" spans="1:11" x14ac:dyDescent="0.35">
      <c r="A1873" s="225"/>
      <c r="B1873" s="226"/>
      <c r="C1873" s="226"/>
      <c r="D1873" s="226"/>
      <c r="E1873" s="227"/>
      <c r="G1873" s="225"/>
      <c r="H1873" s="226"/>
      <c r="I1873" s="226"/>
      <c r="J1873" s="226"/>
      <c r="K1873" s="227"/>
    </row>
    <row r="1874" spans="1:11" ht="15" thickBot="1" x14ac:dyDescent="0.4">
      <c r="A1874" s="218" t="s">
        <v>34</v>
      </c>
      <c r="B1874" s="219">
        <f>SUM(B1869:B1873)</f>
        <v>2107</v>
      </c>
      <c r="C1874" s="219">
        <f>SUM(C1869:C1873)</f>
        <v>0</v>
      </c>
      <c r="D1874" s="219">
        <f>SUM(D1869:D1873)</f>
        <v>0</v>
      </c>
      <c r="E1874" s="219">
        <f>SUM(E1869:E1873)</f>
        <v>0</v>
      </c>
      <c r="G1874" s="218" t="s">
        <v>34</v>
      </c>
      <c r="H1874" s="219">
        <f>SUM(H1869:H1873)</f>
        <v>0</v>
      </c>
      <c r="I1874" s="219">
        <f>SUM(I1869:I1873)</f>
        <v>0</v>
      </c>
      <c r="J1874" s="219">
        <f>SUM(J1869:J1873)</f>
        <v>0</v>
      </c>
      <c r="K1874" s="219">
        <f>SUM(K1869:K1873)</f>
        <v>0</v>
      </c>
    </row>
    <row r="1875" spans="1:11" x14ac:dyDescent="0.35">
      <c r="A1875" s="220" t="s">
        <v>305</v>
      </c>
      <c r="B1875" s="220">
        <f>+B1874+C1874+D1874+E1874</f>
        <v>2107</v>
      </c>
      <c r="C1875" s="220"/>
      <c r="D1875" s="220"/>
      <c r="E1875" s="220"/>
      <c r="G1875" s="220" t="s">
        <v>305</v>
      </c>
      <c r="H1875" s="220">
        <f>+H1874+I1874+J1874+K1874</f>
        <v>0</v>
      </c>
      <c r="I1875" s="220"/>
      <c r="J1875" s="220"/>
      <c r="K1875" s="220"/>
    </row>
    <row r="1876" spans="1:11" ht="15" thickBot="1" x14ac:dyDescent="0.4">
      <c r="A1876" s="315" t="s">
        <v>298</v>
      </c>
      <c r="B1876" s="315"/>
      <c r="C1876" s="315"/>
      <c r="D1876" s="315"/>
      <c r="E1876" s="315"/>
      <c r="G1876" s="315" t="s">
        <v>314</v>
      </c>
      <c r="H1876" s="315"/>
      <c r="I1876" s="315"/>
      <c r="J1876" s="315"/>
      <c r="K1876" s="315"/>
    </row>
    <row r="1877" spans="1:11" ht="15" thickTop="1" x14ac:dyDescent="0.35">
      <c r="A1877" s="313">
        <v>45477</v>
      </c>
      <c r="B1877" s="314"/>
      <c r="C1877" s="314"/>
      <c r="D1877" s="314"/>
      <c r="E1877" s="314"/>
      <c r="G1877" s="313">
        <v>45477</v>
      </c>
      <c r="H1877" s="314"/>
      <c r="I1877" s="314"/>
      <c r="J1877" s="314"/>
      <c r="K1877" s="314"/>
    </row>
    <row r="1878" spans="1:11" x14ac:dyDescent="0.35">
      <c r="A1878" s="261" t="s">
        <v>159</v>
      </c>
      <c r="B1878" s="262" t="s">
        <v>299</v>
      </c>
      <c r="C1878" s="262" t="s">
        <v>300</v>
      </c>
      <c r="D1878" s="262" t="s">
        <v>301</v>
      </c>
      <c r="E1878" s="263" t="s">
        <v>302</v>
      </c>
      <c r="G1878" s="264" t="s">
        <v>159</v>
      </c>
      <c r="H1878" s="265" t="s">
        <v>299</v>
      </c>
      <c r="I1878" s="265" t="s">
        <v>300</v>
      </c>
      <c r="J1878" s="265" t="s">
        <v>301</v>
      </c>
      <c r="K1878" s="266" t="s">
        <v>302</v>
      </c>
    </row>
    <row r="1879" spans="1:11" x14ac:dyDescent="0.35">
      <c r="A1879" s="221" t="s">
        <v>303</v>
      </c>
      <c r="B1879" s="222">
        <v>9032</v>
      </c>
      <c r="C1879" s="222"/>
      <c r="D1879" s="222"/>
      <c r="E1879" s="223"/>
      <c r="G1879" s="221" t="s">
        <v>303</v>
      </c>
      <c r="H1879" s="222">
        <v>866</v>
      </c>
      <c r="I1879" s="222"/>
      <c r="J1879" s="222"/>
      <c r="K1879" s="223"/>
    </row>
    <row r="1880" spans="1:11" x14ac:dyDescent="0.35">
      <c r="A1880" s="225" t="s">
        <v>304</v>
      </c>
      <c r="B1880" s="226">
        <v>700</v>
      </c>
      <c r="C1880" s="226"/>
      <c r="D1880" s="226"/>
      <c r="E1880" s="227"/>
      <c r="G1880" s="225"/>
      <c r="H1880" s="226"/>
      <c r="I1880" s="226"/>
      <c r="J1880" s="226"/>
      <c r="K1880" s="227"/>
    </row>
    <row r="1881" spans="1:11" x14ac:dyDescent="0.35">
      <c r="A1881" s="225"/>
      <c r="B1881" s="226"/>
      <c r="C1881" s="226"/>
      <c r="D1881" s="226"/>
      <c r="E1881" s="227"/>
      <c r="G1881" s="225"/>
      <c r="H1881" s="226"/>
      <c r="I1881" s="226"/>
      <c r="J1881" s="226"/>
      <c r="K1881" s="227"/>
    </row>
    <row r="1882" spans="1:11" x14ac:dyDescent="0.35">
      <c r="A1882" s="221"/>
      <c r="B1882" s="222"/>
      <c r="C1882" s="222"/>
      <c r="D1882" s="222"/>
      <c r="E1882" s="223"/>
      <c r="G1882" s="221"/>
      <c r="H1882" s="222"/>
      <c r="I1882" s="222"/>
      <c r="J1882" s="222"/>
      <c r="K1882" s="223"/>
    </row>
    <row r="1883" spans="1:11" x14ac:dyDescent="0.35">
      <c r="A1883" s="225"/>
      <c r="B1883" s="226"/>
      <c r="C1883" s="226"/>
      <c r="D1883" s="226"/>
      <c r="E1883" s="227"/>
      <c r="G1883" s="225"/>
      <c r="H1883" s="226"/>
      <c r="I1883" s="226"/>
      <c r="J1883" s="226"/>
      <c r="K1883" s="227"/>
    </row>
    <row r="1884" spans="1:11" ht="15" thickBot="1" x14ac:dyDescent="0.4">
      <c r="A1884" s="218" t="s">
        <v>34</v>
      </c>
      <c r="B1884" s="219">
        <f>SUM(B1879:B1883)</f>
        <v>9732</v>
      </c>
      <c r="C1884" s="219">
        <f>SUM(C1879:C1883)</f>
        <v>0</v>
      </c>
      <c r="D1884" s="219">
        <f>SUM(D1879:D1883)</f>
        <v>0</v>
      </c>
      <c r="E1884" s="219">
        <f>SUM(E1879:E1883)</f>
        <v>0</v>
      </c>
      <c r="G1884" s="218" t="s">
        <v>34</v>
      </c>
      <c r="H1884" s="219">
        <f>SUM(H1879:H1883)</f>
        <v>866</v>
      </c>
      <c r="I1884" s="219">
        <f>SUM(I1879:I1883)</f>
        <v>0</v>
      </c>
      <c r="J1884" s="219">
        <f>SUM(J1879:J1883)</f>
        <v>0</v>
      </c>
      <c r="K1884" s="219">
        <f>SUM(K1879:K1883)</f>
        <v>0</v>
      </c>
    </row>
    <row r="1885" spans="1:11" x14ac:dyDescent="0.35">
      <c r="A1885" s="220" t="s">
        <v>305</v>
      </c>
      <c r="B1885" s="220">
        <f>+B1884+C1884+D1884+E1884</f>
        <v>9732</v>
      </c>
      <c r="C1885" s="220"/>
      <c r="D1885" s="220"/>
      <c r="E1885" s="220"/>
      <c r="G1885" s="220" t="s">
        <v>305</v>
      </c>
      <c r="H1885" s="220">
        <f>+H1884+I1884+J1884+K1884</f>
        <v>866</v>
      </c>
      <c r="I1885" s="220"/>
      <c r="J1885" s="220"/>
      <c r="K1885" s="220"/>
    </row>
    <row r="1886" spans="1:11" ht="15" thickBot="1" x14ac:dyDescent="0.4">
      <c r="A1886" s="315" t="s">
        <v>298</v>
      </c>
      <c r="B1886" s="315"/>
      <c r="C1886" s="315"/>
      <c r="D1886" s="315"/>
      <c r="E1886" s="315"/>
      <c r="G1886" s="315" t="s">
        <v>314</v>
      </c>
      <c r="H1886" s="315"/>
      <c r="I1886" s="315"/>
      <c r="J1886" s="315"/>
      <c r="K1886" s="315"/>
    </row>
    <row r="1887" spans="1:11" ht="15" thickTop="1" x14ac:dyDescent="0.35">
      <c r="A1887" s="313">
        <v>45478</v>
      </c>
      <c r="B1887" s="314"/>
      <c r="C1887" s="314"/>
      <c r="D1887" s="314"/>
      <c r="E1887" s="314"/>
      <c r="G1887" s="313">
        <v>45478</v>
      </c>
      <c r="H1887" s="314"/>
      <c r="I1887" s="314"/>
      <c r="J1887" s="314"/>
      <c r="K1887" s="314"/>
    </row>
    <row r="1888" spans="1:11" x14ac:dyDescent="0.35">
      <c r="A1888" s="261" t="s">
        <v>159</v>
      </c>
      <c r="B1888" s="262" t="s">
        <v>299</v>
      </c>
      <c r="C1888" s="262" t="s">
        <v>300</v>
      </c>
      <c r="D1888" s="262" t="s">
        <v>301</v>
      </c>
      <c r="E1888" s="263" t="s">
        <v>302</v>
      </c>
      <c r="G1888" s="264" t="s">
        <v>159</v>
      </c>
      <c r="H1888" s="265" t="s">
        <v>299</v>
      </c>
      <c r="I1888" s="265" t="s">
        <v>300</v>
      </c>
      <c r="J1888" s="265" t="s">
        <v>301</v>
      </c>
      <c r="K1888" s="266" t="s">
        <v>302</v>
      </c>
    </row>
    <row r="1889" spans="1:11" x14ac:dyDescent="0.35">
      <c r="A1889" s="221" t="s">
        <v>303</v>
      </c>
      <c r="B1889" s="222">
        <v>6752</v>
      </c>
      <c r="C1889" s="222"/>
      <c r="D1889" s="222"/>
      <c r="E1889" s="223"/>
      <c r="G1889" s="221" t="s">
        <v>303</v>
      </c>
      <c r="H1889" s="222">
        <v>1064</v>
      </c>
      <c r="I1889" s="222"/>
      <c r="J1889" s="222"/>
      <c r="K1889" s="223"/>
    </row>
    <row r="1890" spans="1:11" x14ac:dyDescent="0.35">
      <c r="A1890" s="225" t="s">
        <v>304</v>
      </c>
      <c r="B1890" s="226"/>
      <c r="C1890" s="226"/>
      <c r="D1890" s="226"/>
      <c r="E1890" s="227"/>
      <c r="G1890" s="225"/>
      <c r="H1890" s="226"/>
      <c r="I1890" s="226"/>
      <c r="J1890" s="226"/>
      <c r="K1890" s="227"/>
    </row>
    <row r="1891" spans="1:11" x14ac:dyDescent="0.35">
      <c r="A1891" s="225"/>
      <c r="B1891" s="226"/>
      <c r="C1891" s="226"/>
      <c r="D1891" s="226"/>
      <c r="E1891" s="227"/>
      <c r="G1891" s="225"/>
      <c r="H1891" s="226"/>
      <c r="I1891" s="226"/>
      <c r="J1891" s="226"/>
      <c r="K1891" s="227"/>
    </row>
    <row r="1892" spans="1:11" x14ac:dyDescent="0.35">
      <c r="A1892" s="221"/>
      <c r="B1892" s="222"/>
      <c r="C1892" s="222"/>
      <c r="D1892" s="222"/>
      <c r="E1892" s="223"/>
      <c r="G1892" s="221"/>
      <c r="H1892" s="222"/>
      <c r="I1892" s="222"/>
      <c r="J1892" s="222"/>
      <c r="K1892" s="223"/>
    </row>
    <row r="1893" spans="1:11" x14ac:dyDescent="0.35">
      <c r="A1893" s="225"/>
      <c r="B1893" s="226"/>
      <c r="C1893" s="226"/>
      <c r="D1893" s="226"/>
      <c r="E1893" s="227"/>
      <c r="G1893" s="225"/>
      <c r="H1893" s="226"/>
      <c r="I1893" s="226"/>
      <c r="J1893" s="226"/>
      <c r="K1893" s="227"/>
    </row>
    <row r="1894" spans="1:11" ht="15" thickBot="1" x14ac:dyDescent="0.4">
      <c r="A1894" s="218" t="s">
        <v>34</v>
      </c>
      <c r="B1894" s="219">
        <f>SUM(B1889:B1893)</f>
        <v>6752</v>
      </c>
      <c r="C1894" s="219">
        <f>SUM(C1889:C1893)</f>
        <v>0</v>
      </c>
      <c r="D1894" s="219">
        <f>SUM(D1889:D1893)</f>
        <v>0</v>
      </c>
      <c r="E1894" s="219">
        <f>SUM(E1889:E1893)</f>
        <v>0</v>
      </c>
      <c r="G1894" s="218" t="s">
        <v>34</v>
      </c>
      <c r="H1894" s="219">
        <f>SUM(H1889:H1893)</f>
        <v>1064</v>
      </c>
      <c r="I1894" s="219">
        <f>SUM(I1889:I1893)</f>
        <v>0</v>
      </c>
      <c r="J1894" s="219">
        <f>SUM(J1889:J1893)</f>
        <v>0</v>
      </c>
      <c r="K1894" s="219">
        <f>SUM(K1889:K1893)</f>
        <v>0</v>
      </c>
    </row>
    <row r="1895" spans="1:11" x14ac:dyDescent="0.35">
      <c r="A1895" s="220" t="s">
        <v>305</v>
      </c>
      <c r="B1895" s="220">
        <f>+B1894+C1894+D1894+E1894</f>
        <v>6752</v>
      </c>
      <c r="C1895" s="220"/>
      <c r="D1895" s="220"/>
      <c r="E1895" s="220"/>
      <c r="G1895" s="220" t="s">
        <v>305</v>
      </c>
      <c r="H1895" s="220">
        <f>+H1894+I1894+J1894+K1894</f>
        <v>1064</v>
      </c>
      <c r="I1895" s="220"/>
      <c r="J1895" s="220"/>
      <c r="K1895" s="220"/>
    </row>
    <row r="1896" spans="1:11" ht="15" thickBot="1" x14ac:dyDescent="0.4">
      <c r="A1896" s="315" t="s">
        <v>298</v>
      </c>
      <c r="B1896" s="315"/>
      <c r="C1896" s="315"/>
      <c r="D1896" s="315"/>
      <c r="E1896" s="315"/>
      <c r="G1896" s="315" t="s">
        <v>314</v>
      </c>
      <c r="H1896" s="315"/>
      <c r="I1896" s="315"/>
      <c r="J1896" s="315"/>
      <c r="K1896" s="315"/>
    </row>
    <row r="1897" spans="1:11" ht="15" thickTop="1" x14ac:dyDescent="0.35">
      <c r="A1897" s="313">
        <v>45479</v>
      </c>
      <c r="B1897" s="314"/>
      <c r="C1897" s="314"/>
      <c r="D1897" s="314"/>
      <c r="E1897" s="314"/>
      <c r="G1897" s="313">
        <v>45479</v>
      </c>
      <c r="H1897" s="314"/>
      <c r="I1897" s="314"/>
      <c r="J1897" s="314"/>
      <c r="K1897" s="314"/>
    </row>
    <row r="1898" spans="1:11" x14ac:dyDescent="0.35">
      <c r="A1898" s="261" t="s">
        <v>159</v>
      </c>
      <c r="B1898" s="262" t="s">
        <v>299</v>
      </c>
      <c r="C1898" s="262" t="s">
        <v>300</v>
      </c>
      <c r="D1898" s="262" t="s">
        <v>301</v>
      </c>
      <c r="E1898" s="263" t="s">
        <v>302</v>
      </c>
      <c r="G1898" s="264" t="s">
        <v>159</v>
      </c>
      <c r="H1898" s="265" t="s">
        <v>299</v>
      </c>
      <c r="I1898" s="265" t="s">
        <v>300</v>
      </c>
      <c r="J1898" s="265" t="s">
        <v>301</v>
      </c>
      <c r="K1898" s="266" t="s">
        <v>302</v>
      </c>
    </row>
    <row r="1899" spans="1:11" x14ac:dyDescent="0.35">
      <c r="A1899" s="221" t="s">
        <v>303</v>
      </c>
      <c r="B1899" s="222">
        <v>10851</v>
      </c>
      <c r="C1899" s="222"/>
      <c r="D1899" s="222"/>
      <c r="E1899" s="223"/>
      <c r="G1899" s="221" t="s">
        <v>303</v>
      </c>
      <c r="H1899" s="222">
        <v>2591</v>
      </c>
      <c r="I1899" s="222"/>
      <c r="J1899" s="222"/>
      <c r="K1899" s="223"/>
    </row>
    <row r="1900" spans="1:11" x14ac:dyDescent="0.35">
      <c r="A1900" s="225" t="s">
        <v>304</v>
      </c>
      <c r="B1900" s="226"/>
      <c r="C1900" s="226"/>
      <c r="D1900" s="226"/>
      <c r="E1900" s="227"/>
      <c r="G1900" s="225"/>
      <c r="H1900" s="226"/>
      <c r="I1900" s="226"/>
      <c r="J1900" s="226"/>
      <c r="K1900" s="227"/>
    </row>
    <row r="1901" spans="1:11" x14ac:dyDescent="0.35">
      <c r="A1901" s="225"/>
      <c r="B1901" s="226"/>
      <c r="C1901" s="226"/>
      <c r="D1901" s="226"/>
      <c r="E1901" s="227"/>
      <c r="G1901" s="225"/>
      <c r="H1901" s="226"/>
      <c r="I1901" s="226"/>
      <c r="J1901" s="226"/>
      <c r="K1901" s="227"/>
    </row>
    <row r="1902" spans="1:11" x14ac:dyDescent="0.35">
      <c r="A1902" s="221"/>
      <c r="B1902" s="222"/>
      <c r="C1902" s="222"/>
      <c r="D1902" s="222"/>
      <c r="E1902" s="223"/>
      <c r="G1902" s="221"/>
      <c r="H1902" s="222"/>
      <c r="I1902" s="222"/>
      <c r="J1902" s="222"/>
      <c r="K1902" s="223"/>
    </row>
    <row r="1903" spans="1:11" x14ac:dyDescent="0.35">
      <c r="A1903" s="225"/>
      <c r="B1903" s="226"/>
      <c r="C1903" s="226"/>
      <c r="D1903" s="226"/>
      <c r="E1903" s="227"/>
      <c r="G1903" s="225"/>
      <c r="H1903" s="226"/>
      <c r="I1903" s="226"/>
      <c r="J1903" s="226"/>
      <c r="K1903" s="227"/>
    </row>
    <row r="1904" spans="1:11" ht="15" thickBot="1" x14ac:dyDescent="0.4">
      <c r="A1904" s="218" t="s">
        <v>34</v>
      </c>
      <c r="B1904" s="219">
        <f>SUM(B1899:B1903)</f>
        <v>10851</v>
      </c>
      <c r="C1904" s="219">
        <f>SUM(C1899:C1903)</f>
        <v>0</v>
      </c>
      <c r="D1904" s="219">
        <f>SUM(D1899:D1903)</f>
        <v>0</v>
      </c>
      <c r="E1904" s="219">
        <f>SUM(E1899:E1903)</f>
        <v>0</v>
      </c>
      <c r="G1904" s="218" t="s">
        <v>34</v>
      </c>
      <c r="H1904" s="219">
        <f>SUM(H1899:H1903)</f>
        <v>2591</v>
      </c>
      <c r="I1904" s="219">
        <f>SUM(I1899:I1903)</f>
        <v>0</v>
      </c>
      <c r="J1904" s="219">
        <f>SUM(J1899:J1903)</f>
        <v>0</v>
      </c>
      <c r="K1904" s="219">
        <f>SUM(K1899:K1903)</f>
        <v>0</v>
      </c>
    </row>
    <row r="1905" spans="1:11" x14ac:dyDescent="0.35">
      <c r="A1905" s="220" t="s">
        <v>305</v>
      </c>
      <c r="B1905" s="220">
        <f>+B1904+C1904+D1904+E1904</f>
        <v>10851</v>
      </c>
      <c r="C1905" s="220"/>
      <c r="D1905" s="220"/>
      <c r="E1905" s="220"/>
      <c r="G1905" s="220" t="s">
        <v>305</v>
      </c>
      <c r="H1905" s="220">
        <f>+H1904+I1904+J1904+K1904</f>
        <v>2591</v>
      </c>
      <c r="I1905" s="220"/>
      <c r="J1905" s="220"/>
      <c r="K1905" s="220"/>
    </row>
    <row r="1906" spans="1:11" ht="15" thickBot="1" x14ac:dyDescent="0.4">
      <c r="A1906" s="315" t="s">
        <v>298</v>
      </c>
      <c r="B1906" s="315"/>
      <c r="C1906" s="315"/>
      <c r="D1906" s="315"/>
      <c r="E1906" s="315"/>
      <c r="G1906" s="315" t="s">
        <v>314</v>
      </c>
      <c r="H1906" s="315"/>
      <c r="I1906" s="315"/>
      <c r="J1906" s="315"/>
      <c r="K1906" s="315"/>
    </row>
    <row r="1907" spans="1:11" ht="15" thickTop="1" x14ac:dyDescent="0.35">
      <c r="A1907" s="313">
        <v>45480</v>
      </c>
      <c r="B1907" s="314"/>
      <c r="C1907" s="314"/>
      <c r="D1907" s="314"/>
      <c r="E1907" s="314"/>
      <c r="G1907" s="313">
        <v>45480</v>
      </c>
      <c r="H1907" s="314"/>
      <c r="I1907" s="314"/>
      <c r="J1907" s="314"/>
      <c r="K1907" s="314"/>
    </row>
    <row r="1908" spans="1:11" x14ac:dyDescent="0.35">
      <c r="A1908" s="261" t="s">
        <v>159</v>
      </c>
      <c r="B1908" s="262" t="s">
        <v>299</v>
      </c>
      <c r="C1908" s="262" t="s">
        <v>300</v>
      </c>
      <c r="D1908" s="262" t="s">
        <v>301</v>
      </c>
      <c r="E1908" s="263" t="s">
        <v>302</v>
      </c>
      <c r="G1908" s="264" t="s">
        <v>159</v>
      </c>
      <c r="H1908" s="265" t="s">
        <v>299</v>
      </c>
      <c r="I1908" s="265" t="s">
        <v>300</v>
      </c>
      <c r="J1908" s="265" t="s">
        <v>301</v>
      </c>
      <c r="K1908" s="266" t="s">
        <v>302</v>
      </c>
    </row>
    <row r="1909" spans="1:11" x14ac:dyDescent="0.35">
      <c r="A1909" s="221" t="s">
        <v>303</v>
      </c>
      <c r="B1909" s="222">
        <v>14044</v>
      </c>
      <c r="C1909" s="222"/>
      <c r="D1909" s="222"/>
      <c r="E1909" s="223"/>
      <c r="G1909" s="221" t="s">
        <v>303</v>
      </c>
      <c r="H1909" s="222">
        <v>3857</v>
      </c>
      <c r="I1909" s="222"/>
      <c r="J1909" s="222"/>
      <c r="K1909" s="223"/>
    </row>
    <row r="1910" spans="1:11" x14ac:dyDescent="0.35">
      <c r="A1910" s="225" t="s">
        <v>304</v>
      </c>
      <c r="B1910" s="226"/>
      <c r="C1910" s="226"/>
      <c r="D1910" s="226"/>
      <c r="E1910" s="227"/>
      <c r="G1910" s="225"/>
      <c r="H1910" s="226"/>
      <c r="I1910" s="226"/>
      <c r="J1910" s="226"/>
      <c r="K1910" s="227"/>
    </row>
    <row r="1911" spans="1:11" x14ac:dyDescent="0.35">
      <c r="A1911" s="225"/>
      <c r="B1911" s="226"/>
      <c r="C1911" s="226"/>
      <c r="D1911" s="226"/>
      <c r="E1911" s="227"/>
      <c r="G1911" s="225"/>
      <c r="H1911" s="226"/>
      <c r="I1911" s="226"/>
      <c r="J1911" s="226"/>
      <c r="K1911" s="227"/>
    </row>
    <row r="1912" spans="1:11" x14ac:dyDescent="0.35">
      <c r="A1912" s="221"/>
      <c r="B1912" s="222"/>
      <c r="C1912" s="222"/>
      <c r="D1912" s="222"/>
      <c r="E1912" s="223"/>
      <c r="G1912" s="221"/>
      <c r="H1912" s="222"/>
      <c r="I1912" s="222"/>
      <c r="J1912" s="222"/>
      <c r="K1912" s="223"/>
    </row>
    <row r="1913" spans="1:11" x14ac:dyDescent="0.35">
      <c r="A1913" s="225"/>
      <c r="B1913" s="226"/>
      <c r="C1913" s="226"/>
      <c r="D1913" s="226"/>
      <c r="E1913" s="227"/>
      <c r="G1913" s="225"/>
      <c r="H1913" s="226"/>
      <c r="I1913" s="226"/>
      <c r="J1913" s="226"/>
      <c r="K1913" s="227"/>
    </row>
    <row r="1914" spans="1:11" ht="15" thickBot="1" x14ac:dyDescent="0.4">
      <c r="A1914" s="218" t="s">
        <v>34</v>
      </c>
      <c r="B1914" s="219">
        <f>SUM(B1909:B1913)</f>
        <v>14044</v>
      </c>
      <c r="C1914" s="219">
        <f>SUM(C1909:C1913)</f>
        <v>0</v>
      </c>
      <c r="D1914" s="219">
        <f>SUM(D1909:D1913)</f>
        <v>0</v>
      </c>
      <c r="E1914" s="219">
        <f>SUM(E1909:E1913)</f>
        <v>0</v>
      </c>
      <c r="G1914" s="218" t="s">
        <v>34</v>
      </c>
      <c r="H1914" s="219">
        <f>SUM(H1909:H1913)</f>
        <v>3857</v>
      </c>
      <c r="I1914" s="219">
        <f>SUM(I1909:I1913)</f>
        <v>0</v>
      </c>
      <c r="J1914" s="219">
        <f>SUM(J1909:J1913)</f>
        <v>0</v>
      </c>
      <c r="K1914" s="219">
        <f>SUM(K1909:K1913)</f>
        <v>0</v>
      </c>
    </row>
    <row r="1915" spans="1:11" x14ac:dyDescent="0.35">
      <c r="A1915" s="220" t="s">
        <v>305</v>
      </c>
      <c r="B1915" s="220">
        <f>+B1914+C1914+D1914+E1914</f>
        <v>14044</v>
      </c>
      <c r="C1915" s="220"/>
      <c r="D1915" s="220"/>
      <c r="E1915" s="220"/>
      <c r="G1915" s="220" t="s">
        <v>305</v>
      </c>
      <c r="H1915" s="220">
        <f>+H1914+I1914+J1914+K1914</f>
        <v>3857</v>
      </c>
      <c r="I1915" s="220"/>
      <c r="J1915" s="220"/>
      <c r="K1915" s="220"/>
    </row>
    <row r="1916" spans="1:11" ht="15" thickBot="1" x14ac:dyDescent="0.4">
      <c r="A1916" s="315" t="s">
        <v>298</v>
      </c>
      <c r="B1916" s="315"/>
      <c r="C1916" s="315"/>
      <c r="D1916" s="315"/>
      <c r="E1916" s="315"/>
      <c r="G1916" s="315" t="s">
        <v>314</v>
      </c>
      <c r="H1916" s="315"/>
      <c r="I1916" s="315"/>
      <c r="J1916" s="315"/>
      <c r="K1916" s="315"/>
    </row>
    <row r="1917" spans="1:11" ht="15" thickTop="1" x14ac:dyDescent="0.35">
      <c r="A1917" s="313">
        <v>45481</v>
      </c>
      <c r="B1917" s="314"/>
      <c r="C1917" s="314"/>
      <c r="D1917" s="314"/>
      <c r="E1917" s="314"/>
      <c r="G1917" s="313">
        <v>45481</v>
      </c>
      <c r="H1917" s="314"/>
      <c r="I1917" s="314"/>
      <c r="J1917" s="314"/>
      <c r="K1917" s="314"/>
    </row>
    <row r="1918" spans="1:11" x14ac:dyDescent="0.35">
      <c r="A1918" s="261" t="s">
        <v>159</v>
      </c>
      <c r="B1918" s="262" t="s">
        <v>299</v>
      </c>
      <c r="C1918" s="262" t="s">
        <v>300</v>
      </c>
      <c r="D1918" s="262" t="s">
        <v>301</v>
      </c>
      <c r="E1918" s="263" t="s">
        <v>302</v>
      </c>
      <c r="G1918" s="264" t="s">
        <v>159</v>
      </c>
      <c r="H1918" s="265" t="s">
        <v>299</v>
      </c>
      <c r="I1918" s="265" t="s">
        <v>300</v>
      </c>
      <c r="J1918" s="265" t="s">
        <v>301</v>
      </c>
      <c r="K1918" s="266" t="s">
        <v>302</v>
      </c>
    </row>
    <row r="1919" spans="1:11" x14ac:dyDescent="0.35">
      <c r="A1919" s="221" t="s">
        <v>303</v>
      </c>
      <c r="B1919" s="222">
        <v>2778</v>
      </c>
      <c r="C1919" s="222"/>
      <c r="D1919" s="222"/>
      <c r="E1919" s="223"/>
      <c r="G1919" s="221" t="s">
        <v>303</v>
      </c>
      <c r="H1919" s="222">
        <v>621</v>
      </c>
      <c r="I1919" s="222"/>
      <c r="J1919" s="222"/>
      <c r="K1919" s="223"/>
    </row>
    <row r="1920" spans="1:11" x14ac:dyDescent="0.35">
      <c r="A1920" s="225" t="s">
        <v>304</v>
      </c>
      <c r="B1920" s="226">
        <v>5559</v>
      </c>
      <c r="C1920" s="226"/>
      <c r="D1920" s="226"/>
      <c r="E1920" s="227"/>
      <c r="G1920" s="225"/>
      <c r="H1920" s="226"/>
      <c r="I1920" s="226"/>
      <c r="J1920" s="226"/>
      <c r="K1920" s="227"/>
    </row>
    <row r="1921" spans="1:11" x14ac:dyDescent="0.35">
      <c r="A1921" s="225"/>
      <c r="B1921" s="226"/>
      <c r="C1921" s="226"/>
      <c r="D1921" s="226"/>
      <c r="E1921" s="227"/>
      <c r="G1921" s="225"/>
      <c r="H1921" s="226"/>
      <c r="I1921" s="226"/>
      <c r="J1921" s="226"/>
      <c r="K1921" s="227"/>
    </row>
    <row r="1922" spans="1:11" x14ac:dyDescent="0.35">
      <c r="A1922" s="221"/>
      <c r="B1922" s="222"/>
      <c r="C1922" s="222"/>
      <c r="D1922" s="222"/>
      <c r="E1922" s="223"/>
      <c r="G1922" s="221"/>
      <c r="H1922" s="222"/>
      <c r="I1922" s="222"/>
      <c r="J1922" s="222"/>
      <c r="K1922" s="223"/>
    </row>
    <row r="1923" spans="1:11" x14ac:dyDescent="0.35">
      <c r="A1923" s="225"/>
      <c r="B1923" s="226"/>
      <c r="C1923" s="226"/>
      <c r="D1923" s="226"/>
      <c r="E1923" s="227"/>
      <c r="G1923" s="225"/>
      <c r="H1923" s="226"/>
      <c r="I1923" s="226"/>
      <c r="J1923" s="226"/>
      <c r="K1923" s="227"/>
    </row>
    <row r="1924" spans="1:11" ht="15" thickBot="1" x14ac:dyDescent="0.4">
      <c r="A1924" s="218" t="s">
        <v>34</v>
      </c>
      <c r="B1924" s="219">
        <f>SUM(B1919:B1923)</f>
        <v>8337</v>
      </c>
      <c r="C1924" s="219">
        <f>SUM(C1919:C1923)</f>
        <v>0</v>
      </c>
      <c r="D1924" s="219">
        <f>SUM(D1919:D1923)</f>
        <v>0</v>
      </c>
      <c r="E1924" s="219">
        <f>SUM(E1919:E1923)</f>
        <v>0</v>
      </c>
      <c r="G1924" s="218" t="s">
        <v>34</v>
      </c>
      <c r="H1924" s="219">
        <f>SUM(H1919:H1923)</f>
        <v>621</v>
      </c>
      <c r="I1924" s="219">
        <f>SUM(I1919:I1923)</f>
        <v>0</v>
      </c>
      <c r="J1924" s="219">
        <f>SUM(J1919:J1923)</f>
        <v>0</v>
      </c>
      <c r="K1924" s="219">
        <f>SUM(K1919:K1923)</f>
        <v>0</v>
      </c>
    </row>
    <row r="1925" spans="1:11" x14ac:dyDescent="0.35">
      <c r="A1925" s="220" t="s">
        <v>305</v>
      </c>
      <c r="B1925" s="220">
        <f>+B1924+C1924+D1924+E1924</f>
        <v>8337</v>
      </c>
      <c r="C1925" s="220"/>
      <c r="D1925" s="220"/>
      <c r="E1925" s="220"/>
      <c r="G1925" s="220" t="s">
        <v>305</v>
      </c>
      <c r="H1925" s="220">
        <f>+H1924+I1924+J1924+K1924</f>
        <v>621</v>
      </c>
      <c r="I1925" s="220"/>
      <c r="J1925" s="220"/>
      <c r="K1925" s="220"/>
    </row>
    <row r="1926" spans="1:11" ht="15" thickBot="1" x14ac:dyDescent="0.4">
      <c r="A1926" s="315" t="s">
        <v>298</v>
      </c>
      <c r="B1926" s="315"/>
      <c r="C1926" s="315"/>
      <c r="D1926" s="315"/>
      <c r="E1926" s="315"/>
      <c r="G1926" s="315" t="s">
        <v>314</v>
      </c>
      <c r="H1926" s="315"/>
      <c r="I1926" s="315"/>
      <c r="J1926" s="315"/>
      <c r="K1926" s="315"/>
    </row>
    <row r="1927" spans="1:11" ht="15" thickTop="1" x14ac:dyDescent="0.35">
      <c r="A1927" s="313">
        <v>45482</v>
      </c>
      <c r="B1927" s="314"/>
      <c r="C1927" s="314"/>
      <c r="D1927" s="314"/>
      <c r="E1927" s="314"/>
      <c r="G1927" s="313">
        <v>45482</v>
      </c>
      <c r="H1927" s="314"/>
      <c r="I1927" s="314"/>
      <c r="J1927" s="314"/>
      <c r="K1927" s="314"/>
    </row>
    <row r="1928" spans="1:11" x14ac:dyDescent="0.35">
      <c r="A1928" s="261" t="s">
        <v>159</v>
      </c>
      <c r="B1928" s="262" t="s">
        <v>299</v>
      </c>
      <c r="C1928" s="262" t="s">
        <v>300</v>
      </c>
      <c r="D1928" s="262" t="s">
        <v>301</v>
      </c>
      <c r="E1928" s="263" t="s">
        <v>302</v>
      </c>
      <c r="G1928" s="264" t="s">
        <v>159</v>
      </c>
      <c r="H1928" s="265" t="s">
        <v>299</v>
      </c>
      <c r="I1928" s="265" t="s">
        <v>300</v>
      </c>
      <c r="J1928" s="265" t="s">
        <v>301</v>
      </c>
      <c r="K1928" s="266" t="s">
        <v>302</v>
      </c>
    </row>
    <row r="1929" spans="1:11" x14ac:dyDescent="0.35">
      <c r="A1929" s="221" t="s">
        <v>303</v>
      </c>
      <c r="B1929" s="222">
        <v>965</v>
      </c>
      <c r="C1929" s="222"/>
      <c r="D1929" s="222"/>
      <c r="E1929" s="223"/>
      <c r="G1929" s="221" t="s">
        <v>303</v>
      </c>
      <c r="H1929" s="222">
        <v>460</v>
      </c>
      <c r="I1929" s="222"/>
      <c r="J1929" s="222"/>
      <c r="K1929" s="223"/>
    </row>
    <row r="1930" spans="1:11" x14ac:dyDescent="0.35">
      <c r="A1930" s="225" t="s">
        <v>304</v>
      </c>
      <c r="B1930" s="226">
        <v>10204</v>
      </c>
      <c r="C1930" s="226"/>
      <c r="D1930" s="226"/>
      <c r="E1930" s="227"/>
      <c r="G1930" s="225"/>
      <c r="H1930" s="226"/>
      <c r="I1930" s="226"/>
      <c r="J1930" s="226"/>
      <c r="K1930" s="227"/>
    </row>
    <row r="1931" spans="1:11" x14ac:dyDescent="0.35">
      <c r="A1931" s="225"/>
      <c r="B1931" s="226"/>
      <c r="C1931" s="226"/>
      <c r="D1931" s="226"/>
      <c r="E1931" s="227"/>
      <c r="G1931" s="225"/>
      <c r="H1931" s="226"/>
      <c r="I1931" s="226"/>
      <c r="J1931" s="226"/>
      <c r="K1931" s="227"/>
    </row>
    <row r="1932" spans="1:11" x14ac:dyDescent="0.35">
      <c r="A1932" s="221"/>
      <c r="B1932" s="222"/>
      <c r="C1932" s="222"/>
      <c r="D1932" s="222"/>
      <c r="E1932" s="223"/>
      <c r="G1932" s="221"/>
      <c r="H1932" s="222"/>
      <c r="I1932" s="222"/>
      <c r="J1932" s="222"/>
      <c r="K1932" s="223"/>
    </row>
    <row r="1933" spans="1:11" x14ac:dyDescent="0.35">
      <c r="A1933" s="225"/>
      <c r="B1933" s="226"/>
      <c r="C1933" s="226"/>
      <c r="D1933" s="226"/>
      <c r="E1933" s="227"/>
      <c r="G1933" s="225"/>
      <c r="H1933" s="226"/>
      <c r="I1933" s="226"/>
      <c r="J1933" s="226"/>
      <c r="K1933" s="227"/>
    </row>
    <row r="1934" spans="1:11" ht="15" thickBot="1" x14ac:dyDescent="0.4">
      <c r="A1934" s="218" t="s">
        <v>34</v>
      </c>
      <c r="B1934" s="219">
        <f>SUM(B1929:B1933)</f>
        <v>11169</v>
      </c>
      <c r="C1934" s="219">
        <f>SUM(C1929:C1933)</f>
        <v>0</v>
      </c>
      <c r="D1934" s="219">
        <f>SUM(D1929:D1933)</f>
        <v>0</v>
      </c>
      <c r="E1934" s="219">
        <f>SUM(E1929:E1933)</f>
        <v>0</v>
      </c>
      <c r="G1934" s="218" t="s">
        <v>34</v>
      </c>
      <c r="H1934" s="219">
        <f>SUM(H1929:H1933)</f>
        <v>460</v>
      </c>
      <c r="I1934" s="219">
        <f>SUM(I1929:I1933)</f>
        <v>0</v>
      </c>
      <c r="J1934" s="219">
        <f>SUM(J1929:J1933)</f>
        <v>0</v>
      </c>
      <c r="K1934" s="219">
        <f>SUM(K1929:K1933)</f>
        <v>0</v>
      </c>
    </row>
    <row r="1935" spans="1:11" x14ac:dyDescent="0.35">
      <c r="A1935" s="220" t="s">
        <v>305</v>
      </c>
      <c r="B1935" s="220">
        <f>+B1934+C1934+D1934+E1934</f>
        <v>11169</v>
      </c>
      <c r="C1935" s="220"/>
      <c r="D1935" s="220"/>
      <c r="E1935" s="220"/>
      <c r="G1935" s="220" t="s">
        <v>305</v>
      </c>
      <c r="H1935" s="220">
        <f>+H1934+I1934+J1934+K1934</f>
        <v>460</v>
      </c>
      <c r="I1935" s="220"/>
      <c r="J1935" s="220"/>
      <c r="K1935" s="220"/>
    </row>
    <row r="1936" spans="1:11" ht="15" thickBot="1" x14ac:dyDescent="0.4">
      <c r="A1936" s="315" t="s">
        <v>298</v>
      </c>
      <c r="B1936" s="315"/>
      <c r="C1936" s="315"/>
      <c r="D1936" s="315"/>
      <c r="E1936" s="315"/>
      <c r="G1936" s="315" t="s">
        <v>314</v>
      </c>
      <c r="H1936" s="315"/>
      <c r="I1936" s="315"/>
      <c r="J1936" s="315"/>
      <c r="K1936" s="315"/>
    </row>
    <row r="1937" spans="1:11" ht="15" thickTop="1" x14ac:dyDescent="0.35">
      <c r="A1937" s="313">
        <v>45483</v>
      </c>
      <c r="B1937" s="314"/>
      <c r="C1937" s="314"/>
      <c r="D1937" s="314"/>
      <c r="E1937" s="314"/>
      <c r="G1937" s="313">
        <v>45483</v>
      </c>
      <c r="H1937" s="314"/>
      <c r="I1937" s="314"/>
      <c r="J1937" s="314"/>
      <c r="K1937" s="314"/>
    </row>
    <row r="1938" spans="1:11" x14ac:dyDescent="0.35">
      <c r="A1938" s="261" t="s">
        <v>159</v>
      </c>
      <c r="B1938" s="262" t="s">
        <v>299</v>
      </c>
      <c r="C1938" s="262" t="s">
        <v>300</v>
      </c>
      <c r="D1938" s="262" t="s">
        <v>301</v>
      </c>
      <c r="E1938" s="263" t="s">
        <v>302</v>
      </c>
      <c r="G1938" s="264" t="s">
        <v>159</v>
      </c>
      <c r="H1938" s="265" t="s">
        <v>299</v>
      </c>
      <c r="I1938" s="265" t="s">
        <v>300</v>
      </c>
      <c r="J1938" s="265" t="s">
        <v>301</v>
      </c>
      <c r="K1938" s="266" t="s">
        <v>302</v>
      </c>
    </row>
    <row r="1939" spans="1:11" x14ac:dyDescent="0.35">
      <c r="A1939" s="221" t="s">
        <v>303</v>
      </c>
      <c r="B1939" s="222">
        <v>2632</v>
      </c>
      <c r="C1939" s="222"/>
      <c r="D1939" s="222"/>
      <c r="E1939" s="223"/>
      <c r="G1939" s="221" t="s">
        <v>303</v>
      </c>
      <c r="H1939" s="222"/>
      <c r="I1939" s="222"/>
      <c r="J1939" s="222"/>
      <c r="K1939" s="223"/>
    </row>
    <row r="1940" spans="1:11" x14ac:dyDescent="0.35">
      <c r="A1940" s="225" t="s">
        <v>304</v>
      </c>
      <c r="B1940" s="226"/>
      <c r="C1940" s="226"/>
      <c r="D1940" s="226"/>
      <c r="E1940" s="227"/>
      <c r="G1940" s="225"/>
      <c r="H1940" s="226"/>
      <c r="I1940" s="226"/>
      <c r="J1940" s="226"/>
      <c r="K1940" s="227"/>
    </row>
    <row r="1941" spans="1:11" x14ac:dyDescent="0.35">
      <c r="A1941" s="225"/>
      <c r="B1941" s="226"/>
      <c r="C1941" s="226"/>
      <c r="D1941" s="226"/>
      <c r="E1941" s="227"/>
      <c r="G1941" s="225"/>
      <c r="H1941" s="226"/>
      <c r="I1941" s="226"/>
      <c r="J1941" s="226"/>
      <c r="K1941" s="227"/>
    </row>
    <row r="1942" spans="1:11" x14ac:dyDescent="0.35">
      <c r="A1942" s="221"/>
      <c r="B1942" s="222"/>
      <c r="C1942" s="222"/>
      <c r="D1942" s="222"/>
      <c r="E1942" s="223"/>
      <c r="G1942" s="221"/>
      <c r="H1942" s="222"/>
      <c r="I1942" s="222"/>
      <c r="J1942" s="222"/>
      <c r="K1942" s="223"/>
    </row>
    <row r="1943" spans="1:11" x14ac:dyDescent="0.35">
      <c r="A1943" s="225"/>
      <c r="B1943" s="226"/>
      <c r="C1943" s="226"/>
      <c r="D1943" s="226"/>
      <c r="E1943" s="227"/>
      <c r="G1943" s="225"/>
      <c r="H1943" s="226"/>
      <c r="I1943" s="226"/>
      <c r="J1943" s="226"/>
      <c r="K1943" s="227"/>
    </row>
    <row r="1944" spans="1:11" ht="15" thickBot="1" x14ac:dyDescent="0.4">
      <c r="A1944" s="218" t="s">
        <v>34</v>
      </c>
      <c r="B1944" s="219">
        <f>SUM(B1939:B1943)</f>
        <v>2632</v>
      </c>
      <c r="C1944" s="219">
        <f>SUM(C1939:C1943)</f>
        <v>0</v>
      </c>
      <c r="D1944" s="219">
        <f>SUM(D1939:D1943)</f>
        <v>0</v>
      </c>
      <c r="E1944" s="219">
        <f>SUM(E1939:E1943)</f>
        <v>0</v>
      </c>
      <c r="G1944" s="218" t="s">
        <v>34</v>
      </c>
      <c r="H1944" s="219">
        <f>SUM(H1939:H1943)</f>
        <v>0</v>
      </c>
      <c r="I1944" s="219">
        <f>SUM(I1939:I1943)</f>
        <v>0</v>
      </c>
      <c r="J1944" s="219">
        <f>SUM(J1939:J1943)</f>
        <v>0</v>
      </c>
      <c r="K1944" s="219">
        <f>SUM(K1939:K1943)</f>
        <v>0</v>
      </c>
    </row>
    <row r="1945" spans="1:11" x14ac:dyDescent="0.35">
      <c r="A1945" s="220" t="s">
        <v>305</v>
      </c>
      <c r="B1945" s="220">
        <f>+B1944+C1944+D1944+E1944</f>
        <v>2632</v>
      </c>
      <c r="C1945" s="220"/>
      <c r="D1945" s="220"/>
      <c r="E1945" s="220"/>
      <c r="G1945" s="220" t="s">
        <v>305</v>
      </c>
      <c r="H1945" s="220">
        <f>+H1944+I1944+J1944+K1944</f>
        <v>0</v>
      </c>
      <c r="I1945" s="220"/>
      <c r="J1945" s="220"/>
      <c r="K1945" s="220"/>
    </row>
    <row r="1946" spans="1:11" ht="15" thickBot="1" x14ac:dyDescent="0.4">
      <c r="A1946" s="315" t="s">
        <v>298</v>
      </c>
      <c r="B1946" s="315"/>
      <c r="C1946" s="315"/>
      <c r="D1946" s="315"/>
      <c r="E1946" s="315"/>
      <c r="G1946" s="315" t="s">
        <v>314</v>
      </c>
      <c r="H1946" s="315"/>
      <c r="I1946" s="315"/>
      <c r="J1946" s="315"/>
      <c r="K1946" s="315"/>
    </row>
    <row r="1947" spans="1:11" ht="15" thickTop="1" x14ac:dyDescent="0.35">
      <c r="A1947" s="313">
        <v>45484</v>
      </c>
      <c r="B1947" s="314"/>
      <c r="C1947" s="314"/>
      <c r="D1947" s="314"/>
      <c r="E1947" s="314"/>
      <c r="G1947" s="313">
        <v>45484</v>
      </c>
      <c r="H1947" s="314"/>
      <c r="I1947" s="314"/>
      <c r="J1947" s="314"/>
      <c r="K1947" s="314"/>
    </row>
    <row r="1948" spans="1:11" x14ac:dyDescent="0.35">
      <c r="A1948" s="261" t="s">
        <v>159</v>
      </c>
      <c r="B1948" s="262" t="s">
        <v>299</v>
      </c>
      <c r="C1948" s="262" t="s">
        <v>300</v>
      </c>
      <c r="D1948" s="262" t="s">
        <v>301</v>
      </c>
      <c r="E1948" s="263" t="s">
        <v>302</v>
      </c>
      <c r="G1948" s="264" t="s">
        <v>159</v>
      </c>
      <c r="H1948" s="265" t="s">
        <v>299</v>
      </c>
      <c r="I1948" s="265" t="s">
        <v>300</v>
      </c>
      <c r="J1948" s="265" t="s">
        <v>301</v>
      </c>
      <c r="K1948" s="266" t="s">
        <v>302</v>
      </c>
    </row>
    <row r="1949" spans="1:11" x14ac:dyDescent="0.35">
      <c r="A1949" s="221" t="s">
        <v>303</v>
      </c>
      <c r="B1949" s="222">
        <v>8162</v>
      </c>
      <c r="C1949" s="222"/>
      <c r="D1949" s="222"/>
      <c r="E1949" s="223"/>
      <c r="G1949" s="221" t="s">
        <v>303</v>
      </c>
      <c r="H1949" s="222">
        <v>230</v>
      </c>
      <c r="I1949" s="222"/>
      <c r="J1949" s="222"/>
      <c r="K1949" s="223"/>
    </row>
    <row r="1950" spans="1:11" x14ac:dyDescent="0.35">
      <c r="A1950" s="225" t="s">
        <v>304</v>
      </c>
      <c r="B1950" s="226"/>
      <c r="C1950" s="226"/>
      <c r="D1950" s="226"/>
      <c r="E1950" s="227"/>
      <c r="G1950" s="225"/>
      <c r="H1950" s="226"/>
      <c r="I1950" s="226"/>
      <c r="J1950" s="226"/>
      <c r="K1950" s="227"/>
    </row>
    <row r="1951" spans="1:11" x14ac:dyDescent="0.35">
      <c r="A1951" s="225"/>
      <c r="B1951" s="226"/>
      <c r="C1951" s="226"/>
      <c r="D1951" s="226"/>
      <c r="E1951" s="227"/>
      <c r="G1951" s="225"/>
      <c r="H1951" s="226"/>
      <c r="I1951" s="226"/>
      <c r="J1951" s="226"/>
      <c r="K1951" s="227"/>
    </row>
    <row r="1952" spans="1:11" x14ac:dyDescent="0.35">
      <c r="A1952" s="221"/>
      <c r="B1952" s="222"/>
      <c r="C1952" s="222"/>
      <c r="D1952" s="222"/>
      <c r="E1952" s="223"/>
      <c r="G1952" s="221"/>
      <c r="H1952" s="222"/>
      <c r="I1952" s="222"/>
      <c r="J1952" s="222"/>
      <c r="K1952" s="223"/>
    </row>
    <row r="1953" spans="1:11" x14ac:dyDescent="0.35">
      <c r="A1953" s="225"/>
      <c r="B1953" s="226"/>
      <c r="C1953" s="226"/>
      <c r="D1953" s="226"/>
      <c r="E1953" s="227"/>
      <c r="G1953" s="225"/>
      <c r="H1953" s="226"/>
      <c r="I1953" s="226"/>
      <c r="J1953" s="226"/>
      <c r="K1953" s="227"/>
    </row>
    <row r="1954" spans="1:11" ht="15" thickBot="1" x14ac:dyDescent="0.4">
      <c r="A1954" s="218" t="s">
        <v>34</v>
      </c>
      <c r="B1954" s="219">
        <f>SUM(B1949:B1953)</f>
        <v>8162</v>
      </c>
      <c r="C1954" s="219">
        <f>SUM(C1949:C1953)</f>
        <v>0</v>
      </c>
      <c r="D1954" s="219">
        <f>SUM(D1949:D1953)</f>
        <v>0</v>
      </c>
      <c r="E1954" s="219">
        <f>SUM(E1949:E1953)</f>
        <v>0</v>
      </c>
      <c r="G1954" s="218" t="s">
        <v>34</v>
      </c>
      <c r="H1954" s="219">
        <f>SUM(H1949:H1953)</f>
        <v>230</v>
      </c>
      <c r="I1954" s="219">
        <f>SUM(I1949:I1953)</f>
        <v>0</v>
      </c>
      <c r="J1954" s="219">
        <f>SUM(J1949:J1953)</f>
        <v>0</v>
      </c>
      <c r="K1954" s="219">
        <f>SUM(K1949:K1953)</f>
        <v>0</v>
      </c>
    </row>
    <row r="1955" spans="1:11" x14ac:dyDescent="0.35">
      <c r="A1955" s="220" t="s">
        <v>305</v>
      </c>
      <c r="B1955" s="220">
        <f>+B1954+C1954+D1954+E1954</f>
        <v>8162</v>
      </c>
      <c r="C1955" s="220"/>
      <c r="D1955" s="220"/>
      <c r="E1955" s="220"/>
      <c r="G1955" s="220" t="s">
        <v>305</v>
      </c>
      <c r="H1955" s="220">
        <f>+H1954+I1954+J1954+K1954</f>
        <v>230</v>
      </c>
      <c r="I1955" s="220"/>
      <c r="J1955" s="220"/>
      <c r="K1955" s="220"/>
    </row>
    <row r="1956" spans="1:11" ht="15" thickBot="1" x14ac:dyDescent="0.4">
      <c r="A1956" s="315" t="s">
        <v>298</v>
      </c>
      <c r="B1956" s="315"/>
      <c r="C1956" s="315"/>
      <c r="D1956" s="315"/>
      <c r="E1956" s="315"/>
      <c r="G1956" s="315" t="s">
        <v>314</v>
      </c>
      <c r="H1956" s="315"/>
      <c r="I1956" s="315"/>
      <c r="J1956" s="315"/>
      <c r="K1956" s="315"/>
    </row>
    <row r="1957" spans="1:11" ht="15" thickTop="1" x14ac:dyDescent="0.35">
      <c r="A1957" s="313">
        <v>45485</v>
      </c>
      <c r="B1957" s="314"/>
      <c r="C1957" s="314"/>
      <c r="D1957" s="314"/>
      <c r="E1957" s="314"/>
      <c r="G1957" s="313">
        <v>45485</v>
      </c>
      <c r="H1957" s="314"/>
      <c r="I1957" s="314"/>
      <c r="J1957" s="314"/>
      <c r="K1957" s="314"/>
    </row>
    <row r="1958" spans="1:11" x14ac:dyDescent="0.35">
      <c r="A1958" s="261" t="s">
        <v>159</v>
      </c>
      <c r="B1958" s="262" t="s">
        <v>299</v>
      </c>
      <c r="C1958" s="262" t="s">
        <v>300</v>
      </c>
      <c r="D1958" s="262" t="s">
        <v>301</v>
      </c>
      <c r="E1958" s="263" t="s">
        <v>302</v>
      </c>
      <c r="G1958" s="264" t="s">
        <v>159</v>
      </c>
      <c r="H1958" s="265" t="s">
        <v>299</v>
      </c>
      <c r="I1958" s="265" t="s">
        <v>300</v>
      </c>
      <c r="J1958" s="265" t="s">
        <v>301</v>
      </c>
      <c r="K1958" s="266" t="s">
        <v>302</v>
      </c>
    </row>
    <row r="1959" spans="1:11" x14ac:dyDescent="0.35">
      <c r="A1959" s="221" t="s">
        <v>303</v>
      </c>
      <c r="B1959" s="222">
        <v>3725</v>
      </c>
      <c r="C1959" s="222"/>
      <c r="D1959" s="222"/>
      <c r="E1959" s="223"/>
      <c r="G1959" s="221" t="s">
        <v>303</v>
      </c>
      <c r="H1959" s="222">
        <v>943</v>
      </c>
      <c r="I1959" s="222"/>
      <c r="J1959" s="222"/>
      <c r="K1959" s="223"/>
    </row>
    <row r="1960" spans="1:11" x14ac:dyDescent="0.35">
      <c r="A1960" s="225" t="s">
        <v>304</v>
      </c>
      <c r="B1960" s="226"/>
      <c r="C1960" s="226"/>
      <c r="D1960" s="226"/>
      <c r="E1960" s="227"/>
      <c r="G1960" s="225"/>
      <c r="H1960" s="226"/>
      <c r="I1960" s="226"/>
      <c r="J1960" s="226"/>
      <c r="K1960" s="227"/>
    </row>
    <row r="1961" spans="1:11" x14ac:dyDescent="0.35">
      <c r="A1961" s="225"/>
      <c r="B1961" s="226"/>
      <c r="C1961" s="226"/>
      <c r="D1961" s="226"/>
      <c r="E1961" s="227"/>
      <c r="G1961" s="225"/>
      <c r="H1961" s="226"/>
      <c r="I1961" s="226"/>
      <c r="J1961" s="226"/>
      <c r="K1961" s="227"/>
    </row>
    <row r="1962" spans="1:11" x14ac:dyDescent="0.35">
      <c r="A1962" s="221"/>
      <c r="B1962" s="222"/>
      <c r="C1962" s="222"/>
      <c r="D1962" s="222"/>
      <c r="E1962" s="223"/>
      <c r="G1962" s="221"/>
      <c r="H1962" s="222"/>
      <c r="I1962" s="222"/>
      <c r="J1962" s="222"/>
      <c r="K1962" s="223"/>
    </row>
    <row r="1963" spans="1:11" x14ac:dyDescent="0.35">
      <c r="A1963" s="225"/>
      <c r="B1963" s="226"/>
      <c r="C1963" s="226"/>
      <c r="D1963" s="226"/>
      <c r="E1963" s="227"/>
      <c r="G1963" s="225"/>
      <c r="H1963" s="226"/>
      <c r="I1963" s="226"/>
      <c r="J1963" s="226"/>
      <c r="K1963" s="227"/>
    </row>
    <row r="1964" spans="1:11" ht="15" thickBot="1" x14ac:dyDescent="0.4">
      <c r="A1964" s="218" t="s">
        <v>34</v>
      </c>
      <c r="B1964" s="219">
        <f>SUM(B1959:B1963)</f>
        <v>3725</v>
      </c>
      <c r="C1964" s="219">
        <f>SUM(C1959:C1963)</f>
        <v>0</v>
      </c>
      <c r="D1964" s="219">
        <f>SUM(D1959:D1963)</f>
        <v>0</v>
      </c>
      <c r="E1964" s="219">
        <f>SUM(E1959:E1963)</f>
        <v>0</v>
      </c>
      <c r="G1964" s="218" t="s">
        <v>34</v>
      </c>
      <c r="H1964" s="219">
        <f>SUM(H1959:H1963)</f>
        <v>943</v>
      </c>
      <c r="I1964" s="219">
        <f>SUM(I1959:I1963)</f>
        <v>0</v>
      </c>
      <c r="J1964" s="219">
        <f>SUM(J1959:J1963)</f>
        <v>0</v>
      </c>
      <c r="K1964" s="219">
        <f>SUM(K1959:K1963)</f>
        <v>0</v>
      </c>
    </row>
    <row r="1965" spans="1:11" x14ac:dyDescent="0.35">
      <c r="A1965" s="220" t="s">
        <v>305</v>
      </c>
      <c r="B1965" s="220">
        <f>+B1964+C1964+D1964+E1964</f>
        <v>3725</v>
      </c>
      <c r="C1965" s="220"/>
      <c r="D1965" s="220"/>
      <c r="E1965" s="220"/>
      <c r="G1965" s="220" t="s">
        <v>305</v>
      </c>
      <c r="H1965" s="220">
        <f>+H1964+I1964+J1964+K1964</f>
        <v>943</v>
      </c>
      <c r="I1965" s="220"/>
      <c r="J1965" s="220"/>
      <c r="K1965" s="220"/>
    </row>
    <row r="1966" spans="1:11" ht="15" thickBot="1" x14ac:dyDescent="0.4">
      <c r="A1966" s="315" t="s">
        <v>298</v>
      </c>
      <c r="B1966" s="315"/>
      <c r="C1966" s="315"/>
      <c r="D1966" s="315"/>
      <c r="E1966" s="315"/>
      <c r="G1966" s="315" t="s">
        <v>314</v>
      </c>
      <c r="H1966" s="315"/>
      <c r="I1966" s="315"/>
      <c r="J1966" s="315"/>
      <c r="K1966" s="315"/>
    </row>
    <row r="1967" spans="1:11" ht="15" thickTop="1" x14ac:dyDescent="0.35">
      <c r="A1967" s="313">
        <v>45486</v>
      </c>
      <c r="B1967" s="314"/>
      <c r="C1967" s="314"/>
      <c r="D1967" s="314"/>
      <c r="E1967" s="314"/>
      <c r="G1967" s="313">
        <v>45486</v>
      </c>
      <c r="H1967" s="314"/>
      <c r="I1967" s="314"/>
      <c r="J1967" s="314"/>
      <c r="K1967" s="314"/>
    </row>
    <row r="1968" spans="1:11" x14ac:dyDescent="0.35">
      <c r="A1968" s="261" t="s">
        <v>159</v>
      </c>
      <c r="B1968" s="262" t="s">
        <v>299</v>
      </c>
      <c r="C1968" s="262" t="s">
        <v>300</v>
      </c>
      <c r="D1968" s="262" t="s">
        <v>301</v>
      </c>
      <c r="E1968" s="263" t="s">
        <v>302</v>
      </c>
      <c r="G1968" s="264" t="s">
        <v>159</v>
      </c>
      <c r="H1968" s="265" t="s">
        <v>299</v>
      </c>
      <c r="I1968" s="265" t="s">
        <v>300</v>
      </c>
      <c r="J1968" s="265" t="s">
        <v>301</v>
      </c>
      <c r="K1968" s="266" t="s">
        <v>302</v>
      </c>
    </row>
    <row r="1969" spans="1:11" x14ac:dyDescent="0.35">
      <c r="A1969" s="221" t="s">
        <v>303</v>
      </c>
      <c r="B1969" s="222">
        <v>6901</v>
      </c>
      <c r="C1969" s="222"/>
      <c r="D1969" s="222"/>
      <c r="E1969" s="223"/>
      <c r="G1969" s="221" t="s">
        <v>303</v>
      </c>
      <c r="H1969" s="222">
        <v>2871</v>
      </c>
      <c r="I1969" s="222"/>
      <c r="J1969" s="222"/>
      <c r="K1969" s="223"/>
    </row>
    <row r="1970" spans="1:11" x14ac:dyDescent="0.35">
      <c r="A1970" s="225" t="s">
        <v>304</v>
      </c>
      <c r="B1970" s="226"/>
      <c r="C1970" s="226"/>
      <c r="D1970" s="226"/>
      <c r="E1970" s="227"/>
      <c r="G1970" s="225"/>
      <c r="H1970" s="226"/>
      <c r="I1970" s="226"/>
      <c r="J1970" s="226"/>
      <c r="K1970" s="227"/>
    </row>
    <row r="1971" spans="1:11" x14ac:dyDescent="0.35">
      <c r="A1971" s="225"/>
      <c r="B1971" s="226"/>
      <c r="C1971" s="226"/>
      <c r="D1971" s="226"/>
      <c r="E1971" s="227"/>
      <c r="G1971" s="225"/>
      <c r="H1971" s="226"/>
      <c r="I1971" s="226"/>
      <c r="J1971" s="226"/>
      <c r="K1971" s="227"/>
    </row>
    <row r="1972" spans="1:11" x14ac:dyDescent="0.35">
      <c r="A1972" s="221"/>
      <c r="B1972" s="222"/>
      <c r="C1972" s="222"/>
      <c r="D1972" s="222"/>
      <c r="E1972" s="223"/>
      <c r="G1972" s="221"/>
      <c r="H1972" s="222"/>
      <c r="I1972" s="222"/>
      <c r="J1972" s="222"/>
      <c r="K1972" s="223"/>
    </row>
    <row r="1973" spans="1:11" x14ac:dyDescent="0.35">
      <c r="A1973" s="225"/>
      <c r="B1973" s="226"/>
      <c r="C1973" s="226"/>
      <c r="D1973" s="226"/>
      <c r="E1973" s="227"/>
      <c r="G1973" s="225"/>
      <c r="H1973" s="226"/>
      <c r="I1973" s="226"/>
      <c r="J1973" s="226"/>
      <c r="K1973" s="227"/>
    </row>
    <row r="1974" spans="1:11" ht="15" thickBot="1" x14ac:dyDescent="0.4">
      <c r="A1974" s="218" t="s">
        <v>34</v>
      </c>
      <c r="B1974" s="219">
        <f>SUM(B1969:B1973)</f>
        <v>6901</v>
      </c>
      <c r="C1974" s="219">
        <f>SUM(C1969:C1973)</f>
        <v>0</v>
      </c>
      <c r="D1974" s="219">
        <f>SUM(D1969:D1973)</f>
        <v>0</v>
      </c>
      <c r="E1974" s="219">
        <f>SUM(E1969:E1973)</f>
        <v>0</v>
      </c>
      <c r="G1974" s="218" t="s">
        <v>34</v>
      </c>
      <c r="H1974" s="219">
        <f>SUM(H1969:H1973)</f>
        <v>2871</v>
      </c>
      <c r="I1974" s="219">
        <f>SUM(I1969:I1973)</f>
        <v>0</v>
      </c>
      <c r="J1974" s="219">
        <f>SUM(J1969:J1973)</f>
        <v>0</v>
      </c>
      <c r="K1974" s="219">
        <f>SUM(K1969:K1973)</f>
        <v>0</v>
      </c>
    </row>
    <row r="1975" spans="1:11" x14ac:dyDescent="0.35">
      <c r="A1975" s="220" t="s">
        <v>305</v>
      </c>
      <c r="B1975" s="220">
        <f>+B1974+C1974+D1974+E1974</f>
        <v>6901</v>
      </c>
      <c r="C1975" s="220"/>
      <c r="D1975" s="220"/>
      <c r="E1975" s="220"/>
      <c r="G1975" s="220" t="s">
        <v>305</v>
      </c>
      <c r="H1975" s="220">
        <f>+H1974+I1974+J1974+K1974</f>
        <v>2871</v>
      </c>
      <c r="I1975" s="220"/>
      <c r="J1975" s="220"/>
      <c r="K1975" s="220"/>
    </row>
    <row r="1976" spans="1:11" ht="15" thickBot="1" x14ac:dyDescent="0.4">
      <c r="A1976" s="315" t="s">
        <v>298</v>
      </c>
      <c r="B1976" s="315"/>
      <c r="C1976" s="315"/>
      <c r="D1976" s="315"/>
      <c r="E1976" s="315"/>
      <c r="G1976" s="315" t="s">
        <v>314</v>
      </c>
      <c r="H1976" s="315"/>
      <c r="I1976" s="315"/>
      <c r="J1976" s="315"/>
      <c r="K1976" s="315"/>
    </row>
    <row r="1977" spans="1:11" ht="15" thickTop="1" x14ac:dyDescent="0.35">
      <c r="A1977" s="313">
        <v>45487</v>
      </c>
      <c r="B1977" s="314"/>
      <c r="C1977" s="314"/>
      <c r="D1977" s="314"/>
      <c r="E1977" s="314"/>
      <c r="G1977" s="313">
        <v>45487</v>
      </c>
      <c r="H1977" s="314"/>
      <c r="I1977" s="314"/>
      <c r="J1977" s="314"/>
      <c r="K1977" s="314"/>
    </row>
    <row r="1978" spans="1:11" x14ac:dyDescent="0.35">
      <c r="A1978" s="261" t="s">
        <v>159</v>
      </c>
      <c r="B1978" s="262" t="s">
        <v>299</v>
      </c>
      <c r="C1978" s="262" t="s">
        <v>300</v>
      </c>
      <c r="D1978" s="262" t="s">
        <v>301</v>
      </c>
      <c r="E1978" s="263" t="s">
        <v>302</v>
      </c>
      <c r="G1978" s="264" t="s">
        <v>159</v>
      </c>
      <c r="H1978" s="265" t="s">
        <v>299</v>
      </c>
      <c r="I1978" s="265" t="s">
        <v>300</v>
      </c>
      <c r="J1978" s="265" t="s">
        <v>301</v>
      </c>
      <c r="K1978" s="266" t="s">
        <v>302</v>
      </c>
    </row>
    <row r="1979" spans="1:11" x14ac:dyDescent="0.35">
      <c r="A1979" s="221" t="s">
        <v>303</v>
      </c>
      <c r="B1979" s="222">
        <v>11569</v>
      </c>
      <c r="C1979" s="222"/>
      <c r="D1979" s="222"/>
      <c r="E1979" s="223"/>
      <c r="G1979" s="221" t="s">
        <v>303</v>
      </c>
      <c r="H1979" s="222">
        <v>2080</v>
      </c>
      <c r="I1979" s="222"/>
      <c r="J1979" s="222"/>
      <c r="K1979" s="223"/>
    </row>
    <row r="1980" spans="1:11" x14ac:dyDescent="0.35">
      <c r="A1980" s="225" t="s">
        <v>304</v>
      </c>
      <c r="B1980" s="226">
        <v>500</v>
      </c>
      <c r="C1980" s="226"/>
      <c r="D1980" s="226"/>
      <c r="E1980" s="227"/>
      <c r="G1980" s="225"/>
      <c r="H1980" s="226"/>
      <c r="I1980" s="226"/>
      <c r="J1980" s="226"/>
      <c r="K1980" s="227"/>
    </row>
    <row r="1981" spans="1:11" x14ac:dyDescent="0.35">
      <c r="A1981" s="225"/>
      <c r="B1981" s="226"/>
      <c r="C1981" s="226"/>
      <c r="D1981" s="226"/>
      <c r="E1981" s="227"/>
      <c r="G1981" s="225"/>
      <c r="H1981" s="226"/>
      <c r="I1981" s="226"/>
      <c r="J1981" s="226"/>
      <c r="K1981" s="227"/>
    </row>
    <row r="1982" spans="1:11" x14ac:dyDescent="0.35">
      <c r="A1982" s="221"/>
      <c r="B1982" s="222"/>
      <c r="C1982" s="222"/>
      <c r="D1982" s="222"/>
      <c r="E1982" s="223"/>
      <c r="G1982" s="221"/>
      <c r="H1982" s="222"/>
      <c r="I1982" s="222"/>
      <c r="J1982" s="222"/>
      <c r="K1982" s="223"/>
    </row>
    <row r="1983" spans="1:11" x14ac:dyDescent="0.35">
      <c r="A1983" s="225"/>
      <c r="B1983" s="226"/>
      <c r="C1983" s="226"/>
      <c r="D1983" s="226"/>
      <c r="E1983" s="227"/>
      <c r="G1983" s="225"/>
      <c r="H1983" s="226"/>
      <c r="I1983" s="226"/>
      <c r="J1983" s="226"/>
      <c r="K1983" s="227"/>
    </row>
    <row r="1984" spans="1:11" ht="15" thickBot="1" x14ac:dyDescent="0.4">
      <c r="A1984" s="218" t="s">
        <v>34</v>
      </c>
      <c r="B1984" s="219">
        <f>SUM(B1979:B1983)</f>
        <v>12069</v>
      </c>
      <c r="C1984" s="219">
        <f>SUM(C1979:C1983)</f>
        <v>0</v>
      </c>
      <c r="D1984" s="219">
        <f>SUM(D1979:D1983)</f>
        <v>0</v>
      </c>
      <c r="E1984" s="219">
        <f>SUM(E1979:E1983)</f>
        <v>0</v>
      </c>
      <c r="G1984" s="218" t="s">
        <v>34</v>
      </c>
      <c r="H1984" s="219">
        <f>SUM(H1979:H1983)</f>
        <v>2080</v>
      </c>
      <c r="I1984" s="219">
        <f>SUM(I1979:I1983)</f>
        <v>0</v>
      </c>
      <c r="J1984" s="219">
        <f>SUM(J1979:J1983)</f>
        <v>0</v>
      </c>
      <c r="K1984" s="219">
        <f>SUM(K1979:K1983)</f>
        <v>0</v>
      </c>
    </row>
    <row r="1985" spans="1:11" x14ac:dyDescent="0.35">
      <c r="A1985" s="220" t="s">
        <v>305</v>
      </c>
      <c r="B1985" s="220">
        <f>+B1984+C1984+D1984+E1984</f>
        <v>12069</v>
      </c>
      <c r="C1985" s="220"/>
      <c r="D1985" s="220"/>
      <c r="E1985" s="220"/>
      <c r="G1985" s="220" t="s">
        <v>305</v>
      </c>
      <c r="H1985" s="220">
        <f>+H1984+I1984+J1984+K1984</f>
        <v>2080</v>
      </c>
      <c r="I1985" s="220"/>
      <c r="J1985" s="220"/>
      <c r="K1985" s="220"/>
    </row>
    <row r="1986" spans="1:11" ht="15" thickBot="1" x14ac:dyDescent="0.4">
      <c r="A1986" s="315" t="s">
        <v>298</v>
      </c>
      <c r="B1986" s="315"/>
      <c r="C1986" s="315"/>
      <c r="D1986" s="315"/>
      <c r="E1986" s="315"/>
      <c r="G1986" s="315" t="s">
        <v>314</v>
      </c>
      <c r="H1986" s="315"/>
      <c r="I1986" s="315"/>
      <c r="J1986" s="315"/>
      <c r="K1986" s="315"/>
    </row>
    <row r="1987" spans="1:11" ht="15" thickTop="1" x14ac:dyDescent="0.35">
      <c r="A1987" s="313">
        <v>45488</v>
      </c>
      <c r="B1987" s="314"/>
      <c r="C1987" s="314"/>
      <c r="D1987" s="314"/>
      <c r="E1987" s="314"/>
      <c r="G1987" s="313">
        <v>45488</v>
      </c>
      <c r="H1987" s="314"/>
      <c r="I1987" s="314"/>
      <c r="J1987" s="314"/>
      <c r="K1987" s="314"/>
    </row>
    <row r="1988" spans="1:11" x14ac:dyDescent="0.35">
      <c r="A1988" s="261" t="s">
        <v>159</v>
      </c>
      <c r="B1988" s="262" t="s">
        <v>299</v>
      </c>
      <c r="C1988" s="262" t="s">
        <v>300</v>
      </c>
      <c r="D1988" s="262" t="s">
        <v>301</v>
      </c>
      <c r="E1988" s="263" t="s">
        <v>302</v>
      </c>
      <c r="G1988" s="264" t="s">
        <v>159</v>
      </c>
      <c r="H1988" s="265" t="s">
        <v>299</v>
      </c>
      <c r="I1988" s="265" t="s">
        <v>300</v>
      </c>
      <c r="J1988" s="265" t="s">
        <v>301</v>
      </c>
      <c r="K1988" s="266" t="s">
        <v>302</v>
      </c>
    </row>
    <row r="1989" spans="1:11" x14ac:dyDescent="0.35">
      <c r="A1989" s="221" t="s">
        <v>303</v>
      </c>
      <c r="B1989" s="222">
        <v>5595</v>
      </c>
      <c r="C1989" s="222"/>
      <c r="D1989" s="222"/>
      <c r="E1989" s="223"/>
      <c r="G1989" s="221" t="s">
        <v>303</v>
      </c>
      <c r="H1989" s="222">
        <v>2271</v>
      </c>
      <c r="I1989" s="222"/>
      <c r="J1989" s="222"/>
      <c r="K1989" s="223"/>
    </row>
    <row r="1990" spans="1:11" x14ac:dyDescent="0.35">
      <c r="A1990" s="225" t="s">
        <v>304</v>
      </c>
      <c r="B1990" s="226">
        <v>13432</v>
      </c>
      <c r="C1990" s="226"/>
      <c r="D1990" s="226"/>
      <c r="E1990" s="227"/>
      <c r="G1990" s="225"/>
      <c r="H1990" s="226"/>
      <c r="I1990" s="226"/>
      <c r="J1990" s="226"/>
      <c r="K1990" s="227"/>
    </row>
    <row r="1991" spans="1:11" x14ac:dyDescent="0.35">
      <c r="A1991" s="225"/>
      <c r="B1991" s="226"/>
      <c r="C1991" s="226"/>
      <c r="D1991" s="226"/>
      <c r="E1991" s="227"/>
      <c r="G1991" s="225"/>
      <c r="H1991" s="226"/>
      <c r="I1991" s="226"/>
      <c r="J1991" s="226"/>
      <c r="K1991" s="227"/>
    </row>
    <row r="1992" spans="1:11" x14ac:dyDescent="0.35">
      <c r="A1992" s="221"/>
      <c r="B1992" s="222"/>
      <c r="C1992" s="222"/>
      <c r="D1992" s="222"/>
      <c r="E1992" s="223"/>
      <c r="G1992" s="221"/>
      <c r="H1992" s="222"/>
      <c r="I1992" s="222"/>
      <c r="J1992" s="222"/>
      <c r="K1992" s="223"/>
    </row>
    <row r="1993" spans="1:11" x14ac:dyDescent="0.35">
      <c r="A1993" s="225"/>
      <c r="B1993" s="226"/>
      <c r="C1993" s="226"/>
      <c r="D1993" s="226"/>
      <c r="E1993" s="227"/>
      <c r="G1993" s="225"/>
      <c r="H1993" s="226"/>
      <c r="I1993" s="226"/>
      <c r="J1993" s="226"/>
      <c r="K1993" s="227"/>
    </row>
    <row r="1994" spans="1:11" ht="15" thickBot="1" x14ac:dyDescent="0.4">
      <c r="A1994" s="218" t="s">
        <v>34</v>
      </c>
      <c r="B1994" s="219">
        <f>SUM(B1989:B1993)</f>
        <v>19027</v>
      </c>
      <c r="C1994" s="219">
        <f>SUM(C1989:C1993)</f>
        <v>0</v>
      </c>
      <c r="D1994" s="219">
        <f>SUM(D1989:D1993)</f>
        <v>0</v>
      </c>
      <c r="E1994" s="219">
        <f>SUM(E1989:E1993)</f>
        <v>0</v>
      </c>
      <c r="G1994" s="218" t="s">
        <v>34</v>
      </c>
      <c r="H1994" s="219">
        <f>SUM(H1989:H1993)</f>
        <v>2271</v>
      </c>
      <c r="I1994" s="219">
        <f>SUM(I1989:I1993)</f>
        <v>0</v>
      </c>
      <c r="J1994" s="219">
        <f>SUM(J1989:J1993)</f>
        <v>0</v>
      </c>
      <c r="K1994" s="219">
        <f>SUM(K1989:K1993)</f>
        <v>0</v>
      </c>
    </row>
    <row r="1995" spans="1:11" x14ac:dyDescent="0.35">
      <c r="A1995" s="220" t="s">
        <v>305</v>
      </c>
      <c r="B1995" s="220">
        <f>+B1994+C1994+D1994+E1994</f>
        <v>19027</v>
      </c>
      <c r="C1995" s="220"/>
      <c r="D1995" s="220"/>
      <c r="E1995" s="220"/>
      <c r="G1995" s="220" t="s">
        <v>305</v>
      </c>
      <c r="H1995" s="220">
        <f>+H1994+I1994+J1994+K1994</f>
        <v>2271</v>
      </c>
      <c r="I1995" s="220"/>
      <c r="J1995" s="220"/>
      <c r="K1995" s="220"/>
    </row>
    <row r="1996" spans="1:11" ht="15" thickBot="1" x14ac:dyDescent="0.4">
      <c r="A1996" s="315" t="s">
        <v>298</v>
      </c>
      <c r="B1996" s="315"/>
      <c r="C1996" s="315"/>
      <c r="D1996" s="315"/>
      <c r="E1996" s="315"/>
      <c r="G1996" s="315" t="s">
        <v>314</v>
      </c>
      <c r="H1996" s="315"/>
      <c r="I1996" s="315"/>
      <c r="J1996" s="315"/>
      <c r="K1996" s="315"/>
    </row>
    <row r="1997" spans="1:11" ht="15" thickTop="1" x14ac:dyDescent="0.35">
      <c r="A1997" s="313">
        <v>45489</v>
      </c>
      <c r="B1997" s="314"/>
      <c r="C1997" s="314"/>
      <c r="D1997" s="314"/>
      <c r="E1997" s="314"/>
      <c r="G1997" s="313">
        <v>45489</v>
      </c>
      <c r="H1997" s="314"/>
      <c r="I1997" s="314"/>
      <c r="J1997" s="314"/>
      <c r="K1997" s="314"/>
    </row>
    <row r="1998" spans="1:11" x14ac:dyDescent="0.35">
      <c r="A1998" s="261" t="s">
        <v>159</v>
      </c>
      <c r="B1998" s="262" t="s">
        <v>299</v>
      </c>
      <c r="C1998" s="262" t="s">
        <v>300</v>
      </c>
      <c r="D1998" s="262" t="s">
        <v>301</v>
      </c>
      <c r="E1998" s="263" t="s">
        <v>302</v>
      </c>
      <c r="G1998" s="264" t="s">
        <v>159</v>
      </c>
      <c r="H1998" s="265" t="s">
        <v>299</v>
      </c>
      <c r="I1998" s="265" t="s">
        <v>300</v>
      </c>
      <c r="J1998" s="265" t="s">
        <v>301</v>
      </c>
      <c r="K1998" s="266" t="s">
        <v>302</v>
      </c>
    </row>
    <row r="1999" spans="1:11" x14ac:dyDescent="0.35">
      <c r="A1999" s="221" t="s">
        <v>303</v>
      </c>
      <c r="B1999" s="222"/>
      <c r="C1999" s="222"/>
      <c r="D1999" s="222"/>
      <c r="E1999" s="223"/>
      <c r="G1999" s="221" t="s">
        <v>303</v>
      </c>
      <c r="H1999" s="222"/>
      <c r="I1999" s="222"/>
      <c r="J1999" s="222"/>
      <c r="K1999" s="223"/>
    </row>
    <row r="2000" spans="1:11" x14ac:dyDescent="0.35">
      <c r="A2000" s="225" t="s">
        <v>304</v>
      </c>
      <c r="B2000" s="226"/>
      <c r="C2000" s="226"/>
      <c r="D2000" s="226"/>
      <c r="E2000" s="227"/>
      <c r="G2000" s="225"/>
      <c r="H2000" s="226"/>
      <c r="I2000" s="226"/>
      <c r="J2000" s="226"/>
      <c r="K2000" s="227"/>
    </row>
    <row r="2001" spans="1:11" x14ac:dyDescent="0.35">
      <c r="A2001" s="225"/>
      <c r="B2001" s="226"/>
      <c r="C2001" s="226"/>
      <c r="D2001" s="226"/>
      <c r="E2001" s="227"/>
      <c r="G2001" s="225"/>
      <c r="H2001" s="226"/>
      <c r="I2001" s="226"/>
      <c r="J2001" s="226"/>
      <c r="K2001" s="227"/>
    </row>
    <row r="2002" spans="1:11" x14ac:dyDescent="0.35">
      <c r="A2002" s="221"/>
      <c r="B2002" s="222"/>
      <c r="C2002" s="222"/>
      <c r="D2002" s="222"/>
      <c r="E2002" s="223"/>
      <c r="G2002" s="221"/>
      <c r="H2002" s="222"/>
      <c r="I2002" s="222"/>
      <c r="J2002" s="222"/>
      <c r="K2002" s="223"/>
    </row>
    <row r="2003" spans="1:11" x14ac:dyDescent="0.35">
      <c r="A2003" s="225"/>
      <c r="B2003" s="226"/>
      <c r="C2003" s="226"/>
      <c r="D2003" s="226"/>
      <c r="E2003" s="227"/>
      <c r="G2003" s="225"/>
      <c r="H2003" s="226"/>
      <c r="I2003" s="226"/>
      <c r="J2003" s="226"/>
      <c r="K2003" s="227"/>
    </row>
    <row r="2004" spans="1:11" ht="15" thickBot="1" x14ac:dyDescent="0.4">
      <c r="A2004" s="218" t="s">
        <v>34</v>
      </c>
      <c r="B2004" s="219">
        <f>SUM(B1999:B2003)</f>
        <v>0</v>
      </c>
      <c r="C2004" s="219">
        <f>SUM(C1999:C2003)</f>
        <v>0</v>
      </c>
      <c r="D2004" s="219">
        <f>SUM(D1999:D2003)</f>
        <v>0</v>
      </c>
      <c r="E2004" s="219">
        <f>SUM(E1999:E2003)</f>
        <v>0</v>
      </c>
      <c r="G2004" s="218" t="s">
        <v>34</v>
      </c>
      <c r="H2004" s="219">
        <f>SUM(H1999:H2003)</f>
        <v>0</v>
      </c>
      <c r="I2004" s="219">
        <f>SUM(I1999:I2003)</f>
        <v>0</v>
      </c>
      <c r="J2004" s="219">
        <f>SUM(J1999:J2003)</f>
        <v>0</v>
      </c>
      <c r="K2004" s="219">
        <f>SUM(K1999:K2003)</f>
        <v>0</v>
      </c>
    </row>
    <row r="2005" spans="1:11" x14ac:dyDescent="0.35">
      <c r="A2005" s="220" t="s">
        <v>305</v>
      </c>
      <c r="B2005" s="220">
        <f>+B2004+C2004+D2004+E2004</f>
        <v>0</v>
      </c>
      <c r="C2005" s="220"/>
      <c r="D2005" s="220"/>
      <c r="E2005" s="220"/>
      <c r="G2005" s="220" t="s">
        <v>305</v>
      </c>
      <c r="H2005" s="220">
        <f>+H2004+I2004+J2004+K2004</f>
        <v>0</v>
      </c>
      <c r="I2005" s="220"/>
      <c r="J2005" s="220"/>
      <c r="K2005" s="220"/>
    </row>
    <row r="2006" spans="1:11" ht="15" thickBot="1" x14ac:dyDescent="0.4">
      <c r="A2006" s="315" t="s">
        <v>298</v>
      </c>
      <c r="B2006" s="315"/>
      <c r="C2006" s="315"/>
      <c r="D2006" s="315"/>
      <c r="E2006" s="315"/>
      <c r="G2006" s="315" t="s">
        <v>314</v>
      </c>
      <c r="H2006" s="315"/>
      <c r="I2006" s="315"/>
      <c r="J2006" s="315"/>
      <c r="K2006" s="315"/>
    </row>
    <row r="2007" spans="1:11" ht="15" thickTop="1" x14ac:dyDescent="0.35">
      <c r="A2007" s="313">
        <v>45490</v>
      </c>
      <c r="B2007" s="314"/>
      <c r="C2007" s="314"/>
      <c r="D2007" s="314"/>
      <c r="E2007" s="314"/>
      <c r="G2007" s="313">
        <v>45490</v>
      </c>
      <c r="H2007" s="314"/>
      <c r="I2007" s="314"/>
      <c r="J2007" s="314"/>
      <c r="K2007" s="314"/>
    </row>
    <row r="2008" spans="1:11" x14ac:dyDescent="0.35">
      <c r="A2008" s="261" t="s">
        <v>159</v>
      </c>
      <c r="B2008" s="262" t="s">
        <v>299</v>
      </c>
      <c r="C2008" s="262" t="s">
        <v>300</v>
      </c>
      <c r="D2008" s="262" t="s">
        <v>301</v>
      </c>
      <c r="E2008" s="263" t="s">
        <v>302</v>
      </c>
      <c r="G2008" s="264" t="s">
        <v>159</v>
      </c>
      <c r="H2008" s="265" t="s">
        <v>299</v>
      </c>
      <c r="I2008" s="265" t="s">
        <v>300</v>
      </c>
      <c r="J2008" s="265" t="s">
        <v>301</v>
      </c>
      <c r="K2008" s="266" t="s">
        <v>302</v>
      </c>
    </row>
    <row r="2009" spans="1:11" x14ac:dyDescent="0.35">
      <c r="A2009" s="221" t="s">
        <v>303</v>
      </c>
      <c r="B2009" s="222">
        <v>4808</v>
      </c>
      <c r="C2009" s="222"/>
      <c r="D2009" s="222"/>
      <c r="E2009" s="223"/>
      <c r="G2009" s="221" t="s">
        <v>303</v>
      </c>
      <c r="H2009" s="222">
        <v>8000</v>
      </c>
      <c r="I2009" s="222"/>
      <c r="J2009" s="222"/>
      <c r="K2009" s="223"/>
    </row>
    <row r="2010" spans="1:11" x14ac:dyDescent="0.35">
      <c r="A2010" s="225" t="s">
        <v>304</v>
      </c>
      <c r="B2010" s="226"/>
      <c r="C2010" s="226"/>
      <c r="D2010" s="226"/>
      <c r="E2010" s="227"/>
      <c r="G2010" s="225"/>
      <c r="H2010" s="226"/>
      <c r="I2010" s="226"/>
      <c r="J2010" s="226"/>
      <c r="K2010" s="227"/>
    </row>
    <row r="2011" spans="1:11" x14ac:dyDescent="0.35">
      <c r="A2011" s="225"/>
      <c r="B2011" s="226"/>
      <c r="C2011" s="226"/>
      <c r="D2011" s="226"/>
      <c r="E2011" s="227"/>
      <c r="G2011" s="225"/>
      <c r="H2011" s="226"/>
      <c r="I2011" s="226"/>
      <c r="J2011" s="226"/>
      <c r="K2011" s="227"/>
    </row>
    <row r="2012" spans="1:11" x14ac:dyDescent="0.35">
      <c r="A2012" s="221"/>
      <c r="B2012" s="222"/>
      <c r="C2012" s="222"/>
      <c r="D2012" s="222"/>
      <c r="E2012" s="223"/>
      <c r="G2012" s="221"/>
      <c r="H2012" s="222"/>
      <c r="I2012" s="222"/>
      <c r="J2012" s="222"/>
      <c r="K2012" s="223"/>
    </row>
    <row r="2013" spans="1:11" x14ac:dyDescent="0.35">
      <c r="A2013" s="225"/>
      <c r="B2013" s="226"/>
      <c r="C2013" s="226"/>
      <c r="D2013" s="226"/>
      <c r="E2013" s="227"/>
      <c r="G2013" s="225"/>
      <c r="H2013" s="226"/>
      <c r="I2013" s="226"/>
      <c r="J2013" s="226"/>
      <c r="K2013" s="227"/>
    </row>
    <row r="2014" spans="1:11" ht="15" thickBot="1" x14ac:dyDescent="0.4">
      <c r="A2014" s="218" t="s">
        <v>34</v>
      </c>
      <c r="B2014" s="219">
        <f>SUM(B2009:B2013)</f>
        <v>4808</v>
      </c>
      <c r="C2014" s="219">
        <f>SUM(C2009:C2013)</f>
        <v>0</v>
      </c>
      <c r="D2014" s="219">
        <f>SUM(D2009:D2013)</f>
        <v>0</v>
      </c>
      <c r="E2014" s="219">
        <f>SUM(E2009:E2013)</f>
        <v>0</v>
      </c>
      <c r="G2014" s="218" t="s">
        <v>34</v>
      </c>
      <c r="H2014" s="219">
        <f>SUM(H2009:H2013)</f>
        <v>8000</v>
      </c>
      <c r="I2014" s="219">
        <f>SUM(I2009:I2013)</f>
        <v>0</v>
      </c>
      <c r="J2014" s="219">
        <f>SUM(J2009:J2013)</f>
        <v>0</v>
      </c>
      <c r="K2014" s="219">
        <f>SUM(K2009:K2013)</f>
        <v>0</v>
      </c>
    </row>
    <row r="2015" spans="1:11" x14ac:dyDescent="0.35">
      <c r="A2015" s="220" t="s">
        <v>305</v>
      </c>
      <c r="B2015" s="220">
        <f>+B2014+C2014+D2014+E2014</f>
        <v>4808</v>
      </c>
      <c r="C2015" s="220"/>
      <c r="D2015" s="220"/>
      <c r="E2015" s="220"/>
      <c r="G2015" s="220" t="s">
        <v>305</v>
      </c>
      <c r="H2015" s="220">
        <f>+H2014+I2014+J2014+K2014</f>
        <v>8000</v>
      </c>
      <c r="I2015" s="220"/>
      <c r="J2015" s="220"/>
      <c r="K2015" s="220"/>
    </row>
    <row r="2016" spans="1:11" ht="15" thickBot="1" x14ac:dyDescent="0.4">
      <c r="A2016" s="315" t="s">
        <v>298</v>
      </c>
      <c r="B2016" s="315"/>
      <c r="C2016" s="315"/>
      <c r="D2016" s="315"/>
      <c r="E2016" s="315"/>
      <c r="G2016" s="315" t="s">
        <v>314</v>
      </c>
      <c r="H2016" s="315"/>
      <c r="I2016" s="315"/>
      <c r="J2016" s="315"/>
      <c r="K2016" s="315"/>
    </row>
    <row r="2017" spans="1:11" ht="15" thickTop="1" x14ac:dyDescent="0.35">
      <c r="A2017" s="313">
        <v>45491</v>
      </c>
      <c r="B2017" s="314"/>
      <c r="C2017" s="314"/>
      <c r="D2017" s="314"/>
      <c r="E2017" s="314"/>
      <c r="G2017" s="313">
        <v>45491</v>
      </c>
      <c r="H2017" s="314"/>
      <c r="I2017" s="314"/>
      <c r="J2017" s="314"/>
      <c r="K2017" s="314"/>
    </row>
    <row r="2018" spans="1:11" x14ac:dyDescent="0.35">
      <c r="A2018" s="261" t="s">
        <v>159</v>
      </c>
      <c r="B2018" s="262" t="s">
        <v>299</v>
      </c>
      <c r="C2018" s="262" t="s">
        <v>300</v>
      </c>
      <c r="D2018" s="262" t="s">
        <v>301</v>
      </c>
      <c r="E2018" s="263" t="s">
        <v>302</v>
      </c>
      <c r="G2018" s="264" t="s">
        <v>159</v>
      </c>
      <c r="H2018" s="265" t="s">
        <v>299</v>
      </c>
      <c r="I2018" s="265" t="s">
        <v>300</v>
      </c>
      <c r="J2018" s="265" t="s">
        <v>301</v>
      </c>
      <c r="K2018" s="266" t="s">
        <v>302</v>
      </c>
    </row>
    <row r="2019" spans="1:11" x14ac:dyDescent="0.35">
      <c r="A2019" s="221" t="s">
        <v>303</v>
      </c>
      <c r="B2019" s="222">
        <v>9639</v>
      </c>
      <c r="C2019" s="222"/>
      <c r="D2019" s="222"/>
      <c r="E2019" s="223"/>
      <c r="G2019" s="221" t="s">
        <v>303</v>
      </c>
      <c r="H2019" s="222">
        <v>2441</v>
      </c>
      <c r="I2019" s="222"/>
      <c r="J2019" s="222"/>
      <c r="K2019" s="223"/>
    </row>
    <row r="2020" spans="1:11" x14ac:dyDescent="0.35">
      <c r="A2020" s="225" t="s">
        <v>304</v>
      </c>
      <c r="B2020" s="226"/>
      <c r="C2020" s="226"/>
      <c r="D2020" s="226"/>
      <c r="E2020" s="227"/>
      <c r="G2020" s="225"/>
      <c r="H2020" s="226"/>
      <c r="I2020" s="226"/>
      <c r="J2020" s="226"/>
      <c r="K2020" s="227"/>
    </row>
    <row r="2021" spans="1:11" x14ac:dyDescent="0.35">
      <c r="A2021" s="225"/>
      <c r="B2021" s="226"/>
      <c r="C2021" s="226"/>
      <c r="D2021" s="226"/>
      <c r="E2021" s="227"/>
      <c r="G2021" s="225"/>
      <c r="H2021" s="226"/>
      <c r="I2021" s="226"/>
      <c r="J2021" s="226"/>
      <c r="K2021" s="227"/>
    </row>
    <row r="2022" spans="1:11" x14ac:dyDescent="0.35">
      <c r="A2022" s="221"/>
      <c r="B2022" s="222"/>
      <c r="C2022" s="222"/>
      <c r="D2022" s="222"/>
      <c r="E2022" s="223"/>
      <c r="G2022" s="221"/>
      <c r="H2022" s="222"/>
      <c r="I2022" s="222"/>
      <c r="J2022" s="222"/>
      <c r="K2022" s="223"/>
    </row>
    <row r="2023" spans="1:11" x14ac:dyDescent="0.35">
      <c r="A2023" s="225"/>
      <c r="B2023" s="226"/>
      <c r="C2023" s="226"/>
      <c r="D2023" s="226"/>
      <c r="E2023" s="227"/>
      <c r="G2023" s="225"/>
      <c r="H2023" s="226"/>
      <c r="I2023" s="226"/>
      <c r="J2023" s="226"/>
      <c r="K2023" s="227"/>
    </row>
    <row r="2024" spans="1:11" ht="15" thickBot="1" x14ac:dyDescent="0.4">
      <c r="A2024" s="218" t="s">
        <v>34</v>
      </c>
      <c r="B2024" s="219">
        <f>SUM(B2019:B2023)</f>
        <v>9639</v>
      </c>
      <c r="C2024" s="219">
        <f>SUM(C2019:C2023)</f>
        <v>0</v>
      </c>
      <c r="D2024" s="219">
        <f>SUM(D2019:D2023)</f>
        <v>0</v>
      </c>
      <c r="E2024" s="219">
        <f>SUM(E2019:E2023)</f>
        <v>0</v>
      </c>
      <c r="G2024" s="218" t="s">
        <v>34</v>
      </c>
      <c r="H2024" s="219">
        <f>SUM(H2019:H2023)</f>
        <v>2441</v>
      </c>
      <c r="I2024" s="219">
        <f>SUM(I2019:I2023)</f>
        <v>0</v>
      </c>
      <c r="J2024" s="219">
        <f>SUM(J2019:J2023)</f>
        <v>0</v>
      </c>
      <c r="K2024" s="219">
        <f>SUM(K2019:K2023)</f>
        <v>0</v>
      </c>
    </row>
    <row r="2025" spans="1:11" x14ac:dyDescent="0.35">
      <c r="A2025" s="220" t="s">
        <v>305</v>
      </c>
      <c r="B2025" s="220">
        <f>+B2024+C2024+D2024+E2024</f>
        <v>9639</v>
      </c>
      <c r="C2025" s="220"/>
      <c r="D2025" s="220"/>
      <c r="E2025" s="220"/>
      <c r="G2025" s="220" t="s">
        <v>305</v>
      </c>
      <c r="H2025" s="220">
        <f>+H2024+I2024+J2024+K2024</f>
        <v>2441</v>
      </c>
      <c r="I2025" s="220"/>
      <c r="J2025" s="220"/>
      <c r="K2025" s="220"/>
    </row>
    <row r="2026" spans="1:11" ht="15" thickBot="1" x14ac:dyDescent="0.4">
      <c r="A2026" s="315" t="s">
        <v>298</v>
      </c>
      <c r="B2026" s="315"/>
      <c r="C2026" s="315"/>
      <c r="D2026" s="315"/>
      <c r="E2026" s="315"/>
      <c r="G2026" s="315" t="s">
        <v>314</v>
      </c>
      <c r="H2026" s="315"/>
      <c r="I2026" s="315"/>
      <c r="J2026" s="315"/>
      <c r="K2026" s="315"/>
    </row>
    <row r="2027" spans="1:11" ht="15" thickTop="1" x14ac:dyDescent="0.35">
      <c r="A2027" s="313">
        <v>45492</v>
      </c>
      <c r="B2027" s="314"/>
      <c r="C2027" s="314"/>
      <c r="D2027" s="314"/>
      <c r="E2027" s="314"/>
      <c r="G2027" s="313">
        <v>45492</v>
      </c>
      <c r="H2027" s="314"/>
      <c r="I2027" s="314"/>
      <c r="J2027" s="314"/>
      <c r="K2027" s="314"/>
    </row>
    <row r="2028" spans="1:11" x14ac:dyDescent="0.35">
      <c r="A2028" s="261" t="s">
        <v>159</v>
      </c>
      <c r="B2028" s="262" t="s">
        <v>299</v>
      </c>
      <c r="C2028" s="262" t="s">
        <v>300</v>
      </c>
      <c r="D2028" s="262" t="s">
        <v>301</v>
      </c>
      <c r="E2028" s="263" t="s">
        <v>302</v>
      </c>
      <c r="G2028" s="264" t="s">
        <v>159</v>
      </c>
      <c r="H2028" s="265" t="s">
        <v>299</v>
      </c>
      <c r="I2028" s="265" t="s">
        <v>300</v>
      </c>
      <c r="J2028" s="265" t="s">
        <v>301</v>
      </c>
      <c r="K2028" s="266" t="s">
        <v>302</v>
      </c>
    </row>
    <row r="2029" spans="1:11" x14ac:dyDescent="0.35">
      <c r="A2029" s="221" t="s">
        <v>303</v>
      </c>
      <c r="B2029" s="222">
        <v>3470</v>
      </c>
      <c r="C2029" s="222"/>
      <c r="D2029" s="222"/>
      <c r="E2029" s="223"/>
      <c r="G2029" s="221" t="s">
        <v>303</v>
      </c>
      <c r="H2029" s="222">
        <v>2418</v>
      </c>
      <c r="I2029" s="222"/>
      <c r="J2029" s="222"/>
      <c r="K2029" s="223"/>
    </row>
    <row r="2030" spans="1:11" x14ac:dyDescent="0.35">
      <c r="A2030" s="225" t="s">
        <v>304</v>
      </c>
      <c r="B2030" s="226"/>
      <c r="C2030" s="226"/>
      <c r="D2030" s="226"/>
      <c r="E2030" s="227"/>
      <c r="G2030" s="225"/>
      <c r="H2030" s="226"/>
      <c r="I2030" s="226"/>
      <c r="J2030" s="226"/>
      <c r="K2030" s="227"/>
    </row>
    <row r="2031" spans="1:11" x14ac:dyDescent="0.35">
      <c r="A2031" s="225"/>
      <c r="B2031" s="226"/>
      <c r="C2031" s="226"/>
      <c r="D2031" s="226"/>
      <c r="E2031" s="227"/>
      <c r="G2031" s="225"/>
      <c r="H2031" s="226"/>
      <c r="I2031" s="226"/>
      <c r="J2031" s="226"/>
      <c r="K2031" s="227"/>
    </row>
    <row r="2032" spans="1:11" x14ac:dyDescent="0.35">
      <c r="A2032" s="221"/>
      <c r="B2032" s="222"/>
      <c r="C2032" s="222"/>
      <c r="D2032" s="222"/>
      <c r="E2032" s="223"/>
      <c r="G2032" s="221"/>
      <c r="H2032" s="222"/>
      <c r="I2032" s="222"/>
      <c r="J2032" s="222"/>
      <c r="K2032" s="223"/>
    </row>
    <row r="2033" spans="1:11" x14ac:dyDescent="0.35">
      <c r="A2033" s="225"/>
      <c r="B2033" s="226"/>
      <c r="C2033" s="226"/>
      <c r="D2033" s="226"/>
      <c r="E2033" s="227"/>
      <c r="G2033" s="225"/>
      <c r="H2033" s="226"/>
      <c r="I2033" s="226"/>
      <c r="J2033" s="226"/>
      <c r="K2033" s="227"/>
    </row>
    <row r="2034" spans="1:11" ht="15" thickBot="1" x14ac:dyDescent="0.4">
      <c r="A2034" s="218" t="s">
        <v>34</v>
      </c>
      <c r="B2034" s="219">
        <f>SUM(B2029:B2033)</f>
        <v>3470</v>
      </c>
      <c r="C2034" s="219">
        <f>SUM(C2029:C2033)</f>
        <v>0</v>
      </c>
      <c r="D2034" s="219">
        <f>SUM(D2029:D2033)</f>
        <v>0</v>
      </c>
      <c r="E2034" s="219">
        <f>SUM(E2029:E2033)</f>
        <v>0</v>
      </c>
      <c r="G2034" s="218" t="s">
        <v>34</v>
      </c>
      <c r="H2034" s="219">
        <f>SUM(H2029:H2033)</f>
        <v>2418</v>
      </c>
      <c r="I2034" s="219">
        <f>SUM(I2029:I2033)</f>
        <v>0</v>
      </c>
      <c r="J2034" s="219">
        <f>SUM(J2029:J2033)</f>
        <v>0</v>
      </c>
      <c r="K2034" s="219">
        <f>SUM(K2029:K2033)</f>
        <v>0</v>
      </c>
    </row>
    <row r="2035" spans="1:11" x14ac:dyDescent="0.35">
      <c r="A2035" s="220" t="s">
        <v>305</v>
      </c>
      <c r="B2035" s="220">
        <f>+B2034+C2034+D2034+E2034</f>
        <v>3470</v>
      </c>
      <c r="C2035" s="220"/>
      <c r="D2035" s="220"/>
      <c r="E2035" s="220"/>
      <c r="G2035" s="220" t="s">
        <v>305</v>
      </c>
      <c r="H2035" s="220">
        <f>+H2034+I2034+J2034+K2034</f>
        <v>2418</v>
      </c>
      <c r="I2035" s="220"/>
      <c r="J2035" s="220"/>
      <c r="K2035" s="220"/>
    </row>
    <row r="2036" spans="1:11" ht="15" thickBot="1" x14ac:dyDescent="0.4">
      <c r="A2036" s="315" t="s">
        <v>298</v>
      </c>
      <c r="B2036" s="315"/>
      <c r="C2036" s="315"/>
      <c r="D2036" s="315"/>
      <c r="E2036" s="315"/>
      <c r="G2036" s="315" t="s">
        <v>314</v>
      </c>
      <c r="H2036" s="315"/>
      <c r="I2036" s="315"/>
      <c r="J2036" s="315"/>
      <c r="K2036" s="315"/>
    </row>
    <row r="2037" spans="1:11" ht="15" thickTop="1" x14ac:dyDescent="0.35">
      <c r="A2037" s="313">
        <v>45493</v>
      </c>
      <c r="B2037" s="314"/>
      <c r="C2037" s="314"/>
      <c r="D2037" s="314"/>
      <c r="E2037" s="314"/>
      <c r="G2037" s="313">
        <v>45493</v>
      </c>
      <c r="H2037" s="314"/>
      <c r="I2037" s="314"/>
      <c r="J2037" s="314"/>
      <c r="K2037" s="314"/>
    </row>
    <row r="2038" spans="1:11" x14ac:dyDescent="0.35">
      <c r="A2038" s="261" t="s">
        <v>159</v>
      </c>
      <c r="B2038" s="262" t="s">
        <v>299</v>
      </c>
      <c r="C2038" s="262" t="s">
        <v>300</v>
      </c>
      <c r="D2038" s="262" t="s">
        <v>301</v>
      </c>
      <c r="E2038" s="263" t="s">
        <v>302</v>
      </c>
      <c r="G2038" s="264" t="s">
        <v>159</v>
      </c>
      <c r="H2038" s="265" t="s">
        <v>299</v>
      </c>
      <c r="I2038" s="265" t="s">
        <v>300</v>
      </c>
      <c r="J2038" s="265" t="s">
        <v>301</v>
      </c>
      <c r="K2038" s="266" t="s">
        <v>302</v>
      </c>
    </row>
    <row r="2039" spans="1:11" x14ac:dyDescent="0.35">
      <c r="A2039" s="221" t="s">
        <v>303</v>
      </c>
      <c r="B2039" s="222">
        <v>5812</v>
      </c>
      <c r="C2039" s="222"/>
      <c r="D2039" s="222"/>
      <c r="E2039" s="223"/>
      <c r="G2039" s="221" t="s">
        <v>303</v>
      </c>
      <c r="H2039" s="222">
        <v>1162</v>
      </c>
      <c r="I2039" s="222"/>
      <c r="J2039" s="222"/>
      <c r="K2039" s="223"/>
    </row>
    <row r="2040" spans="1:11" x14ac:dyDescent="0.35">
      <c r="A2040" s="225" t="s">
        <v>304</v>
      </c>
      <c r="B2040" s="226"/>
      <c r="C2040" s="226"/>
      <c r="D2040" s="226"/>
      <c r="E2040" s="227"/>
      <c r="G2040" s="225"/>
      <c r="H2040" s="226"/>
      <c r="I2040" s="226"/>
      <c r="J2040" s="226"/>
      <c r="K2040" s="227"/>
    </row>
    <row r="2041" spans="1:11" x14ac:dyDescent="0.35">
      <c r="A2041" s="225"/>
      <c r="B2041" s="226"/>
      <c r="C2041" s="226"/>
      <c r="D2041" s="226"/>
      <c r="E2041" s="227"/>
      <c r="G2041" s="225"/>
      <c r="H2041" s="226"/>
      <c r="I2041" s="226"/>
      <c r="J2041" s="226"/>
      <c r="K2041" s="227"/>
    </row>
    <row r="2042" spans="1:11" x14ac:dyDescent="0.35">
      <c r="A2042" s="221"/>
      <c r="B2042" s="222"/>
      <c r="C2042" s="222"/>
      <c r="D2042" s="222"/>
      <c r="E2042" s="223"/>
      <c r="G2042" s="221"/>
      <c r="H2042" s="222"/>
      <c r="I2042" s="222"/>
      <c r="J2042" s="222"/>
      <c r="K2042" s="223"/>
    </row>
    <row r="2043" spans="1:11" x14ac:dyDescent="0.35">
      <c r="A2043" s="225"/>
      <c r="B2043" s="226"/>
      <c r="C2043" s="226"/>
      <c r="D2043" s="226"/>
      <c r="E2043" s="227"/>
      <c r="G2043" s="225"/>
      <c r="H2043" s="226"/>
      <c r="I2043" s="226"/>
      <c r="J2043" s="226"/>
      <c r="K2043" s="227"/>
    </row>
    <row r="2044" spans="1:11" ht="15" thickBot="1" x14ac:dyDescent="0.4">
      <c r="A2044" s="218" t="s">
        <v>34</v>
      </c>
      <c r="B2044" s="219">
        <f>SUM(B2039:B2043)</f>
        <v>5812</v>
      </c>
      <c r="C2044" s="219">
        <f>SUM(C2039:C2043)</f>
        <v>0</v>
      </c>
      <c r="D2044" s="219">
        <f>SUM(D2039:D2043)</f>
        <v>0</v>
      </c>
      <c r="E2044" s="219">
        <f>SUM(E2039:E2043)</f>
        <v>0</v>
      </c>
      <c r="G2044" s="218" t="s">
        <v>34</v>
      </c>
      <c r="H2044" s="219">
        <f>SUM(H2039:H2043)</f>
        <v>1162</v>
      </c>
      <c r="I2044" s="219">
        <f>SUM(I2039:I2043)</f>
        <v>0</v>
      </c>
      <c r="J2044" s="219">
        <f>SUM(J2039:J2043)</f>
        <v>0</v>
      </c>
      <c r="K2044" s="219">
        <f>SUM(K2039:K2043)</f>
        <v>0</v>
      </c>
    </row>
    <row r="2045" spans="1:11" x14ac:dyDescent="0.35">
      <c r="A2045" s="220" t="s">
        <v>305</v>
      </c>
      <c r="B2045" s="220">
        <f>+B2044+C2044+D2044+E2044</f>
        <v>5812</v>
      </c>
      <c r="C2045" s="220"/>
      <c r="D2045" s="220"/>
      <c r="E2045" s="220"/>
      <c r="G2045" s="220" t="s">
        <v>305</v>
      </c>
      <c r="H2045" s="220">
        <f>+H2044+I2044+J2044+K2044</f>
        <v>1162</v>
      </c>
      <c r="I2045" s="220"/>
      <c r="J2045" s="220"/>
      <c r="K2045" s="220"/>
    </row>
    <row r="2046" spans="1:11" ht="15" thickBot="1" x14ac:dyDescent="0.4">
      <c r="A2046" s="315" t="s">
        <v>298</v>
      </c>
      <c r="B2046" s="315"/>
      <c r="C2046" s="315"/>
      <c r="D2046" s="315"/>
      <c r="E2046" s="315"/>
      <c r="G2046" s="315" t="s">
        <v>314</v>
      </c>
      <c r="H2046" s="315"/>
      <c r="I2046" s="315"/>
      <c r="J2046" s="315"/>
      <c r="K2046" s="315"/>
    </row>
    <row r="2047" spans="1:11" ht="15" thickTop="1" x14ac:dyDescent="0.35">
      <c r="A2047" s="313">
        <v>45494</v>
      </c>
      <c r="B2047" s="314"/>
      <c r="C2047" s="314"/>
      <c r="D2047" s="314"/>
      <c r="E2047" s="314"/>
      <c r="G2047" s="313">
        <v>45494</v>
      </c>
      <c r="H2047" s="314"/>
      <c r="I2047" s="314"/>
      <c r="J2047" s="314"/>
      <c r="K2047" s="314"/>
    </row>
    <row r="2048" spans="1:11" x14ac:dyDescent="0.35">
      <c r="A2048" s="261" t="s">
        <v>159</v>
      </c>
      <c r="B2048" s="262" t="s">
        <v>299</v>
      </c>
      <c r="C2048" s="262" t="s">
        <v>300</v>
      </c>
      <c r="D2048" s="262" t="s">
        <v>301</v>
      </c>
      <c r="E2048" s="263" t="s">
        <v>302</v>
      </c>
      <c r="G2048" s="264" t="s">
        <v>159</v>
      </c>
      <c r="H2048" s="265" t="s">
        <v>299</v>
      </c>
      <c r="I2048" s="265" t="s">
        <v>300</v>
      </c>
      <c r="J2048" s="265" t="s">
        <v>301</v>
      </c>
      <c r="K2048" s="266" t="s">
        <v>302</v>
      </c>
    </row>
    <row r="2049" spans="1:11" x14ac:dyDescent="0.35">
      <c r="A2049" s="221" t="s">
        <v>303</v>
      </c>
      <c r="B2049" s="222">
        <v>16071</v>
      </c>
      <c r="C2049" s="222"/>
      <c r="D2049" s="222"/>
      <c r="E2049" s="223"/>
      <c r="G2049" s="221" t="s">
        <v>303</v>
      </c>
      <c r="H2049" s="222">
        <v>4628</v>
      </c>
      <c r="I2049" s="222"/>
      <c r="J2049" s="222"/>
      <c r="K2049" s="223"/>
    </row>
    <row r="2050" spans="1:11" x14ac:dyDescent="0.35">
      <c r="A2050" s="225" t="s">
        <v>304</v>
      </c>
      <c r="B2050" s="226">
        <v>9291</v>
      </c>
      <c r="C2050" s="226"/>
      <c r="D2050" s="226"/>
      <c r="E2050" s="227"/>
      <c r="G2050" s="225"/>
      <c r="H2050" s="226"/>
      <c r="I2050" s="226"/>
      <c r="J2050" s="226"/>
      <c r="K2050" s="227"/>
    </row>
    <row r="2051" spans="1:11" x14ac:dyDescent="0.35">
      <c r="A2051" s="225"/>
      <c r="B2051" s="226"/>
      <c r="C2051" s="226"/>
      <c r="D2051" s="226"/>
      <c r="E2051" s="227"/>
      <c r="G2051" s="225"/>
      <c r="H2051" s="226"/>
      <c r="I2051" s="226"/>
      <c r="J2051" s="226"/>
      <c r="K2051" s="227"/>
    </row>
    <row r="2052" spans="1:11" x14ac:dyDescent="0.35">
      <c r="A2052" s="221"/>
      <c r="B2052" s="222"/>
      <c r="C2052" s="222"/>
      <c r="D2052" s="222"/>
      <c r="E2052" s="223"/>
      <c r="G2052" s="221"/>
      <c r="H2052" s="222"/>
      <c r="I2052" s="222"/>
      <c r="J2052" s="222"/>
      <c r="K2052" s="223"/>
    </row>
    <row r="2053" spans="1:11" x14ac:dyDescent="0.35">
      <c r="A2053" s="225"/>
      <c r="B2053" s="226"/>
      <c r="C2053" s="226"/>
      <c r="D2053" s="226"/>
      <c r="E2053" s="227"/>
      <c r="G2053" s="225"/>
      <c r="H2053" s="226"/>
      <c r="I2053" s="226"/>
      <c r="J2053" s="226"/>
      <c r="K2053" s="227"/>
    </row>
    <row r="2054" spans="1:11" ht="15" thickBot="1" x14ac:dyDescent="0.4">
      <c r="A2054" s="218" t="s">
        <v>34</v>
      </c>
      <c r="B2054" s="219">
        <f>SUM(B2049:B2053)</f>
        <v>25362</v>
      </c>
      <c r="C2054" s="219">
        <f>SUM(C2049:C2053)</f>
        <v>0</v>
      </c>
      <c r="D2054" s="219">
        <f>SUM(D2049:D2053)</f>
        <v>0</v>
      </c>
      <c r="E2054" s="219">
        <f>SUM(E2049:E2053)</f>
        <v>0</v>
      </c>
      <c r="G2054" s="218" t="s">
        <v>34</v>
      </c>
      <c r="H2054" s="219">
        <f>SUM(H2049:H2053)</f>
        <v>4628</v>
      </c>
      <c r="I2054" s="219">
        <f>SUM(I2049:I2053)</f>
        <v>0</v>
      </c>
      <c r="J2054" s="219">
        <f>SUM(J2049:J2053)</f>
        <v>0</v>
      </c>
      <c r="K2054" s="219">
        <f>SUM(K2049:K2053)</f>
        <v>0</v>
      </c>
    </row>
    <row r="2055" spans="1:11" x14ac:dyDescent="0.35">
      <c r="A2055" s="220" t="s">
        <v>305</v>
      </c>
      <c r="B2055" s="220">
        <f>+B2054+C2054+D2054+E2054</f>
        <v>25362</v>
      </c>
      <c r="C2055" s="220"/>
      <c r="D2055" s="220"/>
      <c r="E2055" s="220"/>
      <c r="G2055" s="220" t="s">
        <v>305</v>
      </c>
      <c r="H2055" s="220">
        <f>+H2054+I2054+J2054+K2054</f>
        <v>4628</v>
      </c>
      <c r="I2055" s="220"/>
      <c r="J2055" s="220"/>
      <c r="K2055" s="220"/>
    </row>
    <row r="2056" spans="1:11" ht="15" thickBot="1" x14ac:dyDescent="0.4">
      <c r="A2056" s="315" t="s">
        <v>298</v>
      </c>
      <c r="B2056" s="315"/>
      <c r="C2056" s="315"/>
      <c r="D2056" s="315"/>
      <c r="E2056" s="315"/>
      <c r="G2056" s="315" t="s">
        <v>314</v>
      </c>
      <c r="H2056" s="315"/>
      <c r="I2056" s="315"/>
      <c r="J2056" s="315"/>
      <c r="K2056" s="315"/>
    </row>
    <row r="2057" spans="1:11" ht="15" thickTop="1" x14ac:dyDescent="0.35">
      <c r="A2057" s="313">
        <v>45495</v>
      </c>
      <c r="B2057" s="314"/>
      <c r="C2057" s="314"/>
      <c r="D2057" s="314"/>
      <c r="E2057" s="314"/>
      <c r="G2057" s="313">
        <v>45495</v>
      </c>
      <c r="H2057" s="314"/>
      <c r="I2057" s="314"/>
      <c r="J2057" s="314"/>
      <c r="K2057" s="314"/>
    </row>
    <row r="2058" spans="1:11" x14ac:dyDescent="0.35">
      <c r="A2058" s="261" t="s">
        <v>159</v>
      </c>
      <c r="B2058" s="262" t="s">
        <v>299</v>
      </c>
      <c r="C2058" s="262" t="s">
        <v>300</v>
      </c>
      <c r="D2058" s="262" t="s">
        <v>301</v>
      </c>
      <c r="E2058" s="263" t="s">
        <v>302</v>
      </c>
      <c r="G2058" s="264" t="s">
        <v>159</v>
      </c>
      <c r="H2058" s="265" t="s">
        <v>299</v>
      </c>
      <c r="I2058" s="265" t="s">
        <v>300</v>
      </c>
      <c r="J2058" s="265" t="s">
        <v>301</v>
      </c>
      <c r="K2058" s="266" t="s">
        <v>302</v>
      </c>
    </row>
    <row r="2059" spans="1:11" x14ac:dyDescent="0.35">
      <c r="A2059" s="221" t="s">
        <v>303</v>
      </c>
      <c r="B2059" s="222">
        <v>7065</v>
      </c>
      <c r="C2059" s="222"/>
      <c r="D2059" s="222"/>
      <c r="E2059" s="223"/>
      <c r="G2059" s="221" t="s">
        <v>303</v>
      </c>
      <c r="H2059" s="222">
        <v>542</v>
      </c>
      <c r="I2059" s="222"/>
      <c r="J2059" s="222"/>
      <c r="K2059" s="223"/>
    </row>
    <row r="2060" spans="1:11" x14ac:dyDescent="0.35">
      <c r="A2060" s="225" t="s">
        <v>304</v>
      </c>
      <c r="B2060" s="226">
        <v>5555</v>
      </c>
      <c r="C2060" s="226"/>
      <c r="D2060" s="226"/>
      <c r="E2060" s="227"/>
      <c r="G2060" s="225"/>
      <c r="H2060" s="226"/>
      <c r="I2060" s="226"/>
      <c r="J2060" s="226"/>
      <c r="K2060" s="227"/>
    </row>
    <row r="2061" spans="1:11" x14ac:dyDescent="0.35">
      <c r="A2061" s="225"/>
      <c r="B2061" s="226"/>
      <c r="C2061" s="226"/>
      <c r="D2061" s="226"/>
      <c r="E2061" s="227"/>
      <c r="G2061" s="225"/>
      <c r="H2061" s="226"/>
      <c r="I2061" s="226"/>
      <c r="J2061" s="226"/>
      <c r="K2061" s="227"/>
    </row>
    <row r="2062" spans="1:11" x14ac:dyDescent="0.35">
      <c r="A2062" s="221"/>
      <c r="B2062" s="222"/>
      <c r="C2062" s="222"/>
      <c r="D2062" s="222"/>
      <c r="E2062" s="223"/>
      <c r="G2062" s="221"/>
      <c r="H2062" s="222"/>
      <c r="I2062" s="222"/>
      <c r="J2062" s="222"/>
      <c r="K2062" s="223"/>
    </row>
    <row r="2063" spans="1:11" x14ac:dyDescent="0.35">
      <c r="A2063" s="225"/>
      <c r="B2063" s="226"/>
      <c r="C2063" s="226"/>
      <c r="D2063" s="226"/>
      <c r="E2063" s="227"/>
      <c r="G2063" s="225"/>
      <c r="H2063" s="226"/>
      <c r="I2063" s="226"/>
      <c r="J2063" s="226"/>
      <c r="K2063" s="227"/>
    </row>
    <row r="2064" spans="1:11" ht="15" thickBot="1" x14ac:dyDescent="0.4">
      <c r="A2064" s="218" t="s">
        <v>34</v>
      </c>
      <c r="B2064" s="219">
        <f>SUM(B2059:B2063)</f>
        <v>12620</v>
      </c>
      <c r="C2064" s="219">
        <f>SUM(C2059:C2063)</f>
        <v>0</v>
      </c>
      <c r="D2064" s="219">
        <f>SUM(D2059:D2063)</f>
        <v>0</v>
      </c>
      <c r="E2064" s="219">
        <f>SUM(E2059:E2063)</f>
        <v>0</v>
      </c>
      <c r="G2064" s="218" t="s">
        <v>34</v>
      </c>
      <c r="H2064" s="219">
        <f>SUM(H2059:H2063)</f>
        <v>542</v>
      </c>
      <c r="I2064" s="219">
        <f>SUM(I2059:I2063)</f>
        <v>0</v>
      </c>
      <c r="J2064" s="219">
        <f>SUM(J2059:J2063)</f>
        <v>0</v>
      </c>
      <c r="K2064" s="219">
        <f>SUM(K2059:K2063)</f>
        <v>0</v>
      </c>
    </row>
    <row r="2065" spans="1:11" x14ac:dyDescent="0.35">
      <c r="A2065" s="220" t="s">
        <v>305</v>
      </c>
      <c r="B2065" s="220">
        <f>+B2064+C2064+D2064+E2064</f>
        <v>12620</v>
      </c>
      <c r="C2065" s="220"/>
      <c r="D2065" s="220"/>
      <c r="E2065" s="220"/>
      <c r="G2065" s="220" t="s">
        <v>305</v>
      </c>
      <c r="H2065" s="220">
        <f>+H2064+I2064+J2064+K2064</f>
        <v>542</v>
      </c>
      <c r="I2065" s="220"/>
      <c r="J2065" s="220"/>
      <c r="K2065" s="220"/>
    </row>
    <row r="2066" spans="1:11" ht="15" thickBot="1" x14ac:dyDescent="0.4">
      <c r="A2066" s="315" t="s">
        <v>298</v>
      </c>
      <c r="B2066" s="315"/>
      <c r="C2066" s="315"/>
      <c r="D2066" s="315"/>
      <c r="E2066" s="315"/>
      <c r="G2066" s="315" t="s">
        <v>314</v>
      </c>
      <c r="H2066" s="315"/>
      <c r="I2066" s="315"/>
      <c r="J2066" s="315"/>
      <c r="K2066" s="315"/>
    </row>
    <row r="2067" spans="1:11" ht="15" thickTop="1" x14ac:dyDescent="0.35">
      <c r="A2067" s="313">
        <v>45496</v>
      </c>
      <c r="B2067" s="314"/>
      <c r="C2067" s="314"/>
      <c r="D2067" s="314"/>
      <c r="E2067" s="314"/>
      <c r="G2067" s="313">
        <v>45496</v>
      </c>
      <c r="H2067" s="314"/>
      <c r="I2067" s="314"/>
      <c r="J2067" s="314"/>
      <c r="K2067" s="314"/>
    </row>
    <row r="2068" spans="1:11" x14ac:dyDescent="0.35">
      <c r="A2068" s="261" t="s">
        <v>159</v>
      </c>
      <c r="B2068" s="262" t="s">
        <v>299</v>
      </c>
      <c r="C2068" s="262" t="s">
        <v>300</v>
      </c>
      <c r="D2068" s="262" t="s">
        <v>301</v>
      </c>
      <c r="E2068" s="263" t="s">
        <v>302</v>
      </c>
      <c r="G2068" s="264" t="s">
        <v>159</v>
      </c>
      <c r="H2068" s="265" t="s">
        <v>299</v>
      </c>
      <c r="I2068" s="265" t="s">
        <v>300</v>
      </c>
      <c r="J2068" s="265" t="s">
        <v>301</v>
      </c>
      <c r="K2068" s="266" t="s">
        <v>302</v>
      </c>
    </row>
    <row r="2069" spans="1:11" x14ac:dyDescent="0.35">
      <c r="A2069" s="221" t="s">
        <v>303</v>
      </c>
      <c r="B2069" s="222"/>
      <c r="C2069" s="222"/>
      <c r="D2069" s="222"/>
      <c r="E2069" s="223"/>
      <c r="G2069" s="221" t="s">
        <v>303</v>
      </c>
      <c r="H2069" s="222">
        <v>590</v>
      </c>
      <c r="I2069" s="222"/>
      <c r="J2069" s="222"/>
      <c r="K2069" s="223"/>
    </row>
    <row r="2070" spans="1:11" x14ac:dyDescent="0.35">
      <c r="A2070" s="225" t="s">
        <v>304</v>
      </c>
      <c r="B2070" s="226">
        <v>6700</v>
      </c>
      <c r="C2070" s="226"/>
      <c r="D2070" s="226"/>
      <c r="E2070" s="227"/>
      <c r="G2070" s="225"/>
      <c r="H2070" s="226"/>
      <c r="I2070" s="226"/>
      <c r="J2070" s="226"/>
      <c r="K2070" s="227"/>
    </row>
    <row r="2071" spans="1:11" x14ac:dyDescent="0.35">
      <c r="A2071" s="225"/>
      <c r="B2071" s="226"/>
      <c r="C2071" s="226"/>
      <c r="D2071" s="226"/>
      <c r="E2071" s="227"/>
      <c r="G2071" s="225"/>
      <c r="H2071" s="226"/>
      <c r="I2071" s="226"/>
      <c r="J2071" s="226"/>
      <c r="K2071" s="227"/>
    </row>
    <row r="2072" spans="1:11" x14ac:dyDescent="0.35">
      <c r="A2072" s="221"/>
      <c r="B2072" s="222"/>
      <c r="C2072" s="222"/>
      <c r="D2072" s="222"/>
      <c r="E2072" s="223"/>
      <c r="G2072" s="221"/>
      <c r="H2072" s="222"/>
      <c r="I2072" s="222"/>
      <c r="J2072" s="222"/>
      <c r="K2072" s="223"/>
    </row>
    <row r="2073" spans="1:11" x14ac:dyDescent="0.35">
      <c r="A2073" s="225"/>
      <c r="B2073" s="226"/>
      <c r="C2073" s="226"/>
      <c r="D2073" s="226"/>
      <c r="E2073" s="227"/>
      <c r="G2073" s="225"/>
      <c r="H2073" s="226"/>
      <c r="I2073" s="226"/>
      <c r="J2073" s="226"/>
      <c r="K2073" s="227"/>
    </row>
    <row r="2074" spans="1:11" ht="15" thickBot="1" x14ac:dyDescent="0.4">
      <c r="A2074" s="218" t="s">
        <v>34</v>
      </c>
      <c r="B2074" s="219">
        <f>SUM(B2069:B2073)</f>
        <v>6700</v>
      </c>
      <c r="C2074" s="219">
        <f>SUM(C2069:C2073)</f>
        <v>0</v>
      </c>
      <c r="D2074" s="219">
        <f>SUM(D2069:D2073)</f>
        <v>0</v>
      </c>
      <c r="E2074" s="219">
        <f>SUM(E2069:E2073)</f>
        <v>0</v>
      </c>
      <c r="G2074" s="218" t="s">
        <v>34</v>
      </c>
      <c r="H2074" s="219">
        <f>SUM(H2069:H2073)</f>
        <v>590</v>
      </c>
      <c r="I2074" s="219">
        <f>SUM(I2069:I2073)</f>
        <v>0</v>
      </c>
      <c r="J2074" s="219">
        <f>SUM(J2069:J2073)</f>
        <v>0</v>
      </c>
      <c r="K2074" s="219">
        <f>SUM(K2069:K2073)</f>
        <v>0</v>
      </c>
    </row>
    <row r="2075" spans="1:11" x14ac:dyDescent="0.35">
      <c r="A2075" s="220" t="s">
        <v>305</v>
      </c>
      <c r="B2075" s="220">
        <f>+B2074+C2074+D2074+E2074</f>
        <v>6700</v>
      </c>
      <c r="C2075" s="220"/>
      <c r="D2075" s="220"/>
      <c r="E2075" s="220"/>
      <c r="G2075" s="220" t="s">
        <v>305</v>
      </c>
      <c r="H2075" s="220">
        <f>+H2074+I2074+J2074+K2074</f>
        <v>590</v>
      </c>
      <c r="I2075" s="220"/>
      <c r="J2075" s="220"/>
      <c r="K2075" s="220"/>
    </row>
    <row r="2076" spans="1:11" ht="15" thickBot="1" x14ac:dyDescent="0.4">
      <c r="A2076" s="315" t="s">
        <v>298</v>
      </c>
      <c r="B2076" s="315"/>
      <c r="C2076" s="315"/>
      <c r="D2076" s="315"/>
      <c r="E2076" s="315"/>
      <c r="G2076" s="315" t="s">
        <v>314</v>
      </c>
      <c r="H2076" s="315"/>
      <c r="I2076" s="315"/>
      <c r="J2076" s="315"/>
      <c r="K2076" s="315"/>
    </row>
    <row r="2077" spans="1:11" ht="15" thickTop="1" x14ac:dyDescent="0.35">
      <c r="A2077" s="313">
        <v>45497</v>
      </c>
      <c r="B2077" s="314"/>
      <c r="C2077" s="314"/>
      <c r="D2077" s="314"/>
      <c r="E2077" s="314"/>
      <c r="G2077" s="313">
        <v>45497</v>
      </c>
      <c r="H2077" s="314"/>
      <c r="I2077" s="314"/>
      <c r="J2077" s="314"/>
      <c r="K2077" s="314"/>
    </row>
    <row r="2078" spans="1:11" x14ac:dyDescent="0.35">
      <c r="A2078" s="261" t="s">
        <v>159</v>
      </c>
      <c r="B2078" s="262" t="s">
        <v>299</v>
      </c>
      <c r="C2078" s="262" t="s">
        <v>300</v>
      </c>
      <c r="D2078" s="262" t="s">
        <v>301</v>
      </c>
      <c r="E2078" s="263" t="s">
        <v>302</v>
      </c>
      <c r="G2078" s="264" t="s">
        <v>159</v>
      </c>
      <c r="H2078" s="265" t="s">
        <v>299</v>
      </c>
      <c r="I2078" s="265" t="s">
        <v>300</v>
      </c>
      <c r="J2078" s="265" t="s">
        <v>301</v>
      </c>
      <c r="K2078" s="266" t="s">
        <v>302</v>
      </c>
    </row>
    <row r="2079" spans="1:11" x14ac:dyDescent="0.35">
      <c r="A2079" s="221" t="s">
        <v>303</v>
      </c>
      <c r="B2079" s="222">
        <v>2015</v>
      </c>
      <c r="C2079" s="222"/>
      <c r="D2079" s="222"/>
      <c r="E2079" s="223"/>
      <c r="G2079" s="221" t="s">
        <v>303</v>
      </c>
      <c r="H2079" s="222"/>
      <c r="I2079" s="222"/>
      <c r="J2079" s="222"/>
      <c r="K2079" s="223"/>
    </row>
    <row r="2080" spans="1:11" x14ac:dyDescent="0.35">
      <c r="A2080" s="225" t="s">
        <v>304</v>
      </c>
      <c r="B2080" s="226"/>
      <c r="C2080" s="226"/>
      <c r="D2080" s="226"/>
      <c r="E2080" s="227"/>
      <c r="G2080" s="225"/>
      <c r="H2080" s="226"/>
      <c r="I2080" s="226"/>
      <c r="J2080" s="226"/>
      <c r="K2080" s="227"/>
    </row>
    <row r="2081" spans="1:11" x14ac:dyDescent="0.35">
      <c r="A2081" s="225"/>
      <c r="B2081" s="226"/>
      <c r="C2081" s="226"/>
      <c r="D2081" s="226"/>
      <c r="E2081" s="227"/>
      <c r="G2081" s="225"/>
      <c r="H2081" s="226"/>
      <c r="I2081" s="226"/>
      <c r="J2081" s="226"/>
      <c r="K2081" s="227"/>
    </row>
    <row r="2082" spans="1:11" x14ac:dyDescent="0.35">
      <c r="A2082" s="221"/>
      <c r="B2082" s="222"/>
      <c r="C2082" s="222"/>
      <c r="D2082" s="222"/>
      <c r="E2082" s="223"/>
      <c r="G2082" s="221"/>
      <c r="H2082" s="222"/>
      <c r="I2082" s="222"/>
      <c r="J2082" s="222"/>
      <c r="K2082" s="223"/>
    </row>
    <row r="2083" spans="1:11" x14ac:dyDescent="0.35">
      <c r="A2083" s="225"/>
      <c r="B2083" s="226"/>
      <c r="C2083" s="226"/>
      <c r="D2083" s="226"/>
      <c r="E2083" s="227"/>
      <c r="G2083" s="225"/>
      <c r="H2083" s="226"/>
      <c r="I2083" s="226"/>
      <c r="J2083" s="226"/>
      <c r="K2083" s="227"/>
    </row>
    <row r="2084" spans="1:11" ht="15" thickBot="1" x14ac:dyDescent="0.4">
      <c r="A2084" s="218" t="s">
        <v>34</v>
      </c>
      <c r="B2084" s="219">
        <f>SUM(B2079:B2083)</f>
        <v>2015</v>
      </c>
      <c r="C2084" s="219">
        <f>SUM(C2079:C2083)</f>
        <v>0</v>
      </c>
      <c r="D2084" s="219">
        <f>SUM(D2079:D2083)</f>
        <v>0</v>
      </c>
      <c r="E2084" s="219">
        <f>SUM(E2079:E2083)</f>
        <v>0</v>
      </c>
      <c r="G2084" s="218" t="s">
        <v>34</v>
      </c>
      <c r="H2084" s="219">
        <f>SUM(H2079:H2083)</f>
        <v>0</v>
      </c>
      <c r="I2084" s="219">
        <f>SUM(I2079:I2083)</f>
        <v>0</v>
      </c>
      <c r="J2084" s="219">
        <f>SUM(J2079:J2083)</f>
        <v>0</v>
      </c>
      <c r="K2084" s="219">
        <f>SUM(K2079:K2083)</f>
        <v>0</v>
      </c>
    </row>
    <row r="2085" spans="1:11" x14ac:dyDescent="0.35">
      <c r="A2085" s="220" t="s">
        <v>305</v>
      </c>
      <c r="B2085" s="220">
        <f>+B2084+C2084+D2084+E2084</f>
        <v>2015</v>
      </c>
      <c r="C2085" s="220"/>
      <c r="D2085" s="220"/>
      <c r="E2085" s="220"/>
      <c r="G2085" s="220" t="s">
        <v>305</v>
      </c>
      <c r="H2085" s="220">
        <f>+H2084+I2084+J2084+K2084</f>
        <v>0</v>
      </c>
      <c r="I2085" s="220"/>
      <c r="J2085" s="220"/>
      <c r="K2085" s="220"/>
    </row>
    <row r="2086" spans="1:11" ht="15" thickBot="1" x14ac:dyDescent="0.4">
      <c r="A2086" s="315" t="s">
        <v>298</v>
      </c>
      <c r="B2086" s="315"/>
      <c r="C2086" s="315"/>
      <c r="D2086" s="315"/>
      <c r="E2086" s="315"/>
      <c r="G2086" s="315" t="s">
        <v>314</v>
      </c>
      <c r="H2086" s="315"/>
      <c r="I2086" s="315"/>
      <c r="J2086" s="315"/>
      <c r="K2086" s="315"/>
    </row>
    <row r="2087" spans="1:11" ht="15" thickTop="1" x14ac:dyDescent="0.35">
      <c r="A2087" s="313">
        <v>45498</v>
      </c>
      <c r="B2087" s="314"/>
      <c r="C2087" s="314"/>
      <c r="D2087" s="314"/>
      <c r="E2087" s="314"/>
      <c r="G2087" s="313">
        <v>45498</v>
      </c>
      <c r="H2087" s="314"/>
      <c r="I2087" s="314"/>
      <c r="J2087" s="314"/>
      <c r="K2087" s="314"/>
    </row>
    <row r="2088" spans="1:11" x14ac:dyDescent="0.35">
      <c r="A2088" s="261" t="s">
        <v>159</v>
      </c>
      <c r="B2088" s="262" t="s">
        <v>299</v>
      </c>
      <c r="C2088" s="262" t="s">
        <v>300</v>
      </c>
      <c r="D2088" s="262" t="s">
        <v>301</v>
      </c>
      <c r="E2088" s="263" t="s">
        <v>302</v>
      </c>
      <c r="G2088" s="264" t="s">
        <v>159</v>
      </c>
      <c r="H2088" s="265" t="s">
        <v>299</v>
      </c>
      <c r="I2088" s="265" t="s">
        <v>300</v>
      </c>
      <c r="J2088" s="265" t="s">
        <v>301</v>
      </c>
      <c r="K2088" s="266" t="s">
        <v>302</v>
      </c>
    </row>
    <row r="2089" spans="1:11" x14ac:dyDescent="0.35">
      <c r="A2089" s="221" t="s">
        <v>303</v>
      </c>
      <c r="B2089" s="222">
        <v>7569</v>
      </c>
      <c r="C2089" s="222"/>
      <c r="D2089" s="222"/>
      <c r="E2089" s="223"/>
      <c r="G2089" s="221" t="s">
        <v>303</v>
      </c>
      <c r="H2089" s="222">
        <v>813</v>
      </c>
      <c r="I2089" s="222"/>
      <c r="J2089" s="222"/>
      <c r="K2089" s="223"/>
    </row>
    <row r="2090" spans="1:11" x14ac:dyDescent="0.35">
      <c r="A2090" s="225" t="s">
        <v>304</v>
      </c>
      <c r="B2090" s="226">
        <v>2466</v>
      </c>
      <c r="C2090" s="226"/>
      <c r="D2090" s="226"/>
      <c r="E2090" s="227"/>
      <c r="G2090" s="225"/>
      <c r="H2090" s="226"/>
      <c r="I2090" s="226"/>
      <c r="J2090" s="226"/>
      <c r="K2090" s="227"/>
    </row>
    <row r="2091" spans="1:11" x14ac:dyDescent="0.35">
      <c r="A2091" s="225"/>
      <c r="B2091" s="226"/>
      <c r="C2091" s="226"/>
      <c r="D2091" s="226"/>
      <c r="E2091" s="227"/>
      <c r="G2091" s="225"/>
      <c r="H2091" s="226"/>
      <c r="I2091" s="226"/>
      <c r="J2091" s="226"/>
      <c r="K2091" s="227"/>
    </row>
    <row r="2092" spans="1:11" x14ac:dyDescent="0.35">
      <c r="A2092" s="221"/>
      <c r="B2092" s="222"/>
      <c r="C2092" s="222"/>
      <c r="D2092" s="222"/>
      <c r="E2092" s="223"/>
      <c r="G2092" s="221"/>
      <c r="H2092" s="222"/>
      <c r="I2092" s="222"/>
      <c r="J2092" s="222"/>
      <c r="K2092" s="223"/>
    </row>
    <row r="2093" spans="1:11" x14ac:dyDescent="0.35">
      <c r="A2093" s="225"/>
      <c r="B2093" s="226"/>
      <c r="C2093" s="226"/>
      <c r="D2093" s="226"/>
      <c r="E2093" s="227"/>
      <c r="G2093" s="225"/>
      <c r="H2093" s="226"/>
      <c r="I2093" s="226"/>
      <c r="J2093" s="226"/>
      <c r="K2093" s="227"/>
    </row>
    <row r="2094" spans="1:11" ht="15" thickBot="1" x14ac:dyDescent="0.4">
      <c r="A2094" s="218" t="s">
        <v>34</v>
      </c>
      <c r="B2094" s="219">
        <f>SUM(B2089:B2093)</f>
        <v>10035</v>
      </c>
      <c r="C2094" s="219">
        <f>SUM(C2089:C2093)</f>
        <v>0</v>
      </c>
      <c r="D2094" s="219">
        <f>SUM(D2089:D2093)</f>
        <v>0</v>
      </c>
      <c r="E2094" s="219">
        <f>SUM(E2089:E2093)</f>
        <v>0</v>
      </c>
      <c r="G2094" s="218" t="s">
        <v>34</v>
      </c>
      <c r="H2094" s="219">
        <f>SUM(H2089:H2093)</f>
        <v>813</v>
      </c>
      <c r="I2094" s="219">
        <f>SUM(I2089:I2093)</f>
        <v>0</v>
      </c>
      <c r="J2094" s="219">
        <f>SUM(J2089:J2093)</f>
        <v>0</v>
      </c>
      <c r="K2094" s="219">
        <f>SUM(K2089:K2093)</f>
        <v>0</v>
      </c>
    </row>
    <row r="2095" spans="1:11" x14ac:dyDescent="0.35">
      <c r="A2095" s="220" t="s">
        <v>305</v>
      </c>
      <c r="B2095" s="220">
        <f>+B2094+C2094+D2094+E2094</f>
        <v>10035</v>
      </c>
      <c r="C2095" s="220"/>
      <c r="D2095" s="220"/>
      <c r="E2095" s="220"/>
      <c r="G2095" s="220" t="s">
        <v>305</v>
      </c>
      <c r="H2095" s="220">
        <f>+H2094+I2094+J2094+K2094</f>
        <v>813</v>
      </c>
      <c r="I2095" s="220"/>
      <c r="J2095" s="220"/>
      <c r="K2095" s="220"/>
    </row>
    <row r="2096" spans="1:11" ht="15" thickBot="1" x14ac:dyDescent="0.4">
      <c r="A2096" s="315" t="s">
        <v>298</v>
      </c>
      <c r="B2096" s="315"/>
      <c r="C2096" s="315"/>
      <c r="D2096" s="315"/>
      <c r="E2096" s="315"/>
      <c r="G2096" s="315" t="s">
        <v>314</v>
      </c>
      <c r="H2096" s="315"/>
      <c r="I2096" s="315"/>
      <c r="J2096" s="315"/>
      <c r="K2096" s="315"/>
    </row>
    <row r="2097" spans="1:11" ht="15" thickTop="1" x14ac:dyDescent="0.35">
      <c r="A2097" s="313">
        <v>45499</v>
      </c>
      <c r="B2097" s="314"/>
      <c r="C2097" s="314"/>
      <c r="D2097" s="314"/>
      <c r="E2097" s="314"/>
      <c r="G2097" s="313">
        <v>45499</v>
      </c>
      <c r="H2097" s="314"/>
      <c r="I2097" s="314"/>
      <c r="J2097" s="314"/>
      <c r="K2097" s="314"/>
    </row>
    <row r="2098" spans="1:11" x14ac:dyDescent="0.35">
      <c r="A2098" s="261" t="s">
        <v>159</v>
      </c>
      <c r="B2098" s="262" t="s">
        <v>299</v>
      </c>
      <c r="C2098" s="262" t="s">
        <v>300</v>
      </c>
      <c r="D2098" s="262" t="s">
        <v>301</v>
      </c>
      <c r="E2098" s="263" t="s">
        <v>302</v>
      </c>
      <c r="G2098" s="264" t="s">
        <v>159</v>
      </c>
      <c r="H2098" s="265" t="s">
        <v>299</v>
      </c>
      <c r="I2098" s="265" t="s">
        <v>300</v>
      </c>
      <c r="J2098" s="265" t="s">
        <v>301</v>
      </c>
      <c r="K2098" s="266" t="s">
        <v>302</v>
      </c>
    </row>
    <row r="2099" spans="1:11" x14ac:dyDescent="0.35">
      <c r="A2099" s="221" t="s">
        <v>303</v>
      </c>
      <c r="B2099" s="222">
        <v>8838</v>
      </c>
      <c r="C2099" s="222"/>
      <c r="D2099" s="222"/>
      <c r="E2099" s="223"/>
      <c r="G2099" s="221" t="s">
        <v>303</v>
      </c>
      <c r="H2099" s="222">
        <v>1063</v>
      </c>
      <c r="I2099" s="222"/>
      <c r="J2099" s="222"/>
      <c r="K2099" s="223"/>
    </row>
    <row r="2100" spans="1:11" x14ac:dyDescent="0.35">
      <c r="A2100" s="225" t="s">
        <v>304</v>
      </c>
      <c r="B2100" s="226">
        <v>700</v>
      </c>
      <c r="C2100" s="226"/>
      <c r="D2100" s="226"/>
      <c r="E2100" s="227"/>
      <c r="G2100" s="225"/>
      <c r="H2100" s="226"/>
      <c r="I2100" s="226"/>
      <c r="J2100" s="226"/>
      <c r="K2100" s="227"/>
    </row>
    <row r="2101" spans="1:11" x14ac:dyDescent="0.35">
      <c r="A2101" s="225"/>
      <c r="B2101" s="226"/>
      <c r="C2101" s="226"/>
      <c r="D2101" s="226"/>
      <c r="E2101" s="227"/>
      <c r="G2101" s="225"/>
      <c r="H2101" s="226"/>
      <c r="I2101" s="226"/>
      <c r="J2101" s="226"/>
      <c r="K2101" s="227"/>
    </row>
    <row r="2102" spans="1:11" x14ac:dyDescent="0.35">
      <c r="A2102" s="221"/>
      <c r="B2102" s="222"/>
      <c r="C2102" s="222"/>
      <c r="D2102" s="222"/>
      <c r="E2102" s="223"/>
      <c r="G2102" s="221"/>
      <c r="H2102" s="222"/>
      <c r="I2102" s="222"/>
      <c r="J2102" s="222"/>
      <c r="K2102" s="223"/>
    </row>
    <row r="2103" spans="1:11" x14ac:dyDescent="0.35">
      <c r="A2103" s="225"/>
      <c r="B2103" s="226"/>
      <c r="C2103" s="226"/>
      <c r="D2103" s="226"/>
      <c r="E2103" s="227"/>
      <c r="G2103" s="225"/>
      <c r="H2103" s="226"/>
      <c r="I2103" s="226"/>
      <c r="J2103" s="226"/>
      <c r="K2103" s="227"/>
    </row>
    <row r="2104" spans="1:11" ht="15" thickBot="1" x14ac:dyDescent="0.4">
      <c r="A2104" s="218" t="s">
        <v>34</v>
      </c>
      <c r="B2104" s="219">
        <f>SUM(B2099:B2103)</f>
        <v>9538</v>
      </c>
      <c r="C2104" s="219">
        <f>SUM(C2099:C2103)</f>
        <v>0</v>
      </c>
      <c r="D2104" s="219">
        <f>SUM(D2099:D2103)</f>
        <v>0</v>
      </c>
      <c r="E2104" s="219">
        <f>SUM(E2099:E2103)</f>
        <v>0</v>
      </c>
      <c r="G2104" s="218" t="s">
        <v>34</v>
      </c>
      <c r="H2104" s="219">
        <f>SUM(H2099:H2103)</f>
        <v>1063</v>
      </c>
      <c r="I2104" s="219">
        <f>SUM(I2099:I2103)</f>
        <v>0</v>
      </c>
      <c r="J2104" s="219">
        <f>SUM(J2099:J2103)</f>
        <v>0</v>
      </c>
      <c r="K2104" s="219">
        <f>SUM(K2099:K2103)</f>
        <v>0</v>
      </c>
    </row>
    <row r="2105" spans="1:11" x14ac:dyDescent="0.35">
      <c r="A2105" s="220" t="s">
        <v>305</v>
      </c>
      <c r="B2105" s="220">
        <f>+B2104+C2104+D2104+E2104</f>
        <v>9538</v>
      </c>
      <c r="C2105" s="220"/>
      <c r="D2105" s="220"/>
      <c r="E2105" s="220"/>
      <c r="G2105" s="220" t="s">
        <v>305</v>
      </c>
      <c r="H2105" s="220">
        <f>+H2104+I2104+J2104+K2104</f>
        <v>1063</v>
      </c>
      <c r="I2105" s="220"/>
      <c r="J2105" s="220"/>
      <c r="K2105" s="220"/>
    </row>
    <row r="2106" spans="1:11" ht="15" thickBot="1" x14ac:dyDescent="0.4">
      <c r="A2106" s="315" t="s">
        <v>298</v>
      </c>
      <c r="B2106" s="315"/>
      <c r="C2106" s="315"/>
      <c r="D2106" s="315"/>
      <c r="E2106" s="315"/>
      <c r="G2106" s="315" t="s">
        <v>314</v>
      </c>
      <c r="H2106" s="315"/>
      <c r="I2106" s="315"/>
      <c r="J2106" s="315"/>
      <c r="K2106" s="315"/>
    </row>
    <row r="2107" spans="1:11" ht="15" thickTop="1" x14ac:dyDescent="0.35">
      <c r="A2107" s="313">
        <v>45500</v>
      </c>
      <c r="B2107" s="314"/>
      <c r="C2107" s="314"/>
      <c r="D2107" s="314"/>
      <c r="E2107" s="314"/>
      <c r="G2107" s="313">
        <v>45500</v>
      </c>
      <c r="H2107" s="314"/>
      <c r="I2107" s="314"/>
      <c r="J2107" s="314"/>
      <c r="K2107" s="314"/>
    </row>
    <row r="2108" spans="1:11" x14ac:dyDescent="0.35">
      <c r="A2108" s="261" t="s">
        <v>159</v>
      </c>
      <c r="B2108" s="262" t="s">
        <v>299</v>
      </c>
      <c r="C2108" s="262" t="s">
        <v>300</v>
      </c>
      <c r="D2108" s="262" t="s">
        <v>301</v>
      </c>
      <c r="E2108" s="263" t="s">
        <v>302</v>
      </c>
      <c r="G2108" s="264" t="s">
        <v>159</v>
      </c>
      <c r="H2108" s="265" t="s">
        <v>299</v>
      </c>
      <c r="I2108" s="265" t="s">
        <v>300</v>
      </c>
      <c r="J2108" s="265" t="s">
        <v>301</v>
      </c>
      <c r="K2108" s="266" t="s">
        <v>302</v>
      </c>
    </row>
    <row r="2109" spans="1:11" x14ac:dyDescent="0.35">
      <c r="A2109" s="221" t="s">
        <v>303</v>
      </c>
      <c r="B2109" s="222">
        <v>7360</v>
      </c>
      <c r="C2109" s="222"/>
      <c r="D2109" s="222"/>
      <c r="E2109" s="223"/>
      <c r="G2109" s="221" t="s">
        <v>303</v>
      </c>
      <c r="H2109" s="222">
        <v>2823</v>
      </c>
      <c r="I2109" s="222"/>
      <c r="J2109" s="222"/>
      <c r="K2109" s="223"/>
    </row>
    <row r="2110" spans="1:11" x14ac:dyDescent="0.35">
      <c r="A2110" s="225" t="s">
        <v>304</v>
      </c>
      <c r="B2110" s="226"/>
      <c r="C2110" s="226"/>
      <c r="D2110" s="226"/>
      <c r="E2110" s="227"/>
      <c r="G2110" s="225"/>
      <c r="H2110" s="226"/>
      <c r="I2110" s="226"/>
      <c r="J2110" s="226"/>
      <c r="K2110" s="227"/>
    </row>
    <row r="2111" spans="1:11" x14ac:dyDescent="0.35">
      <c r="A2111" s="225"/>
      <c r="B2111" s="226"/>
      <c r="C2111" s="226"/>
      <c r="D2111" s="226"/>
      <c r="E2111" s="227"/>
      <c r="G2111" s="225"/>
      <c r="H2111" s="226"/>
      <c r="I2111" s="226"/>
      <c r="J2111" s="226"/>
      <c r="K2111" s="227"/>
    </row>
    <row r="2112" spans="1:11" x14ac:dyDescent="0.35">
      <c r="A2112" s="221"/>
      <c r="B2112" s="222"/>
      <c r="C2112" s="222"/>
      <c r="D2112" s="222"/>
      <c r="E2112" s="223"/>
      <c r="G2112" s="221"/>
      <c r="H2112" s="222"/>
      <c r="I2112" s="222"/>
      <c r="J2112" s="222"/>
      <c r="K2112" s="223"/>
    </row>
    <row r="2113" spans="1:11" x14ac:dyDescent="0.35">
      <c r="A2113" s="225"/>
      <c r="B2113" s="226"/>
      <c r="C2113" s="226"/>
      <c r="D2113" s="226"/>
      <c r="E2113" s="227"/>
      <c r="G2113" s="225"/>
      <c r="H2113" s="226"/>
      <c r="I2113" s="226"/>
      <c r="J2113" s="226"/>
      <c r="K2113" s="227"/>
    </row>
    <row r="2114" spans="1:11" ht="15" thickBot="1" x14ac:dyDescent="0.4">
      <c r="A2114" s="218" t="s">
        <v>34</v>
      </c>
      <c r="B2114" s="219">
        <f>SUM(B2109:B2113)</f>
        <v>7360</v>
      </c>
      <c r="C2114" s="219">
        <f>SUM(C2109:C2113)</f>
        <v>0</v>
      </c>
      <c r="D2114" s="219">
        <f>SUM(D2109:D2113)</f>
        <v>0</v>
      </c>
      <c r="E2114" s="219">
        <f>SUM(E2109:E2113)</f>
        <v>0</v>
      </c>
      <c r="G2114" s="218" t="s">
        <v>34</v>
      </c>
      <c r="H2114" s="219">
        <f>SUM(H2109:H2113)</f>
        <v>2823</v>
      </c>
      <c r="I2114" s="219">
        <f>SUM(I2109:I2113)</f>
        <v>0</v>
      </c>
      <c r="J2114" s="219">
        <f>SUM(J2109:J2113)</f>
        <v>0</v>
      </c>
      <c r="K2114" s="219">
        <f>SUM(K2109:K2113)</f>
        <v>0</v>
      </c>
    </row>
    <row r="2115" spans="1:11" x14ac:dyDescent="0.35">
      <c r="A2115" s="220" t="s">
        <v>305</v>
      </c>
      <c r="B2115" s="220">
        <f>+B2114+C2114+D2114+E2114</f>
        <v>7360</v>
      </c>
      <c r="C2115" s="220"/>
      <c r="D2115" s="220"/>
      <c r="E2115" s="220"/>
      <c r="G2115" s="220" t="s">
        <v>305</v>
      </c>
      <c r="H2115" s="220">
        <f>+H2114+I2114+J2114+K2114</f>
        <v>2823</v>
      </c>
      <c r="I2115" s="220"/>
      <c r="J2115" s="220"/>
      <c r="K2115" s="220"/>
    </row>
    <row r="2116" spans="1:11" ht="15" thickBot="1" x14ac:dyDescent="0.4">
      <c r="A2116" s="315" t="s">
        <v>298</v>
      </c>
      <c r="B2116" s="315"/>
      <c r="C2116" s="315"/>
      <c r="D2116" s="315"/>
      <c r="E2116" s="315"/>
      <c r="G2116" s="315" t="s">
        <v>314</v>
      </c>
      <c r="H2116" s="315"/>
      <c r="I2116" s="315"/>
      <c r="J2116" s="315"/>
      <c r="K2116" s="315"/>
    </row>
    <row r="2117" spans="1:11" ht="15" thickTop="1" x14ac:dyDescent="0.35">
      <c r="A2117" s="313">
        <v>45501</v>
      </c>
      <c r="B2117" s="314"/>
      <c r="C2117" s="314"/>
      <c r="D2117" s="314"/>
      <c r="E2117" s="314"/>
      <c r="G2117" s="313">
        <v>45501</v>
      </c>
      <c r="H2117" s="314"/>
      <c r="I2117" s="314"/>
      <c r="J2117" s="314"/>
      <c r="K2117" s="314"/>
    </row>
    <row r="2118" spans="1:11" x14ac:dyDescent="0.35">
      <c r="A2118" s="261" t="s">
        <v>159</v>
      </c>
      <c r="B2118" s="262" t="s">
        <v>299</v>
      </c>
      <c r="C2118" s="262" t="s">
        <v>300</v>
      </c>
      <c r="D2118" s="262" t="s">
        <v>301</v>
      </c>
      <c r="E2118" s="263" t="s">
        <v>302</v>
      </c>
      <c r="G2118" s="264" t="s">
        <v>159</v>
      </c>
      <c r="H2118" s="265" t="s">
        <v>299</v>
      </c>
      <c r="I2118" s="265" t="s">
        <v>300</v>
      </c>
      <c r="J2118" s="265" t="s">
        <v>301</v>
      </c>
      <c r="K2118" s="266" t="s">
        <v>302</v>
      </c>
    </row>
    <row r="2119" spans="1:11" x14ac:dyDescent="0.35">
      <c r="A2119" s="221" t="s">
        <v>303</v>
      </c>
      <c r="B2119" s="222">
        <v>12382</v>
      </c>
      <c r="C2119" s="222"/>
      <c r="D2119" s="222"/>
      <c r="E2119" s="223"/>
      <c r="G2119" s="221" t="s">
        <v>303</v>
      </c>
      <c r="H2119" s="222">
        <v>7264</v>
      </c>
      <c r="I2119" s="222"/>
      <c r="J2119" s="222"/>
      <c r="K2119" s="223"/>
    </row>
    <row r="2120" spans="1:11" x14ac:dyDescent="0.35">
      <c r="A2120" s="225" t="s">
        <v>304</v>
      </c>
      <c r="B2120" s="226">
        <v>6000</v>
      </c>
      <c r="C2120" s="226"/>
      <c r="D2120" s="226"/>
      <c r="E2120" s="227"/>
      <c r="G2120" s="225"/>
      <c r="H2120" s="226"/>
      <c r="I2120" s="226"/>
      <c r="J2120" s="226"/>
      <c r="K2120" s="227"/>
    </row>
    <row r="2121" spans="1:11" x14ac:dyDescent="0.35">
      <c r="A2121" s="225"/>
      <c r="B2121" s="226"/>
      <c r="C2121" s="226"/>
      <c r="D2121" s="226"/>
      <c r="E2121" s="227"/>
      <c r="G2121" s="225"/>
      <c r="H2121" s="226"/>
      <c r="I2121" s="226"/>
      <c r="J2121" s="226"/>
      <c r="K2121" s="227"/>
    </row>
    <row r="2122" spans="1:11" x14ac:dyDescent="0.35">
      <c r="A2122" s="221"/>
      <c r="B2122" s="222"/>
      <c r="C2122" s="222"/>
      <c r="D2122" s="222"/>
      <c r="E2122" s="223"/>
      <c r="G2122" s="221"/>
      <c r="H2122" s="222"/>
      <c r="I2122" s="222"/>
      <c r="J2122" s="222"/>
      <c r="K2122" s="223"/>
    </row>
    <row r="2123" spans="1:11" x14ac:dyDescent="0.35">
      <c r="A2123" s="225"/>
      <c r="B2123" s="226"/>
      <c r="C2123" s="226"/>
      <c r="D2123" s="226"/>
      <c r="E2123" s="227"/>
      <c r="G2123" s="225"/>
      <c r="H2123" s="226"/>
      <c r="I2123" s="226"/>
      <c r="J2123" s="226"/>
      <c r="K2123" s="227"/>
    </row>
    <row r="2124" spans="1:11" ht="15" thickBot="1" x14ac:dyDescent="0.4">
      <c r="A2124" s="218" t="s">
        <v>34</v>
      </c>
      <c r="B2124" s="219">
        <f>SUM(B2119:B2123)</f>
        <v>18382</v>
      </c>
      <c r="C2124" s="219">
        <f>SUM(C2119:C2123)</f>
        <v>0</v>
      </c>
      <c r="D2124" s="219">
        <f>SUM(D2119:D2123)</f>
        <v>0</v>
      </c>
      <c r="E2124" s="219">
        <f>SUM(E2119:E2123)</f>
        <v>0</v>
      </c>
      <c r="G2124" s="218" t="s">
        <v>34</v>
      </c>
      <c r="H2124" s="219">
        <f>SUM(H2119:H2123)</f>
        <v>7264</v>
      </c>
      <c r="I2124" s="219">
        <f>SUM(I2119:I2123)</f>
        <v>0</v>
      </c>
      <c r="J2124" s="219">
        <f>SUM(J2119:J2123)</f>
        <v>0</v>
      </c>
      <c r="K2124" s="219">
        <f>SUM(K2119:K2123)</f>
        <v>0</v>
      </c>
    </row>
    <row r="2125" spans="1:11" x14ac:dyDescent="0.35">
      <c r="A2125" s="220" t="s">
        <v>305</v>
      </c>
      <c r="B2125" s="220">
        <f>+B2124+C2124+D2124+E2124</f>
        <v>18382</v>
      </c>
      <c r="C2125" s="220"/>
      <c r="D2125" s="220"/>
      <c r="E2125" s="220"/>
      <c r="G2125" s="220" t="s">
        <v>305</v>
      </c>
      <c r="H2125" s="220">
        <f>+H2124+I2124+J2124+K2124</f>
        <v>7264</v>
      </c>
      <c r="I2125" s="220"/>
      <c r="J2125" s="220"/>
      <c r="K2125" s="220"/>
    </row>
    <row r="2126" spans="1:11" ht="15" thickBot="1" x14ac:dyDescent="0.4">
      <c r="A2126" s="315" t="s">
        <v>298</v>
      </c>
      <c r="B2126" s="315"/>
      <c r="C2126" s="315"/>
      <c r="D2126" s="315"/>
      <c r="E2126" s="315"/>
      <c r="G2126" s="315" t="s">
        <v>314</v>
      </c>
      <c r="H2126" s="315"/>
      <c r="I2126" s="315"/>
      <c r="J2126" s="315"/>
      <c r="K2126" s="315"/>
    </row>
    <row r="2127" spans="1:11" ht="15" thickTop="1" x14ac:dyDescent="0.35">
      <c r="A2127" s="313">
        <v>45502</v>
      </c>
      <c r="B2127" s="314"/>
      <c r="C2127" s="314"/>
      <c r="D2127" s="314"/>
      <c r="E2127" s="314"/>
      <c r="G2127" s="313">
        <v>45502</v>
      </c>
      <c r="H2127" s="314"/>
      <c r="I2127" s="314"/>
      <c r="J2127" s="314"/>
      <c r="K2127" s="314"/>
    </row>
    <row r="2128" spans="1:11" x14ac:dyDescent="0.35">
      <c r="A2128" s="261" t="s">
        <v>159</v>
      </c>
      <c r="B2128" s="262" t="s">
        <v>299</v>
      </c>
      <c r="C2128" s="262" t="s">
        <v>300</v>
      </c>
      <c r="D2128" s="262" t="s">
        <v>301</v>
      </c>
      <c r="E2128" s="263" t="s">
        <v>302</v>
      </c>
      <c r="G2128" s="264" t="s">
        <v>159</v>
      </c>
      <c r="H2128" s="265" t="s">
        <v>299</v>
      </c>
      <c r="I2128" s="265" t="s">
        <v>300</v>
      </c>
      <c r="J2128" s="265" t="s">
        <v>301</v>
      </c>
      <c r="K2128" s="266" t="s">
        <v>302</v>
      </c>
    </row>
    <row r="2129" spans="1:11" x14ac:dyDescent="0.35">
      <c r="A2129" s="221" t="s">
        <v>303</v>
      </c>
      <c r="B2129" s="222">
        <v>5528</v>
      </c>
      <c r="C2129" s="222"/>
      <c r="D2129" s="222"/>
      <c r="E2129" s="223"/>
      <c r="G2129" s="221" t="s">
        <v>303</v>
      </c>
      <c r="H2129" s="222">
        <v>430</v>
      </c>
      <c r="I2129" s="222"/>
      <c r="J2129" s="222"/>
      <c r="K2129" s="223"/>
    </row>
    <row r="2130" spans="1:11" x14ac:dyDescent="0.35">
      <c r="A2130" s="225" t="s">
        <v>304</v>
      </c>
      <c r="B2130" s="226">
        <v>6589</v>
      </c>
      <c r="C2130" s="226"/>
      <c r="D2130" s="226"/>
      <c r="E2130" s="227"/>
      <c r="G2130" s="225"/>
      <c r="H2130" s="226"/>
      <c r="I2130" s="226"/>
      <c r="J2130" s="226"/>
      <c r="K2130" s="227"/>
    </row>
    <row r="2131" spans="1:11" x14ac:dyDescent="0.35">
      <c r="A2131" s="225"/>
      <c r="B2131" s="226"/>
      <c r="C2131" s="226"/>
      <c r="D2131" s="226"/>
      <c r="E2131" s="227"/>
      <c r="G2131" s="225"/>
      <c r="H2131" s="226"/>
      <c r="I2131" s="226"/>
      <c r="J2131" s="226"/>
      <c r="K2131" s="227"/>
    </row>
    <row r="2132" spans="1:11" x14ac:dyDescent="0.35">
      <c r="A2132" s="221"/>
      <c r="B2132" s="222"/>
      <c r="C2132" s="222"/>
      <c r="D2132" s="222"/>
      <c r="E2132" s="223"/>
      <c r="G2132" s="221"/>
      <c r="H2132" s="222"/>
      <c r="I2132" s="222"/>
      <c r="J2132" s="222"/>
      <c r="K2132" s="223"/>
    </row>
    <row r="2133" spans="1:11" x14ac:dyDescent="0.35">
      <c r="A2133" s="225"/>
      <c r="B2133" s="226"/>
      <c r="C2133" s="226"/>
      <c r="D2133" s="226"/>
      <c r="E2133" s="227"/>
      <c r="G2133" s="225"/>
      <c r="H2133" s="226"/>
      <c r="I2133" s="226"/>
      <c r="J2133" s="226"/>
      <c r="K2133" s="227"/>
    </row>
    <row r="2134" spans="1:11" ht="15" thickBot="1" x14ac:dyDescent="0.4">
      <c r="A2134" s="218" t="s">
        <v>34</v>
      </c>
      <c r="B2134" s="219">
        <f>SUM(B2129:B2133)</f>
        <v>12117</v>
      </c>
      <c r="C2134" s="219">
        <f>SUM(C2129:C2133)</f>
        <v>0</v>
      </c>
      <c r="D2134" s="219">
        <f>SUM(D2129:D2133)</f>
        <v>0</v>
      </c>
      <c r="E2134" s="219">
        <f>SUM(E2129:E2133)</f>
        <v>0</v>
      </c>
      <c r="G2134" s="218" t="s">
        <v>34</v>
      </c>
      <c r="H2134" s="219">
        <f>SUM(H2129:H2133)</f>
        <v>430</v>
      </c>
      <c r="I2134" s="219">
        <f>SUM(I2129:I2133)</f>
        <v>0</v>
      </c>
      <c r="J2134" s="219">
        <f>SUM(J2129:J2133)</f>
        <v>0</v>
      </c>
      <c r="K2134" s="219">
        <f>SUM(K2129:K2133)</f>
        <v>0</v>
      </c>
    </row>
    <row r="2135" spans="1:11" x14ac:dyDescent="0.35">
      <c r="A2135" s="220" t="s">
        <v>305</v>
      </c>
      <c r="B2135" s="220">
        <f>+B2134+C2134+D2134+E2134</f>
        <v>12117</v>
      </c>
      <c r="C2135" s="220"/>
      <c r="D2135" s="220"/>
      <c r="E2135" s="220"/>
      <c r="G2135" s="220" t="s">
        <v>305</v>
      </c>
      <c r="H2135" s="220">
        <f>+H2134+I2134+J2134+K2134</f>
        <v>430</v>
      </c>
      <c r="I2135" s="220"/>
      <c r="J2135" s="220"/>
      <c r="K2135" s="220"/>
    </row>
    <row r="2136" spans="1:11" ht="15" thickBot="1" x14ac:dyDescent="0.4">
      <c r="A2136" s="315" t="s">
        <v>298</v>
      </c>
      <c r="B2136" s="315"/>
      <c r="C2136" s="315"/>
      <c r="D2136" s="315"/>
      <c r="E2136" s="315"/>
      <c r="G2136" s="315" t="s">
        <v>314</v>
      </c>
      <c r="H2136" s="315"/>
      <c r="I2136" s="315"/>
      <c r="J2136" s="315"/>
      <c r="K2136" s="315"/>
    </row>
    <row r="2137" spans="1:11" ht="15" thickTop="1" x14ac:dyDescent="0.35">
      <c r="A2137" s="313">
        <v>45503</v>
      </c>
      <c r="B2137" s="314"/>
      <c r="C2137" s="314"/>
      <c r="D2137" s="314"/>
      <c r="E2137" s="314"/>
      <c r="G2137" s="313">
        <v>45503</v>
      </c>
      <c r="H2137" s="314"/>
      <c r="I2137" s="314"/>
      <c r="J2137" s="314"/>
      <c r="K2137" s="314"/>
    </row>
    <row r="2138" spans="1:11" x14ac:dyDescent="0.35">
      <c r="A2138" s="261" t="s">
        <v>159</v>
      </c>
      <c r="B2138" s="262" t="s">
        <v>299</v>
      </c>
      <c r="C2138" s="262" t="s">
        <v>300</v>
      </c>
      <c r="D2138" s="262" t="s">
        <v>301</v>
      </c>
      <c r="E2138" s="263" t="s">
        <v>302</v>
      </c>
      <c r="G2138" s="264" t="s">
        <v>159</v>
      </c>
      <c r="H2138" s="265" t="s">
        <v>299</v>
      </c>
      <c r="I2138" s="265" t="s">
        <v>300</v>
      </c>
      <c r="J2138" s="265" t="s">
        <v>301</v>
      </c>
      <c r="K2138" s="266" t="s">
        <v>302</v>
      </c>
    </row>
    <row r="2139" spans="1:11" x14ac:dyDescent="0.35">
      <c r="A2139" s="221" t="s">
        <v>303</v>
      </c>
      <c r="B2139" s="222"/>
      <c r="C2139" s="222"/>
      <c r="D2139" s="222"/>
      <c r="E2139" s="223"/>
      <c r="G2139" s="221" t="s">
        <v>303</v>
      </c>
      <c r="H2139" s="222">
        <v>1470</v>
      </c>
      <c r="I2139" s="222"/>
      <c r="J2139" s="222"/>
      <c r="K2139" s="223"/>
    </row>
    <row r="2140" spans="1:11" x14ac:dyDescent="0.35">
      <c r="A2140" s="225" t="s">
        <v>304</v>
      </c>
      <c r="B2140" s="226"/>
      <c r="C2140" s="226"/>
      <c r="D2140" s="226"/>
      <c r="E2140" s="227"/>
      <c r="G2140" s="225"/>
      <c r="H2140" s="226"/>
      <c r="I2140" s="226"/>
      <c r="J2140" s="226"/>
      <c r="K2140" s="227"/>
    </row>
    <row r="2141" spans="1:11" x14ac:dyDescent="0.35">
      <c r="A2141" s="225"/>
      <c r="B2141" s="226"/>
      <c r="C2141" s="226"/>
      <c r="D2141" s="226"/>
      <c r="E2141" s="227"/>
      <c r="G2141" s="225"/>
      <c r="H2141" s="226"/>
      <c r="I2141" s="226"/>
      <c r="J2141" s="226"/>
      <c r="K2141" s="227"/>
    </row>
    <row r="2142" spans="1:11" x14ac:dyDescent="0.35">
      <c r="A2142" s="221"/>
      <c r="B2142" s="222"/>
      <c r="C2142" s="222"/>
      <c r="D2142" s="222"/>
      <c r="E2142" s="223"/>
      <c r="G2142" s="221"/>
      <c r="H2142" s="222"/>
      <c r="I2142" s="222"/>
      <c r="J2142" s="222"/>
      <c r="K2142" s="223"/>
    </row>
    <row r="2143" spans="1:11" x14ac:dyDescent="0.35">
      <c r="A2143" s="225"/>
      <c r="B2143" s="226"/>
      <c r="C2143" s="226"/>
      <c r="D2143" s="226"/>
      <c r="E2143" s="227"/>
      <c r="G2143" s="225"/>
      <c r="H2143" s="226"/>
      <c r="I2143" s="226"/>
      <c r="J2143" s="226"/>
      <c r="K2143" s="227"/>
    </row>
    <row r="2144" spans="1:11" ht="15" thickBot="1" x14ac:dyDescent="0.4">
      <c r="A2144" s="218" t="s">
        <v>34</v>
      </c>
      <c r="B2144" s="219">
        <f>SUM(B2139:B2143)</f>
        <v>0</v>
      </c>
      <c r="C2144" s="219">
        <f>SUM(C2139:C2143)</f>
        <v>0</v>
      </c>
      <c r="D2144" s="219">
        <f>SUM(D2139:D2143)</f>
        <v>0</v>
      </c>
      <c r="E2144" s="219">
        <f>SUM(E2139:E2143)</f>
        <v>0</v>
      </c>
      <c r="G2144" s="218" t="s">
        <v>34</v>
      </c>
      <c r="H2144" s="219">
        <f>SUM(H2139:H2143)</f>
        <v>1470</v>
      </c>
      <c r="I2144" s="219">
        <f>SUM(I2139:I2143)</f>
        <v>0</v>
      </c>
      <c r="J2144" s="219">
        <f>SUM(J2139:J2143)</f>
        <v>0</v>
      </c>
      <c r="K2144" s="219">
        <f>SUM(K2139:K2143)</f>
        <v>0</v>
      </c>
    </row>
    <row r="2145" spans="1:13" x14ac:dyDescent="0.35">
      <c r="A2145" s="220" t="s">
        <v>305</v>
      </c>
      <c r="B2145" s="220">
        <f>+B2144+C2144+D2144+E2144</f>
        <v>0</v>
      </c>
      <c r="C2145" s="220"/>
      <c r="D2145" s="220"/>
      <c r="E2145" s="220"/>
      <c r="G2145" s="220" t="s">
        <v>305</v>
      </c>
      <c r="H2145" s="220">
        <f>+H2144+I2144+J2144+K2144</f>
        <v>1470</v>
      </c>
      <c r="I2145" s="220"/>
      <c r="J2145" s="220"/>
      <c r="K2145" s="220"/>
    </row>
    <row r="2146" spans="1:13" ht="15" thickBot="1" x14ac:dyDescent="0.4">
      <c r="A2146" s="315" t="s">
        <v>298</v>
      </c>
      <c r="B2146" s="315"/>
      <c r="C2146" s="315"/>
      <c r="D2146" s="315"/>
      <c r="E2146" s="315"/>
      <c r="G2146" s="315" t="s">
        <v>314</v>
      </c>
      <c r="H2146" s="315"/>
      <c r="I2146" s="315"/>
      <c r="J2146" s="315"/>
      <c r="K2146" s="315"/>
    </row>
    <row r="2147" spans="1:13" ht="15" thickTop="1" x14ac:dyDescent="0.35">
      <c r="A2147" s="313">
        <v>45504</v>
      </c>
      <c r="B2147" s="314"/>
      <c r="C2147" s="314"/>
      <c r="D2147" s="314"/>
      <c r="E2147" s="314"/>
      <c r="G2147" s="313">
        <v>45504</v>
      </c>
      <c r="H2147" s="314"/>
      <c r="I2147" s="314"/>
      <c r="J2147" s="314"/>
      <c r="K2147" s="314"/>
    </row>
    <row r="2148" spans="1:13" x14ac:dyDescent="0.35">
      <c r="A2148" s="261" t="s">
        <v>159</v>
      </c>
      <c r="B2148" s="262" t="s">
        <v>299</v>
      </c>
      <c r="C2148" s="262" t="s">
        <v>300</v>
      </c>
      <c r="D2148" s="262" t="s">
        <v>301</v>
      </c>
      <c r="E2148" s="263" t="s">
        <v>302</v>
      </c>
      <c r="G2148" s="264" t="s">
        <v>159</v>
      </c>
      <c r="H2148" s="265" t="s">
        <v>299</v>
      </c>
      <c r="I2148" s="265" t="s">
        <v>300</v>
      </c>
      <c r="J2148" s="265" t="s">
        <v>301</v>
      </c>
      <c r="K2148" s="266" t="s">
        <v>302</v>
      </c>
    </row>
    <row r="2149" spans="1:13" x14ac:dyDescent="0.35">
      <c r="A2149" s="221" t="s">
        <v>303</v>
      </c>
      <c r="B2149" s="222">
        <v>12466</v>
      </c>
      <c r="C2149" s="222"/>
      <c r="D2149" s="222"/>
      <c r="E2149" s="223"/>
      <c r="G2149" s="221" t="s">
        <v>303</v>
      </c>
      <c r="H2149" s="222"/>
      <c r="I2149" s="222"/>
      <c r="J2149" s="222"/>
      <c r="K2149" s="223"/>
    </row>
    <row r="2150" spans="1:13" x14ac:dyDescent="0.35">
      <c r="A2150" s="225" t="s">
        <v>304</v>
      </c>
      <c r="B2150" s="226"/>
      <c r="C2150" s="226"/>
      <c r="D2150" s="226"/>
      <c r="E2150" s="227"/>
      <c r="G2150" s="225"/>
      <c r="H2150" s="226"/>
      <c r="I2150" s="226"/>
      <c r="J2150" s="226"/>
      <c r="K2150" s="227"/>
    </row>
    <row r="2151" spans="1:13" x14ac:dyDescent="0.35">
      <c r="A2151" s="225"/>
      <c r="B2151" s="226"/>
      <c r="C2151" s="226"/>
      <c r="D2151" s="226"/>
      <c r="E2151" s="227"/>
      <c r="G2151" s="225"/>
      <c r="H2151" s="226"/>
      <c r="I2151" s="226"/>
      <c r="J2151" s="226"/>
      <c r="K2151" s="227"/>
    </row>
    <row r="2152" spans="1:13" x14ac:dyDescent="0.35">
      <c r="A2152" s="221"/>
      <c r="B2152" s="222"/>
      <c r="C2152" s="222"/>
      <c r="D2152" s="222"/>
      <c r="E2152" s="223"/>
      <c r="G2152" s="221"/>
      <c r="H2152" s="222"/>
      <c r="I2152" s="222"/>
      <c r="J2152" s="222"/>
      <c r="K2152" s="223"/>
    </row>
    <row r="2153" spans="1:13" x14ac:dyDescent="0.35">
      <c r="A2153" s="225"/>
      <c r="B2153" s="226"/>
      <c r="C2153" s="226"/>
      <c r="D2153" s="226"/>
      <c r="E2153" s="227"/>
      <c r="G2153" s="225"/>
      <c r="H2153" s="226"/>
      <c r="I2153" s="226"/>
      <c r="J2153" s="226"/>
      <c r="K2153" s="227"/>
    </row>
    <row r="2154" spans="1:13" ht="15" thickBot="1" x14ac:dyDescent="0.4">
      <c r="A2154" s="218" t="s">
        <v>34</v>
      </c>
      <c r="B2154" s="219">
        <f>SUM(B2149:B2153)</f>
        <v>12466</v>
      </c>
      <c r="C2154" s="219">
        <f>SUM(C2149:C2153)</f>
        <v>0</v>
      </c>
      <c r="D2154" s="219">
        <f>SUM(D2149:D2153)</f>
        <v>0</v>
      </c>
      <c r="E2154" s="219">
        <f>SUM(E2149:E2153)</f>
        <v>0</v>
      </c>
      <c r="G2154" s="218" t="s">
        <v>34</v>
      </c>
      <c r="H2154" s="219">
        <f>SUM(H2149:H2153)</f>
        <v>0</v>
      </c>
      <c r="I2154" s="219">
        <f>SUM(I2149:I2153)</f>
        <v>0</v>
      </c>
      <c r="J2154" s="219">
        <f>SUM(J2149:J2153)</f>
        <v>0</v>
      </c>
      <c r="K2154" s="219">
        <f>SUM(K2149:K2153)</f>
        <v>0</v>
      </c>
    </row>
    <row r="2155" spans="1:13" x14ac:dyDescent="0.35">
      <c r="A2155" s="220" t="s">
        <v>305</v>
      </c>
      <c r="B2155" s="220">
        <f>+B2154+C2154+D2154+E2154</f>
        <v>12466</v>
      </c>
      <c r="C2155" s="220"/>
      <c r="D2155" s="220"/>
      <c r="E2155" s="220"/>
      <c r="G2155" s="220" t="s">
        <v>305</v>
      </c>
      <c r="H2155" s="220">
        <f>+H2154+I2154+J2154+K2154</f>
        <v>0</v>
      </c>
      <c r="I2155" s="220"/>
      <c r="J2155" s="220"/>
      <c r="K2155" s="220"/>
    </row>
    <row r="2156" spans="1:13" ht="15" thickBot="1" x14ac:dyDescent="0.4"/>
    <row r="2157" spans="1:13" ht="34.5" customHeight="1" thickBot="1" x14ac:dyDescent="0.4">
      <c r="A2157" s="316" t="s">
        <v>334</v>
      </c>
      <c r="B2157" s="317"/>
      <c r="C2157" s="317"/>
      <c r="D2157" s="317"/>
      <c r="E2157" s="317"/>
      <c r="F2157" s="318"/>
      <c r="G2157" s="324">
        <f>SUMIF($A$1849:M2156,"*"&amp;K2157&amp;"*",$B$1849:N2156)</f>
        <v>334562</v>
      </c>
      <c r="H2157" s="319"/>
      <c r="I2157" s="319"/>
      <c r="J2157" s="325"/>
      <c r="K2157" s="322" t="s">
        <v>305</v>
      </c>
      <c r="L2157" s="323"/>
      <c r="M2157" s="228">
        <f>+G2157</f>
        <v>334562</v>
      </c>
    </row>
    <row r="2159" spans="1:13" ht="15" thickBot="1" x14ac:dyDescent="0.4">
      <c r="A2159" s="315" t="s">
        <v>298</v>
      </c>
      <c r="B2159" s="315"/>
      <c r="C2159" s="315"/>
      <c r="D2159" s="315"/>
      <c r="E2159" s="315"/>
      <c r="G2159" s="315" t="s">
        <v>314</v>
      </c>
      <c r="H2159" s="315"/>
      <c r="I2159" s="315"/>
      <c r="J2159" s="315"/>
      <c r="K2159" s="315"/>
    </row>
    <row r="2160" spans="1:13" ht="15" thickTop="1" x14ac:dyDescent="0.35">
      <c r="A2160" s="313">
        <v>45505</v>
      </c>
      <c r="B2160" s="313"/>
      <c r="C2160" s="313"/>
      <c r="D2160" s="313"/>
      <c r="E2160" s="313"/>
      <c r="G2160" s="326">
        <v>45505</v>
      </c>
      <c r="H2160" s="326"/>
      <c r="I2160" s="326"/>
      <c r="J2160" s="326"/>
      <c r="K2160" s="326"/>
    </row>
    <row r="2161" spans="1:11" x14ac:dyDescent="0.35">
      <c r="A2161" s="261" t="s">
        <v>159</v>
      </c>
      <c r="B2161" s="262" t="s">
        <v>299</v>
      </c>
      <c r="C2161" s="262" t="s">
        <v>300</v>
      </c>
      <c r="D2161" s="262" t="s">
        <v>301</v>
      </c>
      <c r="E2161" s="263" t="s">
        <v>302</v>
      </c>
      <c r="G2161" s="264" t="s">
        <v>159</v>
      </c>
      <c r="H2161" s="265" t="s">
        <v>299</v>
      </c>
      <c r="I2161" s="265" t="s">
        <v>300</v>
      </c>
      <c r="J2161" s="265" t="s">
        <v>301</v>
      </c>
      <c r="K2161" s="266" t="s">
        <v>302</v>
      </c>
    </row>
    <row r="2162" spans="1:11" x14ac:dyDescent="0.35">
      <c r="A2162" s="221" t="s">
        <v>303</v>
      </c>
      <c r="B2162" s="222">
        <v>4245</v>
      </c>
      <c r="C2162" s="222"/>
      <c r="D2162" s="222"/>
      <c r="E2162" s="223"/>
      <c r="G2162" s="221"/>
      <c r="H2162" s="222">
        <v>1005</v>
      </c>
      <c r="I2162" s="222"/>
      <c r="J2162" s="222"/>
      <c r="K2162" s="223"/>
    </row>
    <row r="2163" spans="1:11" x14ac:dyDescent="0.35">
      <c r="A2163" s="225" t="s">
        <v>304</v>
      </c>
      <c r="B2163" s="226">
        <v>4365</v>
      </c>
      <c r="C2163" s="226"/>
      <c r="D2163" s="226"/>
      <c r="E2163" s="227"/>
      <c r="G2163" s="225"/>
      <c r="H2163" s="226"/>
      <c r="I2163" s="226"/>
      <c r="J2163" s="226"/>
      <c r="K2163" s="227"/>
    </row>
    <row r="2164" spans="1:11" x14ac:dyDescent="0.35">
      <c r="A2164" s="225"/>
      <c r="B2164" s="226"/>
      <c r="C2164" s="226"/>
      <c r="D2164" s="226"/>
      <c r="E2164" s="227"/>
      <c r="G2164" s="225"/>
      <c r="H2164" s="226"/>
      <c r="I2164" s="226"/>
      <c r="J2164" s="226"/>
      <c r="K2164" s="227"/>
    </row>
    <row r="2165" spans="1:11" x14ac:dyDescent="0.35">
      <c r="A2165" s="221"/>
      <c r="B2165" s="222"/>
      <c r="C2165" s="222"/>
      <c r="D2165" s="222"/>
      <c r="E2165" s="223"/>
      <c r="G2165" s="221"/>
      <c r="H2165" s="222"/>
      <c r="I2165" s="222"/>
      <c r="J2165" s="222"/>
      <c r="K2165" s="223"/>
    </row>
    <row r="2166" spans="1:11" x14ac:dyDescent="0.35">
      <c r="A2166" s="225"/>
      <c r="B2166" s="226"/>
      <c r="C2166" s="226"/>
      <c r="D2166" s="226"/>
      <c r="E2166" s="227"/>
      <c r="G2166" s="225"/>
      <c r="H2166" s="226"/>
      <c r="I2166" s="226"/>
      <c r="J2166" s="226"/>
      <c r="K2166" s="227"/>
    </row>
    <row r="2167" spans="1:11" ht="15" thickBot="1" x14ac:dyDescent="0.4">
      <c r="A2167" s="218" t="s">
        <v>34</v>
      </c>
      <c r="B2167" s="219">
        <f>SUM(B2162:B2166)</f>
        <v>8610</v>
      </c>
      <c r="C2167" s="219">
        <f>SUM(C2162:C2166)</f>
        <v>0</v>
      </c>
      <c r="D2167" s="219">
        <f>SUM(D2162:D2166)</f>
        <v>0</v>
      </c>
      <c r="E2167" s="219">
        <f>SUM(E2162:E2166)</f>
        <v>0</v>
      </c>
      <c r="G2167" s="218" t="s">
        <v>34</v>
      </c>
      <c r="H2167" s="219">
        <f>SUM(H2162:H2166)</f>
        <v>1005</v>
      </c>
      <c r="I2167" s="219">
        <f>SUM(I2162:I2166)</f>
        <v>0</v>
      </c>
      <c r="J2167" s="219">
        <f>SUM(J2162:J2166)</f>
        <v>0</v>
      </c>
      <c r="K2167" s="219">
        <f>SUM(K2162:K2166)</f>
        <v>0</v>
      </c>
    </row>
    <row r="2168" spans="1:11" x14ac:dyDescent="0.35">
      <c r="A2168" s="220" t="s">
        <v>305</v>
      </c>
      <c r="B2168" s="220">
        <f>+B2167+C2167+D2167+E2167</f>
        <v>8610</v>
      </c>
      <c r="C2168" s="220"/>
      <c r="D2168" s="220"/>
      <c r="E2168" s="220"/>
      <c r="G2168" s="220" t="s">
        <v>305</v>
      </c>
      <c r="H2168" s="220">
        <f>+H2167+I2167+J2167+K2167</f>
        <v>1005</v>
      </c>
      <c r="I2168" s="220"/>
      <c r="J2168" s="220"/>
      <c r="K2168" s="220"/>
    </row>
    <row r="2169" spans="1:11" ht="15" thickBot="1" x14ac:dyDescent="0.4">
      <c r="A2169" s="315" t="s">
        <v>298</v>
      </c>
      <c r="B2169" s="315"/>
      <c r="C2169" s="315"/>
      <c r="D2169" s="315"/>
      <c r="E2169" s="315"/>
      <c r="G2169" s="315" t="s">
        <v>314</v>
      </c>
      <c r="H2169" s="315"/>
      <c r="I2169" s="315"/>
      <c r="J2169" s="315"/>
      <c r="K2169" s="315"/>
    </row>
    <row r="2170" spans="1:11" ht="15" thickTop="1" x14ac:dyDescent="0.35">
      <c r="A2170" s="313">
        <v>45506</v>
      </c>
      <c r="B2170" s="313"/>
      <c r="C2170" s="313"/>
      <c r="D2170" s="313"/>
      <c r="E2170" s="313"/>
      <c r="G2170" s="326">
        <v>45506</v>
      </c>
      <c r="H2170" s="326"/>
      <c r="I2170" s="326"/>
      <c r="J2170" s="326"/>
      <c r="K2170" s="326"/>
    </row>
    <row r="2171" spans="1:11" x14ac:dyDescent="0.35">
      <c r="A2171" s="261" t="s">
        <v>159</v>
      </c>
      <c r="B2171" s="262" t="s">
        <v>299</v>
      </c>
      <c r="C2171" s="262" t="s">
        <v>300</v>
      </c>
      <c r="D2171" s="262" t="s">
        <v>301</v>
      </c>
      <c r="E2171" s="263" t="s">
        <v>302</v>
      </c>
      <c r="G2171" s="264" t="s">
        <v>159</v>
      </c>
      <c r="H2171" s="265" t="s">
        <v>299</v>
      </c>
      <c r="I2171" s="265" t="s">
        <v>300</v>
      </c>
      <c r="J2171" s="265" t="s">
        <v>301</v>
      </c>
      <c r="K2171" s="266" t="s">
        <v>302</v>
      </c>
    </row>
    <row r="2172" spans="1:11" x14ac:dyDescent="0.35">
      <c r="A2172" s="221" t="s">
        <v>303</v>
      </c>
      <c r="B2172" s="222">
        <v>9304</v>
      </c>
      <c r="C2172" s="222"/>
      <c r="D2172" s="222"/>
      <c r="E2172" s="223"/>
      <c r="G2172" s="221" t="s">
        <v>303</v>
      </c>
      <c r="H2172" s="222">
        <v>988</v>
      </c>
      <c r="I2172" s="222"/>
      <c r="J2172" s="222"/>
      <c r="K2172" s="223"/>
    </row>
    <row r="2173" spans="1:11" x14ac:dyDescent="0.35">
      <c r="A2173" s="225" t="s">
        <v>304</v>
      </c>
      <c r="B2173" s="226"/>
      <c r="C2173" s="226"/>
      <c r="D2173" s="226"/>
      <c r="E2173" s="227"/>
      <c r="G2173" s="225"/>
      <c r="H2173" s="226"/>
      <c r="I2173" s="226"/>
      <c r="J2173" s="226"/>
      <c r="K2173" s="227"/>
    </row>
    <row r="2174" spans="1:11" x14ac:dyDescent="0.35">
      <c r="A2174" s="225"/>
      <c r="B2174" s="226"/>
      <c r="C2174" s="226"/>
      <c r="D2174" s="226"/>
      <c r="E2174" s="227"/>
      <c r="G2174" s="225"/>
      <c r="H2174" s="226"/>
      <c r="I2174" s="226"/>
      <c r="J2174" s="226"/>
      <c r="K2174" s="227"/>
    </row>
    <row r="2175" spans="1:11" x14ac:dyDescent="0.35">
      <c r="A2175" s="221"/>
      <c r="B2175" s="222"/>
      <c r="C2175" s="222"/>
      <c r="D2175" s="222"/>
      <c r="E2175" s="223"/>
      <c r="G2175" s="221"/>
      <c r="H2175" s="222"/>
      <c r="I2175" s="222"/>
      <c r="J2175" s="222"/>
      <c r="K2175" s="223"/>
    </row>
    <row r="2176" spans="1:11" x14ac:dyDescent="0.35">
      <c r="A2176" s="225"/>
      <c r="B2176" s="226"/>
      <c r="C2176" s="226"/>
      <c r="D2176" s="226"/>
      <c r="E2176" s="227"/>
      <c r="G2176" s="225"/>
      <c r="H2176" s="226"/>
      <c r="I2176" s="226"/>
      <c r="J2176" s="226"/>
      <c r="K2176" s="227"/>
    </row>
    <row r="2177" spans="1:11" ht="15" thickBot="1" x14ac:dyDescent="0.4">
      <c r="A2177" s="218" t="s">
        <v>34</v>
      </c>
      <c r="B2177" s="219">
        <f t="shared" ref="B2177:E2177" si="0">SUM(B2172:B2176)</f>
        <v>9304</v>
      </c>
      <c r="C2177" s="219">
        <f t="shared" si="0"/>
        <v>0</v>
      </c>
      <c r="D2177" s="219">
        <f t="shared" si="0"/>
        <v>0</v>
      </c>
      <c r="E2177" s="219">
        <f t="shared" si="0"/>
        <v>0</v>
      </c>
      <c r="G2177" s="218" t="s">
        <v>34</v>
      </c>
      <c r="H2177" s="219">
        <f t="shared" ref="H2177:K2177" si="1">SUM(H2172:H2176)</f>
        <v>988</v>
      </c>
      <c r="I2177" s="219">
        <f t="shared" si="1"/>
        <v>0</v>
      </c>
      <c r="J2177" s="219">
        <f t="shared" si="1"/>
        <v>0</v>
      </c>
      <c r="K2177" s="219">
        <f t="shared" si="1"/>
        <v>0</v>
      </c>
    </row>
    <row r="2178" spans="1:11" x14ac:dyDescent="0.35">
      <c r="A2178" s="220" t="s">
        <v>305</v>
      </c>
      <c r="B2178" s="220">
        <f t="shared" ref="B2178" si="2">+B2177+C2177+D2177+E2177</f>
        <v>9304</v>
      </c>
      <c r="C2178" s="220"/>
      <c r="D2178" s="220"/>
      <c r="E2178" s="220"/>
      <c r="G2178" s="220" t="s">
        <v>305</v>
      </c>
      <c r="H2178" s="220">
        <f t="shared" ref="H2178" si="3">+H2177+I2177+J2177+K2177</f>
        <v>988</v>
      </c>
      <c r="I2178" s="220"/>
      <c r="J2178" s="220"/>
      <c r="K2178" s="220"/>
    </row>
    <row r="2179" spans="1:11" ht="15" thickBot="1" x14ac:dyDescent="0.4">
      <c r="A2179" s="315" t="s">
        <v>298</v>
      </c>
      <c r="B2179" s="315"/>
      <c r="C2179" s="315"/>
      <c r="D2179" s="315"/>
      <c r="E2179" s="315"/>
      <c r="G2179" s="315" t="s">
        <v>314</v>
      </c>
      <c r="H2179" s="315"/>
      <c r="I2179" s="315"/>
      <c r="J2179" s="315"/>
      <c r="K2179" s="315"/>
    </row>
    <row r="2180" spans="1:11" ht="15" thickTop="1" x14ac:dyDescent="0.35">
      <c r="A2180" s="313">
        <v>45507</v>
      </c>
      <c r="B2180" s="313"/>
      <c r="C2180" s="313"/>
      <c r="D2180" s="313"/>
      <c r="E2180" s="313"/>
      <c r="G2180" s="326">
        <v>45507</v>
      </c>
      <c r="H2180" s="326"/>
      <c r="I2180" s="326"/>
      <c r="J2180" s="326"/>
      <c r="K2180" s="326"/>
    </row>
    <row r="2181" spans="1:11" x14ac:dyDescent="0.35">
      <c r="A2181" s="261" t="s">
        <v>159</v>
      </c>
      <c r="B2181" s="262" t="s">
        <v>299</v>
      </c>
      <c r="C2181" s="262" t="s">
        <v>300</v>
      </c>
      <c r="D2181" s="262" t="s">
        <v>301</v>
      </c>
      <c r="E2181" s="263" t="s">
        <v>302</v>
      </c>
      <c r="G2181" s="264" t="s">
        <v>159</v>
      </c>
      <c r="H2181" s="265" t="s">
        <v>299</v>
      </c>
      <c r="I2181" s="265" t="s">
        <v>300</v>
      </c>
      <c r="J2181" s="265" t="s">
        <v>301</v>
      </c>
      <c r="K2181" s="266" t="s">
        <v>302</v>
      </c>
    </row>
    <row r="2182" spans="1:11" x14ac:dyDescent="0.35">
      <c r="A2182" s="221" t="s">
        <v>303</v>
      </c>
      <c r="B2182" s="222">
        <v>7838</v>
      </c>
      <c r="C2182" s="222"/>
      <c r="D2182" s="222"/>
      <c r="E2182" s="223"/>
      <c r="G2182" s="221" t="s">
        <v>303</v>
      </c>
      <c r="H2182" s="222">
        <v>2500</v>
      </c>
      <c r="I2182" s="222"/>
      <c r="J2182" s="222"/>
      <c r="K2182" s="223"/>
    </row>
    <row r="2183" spans="1:11" x14ac:dyDescent="0.35">
      <c r="A2183" s="225" t="s">
        <v>304</v>
      </c>
      <c r="B2183" s="226"/>
      <c r="C2183" s="226"/>
      <c r="D2183" s="226"/>
      <c r="E2183" s="227"/>
      <c r="G2183" s="225"/>
      <c r="H2183" s="226"/>
      <c r="I2183" s="226"/>
      <c r="J2183" s="226"/>
      <c r="K2183" s="227"/>
    </row>
    <row r="2184" spans="1:11" x14ac:dyDescent="0.35">
      <c r="A2184" s="225"/>
      <c r="B2184" s="226"/>
      <c r="C2184" s="226"/>
      <c r="D2184" s="226"/>
      <c r="E2184" s="227"/>
      <c r="G2184" s="225"/>
      <c r="H2184" s="226"/>
      <c r="I2184" s="226"/>
      <c r="J2184" s="226"/>
      <c r="K2184" s="227"/>
    </row>
    <row r="2185" spans="1:11" x14ac:dyDescent="0.35">
      <c r="A2185" s="221"/>
      <c r="B2185" s="222"/>
      <c r="C2185" s="222"/>
      <c r="D2185" s="222"/>
      <c r="E2185" s="223"/>
      <c r="G2185" s="221"/>
      <c r="H2185" s="222"/>
      <c r="I2185" s="222"/>
      <c r="J2185" s="222"/>
      <c r="K2185" s="223"/>
    </row>
    <row r="2186" spans="1:11" x14ac:dyDescent="0.35">
      <c r="A2186" s="225"/>
      <c r="B2186" s="226"/>
      <c r="C2186" s="226"/>
      <c r="D2186" s="226"/>
      <c r="E2186" s="227"/>
      <c r="G2186" s="225"/>
      <c r="H2186" s="226"/>
      <c r="I2186" s="226"/>
      <c r="J2186" s="226"/>
      <c r="K2186" s="227"/>
    </row>
    <row r="2187" spans="1:11" ht="15" thickBot="1" x14ac:dyDescent="0.4">
      <c r="A2187" s="218" t="s">
        <v>34</v>
      </c>
      <c r="B2187" s="219">
        <f t="shared" ref="B2187:E2187" si="4">SUM(B2182:B2186)</f>
        <v>7838</v>
      </c>
      <c r="C2187" s="219">
        <f t="shared" si="4"/>
        <v>0</v>
      </c>
      <c r="D2187" s="219">
        <f t="shared" si="4"/>
        <v>0</v>
      </c>
      <c r="E2187" s="219">
        <f t="shared" si="4"/>
        <v>0</v>
      </c>
      <c r="G2187" s="218" t="s">
        <v>34</v>
      </c>
      <c r="H2187" s="219">
        <f t="shared" ref="H2187:K2187" si="5">SUM(H2182:H2186)</f>
        <v>2500</v>
      </c>
      <c r="I2187" s="219">
        <f t="shared" si="5"/>
        <v>0</v>
      </c>
      <c r="J2187" s="219">
        <f t="shared" si="5"/>
        <v>0</v>
      </c>
      <c r="K2187" s="219">
        <f t="shared" si="5"/>
        <v>0</v>
      </c>
    </row>
    <row r="2188" spans="1:11" x14ac:dyDescent="0.35">
      <c r="A2188" s="220" t="s">
        <v>305</v>
      </c>
      <c r="B2188" s="220">
        <f t="shared" ref="B2188" si="6">+B2187+C2187+D2187+E2187</f>
        <v>7838</v>
      </c>
      <c r="C2188" s="220"/>
      <c r="D2188" s="220"/>
      <c r="E2188" s="220"/>
      <c r="G2188" s="220" t="s">
        <v>305</v>
      </c>
      <c r="H2188" s="220">
        <f t="shared" ref="H2188" si="7">+H2187+I2187+J2187+K2187</f>
        <v>2500</v>
      </c>
      <c r="I2188" s="220"/>
      <c r="J2188" s="220"/>
      <c r="K2188" s="220"/>
    </row>
    <row r="2189" spans="1:11" ht="15" thickBot="1" x14ac:dyDescent="0.4">
      <c r="A2189" s="315" t="s">
        <v>298</v>
      </c>
      <c r="B2189" s="315"/>
      <c r="C2189" s="315"/>
      <c r="D2189" s="315"/>
      <c r="E2189" s="315"/>
      <c r="G2189" s="315" t="s">
        <v>314</v>
      </c>
      <c r="H2189" s="315"/>
      <c r="I2189" s="315"/>
      <c r="J2189" s="315"/>
      <c r="K2189" s="315"/>
    </row>
    <row r="2190" spans="1:11" ht="15" thickTop="1" x14ac:dyDescent="0.35">
      <c r="A2190" s="313">
        <v>45508</v>
      </c>
      <c r="B2190" s="313"/>
      <c r="C2190" s="313"/>
      <c r="D2190" s="313"/>
      <c r="E2190" s="313"/>
      <c r="G2190" s="326">
        <v>45508</v>
      </c>
      <c r="H2190" s="326"/>
      <c r="I2190" s="326"/>
      <c r="J2190" s="326"/>
      <c r="K2190" s="326"/>
    </row>
    <row r="2191" spans="1:11" x14ac:dyDescent="0.35">
      <c r="A2191" s="261" t="s">
        <v>159</v>
      </c>
      <c r="B2191" s="262" t="s">
        <v>299</v>
      </c>
      <c r="C2191" s="262" t="s">
        <v>300</v>
      </c>
      <c r="D2191" s="262" t="s">
        <v>301</v>
      </c>
      <c r="E2191" s="263" t="s">
        <v>302</v>
      </c>
      <c r="G2191" s="264" t="s">
        <v>159</v>
      </c>
      <c r="H2191" s="265" t="s">
        <v>299</v>
      </c>
      <c r="I2191" s="265" t="s">
        <v>300</v>
      </c>
      <c r="J2191" s="265" t="s">
        <v>301</v>
      </c>
      <c r="K2191" s="266" t="s">
        <v>302</v>
      </c>
    </row>
    <row r="2192" spans="1:11" x14ac:dyDescent="0.35">
      <c r="A2192" s="221" t="s">
        <v>303</v>
      </c>
      <c r="B2192" s="222">
        <v>14170</v>
      </c>
      <c r="C2192" s="222"/>
      <c r="D2192" s="222"/>
      <c r="E2192" s="223"/>
      <c r="G2192" s="221" t="s">
        <v>303</v>
      </c>
      <c r="H2192" s="222">
        <v>4207</v>
      </c>
      <c r="I2192" s="222"/>
      <c r="J2192" s="222"/>
      <c r="K2192" s="223"/>
    </row>
    <row r="2193" spans="1:11" x14ac:dyDescent="0.35">
      <c r="A2193" s="225" t="s">
        <v>304</v>
      </c>
      <c r="B2193" s="226">
        <v>633</v>
      </c>
      <c r="C2193" s="226"/>
      <c r="D2193" s="226"/>
      <c r="E2193" s="227"/>
      <c r="G2193" s="225"/>
      <c r="H2193" s="226"/>
      <c r="I2193" s="226"/>
      <c r="J2193" s="226"/>
      <c r="K2193" s="227"/>
    </row>
    <row r="2194" spans="1:11" x14ac:dyDescent="0.35">
      <c r="A2194" s="225"/>
      <c r="B2194" s="226"/>
      <c r="C2194" s="226"/>
      <c r="D2194" s="226"/>
      <c r="E2194" s="227"/>
      <c r="G2194" s="225"/>
      <c r="H2194" s="226"/>
      <c r="I2194" s="226"/>
      <c r="J2194" s="226"/>
      <c r="K2194" s="227"/>
    </row>
    <row r="2195" spans="1:11" x14ac:dyDescent="0.35">
      <c r="A2195" s="221"/>
      <c r="B2195" s="222"/>
      <c r="C2195" s="222"/>
      <c r="D2195" s="222"/>
      <c r="E2195" s="223"/>
      <c r="G2195" s="221"/>
      <c r="H2195" s="222"/>
      <c r="I2195" s="222"/>
      <c r="J2195" s="222"/>
      <c r="K2195" s="223"/>
    </row>
    <row r="2196" spans="1:11" x14ac:dyDescent="0.35">
      <c r="A2196" s="225"/>
      <c r="B2196" s="226"/>
      <c r="C2196" s="226"/>
      <c r="D2196" s="226"/>
      <c r="E2196" s="227"/>
      <c r="G2196" s="225"/>
      <c r="H2196" s="226"/>
      <c r="I2196" s="226"/>
      <c r="J2196" s="226"/>
      <c r="K2196" s="227"/>
    </row>
    <row r="2197" spans="1:11" ht="15" thickBot="1" x14ac:dyDescent="0.4">
      <c r="A2197" s="218" t="s">
        <v>34</v>
      </c>
      <c r="B2197" s="219">
        <f t="shared" ref="B2197:E2197" si="8">SUM(B2192:B2196)</f>
        <v>14803</v>
      </c>
      <c r="C2197" s="219">
        <f t="shared" si="8"/>
        <v>0</v>
      </c>
      <c r="D2197" s="219">
        <f t="shared" si="8"/>
        <v>0</v>
      </c>
      <c r="E2197" s="219">
        <f t="shared" si="8"/>
        <v>0</v>
      </c>
      <c r="G2197" s="218" t="s">
        <v>34</v>
      </c>
      <c r="H2197" s="219">
        <f t="shared" ref="H2197:K2197" si="9">SUM(H2192:H2196)</f>
        <v>4207</v>
      </c>
      <c r="I2197" s="219">
        <f t="shared" si="9"/>
        <v>0</v>
      </c>
      <c r="J2197" s="219">
        <f t="shared" si="9"/>
        <v>0</v>
      </c>
      <c r="K2197" s="219">
        <f t="shared" si="9"/>
        <v>0</v>
      </c>
    </row>
    <row r="2198" spans="1:11" x14ac:dyDescent="0.35">
      <c r="A2198" s="220" t="s">
        <v>305</v>
      </c>
      <c r="B2198" s="220">
        <f t="shared" ref="B2198" si="10">+B2197+C2197+D2197+E2197</f>
        <v>14803</v>
      </c>
      <c r="C2198" s="220"/>
      <c r="D2198" s="220"/>
      <c r="E2198" s="220"/>
      <c r="G2198" s="220" t="s">
        <v>305</v>
      </c>
      <c r="H2198" s="220">
        <f t="shared" ref="H2198" si="11">+H2197+I2197+J2197+K2197</f>
        <v>4207</v>
      </c>
      <c r="I2198" s="220"/>
      <c r="J2198" s="220"/>
      <c r="K2198" s="220"/>
    </row>
    <row r="2199" spans="1:11" ht="15" thickBot="1" x14ac:dyDescent="0.4">
      <c r="A2199" s="315" t="s">
        <v>298</v>
      </c>
      <c r="B2199" s="315"/>
      <c r="C2199" s="315"/>
      <c r="D2199" s="315"/>
      <c r="E2199" s="315"/>
      <c r="G2199" s="315" t="s">
        <v>314</v>
      </c>
      <c r="H2199" s="315"/>
      <c r="I2199" s="315"/>
      <c r="J2199" s="315"/>
      <c r="K2199" s="315"/>
    </row>
    <row r="2200" spans="1:11" ht="15" thickTop="1" x14ac:dyDescent="0.35">
      <c r="A2200" s="313">
        <v>45509</v>
      </c>
      <c r="B2200" s="313"/>
      <c r="C2200" s="313"/>
      <c r="D2200" s="313"/>
      <c r="E2200" s="313"/>
      <c r="G2200" s="326">
        <v>45509</v>
      </c>
      <c r="H2200" s="326"/>
      <c r="I2200" s="326"/>
      <c r="J2200" s="326"/>
      <c r="K2200" s="326"/>
    </row>
    <row r="2201" spans="1:11" x14ac:dyDescent="0.35">
      <c r="A2201" s="261" t="s">
        <v>159</v>
      </c>
      <c r="B2201" s="262" t="s">
        <v>299</v>
      </c>
      <c r="C2201" s="262" t="s">
        <v>300</v>
      </c>
      <c r="D2201" s="262" t="s">
        <v>301</v>
      </c>
      <c r="E2201" s="263" t="s">
        <v>302</v>
      </c>
      <c r="G2201" s="264" t="s">
        <v>159</v>
      </c>
      <c r="H2201" s="265" t="s">
        <v>299</v>
      </c>
      <c r="I2201" s="265" t="s">
        <v>300</v>
      </c>
      <c r="J2201" s="265" t="s">
        <v>301</v>
      </c>
      <c r="K2201" s="266" t="s">
        <v>302</v>
      </c>
    </row>
    <row r="2202" spans="1:11" x14ac:dyDescent="0.35">
      <c r="A2202" s="221" t="s">
        <v>303</v>
      </c>
      <c r="B2202" s="222">
        <v>9965</v>
      </c>
      <c r="C2202" s="222"/>
      <c r="D2202" s="222"/>
      <c r="E2202" s="223"/>
      <c r="G2202" s="221" t="s">
        <v>303</v>
      </c>
      <c r="H2202" s="222">
        <v>1186</v>
      </c>
      <c r="I2202" s="222"/>
      <c r="J2202" s="222"/>
      <c r="K2202" s="223"/>
    </row>
    <row r="2203" spans="1:11" x14ac:dyDescent="0.35">
      <c r="A2203" s="225" t="s">
        <v>304</v>
      </c>
      <c r="B2203" s="226">
        <v>5003</v>
      </c>
      <c r="C2203" s="226"/>
      <c r="D2203" s="226"/>
      <c r="E2203" s="227"/>
      <c r="G2203" s="225"/>
      <c r="H2203" s="226"/>
      <c r="I2203" s="226"/>
      <c r="J2203" s="226"/>
      <c r="K2203" s="227"/>
    </row>
    <row r="2204" spans="1:11" x14ac:dyDescent="0.35">
      <c r="A2204" s="225"/>
      <c r="B2204" s="226"/>
      <c r="C2204" s="226"/>
      <c r="D2204" s="226"/>
      <c r="E2204" s="227"/>
      <c r="G2204" s="225"/>
      <c r="H2204" s="226"/>
      <c r="I2204" s="226"/>
      <c r="J2204" s="226"/>
      <c r="K2204" s="227"/>
    </row>
    <row r="2205" spans="1:11" x14ac:dyDescent="0.35">
      <c r="A2205" s="221"/>
      <c r="B2205" s="222"/>
      <c r="C2205" s="222"/>
      <c r="D2205" s="222"/>
      <c r="E2205" s="223"/>
      <c r="G2205" s="221"/>
      <c r="H2205" s="222"/>
      <c r="I2205" s="222"/>
      <c r="J2205" s="222"/>
      <c r="K2205" s="223"/>
    </row>
    <row r="2206" spans="1:11" x14ac:dyDescent="0.35">
      <c r="A2206" s="225"/>
      <c r="B2206" s="226"/>
      <c r="C2206" s="226"/>
      <c r="D2206" s="226"/>
      <c r="E2206" s="227"/>
      <c r="G2206" s="225"/>
      <c r="H2206" s="226"/>
      <c r="I2206" s="226"/>
      <c r="J2206" s="226"/>
      <c r="K2206" s="227"/>
    </row>
    <row r="2207" spans="1:11" ht="15" thickBot="1" x14ac:dyDescent="0.4">
      <c r="A2207" s="218" t="s">
        <v>34</v>
      </c>
      <c r="B2207" s="219">
        <f t="shared" ref="B2207:E2207" si="12">SUM(B2202:B2206)</f>
        <v>14968</v>
      </c>
      <c r="C2207" s="219">
        <f t="shared" si="12"/>
        <v>0</v>
      </c>
      <c r="D2207" s="219">
        <f t="shared" si="12"/>
        <v>0</v>
      </c>
      <c r="E2207" s="219">
        <f t="shared" si="12"/>
        <v>0</v>
      </c>
      <c r="G2207" s="218" t="s">
        <v>34</v>
      </c>
      <c r="H2207" s="219">
        <f t="shared" ref="H2207:K2207" si="13">SUM(H2202:H2206)</f>
        <v>1186</v>
      </c>
      <c r="I2207" s="219">
        <f t="shared" si="13"/>
        <v>0</v>
      </c>
      <c r="J2207" s="219">
        <f t="shared" si="13"/>
        <v>0</v>
      </c>
      <c r="K2207" s="219">
        <f t="shared" si="13"/>
        <v>0</v>
      </c>
    </row>
    <row r="2208" spans="1:11" x14ac:dyDescent="0.35">
      <c r="A2208" s="220" t="s">
        <v>305</v>
      </c>
      <c r="B2208" s="220">
        <f t="shared" ref="B2208" si="14">+B2207+C2207+D2207+E2207</f>
        <v>14968</v>
      </c>
      <c r="C2208" s="220"/>
      <c r="D2208" s="220"/>
      <c r="E2208" s="220"/>
      <c r="G2208" s="220" t="s">
        <v>305</v>
      </c>
      <c r="H2208" s="220">
        <f t="shared" ref="H2208" si="15">+H2207+I2207+J2207+K2207</f>
        <v>1186</v>
      </c>
      <c r="I2208" s="220"/>
      <c r="J2208" s="220"/>
      <c r="K2208" s="220"/>
    </row>
    <row r="2209" spans="1:11" ht="15" thickBot="1" x14ac:dyDescent="0.4">
      <c r="A2209" s="315" t="s">
        <v>298</v>
      </c>
      <c r="B2209" s="315"/>
      <c r="C2209" s="315"/>
      <c r="D2209" s="315"/>
      <c r="E2209" s="315"/>
      <c r="G2209" s="315" t="s">
        <v>314</v>
      </c>
      <c r="H2209" s="315"/>
      <c r="I2209" s="315"/>
      <c r="J2209" s="315"/>
      <c r="K2209" s="315"/>
    </row>
    <row r="2210" spans="1:11" ht="15" thickTop="1" x14ac:dyDescent="0.35">
      <c r="A2210" s="313">
        <v>45510</v>
      </c>
      <c r="B2210" s="313"/>
      <c r="C2210" s="313"/>
      <c r="D2210" s="313"/>
      <c r="E2210" s="313"/>
      <c r="G2210" s="326">
        <v>45510</v>
      </c>
      <c r="H2210" s="326"/>
      <c r="I2210" s="326"/>
      <c r="J2210" s="326"/>
      <c r="K2210" s="326"/>
    </row>
    <row r="2211" spans="1:11" x14ac:dyDescent="0.35">
      <c r="A2211" s="261" t="s">
        <v>159</v>
      </c>
      <c r="B2211" s="262" t="s">
        <v>299</v>
      </c>
      <c r="C2211" s="262" t="s">
        <v>300</v>
      </c>
      <c r="D2211" s="262" t="s">
        <v>301</v>
      </c>
      <c r="E2211" s="263" t="s">
        <v>302</v>
      </c>
      <c r="G2211" s="264" t="s">
        <v>159</v>
      </c>
      <c r="H2211" s="265" t="s">
        <v>299</v>
      </c>
      <c r="I2211" s="265" t="s">
        <v>300</v>
      </c>
      <c r="J2211" s="265" t="s">
        <v>301</v>
      </c>
      <c r="K2211" s="266" t="s">
        <v>302</v>
      </c>
    </row>
    <row r="2212" spans="1:11" x14ac:dyDescent="0.35">
      <c r="A2212" s="221" t="s">
        <v>303</v>
      </c>
      <c r="B2212" s="222"/>
      <c r="C2212" s="222"/>
      <c r="D2212" s="222"/>
      <c r="E2212" s="223"/>
      <c r="G2212" s="221" t="s">
        <v>303</v>
      </c>
      <c r="H2212" s="222">
        <v>483</v>
      </c>
      <c r="I2212" s="222"/>
      <c r="J2212" s="222"/>
      <c r="K2212" s="223"/>
    </row>
    <row r="2213" spans="1:11" x14ac:dyDescent="0.35">
      <c r="A2213" s="225" t="s">
        <v>304</v>
      </c>
      <c r="B2213" s="226"/>
      <c r="C2213" s="226"/>
      <c r="D2213" s="226"/>
      <c r="E2213" s="227"/>
      <c r="G2213" s="225"/>
      <c r="H2213" s="226"/>
      <c r="I2213" s="226"/>
      <c r="J2213" s="226"/>
      <c r="K2213" s="227"/>
    </row>
    <row r="2214" spans="1:11" x14ac:dyDescent="0.35">
      <c r="A2214" s="225"/>
      <c r="B2214" s="226"/>
      <c r="C2214" s="226"/>
      <c r="D2214" s="226"/>
      <c r="E2214" s="227"/>
      <c r="G2214" s="225"/>
      <c r="H2214" s="226"/>
      <c r="I2214" s="226"/>
      <c r="J2214" s="226"/>
      <c r="K2214" s="227"/>
    </row>
    <row r="2215" spans="1:11" x14ac:dyDescent="0.35">
      <c r="A2215" s="221"/>
      <c r="B2215" s="222"/>
      <c r="C2215" s="222"/>
      <c r="D2215" s="222"/>
      <c r="E2215" s="223"/>
      <c r="G2215" s="221"/>
      <c r="H2215" s="222"/>
      <c r="I2215" s="222"/>
      <c r="J2215" s="222"/>
      <c r="K2215" s="223"/>
    </row>
    <row r="2216" spans="1:11" x14ac:dyDescent="0.35">
      <c r="A2216" s="225"/>
      <c r="B2216" s="226"/>
      <c r="C2216" s="226"/>
      <c r="D2216" s="226"/>
      <c r="E2216" s="227"/>
      <c r="G2216" s="225"/>
      <c r="H2216" s="226"/>
      <c r="I2216" s="226"/>
      <c r="J2216" s="226"/>
      <c r="K2216" s="227"/>
    </row>
    <row r="2217" spans="1:11" ht="15" thickBot="1" x14ac:dyDescent="0.4">
      <c r="A2217" s="218" t="s">
        <v>34</v>
      </c>
      <c r="B2217" s="219">
        <f t="shared" ref="B2217:E2217" si="16">SUM(B2212:B2216)</f>
        <v>0</v>
      </c>
      <c r="C2217" s="219">
        <f t="shared" si="16"/>
        <v>0</v>
      </c>
      <c r="D2217" s="219">
        <f t="shared" si="16"/>
        <v>0</v>
      </c>
      <c r="E2217" s="219">
        <f t="shared" si="16"/>
        <v>0</v>
      </c>
      <c r="G2217" s="218" t="s">
        <v>34</v>
      </c>
      <c r="H2217" s="219">
        <f t="shared" ref="H2217:K2217" si="17">SUM(H2212:H2216)</f>
        <v>483</v>
      </c>
      <c r="I2217" s="219">
        <f t="shared" si="17"/>
        <v>0</v>
      </c>
      <c r="J2217" s="219">
        <f t="shared" si="17"/>
        <v>0</v>
      </c>
      <c r="K2217" s="219">
        <f t="shared" si="17"/>
        <v>0</v>
      </c>
    </row>
    <row r="2218" spans="1:11" x14ac:dyDescent="0.35">
      <c r="A2218" s="220" t="s">
        <v>305</v>
      </c>
      <c r="B2218" s="220">
        <f t="shared" ref="B2218" si="18">+B2217+C2217+D2217+E2217</f>
        <v>0</v>
      </c>
      <c r="C2218" s="220"/>
      <c r="D2218" s="220"/>
      <c r="E2218" s="220"/>
      <c r="G2218" s="220" t="s">
        <v>305</v>
      </c>
      <c r="H2218" s="220">
        <f t="shared" ref="H2218" si="19">+H2217+I2217+J2217+K2217</f>
        <v>483</v>
      </c>
      <c r="I2218" s="220"/>
      <c r="J2218" s="220"/>
      <c r="K2218" s="220"/>
    </row>
    <row r="2219" spans="1:11" ht="15" thickBot="1" x14ac:dyDescent="0.4">
      <c r="A2219" s="315" t="s">
        <v>298</v>
      </c>
      <c r="B2219" s="315"/>
      <c r="C2219" s="315"/>
      <c r="D2219" s="315"/>
      <c r="E2219" s="315"/>
      <c r="G2219" s="315" t="s">
        <v>314</v>
      </c>
      <c r="H2219" s="315"/>
      <c r="I2219" s="315"/>
      <c r="J2219" s="315"/>
      <c r="K2219" s="315"/>
    </row>
    <row r="2220" spans="1:11" ht="15" thickTop="1" x14ac:dyDescent="0.35">
      <c r="A2220" s="313">
        <v>45511</v>
      </c>
      <c r="B2220" s="313"/>
      <c r="C2220" s="313"/>
      <c r="D2220" s="313"/>
      <c r="E2220" s="313"/>
      <c r="G2220" s="326">
        <v>45511</v>
      </c>
      <c r="H2220" s="326"/>
      <c r="I2220" s="326"/>
      <c r="J2220" s="326"/>
      <c r="K2220" s="326"/>
    </row>
    <row r="2221" spans="1:11" x14ac:dyDescent="0.35">
      <c r="A2221" s="261" t="s">
        <v>159</v>
      </c>
      <c r="B2221" s="262" t="s">
        <v>299</v>
      </c>
      <c r="C2221" s="262" t="s">
        <v>300</v>
      </c>
      <c r="D2221" s="262" t="s">
        <v>301</v>
      </c>
      <c r="E2221" s="263" t="s">
        <v>302</v>
      </c>
      <c r="G2221" s="264" t="s">
        <v>159</v>
      </c>
      <c r="H2221" s="265" t="s">
        <v>299</v>
      </c>
      <c r="I2221" s="265" t="s">
        <v>300</v>
      </c>
      <c r="J2221" s="265" t="s">
        <v>301</v>
      </c>
      <c r="K2221" s="266" t="s">
        <v>302</v>
      </c>
    </row>
    <row r="2222" spans="1:11" x14ac:dyDescent="0.35">
      <c r="A2222" s="221" t="s">
        <v>303</v>
      </c>
      <c r="B2222" s="222">
        <v>5541</v>
      </c>
      <c r="C2222" s="222"/>
      <c r="D2222" s="222"/>
      <c r="E2222" s="223"/>
      <c r="G2222" s="221" t="s">
        <v>303</v>
      </c>
      <c r="H2222" s="222">
        <v>0</v>
      </c>
      <c r="I2222" s="222"/>
      <c r="J2222" s="222"/>
      <c r="K2222" s="223"/>
    </row>
    <row r="2223" spans="1:11" x14ac:dyDescent="0.35">
      <c r="A2223" s="225" t="s">
        <v>304</v>
      </c>
      <c r="B2223" s="226"/>
      <c r="C2223" s="226"/>
      <c r="D2223" s="226"/>
      <c r="E2223" s="227"/>
      <c r="G2223" s="225"/>
      <c r="H2223" s="226"/>
      <c r="I2223" s="226"/>
      <c r="J2223" s="226"/>
      <c r="K2223" s="227"/>
    </row>
    <row r="2224" spans="1:11" x14ac:dyDescent="0.35">
      <c r="A2224" s="225"/>
      <c r="B2224" s="226"/>
      <c r="C2224" s="226"/>
      <c r="D2224" s="226"/>
      <c r="E2224" s="227"/>
      <c r="G2224" s="225"/>
      <c r="H2224" s="226"/>
      <c r="I2224" s="226"/>
      <c r="J2224" s="226"/>
      <c r="K2224" s="227"/>
    </row>
    <row r="2225" spans="1:11" x14ac:dyDescent="0.35">
      <c r="A2225" s="221"/>
      <c r="B2225" s="222"/>
      <c r="C2225" s="222"/>
      <c r="D2225" s="222"/>
      <c r="E2225" s="223"/>
      <c r="G2225" s="221"/>
      <c r="H2225" s="222"/>
      <c r="I2225" s="222"/>
      <c r="J2225" s="222"/>
      <c r="K2225" s="223"/>
    </row>
    <row r="2226" spans="1:11" x14ac:dyDescent="0.35">
      <c r="A2226" s="225"/>
      <c r="B2226" s="226"/>
      <c r="C2226" s="226"/>
      <c r="D2226" s="226"/>
      <c r="E2226" s="227"/>
      <c r="G2226" s="225"/>
      <c r="H2226" s="226"/>
      <c r="I2226" s="226"/>
      <c r="J2226" s="226"/>
      <c r="K2226" s="227"/>
    </row>
    <row r="2227" spans="1:11" ht="15" thickBot="1" x14ac:dyDescent="0.4">
      <c r="A2227" s="218" t="s">
        <v>34</v>
      </c>
      <c r="B2227" s="219">
        <f t="shared" ref="B2227:E2227" si="20">SUM(B2222:B2226)</f>
        <v>5541</v>
      </c>
      <c r="C2227" s="219">
        <f t="shared" si="20"/>
        <v>0</v>
      </c>
      <c r="D2227" s="219">
        <f t="shared" si="20"/>
        <v>0</v>
      </c>
      <c r="E2227" s="219">
        <f t="shared" si="20"/>
        <v>0</v>
      </c>
      <c r="G2227" s="218" t="s">
        <v>34</v>
      </c>
      <c r="H2227" s="219">
        <f t="shared" ref="H2227:K2227" si="21">SUM(H2222:H2226)</f>
        <v>0</v>
      </c>
      <c r="I2227" s="219">
        <f t="shared" si="21"/>
        <v>0</v>
      </c>
      <c r="J2227" s="219">
        <f t="shared" si="21"/>
        <v>0</v>
      </c>
      <c r="K2227" s="219">
        <f t="shared" si="21"/>
        <v>0</v>
      </c>
    </row>
    <row r="2228" spans="1:11" x14ac:dyDescent="0.35">
      <c r="A2228" s="220" t="s">
        <v>305</v>
      </c>
      <c r="B2228" s="220">
        <f t="shared" ref="B2228" si="22">+B2227+C2227+D2227+E2227</f>
        <v>5541</v>
      </c>
      <c r="C2228" s="220"/>
      <c r="D2228" s="220"/>
      <c r="E2228" s="220"/>
      <c r="G2228" s="220" t="s">
        <v>305</v>
      </c>
      <c r="H2228" s="220">
        <f t="shared" ref="H2228" si="23">+H2227+I2227+J2227+K2227</f>
        <v>0</v>
      </c>
      <c r="I2228" s="220"/>
      <c r="J2228" s="220"/>
      <c r="K2228" s="220"/>
    </row>
    <row r="2229" spans="1:11" ht="15" thickBot="1" x14ac:dyDescent="0.4">
      <c r="A2229" s="315" t="s">
        <v>298</v>
      </c>
      <c r="B2229" s="315"/>
      <c r="C2229" s="315"/>
      <c r="D2229" s="315"/>
      <c r="E2229" s="315"/>
      <c r="G2229" s="315" t="s">
        <v>314</v>
      </c>
      <c r="H2229" s="315"/>
      <c r="I2229" s="315"/>
      <c r="J2229" s="315"/>
      <c r="K2229" s="315"/>
    </row>
    <row r="2230" spans="1:11" ht="15" thickTop="1" x14ac:dyDescent="0.35">
      <c r="A2230" s="313">
        <v>45512</v>
      </c>
      <c r="B2230" s="313"/>
      <c r="C2230" s="313"/>
      <c r="D2230" s="313"/>
      <c r="E2230" s="313"/>
      <c r="G2230" s="326">
        <v>45512</v>
      </c>
      <c r="H2230" s="326"/>
      <c r="I2230" s="326"/>
      <c r="J2230" s="326"/>
      <c r="K2230" s="326"/>
    </row>
    <row r="2231" spans="1:11" x14ac:dyDescent="0.35">
      <c r="A2231" s="261" t="s">
        <v>159</v>
      </c>
      <c r="B2231" s="262" t="s">
        <v>299</v>
      </c>
      <c r="C2231" s="262" t="s">
        <v>300</v>
      </c>
      <c r="D2231" s="262" t="s">
        <v>301</v>
      </c>
      <c r="E2231" s="263" t="s">
        <v>302</v>
      </c>
      <c r="G2231" s="264" t="s">
        <v>159</v>
      </c>
      <c r="H2231" s="265" t="s">
        <v>299</v>
      </c>
      <c r="I2231" s="265" t="s">
        <v>300</v>
      </c>
      <c r="J2231" s="265" t="s">
        <v>301</v>
      </c>
      <c r="K2231" s="266" t="s">
        <v>302</v>
      </c>
    </row>
    <row r="2232" spans="1:11" x14ac:dyDescent="0.35">
      <c r="A2232" s="221" t="s">
        <v>303</v>
      </c>
      <c r="B2232" s="222">
        <v>9850</v>
      </c>
      <c r="C2232" s="222"/>
      <c r="D2232" s="222"/>
      <c r="E2232" s="223"/>
      <c r="G2232" s="221" t="s">
        <v>303</v>
      </c>
      <c r="H2232" s="222">
        <v>873</v>
      </c>
      <c r="I2232" s="222"/>
      <c r="J2232" s="222"/>
      <c r="K2232" s="223"/>
    </row>
    <row r="2233" spans="1:11" x14ac:dyDescent="0.35">
      <c r="A2233" s="225" t="s">
        <v>304</v>
      </c>
      <c r="B2233" s="226"/>
      <c r="C2233" s="226"/>
      <c r="D2233" s="226"/>
      <c r="E2233" s="227"/>
      <c r="G2233" s="225"/>
      <c r="H2233" s="226"/>
      <c r="I2233" s="226"/>
      <c r="J2233" s="226"/>
      <c r="K2233" s="227"/>
    </row>
    <row r="2234" spans="1:11" x14ac:dyDescent="0.35">
      <c r="A2234" s="225"/>
      <c r="B2234" s="226"/>
      <c r="C2234" s="226"/>
      <c r="D2234" s="226"/>
      <c r="E2234" s="227"/>
      <c r="G2234" s="225"/>
      <c r="H2234" s="226"/>
      <c r="I2234" s="226"/>
      <c r="J2234" s="226"/>
      <c r="K2234" s="227"/>
    </row>
    <row r="2235" spans="1:11" x14ac:dyDescent="0.35">
      <c r="A2235" s="221"/>
      <c r="B2235" s="222"/>
      <c r="C2235" s="222"/>
      <c r="D2235" s="222"/>
      <c r="E2235" s="223"/>
      <c r="G2235" s="221"/>
      <c r="H2235" s="222"/>
      <c r="I2235" s="222"/>
      <c r="J2235" s="222"/>
      <c r="K2235" s="223"/>
    </row>
    <row r="2236" spans="1:11" x14ac:dyDescent="0.35">
      <c r="A2236" s="225"/>
      <c r="B2236" s="226"/>
      <c r="C2236" s="226"/>
      <c r="D2236" s="226"/>
      <c r="E2236" s="227"/>
      <c r="G2236" s="225"/>
      <c r="H2236" s="226"/>
      <c r="I2236" s="226"/>
      <c r="J2236" s="226"/>
      <c r="K2236" s="227"/>
    </row>
    <row r="2237" spans="1:11" ht="15" thickBot="1" x14ac:dyDescent="0.4">
      <c r="A2237" s="218" t="s">
        <v>34</v>
      </c>
      <c r="B2237" s="219">
        <f t="shared" ref="B2237:E2237" si="24">SUM(B2232:B2236)</f>
        <v>9850</v>
      </c>
      <c r="C2237" s="219">
        <f t="shared" si="24"/>
        <v>0</v>
      </c>
      <c r="D2237" s="219">
        <f t="shared" si="24"/>
        <v>0</v>
      </c>
      <c r="E2237" s="219">
        <f t="shared" si="24"/>
        <v>0</v>
      </c>
      <c r="G2237" s="218" t="s">
        <v>34</v>
      </c>
      <c r="H2237" s="219">
        <f t="shared" ref="H2237:K2237" si="25">SUM(H2232:H2236)</f>
        <v>873</v>
      </c>
      <c r="I2237" s="219">
        <f t="shared" si="25"/>
        <v>0</v>
      </c>
      <c r="J2237" s="219">
        <f t="shared" si="25"/>
        <v>0</v>
      </c>
      <c r="K2237" s="219">
        <f t="shared" si="25"/>
        <v>0</v>
      </c>
    </row>
    <row r="2238" spans="1:11" x14ac:dyDescent="0.35">
      <c r="A2238" s="220" t="s">
        <v>305</v>
      </c>
      <c r="B2238" s="220">
        <f t="shared" ref="B2238" si="26">+B2237+C2237+D2237+E2237</f>
        <v>9850</v>
      </c>
      <c r="C2238" s="220"/>
      <c r="D2238" s="220"/>
      <c r="E2238" s="220"/>
      <c r="G2238" s="220" t="s">
        <v>305</v>
      </c>
      <c r="H2238" s="220">
        <f t="shared" ref="H2238" si="27">+H2237+I2237+J2237+K2237</f>
        <v>873</v>
      </c>
      <c r="I2238" s="220"/>
      <c r="J2238" s="220"/>
      <c r="K2238" s="220"/>
    </row>
    <row r="2239" spans="1:11" ht="15" thickBot="1" x14ac:dyDescent="0.4">
      <c r="A2239" s="315" t="s">
        <v>298</v>
      </c>
      <c r="B2239" s="315"/>
      <c r="C2239" s="315"/>
      <c r="D2239" s="315"/>
      <c r="E2239" s="315"/>
      <c r="G2239" s="315" t="s">
        <v>314</v>
      </c>
      <c r="H2239" s="315"/>
      <c r="I2239" s="315"/>
      <c r="J2239" s="315"/>
      <c r="K2239" s="315"/>
    </row>
    <row r="2240" spans="1:11" ht="15" thickTop="1" x14ac:dyDescent="0.35">
      <c r="A2240" s="313">
        <v>45513</v>
      </c>
      <c r="B2240" s="313"/>
      <c r="C2240" s="313"/>
      <c r="D2240" s="313"/>
      <c r="E2240" s="313"/>
      <c r="G2240" s="326">
        <v>45513</v>
      </c>
      <c r="H2240" s="326"/>
      <c r="I2240" s="326"/>
      <c r="J2240" s="326"/>
      <c r="K2240" s="326"/>
    </row>
    <row r="2241" spans="1:11" x14ac:dyDescent="0.35">
      <c r="A2241" s="261" t="s">
        <v>159</v>
      </c>
      <c r="B2241" s="262" t="s">
        <v>299</v>
      </c>
      <c r="C2241" s="262" t="s">
        <v>300</v>
      </c>
      <c r="D2241" s="262" t="s">
        <v>301</v>
      </c>
      <c r="E2241" s="263" t="s">
        <v>302</v>
      </c>
      <c r="G2241" s="264" t="s">
        <v>159</v>
      </c>
      <c r="H2241" s="265" t="s">
        <v>299</v>
      </c>
      <c r="I2241" s="265" t="s">
        <v>300</v>
      </c>
      <c r="J2241" s="265" t="s">
        <v>301</v>
      </c>
      <c r="K2241" s="266" t="s">
        <v>302</v>
      </c>
    </row>
    <row r="2242" spans="1:11" x14ac:dyDescent="0.35">
      <c r="A2242" s="221" t="s">
        <v>303</v>
      </c>
      <c r="B2242" s="222">
        <v>9295</v>
      </c>
      <c r="C2242" s="222"/>
      <c r="D2242" s="222"/>
      <c r="E2242" s="223"/>
      <c r="G2242" s="221" t="s">
        <v>303</v>
      </c>
      <c r="H2242" s="222">
        <v>713</v>
      </c>
      <c r="I2242" s="222"/>
      <c r="J2242" s="222"/>
      <c r="K2242" s="223"/>
    </row>
    <row r="2243" spans="1:11" x14ac:dyDescent="0.35">
      <c r="A2243" s="225" t="s">
        <v>304</v>
      </c>
      <c r="B2243" s="226">
        <v>10000</v>
      </c>
      <c r="C2243" s="226"/>
      <c r="D2243" s="226"/>
      <c r="E2243" s="227"/>
      <c r="G2243" s="225"/>
      <c r="H2243" s="226"/>
      <c r="I2243" s="226"/>
      <c r="J2243" s="226"/>
      <c r="K2243" s="227"/>
    </row>
    <row r="2244" spans="1:11" x14ac:dyDescent="0.35">
      <c r="A2244" s="225"/>
      <c r="B2244" s="226"/>
      <c r="C2244" s="226"/>
      <c r="D2244" s="226"/>
      <c r="E2244" s="227"/>
      <c r="G2244" s="225"/>
      <c r="H2244" s="226"/>
      <c r="I2244" s="226"/>
      <c r="J2244" s="226"/>
      <c r="K2244" s="227"/>
    </row>
    <row r="2245" spans="1:11" x14ac:dyDescent="0.35">
      <c r="A2245" s="221"/>
      <c r="B2245" s="222"/>
      <c r="C2245" s="222"/>
      <c r="D2245" s="222"/>
      <c r="E2245" s="223"/>
      <c r="G2245" s="221"/>
      <c r="H2245" s="222"/>
      <c r="I2245" s="222"/>
      <c r="J2245" s="222"/>
      <c r="K2245" s="223"/>
    </row>
    <row r="2246" spans="1:11" x14ac:dyDescent="0.35">
      <c r="A2246" s="225"/>
      <c r="B2246" s="226"/>
      <c r="C2246" s="226"/>
      <c r="D2246" s="226"/>
      <c r="E2246" s="227"/>
      <c r="G2246" s="225"/>
      <c r="H2246" s="226"/>
      <c r="I2246" s="226"/>
      <c r="J2246" s="226"/>
      <c r="K2246" s="227"/>
    </row>
    <row r="2247" spans="1:11" ht="15" thickBot="1" x14ac:dyDescent="0.4">
      <c r="A2247" s="218" t="s">
        <v>34</v>
      </c>
      <c r="B2247" s="219">
        <f t="shared" ref="B2247:E2247" si="28">SUM(B2242:B2246)</f>
        <v>19295</v>
      </c>
      <c r="C2247" s="219">
        <f t="shared" si="28"/>
        <v>0</v>
      </c>
      <c r="D2247" s="219">
        <f t="shared" si="28"/>
        <v>0</v>
      </c>
      <c r="E2247" s="219">
        <f t="shared" si="28"/>
        <v>0</v>
      </c>
      <c r="G2247" s="218" t="s">
        <v>34</v>
      </c>
      <c r="H2247" s="219">
        <f t="shared" ref="H2247:K2247" si="29">SUM(H2242:H2246)</f>
        <v>713</v>
      </c>
      <c r="I2247" s="219">
        <f t="shared" si="29"/>
        <v>0</v>
      </c>
      <c r="J2247" s="219">
        <f t="shared" si="29"/>
        <v>0</v>
      </c>
      <c r="K2247" s="219">
        <f t="shared" si="29"/>
        <v>0</v>
      </c>
    </row>
    <row r="2248" spans="1:11" x14ac:dyDescent="0.35">
      <c r="A2248" s="220" t="s">
        <v>305</v>
      </c>
      <c r="B2248" s="220">
        <f t="shared" ref="B2248" si="30">+B2247+C2247+D2247+E2247</f>
        <v>19295</v>
      </c>
      <c r="C2248" s="220"/>
      <c r="D2248" s="220"/>
      <c r="E2248" s="220"/>
      <c r="G2248" s="220" t="s">
        <v>305</v>
      </c>
      <c r="H2248" s="220">
        <f t="shared" ref="H2248" si="31">+H2247+I2247+J2247+K2247</f>
        <v>713</v>
      </c>
      <c r="I2248" s="220"/>
      <c r="J2248" s="220"/>
      <c r="K2248" s="220"/>
    </row>
    <row r="2249" spans="1:11" ht="15" thickBot="1" x14ac:dyDescent="0.4">
      <c r="A2249" s="315" t="s">
        <v>298</v>
      </c>
      <c r="B2249" s="315"/>
      <c r="C2249" s="315"/>
      <c r="D2249" s="315"/>
      <c r="E2249" s="315"/>
      <c r="G2249" s="315" t="s">
        <v>314</v>
      </c>
      <c r="H2249" s="315"/>
      <c r="I2249" s="315"/>
      <c r="J2249" s="315"/>
      <c r="K2249" s="315"/>
    </row>
    <row r="2250" spans="1:11" ht="15" thickTop="1" x14ac:dyDescent="0.35">
      <c r="A2250" s="313">
        <v>45514</v>
      </c>
      <c r="B2250" s="313"/>
      <c r="C2250" s="313"/>
      <c r="D2250" s="313"/>
      <c r="E2250" s="313"/>
      <c r="G2250" s="326">
        <v>45514</v>
      </c>
      <c r="H2250" s="326"/>
      <c r="I2250" s="326"/>
      <c r="J2250" s="326"/>
      <c r="K2250" s="326"/>
    </row>
    <row r="2251" spans="1:11" x14ac:dyDescent="0.35">
      <c r="A2251" s="261" t="s">
        <v>159</v>
      </c>
      <c r="B2251" s="262" t="s">
        <v>299</v>
      </c>
      <c r="C2251" s="262" t="s">
        <v>300</v>
      </c>
      <c r="D2251" s="262" t="s">
        <v>301</v>
      </c>
      <c r="E2251" s="263" t="s">
        <v>302</v>
      </c>
      <c r="G2251" s="264" t="s">
        <v>159</v>
      </c>
      <c r="H2251" s="265" t="s">
        <v>299</v>
      </c>
      <c r="I2251" s="265" t="s">
        <v>300</v>
      </c>
      <c r="J2251" s="265" t="s">
        <v>301</v>
      </c>
      <c r="K2251" s="266" t="s">
        <v>302</v>
      </c>
    </row>
    <row r="2252" spans="1:11" x14ac:dyDescent="0.35">
      <c r="A2252" s="221" t="s">
        <v>303</v>
      </c>
      <c r="B2252" s="222">
        <v>16231</v>
      </c>
      <c r="C2252" s="222"/>
      <c r="D2252" s="222"/>
      <c r="E2252" s="223"/>
      <c r="G2252" s="221" t="s">
        <v>303</v>
      </c>
      <c r="H2252" s="222">
        <v>3327</v>
      </c>
      <c r="I2252" s="222"/>
      <c r="J2252" s="222"/>
      <c r="K2252" s="223"/>
    </row>
    <row r="2253" spans="1:11" x14ac:dyDescent="0.35">
      <c r="A2253" s="225" t="s">
        <v>304</v>
      </c>
      <c r="B2253" s="226"/>
      <c r="C2253" s="226"/>
      <c r="D2253" s="226"/>
      <c r="E2253" s="227"/>
      <c r="G2253" s="225"/>
      <c r="H2253" s="226"/>
      <c r="I2253" s="226"/>
      <c r="J2253" s="226"/>
      <c r="K2253" s="227"/>
    </row>
    <row r="2254" spans="1:11" x14ac:dyDescent="0.35">
      <c r="A2254" s="225"/>
      <c r="B2254" s="226"/>
      <c r="C2254" s="226"/>
      <c r="D2254" s="226"/>
      <c r="E2254" s="227"/>
      <c r="G2254" s="225"/>
      <c r="H2254" s="226"/>
      <c r="I2254" s="226"/>
      <c r="J2254" s="226"/>
      <c r="K2254" s="227"/>
    </row>
    <row r="2255" spans="1:11" x14ac:dyDescent="0.35">
      <c r="A2255" s="221"/>
      <c r="B2255" s="222"/>
      <c r="C2255" s="222"/>
      <c r="D2255" s="222"/>
      <c r="E2255" s="223"/>
      <c r="G2255" s="221"/>
      <c r="H2255" s="222"/>
      <c r="I2255" s="222"/>
      <c r="J2255" s="222"/>
      <c r="K2255" s="223"/>
    </row>
    <row r="2256" spans="1:11" x14ac:dyDescent="0.35">
      <c r="A2256" s="225"/>
      <c r="B2256" s="226"/>
      <c r="C2256" s="226"/>
      <c r="D2256" s="226"/>
      <c r="E2256" s="227"/>
      <c r="G2256" s="225"/>
      <c r="H2256" s="226"/>
      <c r="I2256" s="226"/>
      <c r="J2256" s="226"/>
      <c r="K2256" s="227"/>
    </row>
    <row r="2257" spans="1:11" ht="15" thickBot="1" x14ac:dyDescent="0.4">
      <c r="A2257" s="218" t="s">
        <v>34</v>
      </c>
      <c r="B2257" s="219">
        <f t="shared" ref="B2257:E2257" si="32">SUM(B2252:B2256)</f>
        <v>16231</v>
      </c>
      <c r="C2257" s="219">
        <f t="shared" si="32"/>
        <v>0</v>
      </c>
      <c r="D2257" s="219">
        <f t="shared" si="32"/>
        <v>0</v>
      </c>
      <c r="E2257" s="219">
        <f t="shared" si="32"/>
        <v>0</v>
      </c>
      <c r="G2257" s="218" t="s">
        <v>34</v>
      </c>
      <c r="H2257" s="219">
        <f t="shared" ref="H2257:K2257" si="33">SUM(H2252:H2256)</f>
        <v>3327</v>
      </c>
      <c r="I2257" s="219">
        <f t="shared" si="33"/>
        <v>0</v>
      </c>
      <c r="J2257" s="219">
        <f t="shared" si="33"/>
        <v>0</v>
      </c>
      <c r="K2257" s="219">
        <f t="shared" si="33"/>
        <v>0</v>
      </c>
    </row>
    <row r="2258" spans="1:11" x14ac:dyDescent="0.35">
      <c r="A2258" s="220" t="s">
        <v>305</v>
      </c>
      <c r="B2258" s="220">
        <f t="shared" ref="B2258" si="34">+B2257+C2257+D2257+E2257</f>
        <v>16231</v>
      </c>
      <c r="C2258" s="220"/>
      <c r="D2258" s="220"/>
      <c r="E2258" s="220"/>
      <c r="G2258" s="220" t="s">
        <v>305</v>
      </c>
      <c r="H2258" s="220">
        <f t="shared" ref="H2258" si="35">+H2257+I2257+J2257+K2257</f>
        <v>3327</v>
      </c>
      <c r="I2258" s="220"/>
      <c r="J2258" s="220"/>
      <c r="K2258" s="220"/>
    </row>
    <row r="2259" spans="1:11" ht="15" thickBot="1" x14ac:dyDescent="0.4">
      <c r="A2259" s="315" t="s">
        <v>298</v>
      </c>
      <c r="B2259" s="315"/>
      <c r="C2259" s="315"/>
      <c r="D2259" s="315"/>
      <c r="E2259" s="315"/>
      <c r="G2259" s="315" t="s">
        <v>314</v>
      </c>
      <c r="H2259" s="315"/>
      <c r="I2259" s="315"/>
      <c r="J2259" s="315"/>
      <c r="K2259" s="315"/>
    </row>
    <row r="2260" spans="1:11" ht="15" thickTop="1" x14ac:dyDescent="0.35">
      <c r="A2260" s="313">
        <v>45515</v>
      </c>
      <c r="B2260" s="313"/>
      <c r="C2260" s="313"/>
      <c r="D2260" s="313"/>
      <c r="E2260" s="313"/>
      <c r="G2260" s="326">
        <v>45515</v>
      </c>
      <c r="H2260" s="326"/>
      <c r="I2260" s="326"/>
      <c r="J2260" s="326"/>
      <c r="K2260" s="326"/>
    </row>
    <row r="2261" spans="1:11" x14ac:dyDescent="0.35">
      <c r="A2261" s="261" t="s">
        <v>159</v>
      </c>
      <c r="B2261" s="262" t="s">
        <v>299</v>
      </c>
      <c r="C2261" s="262" t="s">
        <v>300</v>
      </c>
      <c r="D2261" s="262" t="s">
        <v>301</v>
      </c>
      <c r="E2261" s="263" t="s">
        <v>302</v>
      </c>
      <c r="G2261" s="264" t="s">
        <v>159</v>
      </c>
      <c r="H2261" s="265" t="s">
        <v>299</v>
      </c>
      <c r="I2261" s="265" t="s">
        <v>300</v>
      </c>
      <c r="J2261" s="265" t="s">
        <v>301</v>
      </c>
      <c r="K2261" s="266" t="s">
        <v>302</v>
      </c>
    </row>
    <row r="2262" spans="1:11" x14ac:dyDescent="0.35">
      <c r="A2262" s="221" t="s">
        <v>303</v>
      </c>
      <c r="B2262" s="222">
        <v>12780</v>
      </c>
      <c r="C2262" s="222"/>
      <c r="D2262" s="222"/>
      <c r="E2262" s="223"/>
      <c r="G2262" s="221" t="s">
        <v>303</v>
      </c>
      <c r="H2262" s="222">
        <v>5342</v>
      </c>
      <c r="I2262" s="222"/>
      <c r="J2262" s="222"/>
      <c r="K2262" s="223"/>
    </row>
    <row r="2263" spans="1:11" x14ac:dyDescent="0.35">
      <c r="A2263" s="225" t="s">
        <v>304</v>
      </c>
      <c r="B2263" s="226"/>
      <c r="C2263" s="226"/>
      <c r="D2263" s="226"/>
      <c r="E2263" s="227"/>
      <c r="G2263" s="225"/>
      <c r="H2263" s="226"/>
      <c r="I2263" s="226"/>
      <c r="J2263" s="226"/>
      <c r="K2263" s="227"/>
    </row>
    <row r="2264" spans="1:11" x14ac:dyDescent="0.35">
      <c r="A2264" s="225"/>
      <c r="B2264" s="226"/>
      <c r="C2264" s="226"/>
      <c r="D2264" s="226"/>
      <c r="E2264" s="227"/>
      <c r="G2264" s="225"/>
      <c r="H2264" s="226"/>
      <c r="I2264" s="226"/>
      <c r="J2264" s="226"/>
      <c r="K2264" s="227"/>
    </row>
    <row r="2265" spans="1:11" x14ac:dyDescent="0.35">
      <c r="A2265" s="221"/>
      <c r="B2265" s="222"/>
      <c r="C2265" s="222"/>
      <c r="D2265" s="222"/>
      <c r="E2265" s="223"/>
      <c r="G2265" s="221"/>
      <c r="H2265" s="222"/>
      <c r="I2265" s="222"/>
      <c r="J2265" s="222"/>
      <c r="K2265" s="223"/>
    </row>
    <row r="2266" spans="1:11" x14ac:dyDescent="0.35">
      <c r="A2266" s="225"/>
      <c r="B2266" s="226"/>
      <c r="C2266" s="226"/>
      <c r="D2266" s="226"/>
      <c r="E2266" s="227"/>
      <c r="G2266" s="225"/>
      <c r="H2266" s="226"/>
      <c r="I2266" s="226"/>
      <c r="J2266" s="226"/>
      <c r="K2266" s="227"/>
    </row>
    <row r="2267" spans="1:11" ht="15" thickBot="1" x14ac:dyDescent="0.4">
      <c r="A2267" s="218" t="s">
        <v>34</v>
      </c>
      <c r="B2267" s="219">
        <f t="shared" ref="B2267:E2267" si="36">SUM(B2262:B2266)</f>
        <v>12780</v>
      </c>
      <c r="C2267" s="219">
        <f t="shared" si="36"/>
        <v>0</v>
      </c>
      <c r="D2267" s="219">
        <f t="shared" si="36"/>
        <v>0</v>
      </c>
      <c r="E2267" s="219">
        <f t="shared" si="36"/>
        <v>0</v>
      </c>
      <c r="G2267" s="218" t="s">
        <v>34</v>
      </c>
      <c r="H2267" s="219">
        <f t="shared" ref="H2267:K2267" si="37">SUM(H2262:H2266)</f>
        <v>5342</v>
      </c>
      <c r="I2267" s="219">
        <f t="shared" si="37"/>
        <v>0</v>
      </c>
      <c r="J2267" s="219">
        <f t="shared" si="37"/>
        <v>0</v>
      </c>
      <c r="K2267" s="219">
        <f t="shared" si="37"/>
        <v>0</v>
      </c>
    </row>
    <row r="2268" spans="1:11" x14ac:dyDescent="0.35">
      <c r="A2268" s="220" t="s">
        <v>305</v>
      </c>
      <c r="B2268" s="220">
        <f t="shared" ref="B2268" si="38">+B2267+C2267+D2267+E2267</f>
        <v>12780</v>
      </c>
      <c r="C2268" s="220"/>
      <c r="D2268" s="220"/>
      <c r="E2268" s="220"/>
      <c r="G2268" s="220" t="s">
        <v>305</v>
      </c>
      <c r="H2268" s="220">
        <f t="shared" ref="H2268" si="39">+H2267+I2267+J2267+K2267</f>
        <v>5342</v>
      </c>
      <c r="I2268" s="220"/>
      <c r="J2268" s="220"/>
      <c r="K2268" s="220"/>
    </row>
    <row r="2269" spans="1:11" ht="15" thickBot="1" x14ac:dyDescent="0.4">
      <c r="A2269" s="315" t="s">
        <v>298</v>
      </c>
      <c r="B2269" s="315"/>
      <c r="C2269" s="315"/>
      <c r="D2269" s="315"/>
      <c r="E2269" s="315"/>
      <c r="G2269" s="315" t="s">
        <v>314</v>
      </c>
      <c r="H2269" s="315"/>
      <c r="I2269" s="315"/>
      <c r="J2269" s="315"/>
      <c r="K2269" s="315"/>
    </row>
    <row r="2270" spans="1:11" ht="15" thickTop="1" x14ac:dyDescent="0.35">
      <c r="A2270" s="313">
        <v>45516</v>
      </c>
      <c r="B2270" s="313"/>
      <c r="C2270" s="313"/>
      <c r="D2270" s="313"/>
      <c r="E2270" s="313"/>
      <c r="G2270" s="326">
        <v>45516</v>
      </c>
      <c r="H2270" s="326"/>
      <c r="I2270" s="326"/>
      <c r="J2270" s="326"/>
      <c r="K2270" s="326"/>
    </row>
    <row r="2271" spans="1:11" x14ac:dyDescent="0.35">
      <c r="A2271" s="261" t="s">
        <v>159</v>
      </c>
      <c r="B2271" s="262" t="s">
        <v>299</v>
      </c>
      <c r="C2271" s="262" t="s">
        <v>300</v>
      </c>
      <c r="D2271" s="262" t="s">
        <v>301</v>
      </c>
      <c r="E2271" s="263" t="s">
        <v>302</v>
      </c>
      <c r="G2271" s="264" t="s">
        <v>159</v>
      </c>
      <c r="H2271" s="265" t="s">
        <v>299</v>
      </c>
      <c r="I2271" s="265" t="s">
        <v>300</v>
      </c>
      <c r="J2271" s="265" t="s">
        <v>301</v>
      </c>
      <c r="K2271" s="266" t="s">
        <v>302</v>
      </c>
    </row>
    <row r="2272" spans="1:11" x14ac:dyDescent="0.35">
      <c r="A2272" s="221" t="s">
        <v>303</v>
      </c>
      <c r="B2272" s="222">
        <v>2683</v>
      </c>
      <c r="C2272" s="222"/>
      <c r="D2272" s="222"/>
      <c r="E2272" s="223"/>
      <c r="G2272" s="221" t="s">
        <v>303</v>
      </c>
      <c r="H2272" s="222">
        <v>318</v>
      </c>
      <c r="I2272" s="222"/>
      <c r="J2272" s="222"/>
      <c r="K2272" s="223"/>
    </row>
    <row r="2273" spans="1:11" x14ac:dyDescent="0.35">
      <c r="A2273" s="225" t="s">
        <v>304</v>
      </c>
      <c r="B2273" s="226"/>
      <c r="C2273" s="226"/>
      <c r="D2273" s="226"/>
      <c r="E2273" s="227"/>
      <c r="G2273" s="225"/>
      <c r="H2273" s="226"/>
      <c r="I2273" s="226"/>
      <c r="J2273" s="226"/>
      <c r="K2273" s="227"/>
    </row>
    <row r="2274" spans="1:11" x14ac:dyDescent="0.35">
      <c r="A2274" s="225"/>
      <c r="B2274" s="226"/>
      <c r="C2274" s="226"/>
      <c r="D2274" s="226"/>
      <c r="E2274" s="227"/>
      <c r="G2274" s="225"/>
      <c r="H2274" s="226"/>
      <c r="I2274" s="226"/>
      <c r="J2274" s="226"/>
      <c r="K2274" s="227"/>
    </row>
    <row r="2275" spans="1:11" x14ac:dyDescent="0.35">
      <c r="A2275" s="221"/>
      <c r="B2275" s="222"/>
      <c r="C2275" s="222"/>
      <c r="D2275" s="222"/>
      <c r="E2275" s="223"/>
      <c r="G2275" s="221"/>
      <c r="H2275" s="222"/>
      <c r="I2275" s="222"/>
      <c r="J2275" s="222"/>
      <c r="K2275" s="223"/>
    </row>
    <row r="2276" spans="1:11" x14ac:dyDescent="0.35">
      <c r="A2276" s="225"/>
      <c r="B2276" s="226"/>
      <c r="C2276" s="226"/>
      <c r="D2276" s="226"/>
      <c r="E2276" s="227"/>
      <c r="G2276" s="225"/>
      <c r="H2276" s="226"/>
      <c r="I2276" s="226"/>
      <c r="J2276" s="226"/>
      <c r="K2276" s="227"/>
    </row>
    <row r="2277" spans="1:11" ht="15" thickBot="1" x14ac:dyDescent="0.4">
      <c r="A2277" s="218" t="s">
        <v>34</v>
      </c>
      <c r="B2277" s="219">
        <f t="shared" ref="B2277:E2277" si="40">SUM(B2272:B2276)</f>
        <v>2683</v>
      </c>
      <c r="C2277" s="219">
        <f t="shared" si="40"/>
        <v>0</v>
      </c>
      <c r="D2277" s="219">
        <f t="shared" si="40"/>
        <v>0</v>
      </c>
      <c r="E2277" s="219">
        <f t="shared" si="40"/>
        <v>0</v>
      </c>
      <c r="G2277" s="218" t="s">
        <v>34</v>
      </c>
      <c r="H2277" s="219">
        <f t="shared" ref="H2277:K2277" si="41">SUM(H2272:H2276)</f>
        <v>318</v>
      </c>
      <c r="I2277" s="219">
        <f t="shared" si="41"/>
        <v>0</v>
      </c>
      <c r="J2277" s="219">
        <f t="shared" si="41"/>
        <v>0</v>
      </c>
      <c r="K2277" s="219">
        <f t="shared" si="41"/>
        <v>0</v>
      </c>
    </row>
    <row r="2278" spans="1:11" x14ac:dyDescent="0.35">
      <c r="A2278" s="220" t="s">
        <v>305</v>
      </c>
      <c r="B2278" s="220">
        <f t="shared" ref="B2278" si="42">+B2277+C2277+D2277+E2277</f>
        <v>2683</v>
      </c>
      <c r="C2278" s="220"/>
      <c r="D2278" s="220"/>
      <c r="E2278" s="220"/>
      <c r="G2278" s="220" t="s">
        <v>305</v>
      </c>
      <c r="H2278" s="220">
        <f t="shared" ref="H2278" si="43">+H2277+I2277+J2277+K2277</f>
        <v>318</v>
      </c>
      <c r="I2278" s="220"/>
      <c r="J2278" s="220"/>
      <c r="K2278" s="220"/>
    </row>
    <row r="2279" spans="1:11" ht="15" thickBot="1" x14ac:dyDescent="0.4">
      <c r="A2279" s="315" t="s">
        <v>298</v>
      </c>
      <c r="B2279" s="315"/>
      <c r="C2279" s="315"/>
      <c r="D2279" s="315"/>
      <c r="E2279" s="315"/>
      <c r="G2279" s="315" t="s">
        <v>314</v>
      </c>
      <c r="H2279" s="315"/>
      <c r="I2279" s="315"/>
      <c r="J2279" s="315"/>
      <c r="K2279" s="315"/>
    </row>
    <row r="2280" spans="1:11" ht="15" thickTop="1" x14ac:dyDescent="0.35">
      <c r="A2280" s="313">
        <v>45517</v>
      </c>
      <c r="B2280" s="313"/>
      <c r="C2280" s="313"/>
      <c r="D2280" s="313"/>
      <c r="E2280" s="313"/>
      <c r="G2280" s="326">
        <v>45517</v>
      </c>
      <c r="H2280" s="326"/>
      <c r="I2280" s="326"/>
      <c r="J2280" s="326"/>
      <c r="K2280" s="326"/>
    </row>
    <row r="2281" spans="1:11" x14ac:dyDescent="0.35">
      <c r="A2281" s="261" t="s">
        <v>159</v>
      </c>
      <c r="B2281" s="262" t="s">
        <v>299</v>
      </c>
      <c r="C2281" s="262" t="s">
        <v>300</v>
      </c>
      <c r="D2281" s="262" t="s">
        <v>301</v>
      </c>
      <c r="E2281" s="263" t="s">
        <v>302</v>
      </c>
      <c r="G2281" s="264" t="s">
        <v>159</v>
      </c>
      <c r="H2281" s="265" t="s">
        <v>299</v>
      </c>
      <c r="I2281" s="265" t="s">
        <v>300</v>
      </c>
      <c r="J2281" s="265" t="s">
        <v>301</v>
      </c>
      <c r="K2281" s="266" t="s">
        <v>302</v>
      </c>
    </row>
    <row r="2282" spans="1:11" x14ac:dyDescent="0.35">
      <c r="A2282" s="221" t="s">
        <v>303</v>
      </c>
      <c r="B2282" s="222">
        <v>131</v>
      </c>
      <c r="C2282" s="222"/>
      <c r="D2282" s="222"/>
      <c r="E2282" s="223"/>
      <c r="G2282" s="221" t="s">
        <v>303</v>
      </c>
      <c r="H2282" s="222">
        <v>542</v>
      </c>
      <c r="I2282" s="222"/>
      <c r="J2282" s="222"/>
      <c r="K2282" s="223"/>
    </row>
    <row r="2283" spans="1:11" x14ac:dyDescent="0.35">
      <c r="A2283" s="225" t="s">
        <v>304</v>
      </c>
      <c r="B2283" s="226">
        <v>11263</v>
      </c>
      <c r="C2283" s="226"/>
      <c r="D2283" s="226"/>
      <c r="E2283" s="227"/>
      <c r="G2283" s="225"/>
      <c r="H2283" s="226"/>
      <c r="I2283" s="226"/>
      <c r="J2283" s="226"/>
      <c r="K2283" s="227"/>
    </row>
    <row r="2284" spans="1:11" x14ac:dyDescent="0.35">
      <c r="A2284" s="225"/>
      <c r="B2284" s="226"/>
      <c r="C2284" s="226"/>
      <c r="D2284" s="226"/>
      <c r="E2284" s="227"/>
      <c r="G2284" s="225"/>
      <c r="H2284" s="226"/>
      <c r="I2284" s="226"/>
      <c r="J2284" s="226"/>
      <c r="K2284" s="227"/>
    </row>
    <row r="2285" spans="1:11" x14ac:dyDescent="0.35">
      <c r="A2285" s="221"/>
      <c r="B2285" s="222"/>
      <c r="C2285" s="222"/>
      <c r="D2285" s="222"/>
      <c r="E2285" s="223"/>
      <c r="G2285" s="221"/>
      <c r="H2285" s="222"/>
      <c r="I2285" s="222"/>
      <c r="J2285" s="222"/>
      <c r="K2285" s="223"/>
    </row>
    <row r="2286" spans="1:11" x14ac:dyDescent="0.35">
      <c r="A2286" s="225"/>
      <c r="B2286" s="226"/>
      <c r="C2286" s="226"/>
      <c r="D2286" s="226"/>
      <c r="E2286" s="227"/>
      <c r="G2286" s="225"/>
      <c r="H2286" s="226"/>
      <c r="I2286" s="226"/>
      <c r="J2286" s="226"/>
      <c r="K2286" s="227"/>
    </row>
    <row r="2287" spans="1:11" ht="15" thickBot="1" x14ac:dyDescent="0.4">
      <c r="A2287" s="218" t="s">
        <v>34</v>
      </c>
      <c r="B2287" s="219">
        <f t="shared" ref="B2287:E2287" si="44">SUM(B2282:B2286)</f>
        <v>11394</v>
      </c>
      <c r="C2287" s="219">
        <f t="shared" si="44"/>
        <v>0</v>
      </c>
      <c r="D2287" s="219">
        <f t="shared" si="44"/>
        <v>0</v>
      </c>
      <c r="E2287" s="219">
        <f t="shared" si="44"/>
        <v>0</v>
      </c>
      <c r="G2287" s="218" t="s">
        <v>34</v>
      </c>
      <c r="H2287" s="219">
        <f t="shared" ref="H2287:K2287" si="45">SUM(H2282:H2286)</f>
        <v>542</v>
      </c>
      <c r="I2287" s="219">
        <f t="shared" si="45"/>
        <v>0</v>
      </c>
      <c r="J2287" s="219">
        <f t="shared" si="45"/>
        <v>0</v>
      </c>
      <c r="K2287" s="219">
        <f t="shared" si="45"/>
        <v>0</v>
      </c>
    </row>
    <row r="2288" spans="1:11" x14ac:dyDescent="0.35">
      <c r="A2288" s="220" t="s">
        <v>305</v>
      </c>
      <c r="B2288" s="220">
        <f t="shared" ref="B2288" si="46">+B2287+C2287+D2287+E2287</f>
        <v>11394</v>
      </c>
      <c r="C2288" s="220"/>
      <c r="D2288" s="220"/>
      <c r="E2288" s="220"/>
      <c r="G2288" s="220" t="s">
        <v>305</v>
      </c>
      <c r="H2288" s="220">
        <f t="shared" ref="H2288" si="47">+H2287+I2287+J2287+K2287</f>
        <v>542</v>
      </c>
      <c r="I2288" s="220"/>
      <c r="J2288" s="220"/>
      <c r="K2288" s="220"/>
    </row>
    <row r="2289" spans="1:11" ht="15" thickBot="1" x14ac:dyDescent="0.4">
      <c r="A2289" s="315" t="s">
        <v>298</v>
      </c>
      <c r="B2289" s="315"/>
      <c r="C2289" s="315"/>
      <c r="D2289" s="315"/>
      <c r="E2289" s="315"/>
      <c r="G2289" s="315" t="s">
        <v>314</v>
      </c>
      <c r="H2289" s="315"/>
      <c r="I2289" s="315"/>
      <c r="J2289" s="315"/>
      <c r="K2289" s="315"/>
    </row>
    <row r="2290" spans="1:11" ht="15" thickTop="1" x14ac:dyDescent="0.35">
      <c r="A2290" s="313">
        <v>45518</v>
      </c>
      <c r="B2290" s="313"/>
      <c r="C2290" s="313"/>
      <c r="D2290" s="313"/>
      <c r="E2290" s="313"/>
      <c r="G2290" s="326">
        <v>45518</v>
      </c>
      <c r="H2290" s="326"/>
      <c r="I2290" s="326"/>
      <c r="J2290" s="326"/>
      <c r="K2290" s="326"/>
    </row>
    <row r="2291" spans="1:11" x14ac:dyDescent="0.35">
      <c r="A2291" s="261" t="s">
        <v>159</v>
      </c>
      <c r="B2291" s="262" t="s">
        <v>299</v>
      </c>
      <c r="C2291" s="262" t="s">
        <v>300</v>
      </c>
      <c r="D2291" s="262" t="s">
        <v>301</v>
      </c>
      <c r="E2291" s="263" t="s">
        <v>302</v>
      </c>
      <c r="G2291" s="264" t="s">
        <v>159</v>
      </c>
      <c r="H2291" s="265" t="s">
        <v>299</v>
      </c>
      <c r="I2291" s="265" t="s">
        <v>300</v>
      </c>
      <c r="J2291" s="265" t="s">
        <v>301</v>
      </c>
      <c r="K2291" s="266" t="s">
        <v>302</v>
      </c>
    </row>
    <row r="2292" spans="1:11" x14ac:dyDescent="0.35">
      <c r="A2292" s="221" t="s">
        <v>303</v>
      </c>
      <c r="B2292" s="222">
        <v>3173</v>
      </c>
      <c r="C2292" s="222"/>
      <c r="D2292" s="222"/>
      <c r="E2292" s="223"/>
      <c r="G2292" s="221" t="s">
        <v>303</v>
      </c>
      <c r="H2292" s="222"/>
      <c r="I2292" s="222"/>
      <c r="J2292" s="222"/>
      <c r="K2292" s="223"/>
    </row>
    <row r="2293" spans="1:11" x14ac:dyDescent="0.35">
      <c r="A2293" s="225" t="s">
        <v>304</v>
      </c>
      <c r="B2293" s="226"/>
      <c r="C2293" s="226"/>
      <c r="D2293" s="226"/>
      <c r="E2293" s="227"/>
      <c r="G2293" s="225"/>
      <c r="H2293" s="226"/>
      <c r="I2293" s="226"/>
      <c r="J2293" s="226"/>
      <c r="K2293" s="227"/>
    </row>
    <row r="2294" spans="1:11" x14ac:dyDescent="0.35">
      <c r="A2294" s="225"/>
      <c r="B2294" s="226"/>
      <c r="C2294" s="226"/>
      <c r="D2294" s="226"/>
      <c r="E2294" s="227"/>
      <c r="G2294" s="225"/>
      <c r="H2294" s="226"/>
      <c r="I2294" s="226"/>
      <c r="J2294" s="226"/>
      <c r="K2294" s="227"/>
    </row>
    <row r="2295" spans="1:11" x14ac:dyDescent="0.35">
      <c r="A2295" s="221"/>
      <c r="B2295" s="222"/>
      <c r="C2295" s="222"/>
      <c r="D2295" s="222"/>
      <c r="E2295" s="223"/>
      <c r="G2295" s="221"/>
      <c r="H2295" s="222"/>
      <c r="I2295" s="222"/>
      <c r="J2295" s="222"/>
      <c r="K2295" s="223"/>
    </row>
    <row r="2296" spans="1:11" x14ac:dyDescent="0.35">
      <c r="A2296" s="225"/>
      <c r="B2296" s="226"/>
      <c r="C2296" s="226"/>
      <c r="D2296" s="226"/>
      <c r="E2296" s="227"/>
      <c r="G2296" s="225"/>
      <c r="H2296" s="226"/>
      <c r="I2296" s="226"/>
      <c r="J2296" s="226"/>
      <c r="K2296" s="227"/>
    </row>
    <row r="2297" spans="1:11" ht="15" thickBot="1" x14ac:dyDescent="0.4">
      <c r="A2297" s="218" t="s">
        <v>34</v>
      </c>
      <c r="B2297" s="219">
        <f t="shared" ref="B2297:E2297" si="48">SUM(B2292:B2296)</f>
        <v>3173</v>
      </c>
      <c r="C2297" s="219">
        <f t="shared" si="48"/>
        <v>0</v>
      </c>
      <c r="D2297" s="219">
        <f t="shared" si="48"/>
        <v>0</v>
      </c>
      <c r="E2297" s="219">
        <f t="shared" si="48"/>
        <v>0</v>
      </c>
      <c r="G2297" s="218" t="s">
        <v>34</v>
      </c>
      <c r="H2297" s="219">
        <f t="shared" ref="H2297:K2297" si="49">SUM(H2292:H2296)</f>
        <v>0</v>
      </c>
      <c r="I2297" s="219">
        <f t="shared" si="49"/>
        <v>0</v>
      </c>
      <c r="J2297" s="219">
        <f t="shared" si="49"/>
        <v>0</v>
      </c>
      <c r="K2297" s="219">
        <f t="shared" si="49"/>
        <v>0</v>
      </c>
    </row>
    <row r="2298" spans="1:11" x14ac:dyDescent="0.35">
      <c r="A2298" s="220" t="s">
        <v>305</v>
      </c>
      <c r="B2298" s="220">
        <f t="shared" ref="B2298" si="50">+B2297+C2297+D2297+E2297</f>
        <v>3173</v>
      </c>
      <c r="C2298" s="220"/>
      <c r="D2298" s="220"/>
      <c r="E2298" s="220"/>
      <c r="G2298" s="220" t="s">
        <v>305</v>
      </c>
      <c r="H2298" s="220">
        <f t="shared" ref="H2298" si="51">+H2297+I2297+J2297+K2297</f>
        <v>0</v>
      </c>
      <c r="I2298" s="220"/>
      <c r="J2298" s="220"/>
      <c r="K2298" s="220"/>
    </row>
    <row r="2299" spans="1:11" ht="15" thickBot="1" x14ac:dyDescent="0.4">
      <c r="A2299" s="315" t="s">
        <v>298</v>
      </c>
      <c r="B2299" s="315"/>
      <c r="C2299" s="315"/>
      <c r="D2299" s="315"/>
      <c r="E2299" s="315"/>
      <c r="G2299" s="315" t="s">
        <v>314</v>
      </c>
      <c r="H2299" s="315"/>
      <c r="I2299" s="315"/>
      <c r="J2299" s="315"/>
      <c r="K2299" s="315"/>
    </row>
    <row r="2300" spans="1:11" ht="15" thickTop="1" x14ac:dyDescent="0.35">
      <c r="A2300" s="313">
        <v>45519</v>
      </c>
      <c r="B2300" s="313"/>
      <c r="C2300" s="313"/>
      <c r="D2300" s="313"/>
      <c r="E2300" s="313"/>
      <c r="G2300" s="326">
        <v>45519</v>
      </c>
      <c r="H2300" s="326"/>
      <c r="I2300" s="326"/>
      <c r="J2300" s="326"/>
      <c r="K2300" s="326"/>
    </row>
    <row r="2301" spans="1:11" x14ac:dyDescent="0.35">
      <c r="A2301" s="261" t="s">
        <v>159</v>
      </c>
      <c r="B2301" s="262" t="s">
        <v>299</v>
      </c>
      <c r="C2301" s="262" t="s">
        <v>300</v>
      </c>
      <c r="D2301" s="262" t="s">
        <v>301</v>
      </c>
      <c r="E2301" s="263" t="s">
        <v>302</v>
      </c>
      <c r="G2301" s="264" t="s">
        <v>159</v>
      </c>
      <c r="H2301" s="265" t="s">
        <v>299</v>
      </c>
      <c r="I2301" s="265" t="s">
        <v>300</v>
      </c>
      <c r="J2301" s="265" t="s">
        <v>301</v>
      </c>
      <c r="K2301" s="266" t="s">
        <v>302</v>
      </c>
    </row>
    <row r="2302" spans="1:11" x14ac:dyDescent="0.35">
      <c r="A2302" s="221" t="s">
        <v>303</v>
      </c>
      <c r="B2302" s="222">
        <v>6059</v>
      </c>
      <c r="C2302" s="222"/>
      <c r="D2302" s="222"/>
      <c r="E2302" s="223"/>
      <c r="G2302" s="221" t="s">
        <v>303</v>
      </c>
      <c r="H2302" s="222">
        <v>583</v>
      </c>
      <c r="I2302" s="222"/>
      <c r="J2302" s="222"/>
      <c r="K2302" s="223"/>
    </row>
    <row r="2303" spans="1:11" x14ac:dyDescent="0.35">
      <c r="A2303" s="225" t="s">
        <v>304</v>
      </c>
      <c r="B2303" s="226"/>
      <c r="C2303" s="226"/>
      <c r="D2303" s="226"/>
      <c r="E2303" s="227"/>
      <c r="G2303" s="225"/>
      <c r="H2303" s="226"/>
      <c r="I2303" s="226"/>
      <c r="J2303" s="226"/>
      <c r="K2303" s="227"/>
    </row>
    <row r="2304" spans="1:11" x14ac:dyDescent="0.35">
      <c r="A2304" s="225"/>
      <c r="B2304" s="226"/>
      <c r="C2304" s="226"/>
      <c r="D2304" s="226"/>
      <c r="E2304" s="227"/>
      <c r="G2304" s="225"/>
      <c r="H2304" s="226"/>
      <c r="I2304" s="226"/>
      <c r="J2304" s="226"/>
      <c r="K2304" s="227"/>
    </row>
    <row r="2305" spans="1:11" x14ac:dyDescent="0.35">
      <c r="A2305" s="221"/>
      <c r="B2305" s="222"/>
      <c r="C2305" s="222"/>
      <c r="D2305" s="222"/>
      <c r="E2305" s="223"/>
      <c r="G2305" s="221"/>
      <c r="H2305" s="222"/>
      <c r="I2305" s="222"/>
      <c r="J2305" s="222"/>
      <c r="K2305" s="223"/>
    </row>
    <row r="2306" spans="1:11" x14ac:dyDescent="0.35">
      <c r="A2306" s="225"/>
      <c r="B2306" s="226"/>
      <c r="C2306" s="226"/>
      <c r="D2306" s="226"/>
      <c r="E2306" s="227"/>
      <c r="G2306" s="225"/>
      <c r="H2306" s="226"/>
      <c r="I2306" s="226"/>
      <c r="J2306" s="226"/>
      <c r="K2306" s="227"/>
    </row>
    <row r="2307" spans="1:11" ht="15" thickBot="1" x14ac:dyDescent="0.4">
      <c r="A2307" s="218" t="s">
        <v>34</v>
      </c>
      <c r="B2307" s="219">
        <f t="shared" ref="B2307:E2307" si="52">SUM(B2302:B2306)</f>
        <v>6059</v>
      </c>
      <c r="C2307" s="219">
        <f t="shared" si="52"/>
        <v>0</v>
      </c>
      <c r="D2307" s="219">
        <f t="shared" si="52"/>
        <v>0</v>
      </c>
      <c r="E2307" s="219">
        <f t="shared" si="52"/>
        <v>0</v>
      </c>
      <c r="G2307" s="218" t="s">
        <v>34</v>
      </c>
      <c r="H2307" s="219">
        <f t="shared" ref="H2307:K2307" si="53">SUM(H2302:H2306)</f>
        <v>583</v>
      </c>
      <c r="I2307" s="219">
        <f t="shared" si="53"/>
        <v>0</v>
      </c>
      <c r="J2307" s="219">
        <f t="shared" si="53"/>
        <v>0</v>
      </c>
      <c r="K2307" s="219">
        <f t="shared" si="53"/>
        <v>0</v>
      </c>
    </row>
    <row r="2308" spans="1:11" x14ac:dyDescent="0.35">
      <c r="A2308" s="220" t="s">
        <v>305</v>
      </c>
      <c r="B2308" s="220">
        <f t="shared" ref="B2308" si="54">+B2307+C2307+D2307+E2307</f>
        <v>6059</v>
      </c>
      <c r="C2308" s="220"/>
      <c r="D2308" s="220"/>
      <c r="E2308" s="220"/>
      <c r="G2308" s="220" t="s">
        <v>305</v>
      </c>
      <c r="H2308" s="220">
        <f t="shared" ref="H2308" si="55">+H2307+I2307+J2307+K2307</f>
        <v>583</v>
      </c>
      <c r="I2308" s="220"/>
      <c r="J2308" s="220"/>
      <c r="K2308" s="220"/>
    </row>
    <row r="2309" spans="1:11" ht="15" thickBot="1" x14ac:dyDescent="0.4">
      <c r="A2309" s="315" t="s">
        <v>298</v>
      </c>
      <c r="B2309" s="315"/>
      <c r="C2309" s="315"/>
      <c r="D2309" s="315"/>
      <c r="E2309" s="315"/>
      <c r="G2309" s="315" t="s">
        <v>314</v>
      </c>
      <c r="H2309" s="315"/>
      <c r="I2309" s="315"/>
      <c r="J2309" s="315"/>
      <c r="K2309" s="315"/>
    </row>
    <row r="2310" spans="1:11" ht="15" thickTop="1" x14ac:dyDescent="0.35">
      <c r="A2310" s="313">
        <v>45520</v>
      </c>
      <c r="B2310" s="313"/>
      <c r="C2310" s="313"/>
      <c r="D2310" s="313"/>
      <c r="E2310" s="313"/>
      <c r="G2310" s="326">
        <v>45520</v>
      </c>
      <c r="H2310" s="326"/>
      <c r="I2310" s="326"/>
      <c r="J2310" s="326"/>
      <c r="K2310" s="326"/>
    </row>
    <row r="2311" spans="1:11" x14ac:dyDescent="0.35">
      <c r="A2311" s="261" t="s">
        <v>159</v>
      </c>
      <c r="B2311" s="262" t="s">
        <v>299</v>
      </c>
      <c r="C2311" s="262" t="s">
        <v>300</v>
      </c>
      <c r="D2311" s="262" t="s">
        <v>301</v>
      </c>
      <c r="E2311" s="263" t="s">
        <v>302</v>
      </c>
      <c r="G2311" s="264" t="s">
        <v>159</v>
      </c>
      <c r="H2311" s="265" t="s">
        <v>299</v>
      </c>
      <c r="I2311" s="265" t="s">
        <v>300</v>
      </c>
      <c r="J2311" s="265" t="s">
        <v>301</v>
      </c>
      <c r="K2311" s="266" t="s">
        <v>302</v>
      </c>
    </row>
    <row r="2312" spans="1:11" x14ac:dyDescent="0.35">
      <c r="A2312" s="221" t="s">
        <v>303</v>
      </c>
      <c r="B2312" s="222">
        <v>5947</v>
      </c>
      <c r="C2312" s="222"/>
      <c r="D2312" s="222"/>
      <c r="E2312" s="223"/>
      <c r="G2312" s="221" t="s">
        <v>303</v>
      </c>
      <c r="H2312" s="222">
        <v>1857</v>
      </c>
      <c r="I2312" s="222"/>
      <c r="J2312" s="222"/>
      <c r="K2312" s="223"/>
    </row>
    <row r="2313" spans="1:11" x14ac:dyDescent="0.35">
      <c r="A2313" s="225" t="s">
        <v>304</v>
      </c>
      <c r="B2313" s="226">
        <v>7000</v>
      </c>
      <c r="C2313" s="226"/>
      <c r="D2313" s="226"/>
      <c r="E2313" s="227"/>
      <c r="G2313" s="225"/>
      <c r="H2313" s="226"/>
      <c r="I2313" s="226"/>
      <c r="J2313" s="226"/>
      <c r="K2313" s="227"/>
    </row>
    <row r="2314" spans="1:11" x14ac:dyDescent="0.35">
      <c r="A2314" s="225"/>
      <c r="B2314" s="226"/>
      <c r="C2314" s="226"/>
      <c r="D2314" s="226"/>
      <c r="E2314" s="227"/>
      <c r="G2314" s="225"/>
      <c r="H2314" s="226"/>
      <c r="I2314" s="226"/>
      <c r="J2314" s="226"/>
      <c r="K2314" s="227"/>
    </row>
    <row r="2315" spans="1:11" x14ac:dyDescent="0.35">
      <c r="A2315" s="221"/>
      <c r="B2315" s="222"/>
      <c r="C2315" s="222"/>
      <c r="D2315" s="222"/>
      <c r="E2315" s="223"/>
      <c r="G2315" s="221"/>
      <c r="H2315" s="222"/>
      <c r="I2315" s="222"/>
      <c r="J2315" s="222"/>
      <c r="K2315" s="223"/>
    </row>
    <row r="2316" spans="1:11" x14ac:dyDescent="0.35">
      <c r="A2316" s="225"/>
      <c r="B2316" s="226"/>
      <c r="C2316" s="226"/>
      <c r="D2316" s="226"/>
      <c r="E2316" s="227"/>
      <c r="G2316" s="225"/>
      <c r="H2316" s="226"/>
      <c r="I2316" s="226"/>
      <c r="J2316" s="226"/>
      <c r="K2316" s="227"/>
    </row>
    <row r="2317" spans="1:11" ht="15" thickBot="1" x14ac:dyDescent="0.4">
      <c r="A2317" s="218" t="s">
        <v>34</v>
      </c>
      <c r="B2317" s="219">
        <f t="shared" ref="B2317:E2317" si="56">SUM(B2312:B2316)</f>
        <v>12947</v>
      </c>
      <c r="C2317" s="219">
        <f t="shared" si="56"/>
        <v>0</v>
      </c>
      <c r="D2317" s="219">
        <f t="shared" si="56"/>
        <v>0</v>
      </c>
      <c r="E2317" s="219">
        <f t="shared" si="56"/>
        <v>0</v>
      </c>
      <c r="G2317" s="218" t="s">
        <v>34</v>
      </c>
      <c r="H2317" s="219">
        <f t="shared" ref="H2317:K2317" si="57">SUM(H2312:H2316)</f>
        <v>1857</v>
      </c>
      <c r="I2317" s="219">
        <f t="shared" si="57"/>
        <v>0</v>
      </c>
      <c r="J2317" s="219">
        <f t="shared" si="57"/>
        <v>0</v>
      </c>
      <c r="K2317" s="219">
        <f t="shared" si="57"/>
        <v>0</v>
      </c>
    </row>
    <row r="2318" spans="1:11" x14ac:dyDescent="0.35">
      <c r="A2318" s="220" t="s">
        <v>305</v>
      </c>
      <c r="B2318" s="220">
        <f t="shared" ref="B2318" si="58">+B2317+C2317+D2317+E2317</f>
        <v>12947</v>
      </c>
      <c r="C2318" s="220"/>
      <c r="D2318" s="220"/>
      <c r="E2318" s="220"/>
      <c r="G2318" s="220" t="s">
        <v>305</v>
      </c>
      <c r="H2318" s="220">
        <f t="shared" ref="H2318" si="59">+H2317+I2317+J2317+K2317</f>
        <v>1857</v>
      </c>
      <c r="I2318" s="220"/>
      <c r="J2318" s="220"/>
      <c r="K2318" s="220"/>
    </row>
    <row r="2319" spans="1:11" ht="15" thickBot="1" x14ac:dyDescent="0.4">
      <c r="A2319" s="315" t="s">
        <v>298</v>
      </c>
      <c r="B2319" s="315"/>
      <c r="C2319" s="315"/>
      <c r="D2319" s="315"/>
      <c r="E2319" s="315"/>
      <c r="G2319" s="315" t="s">
        <v>314</v>
      </c>
      <c r="H2319" s="315"/>
      <c r="I2319" s="315"/>
      <c r="J2319" s="315"/>
      <c r="K2319" s="315"/>
    </row>
    <row r="2320" spans="1:11" ht="15" thickTop="1" x14ac:dyDescent="0.35">
      <c r="A2320" s="313">
        <v>45521</v>
      </c>
      <c r="B2320" s="313"/>
      <c r="C2320" s="313"/>
      <c r="D2320" s="313"/>
      <c r="E2320" s="313"/>
      <c r="G2320" s="326">
        <v>45521</v>
      </c>
      <c r="H2320" s="326"/>
      <c r="I2320" s="326"/>
      <c r="J2320" s="326"/>
      <c r="K2320" s="326"/>
    </row>
    <row r="2321" spans="1:11" x14ac:dyDescent="0.35">
      <c r="A2321" s="261" t="s">
        <v>159</v>
      </c>
      <c r="B2321" s="262" t="s">
        <v>299</v>
      </c>
      <c r="C2321" s="262" t="s">
        <v>300</v>
      </c>
      <c r="D2321" s="262" t="s">
        <v>301</v>
      </c>
      <c r="E2321" s="263" t="s">
        <v>302</v>
      </c>
      <c r="G2321" s="264" t="s">
        <v>159</v>
      </c>
      <c r="H2321" s="265" t="s">
        <v>299</v>
      </c>
      <c r="I2321" s="265" t="s">
        <v>300</v>
      </c>
      <c r="J2321" s="265" t="s">
        <v>301</v>
      </c>
      <c r="K2321" s="266" t="s">
        <v>302</v>
      </c>
    </row>
    <row r="2322" spans="1:11" x14ac:dyDescent="0.35">
      <c r="A2322" s="221" t="s">
        <v>303</v>
      </c>
      <c r="B2322" s="222">
        <v>13672</v>
      </c>
      <c r="C2322" s="222"/>
      <c r="D2322" s="222"/>
      <c r="E2322" s="223"/>
      <c r="G2322" s="221" t="s">
        <v>303</v>
      </c>
      <c r="H2322" s="222"/>
      <c r="I2322" s="222"/>
      <c r="J2322" s="222"/>
      <c r="K2322" s="223"/>
    </row>
    <row r="2323" spans="1:11" x14ac:dyDescent="0.35">
      <c r="A2323" s="225" t="s">
        <v>304</v>
      </c>
      <c r="B2323" s="226"/>
      <c r="C2323" s="226"/>
      <c r="D2323" s="226"/>
      <c r="E2323" s="227"/>
      <c r="G2323" s="225"/>
      <c r="H2323" s="226"/>
      <c r="I2323" s="226"/>
      <c r="J2323" s="226"/>
      <c r="K2323" s="227"/>
    </row>
    <row r="2324" spans="1:11" x14ac:dyDescent="0.35">
      <c r="A2324" s="225"/>
      <c r="B2324" s="226"/>
      <c r="C2324" s="226"/>
      <c r="D2324" s="226"/>
      <c r="E2324" s="227"/>
      <c r="G2324" s="225"/>
      <c r="H2324" s="226"/>
      <c r="I2324" s="226"/>
      <c r="J2324" s="226"/>
      <c r="K2324" s="227"/>
    </row>
    <row r="2325" spans="1:11" x14ac:dyDescent="0.35">
      <c r="A2325" s="221"/>
      <c r="B2325" s="222"/>
      <c r="C2325" s="222"/>
      <c r="D2325" s="222"/>
      <c r="E2325" s="223"/>
      <c r="G2325" s="221"/>
      <c r="H2325" s="222"/>
      <c r="I2325" s="222"/>
      <c r="J2325" s="222"/>
      <c r="K2325" s="223"/>
    </row>
    <row r="2326" spans="1:11" x14ac:dyDescent="0.35">
      <c r="A2326" s="225"/>
      <c r="B2326" s="226"/>
      <c r="C2326" s="226"/>
      <c r="D2326" s="226"/>
      <c r="E2326" s="227"/>
      <c r="G2326" s="225"/>
      <c r="H2326" s="226"/>
      <c r="I2326" s="226"/>
      <c r="J2326" s="226"/>
      <c r="K2326" s="227"/>
    </row>
    <row r="2327" spans="1:11" ht="15" thickBot="1" x14ac:dyDescent="0.4">
      <c r="A2327" s="218" t="s">
        <v>34</v>
      </c>
      <c r="B2327" s="219">
        <f t="shared" ref="B2327:E2327" si="60">SUM(B2322:B2326)</f>
        <v>13672</v>
      </c>
      <c r="C2327" s="219">
        <f t="shared" si="60"/>
        <v>0</v>
      </c>
      <c r="D2327" s="219">
        <f t="shared" si="60"/>
        <v>0</v>
      </c>
      <c r="E2327" s="219">
        <f t="shared" si="60"/>
        <v>0</v>
      </c>
      <c r="G2327" s="218" t="s">
        <v>34</v>
      </c>
      <c r="H2327" s="219">
        <f t="shared" ref="H2327:K2327" si="61">SUM(H2322:H2326)</f>
        <v>0</v>
      </c>
      <c r="I2327" s="219">
        <f t="shared" si="61"/>
        <v>0</v>
      </c>
      <c r="J2327" s="219">
        <f t="shared" si="61"/>
        <v>0</v>
      </c>
      <c r="K2327" s="219">
        <f t="shared" si="61"/>
        <v>0</v>
      </c>
    </row>
    <row r="2328" spans="1:11" x14ac:dyDescent="0.35">
      <c r="A2328" s="220" t="s">
        <v>305</v>
      </c>
      <c r="B2328" s="220">
        <f t="shared" ref="B2328" si="62">+B2327+C2327+D2327+E2327</f>
        <v>13672</v>
      </c>
      <c r="C2328" s="220"/>
      <c r="D2328" s="220"/>
      <c r="E2328" s="220"/>
      <c r="G2328" s="220" t="s">
        <v>305</v>
      </c>
      <c r="H2328" s="220">
        <f t="shared" ref="H2328" si="63">+H2327+I2327+J2327+K2327</f>
        <v>0</v>
      </c>
      <c r="I2328" s="220"/>
      <c r="J2328" s="220"/>
      <c r="K2328" s="220"/>
    </row>
    <row r="2329" spans="1:11" ht="15" thickBot="1" x14ac:dyDescent="0.4">
      <c r="A2329" s="315" t="s">
        <v>298</v>
      </c>
      <c r="B2329" s="315"/>
      <c r="C2329" s="315"/>
      <c r="D2329" s="315"/>
      <c r="E2329" s="315"/>
      <c r="G2329" s="315" t="s">
        <v>314</v>
      </c>
      <c r="H2329" s="315"/>
      <c r="I2329" s="315"/>
      <c r="J2329" s="315"/>
      <c r="K2329" s="315"/>
    </row>
    <row r="2330" spans="1:11" ht="15" thickTop="1" x14ac:dyDescent="0.35">
      <c r="A2330" s="313">
        <v>45522</v>
      </c>
      <c r="B2330" s="313"/>
      <c r="C2330" s="313"/>
      <c r="D2330" s="313"/>
      <c r="E2330" s="313"/>
      <c r="G2330" s="326">
        <v>45522</v>
      </c>
      <c r="H2330" s="326"/>
      <c r="I2330" s="326"/>
      <c r="J2330" s="326"/>
      <c r="K2330" s="326"/>
    </row>
    <row r="2331" spans="1:11" x14ac:dyDescent="0.35">
      <c r="A2331" s="261" t="s">
        <v>159</v>
      </c>
      <c r="B2331" s="262" t="s">
        <v>299</v>
      </c>
      <c r="C2331" s="262" t="s">
        <v>300</v>
      </c>
      <c r="D2331" s="262" t="s">
        <v>301</v>
      </c>
      <c r="E2331" s="263" t="s">
        <v>302</v>
      </c>
      <c r="G2331" s="264" t="s">
        <v>159</v>
      </c>
      <c r="H2331" s="265" t="s">
        <v>299</v>
      </c>
      <c r="I2331" s="265" t="s">
        <v>300</v>
      </c>
      <c r="J2331" s="265" t="s">
        <v>301</v>
      </c>
      <c r="K2331" s="266" t="s">
        <v>302</v>
      </c>
    </row>
    <row r="2332" spans="1:11" x14ac:dyDescent="0.35">
      <c r="A2332" s="221" t="s">
        <v>303</v>
      </c>
      <c r="B2332" s="222">
        <v>12227</v>
      </c>
      <c r="C2332" s="222"/>
      <c r="D2332" s="222"/>
      <c r="E2332" s="223"/>
      <c r="G2332" s="221" t="s">
        <v>303</v>
      </c>
      <c r="H2332" s="222">
        <v>2974</v>
      </c>
      <c r="I2332" s="222"/>
      <c r="J2332" s="222"/>
      <c r="K2332" s="223"/>
    </row>
    <row r="2333" spans="1:11" x14ac:dyDescent="0.35">
      <c r="A2333" s="225" t="s">
        <v>304</v>
      </c>
      <c r="B2333" s="226"/>
      <c r="C2333" s="226"/>
      <c r="D2333" s="226"/>
      <c r="E2333" s="227"/>
      <c r="G2333" s="225"/>
      <c r="H2333" s="226"/>
      <c r="I2333" s="226"/>
      <c r="J2333" s="226"/>
      <c r="K2333" s="227"/>
    </row>
    <row r="2334" spans="1:11" x14ac:dyDescent="0.35">
      <c r="A2334" s="225"/>
      <c r="B2334" s="226"/>
      <c r="C2334" s="226"/>
      <c r="D2334" s="226"/>
      <c r="E2334" s="227"/>
      <c r="G2334" s="225"/>
      <c r="H2334" s="226"/>
      <c r="I2334" s="226"/>
      <c r="J2334" s="226"/>
      <c r="K2334" s="227"/>
    </row>
    <row r="2335" spans="1:11" x14ac:dyDescent="0.35">
      <c r="A2335" s="221"/>
      <c r="B2335" s="222"/>
      <c r="C2335" s="222"/>
      <c r="D2335" s="222"/>
      <c r="E2335" s="223"/>
      <c r="G2335" s="221"/>
      <c r="H2335" s="222"/>
      <c r="I2335" s="222"/>
      <c r="J2335" s="222"/>
      <c r="K2335" s="223"/>
    </row>
    <row r="2336" spans="1:11" x14ac:dyDescent="0.35">
      <c r="A2336" s="225"/>
      <c r="B2336" s="226"/>
      <c r="C2336" s="226"/>
      <c r="D2336" s="226"/>
      <c r="E2336" s="227"/>
      <c r="G2336" s="225"/>
      <c r="H2336" s="226"/>
      <c r="I2336" s="226"/>
      <c r="J2336" s="226"/>
      <c r="K2336" s="227"/>
    </row>
    <row r="2337" spans="1:11" ht="15" thickBot="1" x14ac:dyDescent="0.4">
      <c r="A2337" s="218" t="s">
        <v>34</v>
      </c>
      <c r="B2337" s="219">
        <f t="shared" ref="B2337:E2337" si="64">SUM(B2332:B2336)</f>
        <v>12227</v>
      </c>
      <c r="C2337" s="219">
        <f t="shared" si="64"/>
        <v>0</v>
      </c>
      <c r="D2337" s="219">
        <f t="shared" si="64"/>
        <v>0</v>
      </c>
      <c r="E2337" s="219">
        <f t="shared" si="64"/>
        <v>0</v>
      </c>
      <c r="G2337" s="218" t="s">
        <v>34</v>
      </c>
      <c r="H2337" s="219">
        <f t="shared" ref="H2337:K2337" si="65">SUM(H2332:H2336)</f>
        <v>2974</v>
      </c>
      <c r="I2337" s="219">
        <f t="shared" si="65"/>
        <v>0</v>
      </c>
      <c r="J2337" s="219">
        <f t="shared" si="65"/>
        <v>0</v>
      </c>
      <c r="K2337" s="219">
        <f t="shared" si="65"/>
        <v>0</v>
      </c>
    </row>
    <row r="2338" spans="1:11" x14ac:dyDescent="0.35">
      <c r="A2338" s="220" t="s">
        <v>305</v>
      </c>
      <c r="B2338" s="220">
        <f t="shared" ref="B2338" si="66">+B2337+C2337+D2337+E2337</f>
        <v>12227</v>
      </c>
      <c r="C2338" s="220"/>
      <c r="D2338" s="220"/>
      <c r="E2338" s="220"/>
      <c r="G2338" s="220" t="s">
        <v>305</v>
      </c>
      <c r="H2338" s="220">
        <f t="shared" ref="H2338" si="67">+H2337+I2337+J2337+K2337</f>
        <v>2974</v>
      </c>
      <c r="I2338" s="220"/>
      <c r="J2338" s="220"/>
      <c r="K2338" s="220"/>
    </row>
    <row r="2339" spans="1:11" ht="15" thickBot="1" x14ac:dyDescent="0.4">
      <c r="A2339" s="315" t="s">
        <v>298</v>
      </c>
      <c r="B2339" s="315"/>
      <c r="C2339" s="315"/>
      <c r="D2339" s="315"/>
      <c r="E2339" s="315"/>
      <c r="G2339" s="315" t="s">
        <v>314</v>
      </c>
      <c r="H2339" s="315"/>
      <c r="I2339" s="315"/>
      <c r="J2339" s="315"/>
      <c r="K2339" s="315"/>
    </row>
    <row r="2340" spans="1:11" ht="15" thickTop="1" x14ac:dyDescent="0.35">
      <c r="A2340" s="313">
        <v>45523</v>
      </c>
      <c r="B2340" s="313"/>
      <c r="C2340" s="313"/>
      <c r="D2340" s="313"/>
      <c r="E2340" s="313"/>
      <c r="G2340" s="326">
        <v>45523</v>
      </c>
      <c r="H2340" s="326"/>
      <c r="I2340" s="326"/>
      <c r="J2340" s="326"/>
      <c r="K2340" s="326"/>
    </row>
    <row r="2341" spans="1:11" x14ac:dyDescent="0.35">
      <c r="A2341" s="261" t="s">
        <v>159</v>
      </c>
      <c r="B2341" s="262" t="s">
        <v>299</v>
      </c>
      <c r="C2341" s="262" t="s">
        <v>300</v>
      </c>
      <c r="D2341" s="262" t="s">
        <v>301</v>
      </c>
      <c r="E2341" s="263" t="s">
        <v>302</v>
      </c>
      <c r="G2341" s="264" t="s">
        <v>159</v>
      </c>
      <c r="H2341" s="265" t="s">
        <v>299</v>
      </c>
      <c r="I2341" s="265" t="s">
        <v>300</v>
      </c>
      <c r="J2341" s="265" t="s">
        <v>301</v>
      </c>
      <c r="K2341" s="266" t="s">
        <v>302</v>
      </c>
    </row>
    <row r="2342" spans="1:11" x14ac:dyDescent="0.35">
      <c r="A2342" s="221" t="s">
        <v>303</v>
      </c>
      <c r="B2342" s="222">
        <v>5153</v>
      </c>
      <c r="C2342" s="222"/>
      <c r="D2342" s="222"/>
      <c r="E2342" s="223"/>
      <c r="G2342" s="221" t="s">
        <v>303</v>
      </c>
      <c r="H2342" s="222">
        <v>919</v>
      </c>
      <c r="I2342" s="222"/>
      <c r="J2342" s="222"/>
      <c r="K2342" s="223"/>
    </row>
    <row r="2343" spans="1:11" x14ac:dyDescent="0.35">
      <c r="A2343" s="225" t="s">
        <v>304</v>
      </c>
      <c r="B2343" s="226">
        <v>6546</v>
      </c>
      <c r="C2343" s="226"/>
      <c r="D2343" s="226"/>
      <c r="E2343" s="227"/>
      <c r="G2343" s="225"/>
      <c r="H2343" s="226"/>
      <c r="I2343" s="226"/>
      <c r="J2343" s="226"/>
      <c r="K2343" s="227"/>
    </row>
    <row r="2344" spans="1:11" x14ac:dyDescent="0.35">
      <c r="A2344" s="225"/>
      <c r="B2344" s="226"/>
      <c r="C2344" s="226"/>
      <c r="D2344" s="226"/>
      <c r="E2344" s="227"/>
      <c r="G2344" s="225"/>
      <c r="H2344" s="226"/>
      <c r="I2344" s="226"/>
      <c r="J2344" s="226"/>
      <c r="K2344" s="227"/>
    </row>
    <row r="2345" spans="1:11" x14ac:dyDescent="0.35">
      <c r="A2345" s="221"/>
      <c r="B2345" s="222"/>
      <c r="C2345" s="222"/>
      <c r="D2345" s="222"/>
      <c r="E2345" s="223"/>
      <c r="G2345" s="221"/>
      <c r="H2345" s="222"/>
      <c r="I2345" s="222"/>
      <c r="J2345" s="222"/>
      <c r="K2345" s="223"/>
    </row>
    <row r="2346" spans="1:11" x14ac:dyDescent="0.35">
      <c r="A2346" s="225"/>
      <c r="B2346" s="226"/>
      <c r="C2346" s="226"/>
      <c r="D2346" s="226"/>
      <c r="E2346" s="227"/>
      <c r="G2346" s="225"/>
      <c r="H2346" s="226"/>
      <c r="I2346" s="226"/>
      <c r="J2346" s="226"/>
      <c r="K2346" s="227"/>
    </row>
    <row r="2347" spans="1:11" ht="15" thickBot="1" x14ac:dyDescent="0.4">
      <c r="A2347" s="218" t="s">
        <v>34</v>
      </c>
      <c r="B2347" s="219">
        <f t="shared" ref="B2347:E2347" si="68">SUM(B2342:B2346)</f>
        <v>11699</v>
      </c>
      <c r="C2347" s="219">
        <f t="shared" si="68"/>
        <v>0</v>
      </c>
      <c r="D2347" s="219">
        <f t="shared" si="68"/>
        <v>0</v>
      </c>
      <c r="E2347" s="219">
        <f t="shared" si="68"/>
        <v>0</v>
      </c>
      <c r="G2347" s="218" t="s">
        <v>34</v>
      </c>
      <c r="H2347" s="219">
        <f t="shared" ref="H2347:K2347" si="69">SUM(H2342:H2346)</f>
        <v>919</v>
      </c>
      <c r="I2347" s="219">
        <f t="shared" si="69"/>
        <v>0</v>
      </c>
      <c r="J2347" s="219">
        <f t="shared" si="69"/>
        <v>0</v>
      </c>
      <c r="K2347" s="219">
        <f t="shared" si="69"/>
        <v>0</v>
      </c>
    </row>
    <row r="2348" spans="1:11" x14ac:dyDescent="0.35">
      <c r="A2348" s="220" t="s">
        <v>305</v>
      </c>
      <c r="B2348" s="220">
        <f t="shared" ref="B2348" si="70">+B2347+C2347+D2347+E2347</f>
        <v>11699</v>
      </c>
      <c r="C2348" s="220"/>
      <c r="D2348" s="220"/>
      <c r="E2348" s="220"/>
      <c r="G2348" s="220" t="s">
        <v>305</v>
      </c>
      <c r="H2348" s="220">
        <f t="shared" ref="H2348" si="71">+H2347+I2347+J2347+K2347</f>
        <v>919</v>
      </c>
      <c r="I2348" s="220"/>
      <c r="J2348" s="220"/>
      <c r="K2348" s="220"/>
    </row>
    <row r="2349" spans="1:11" ht="15" thickBot="1" x14ac:dyDescent="0.4">
      <c r="A2349" s="315" t="s">
        <v>298</v>
      </c>
      <c r="B2349" s="315"/>
      <c r="C2349" s="315"/>
      <c r="D2349" s="315"/>
      <c r="E2349" s="315"/>
      <c r="G2349" s="315" t="s">
        <v>314</v>
      </c>
      <c r="H2349" s="315"/>
      <c r="I2349" s="315"/>
      <c r="J2349" s="315"/>
      <c r="K2349" s="315"/>
    </row>
    <row r="2350" spans="1:11" ht="15" thickTop="1" x14ac:dyDescent="0.35">
      <c r="A2350" s="313">
        <v>45524</v>
      </c>
      <c r="B2350" s="313"/>
      <c r="C2350" s="313"/>
      <c r="D2350" s="313"/>
      <c r="E2350" s="313"/>
      <c r="G2350" s="326">
        <v>45524</v>
      </c>
      <c r="H2350" s="326"/>
      <c r="I2350" s="326"/>
      <c r="J2350" s="326"/>
      <c r="K2350" s="326"/>
    </row>
    <row r="2351" spans="1:11" x14ac:dyDescent="0.35">
      <c r="A2351" s="261" t="s">
        <v>159</v>
      </c>
      <c r="B2351" s="262" t="s">
        <v>299</v>
      </c>
      <c r="C2351" s="262" t="s">
        <v>300</v>
      </c>
      <c r="D2351" s="262" t="s">
        <v>301</v>
      </c>
      <c r="E2351" s="263" t="s">
        <v>302</v>
      </c>
      <c r="G2351" s="264" t="s">
        <v>159</v>
      </c>
      <c r="H2351" s="265" t="s">
        <v>299</v>
      </c>
      <c r="I2351" s="265" t="s">
        <v>300</v>
      </c>
      <c r="J2351" s="265" t="s">
        <v>301</v>
      </c>
      <c r="K2351" s="266" t="s">
        <v>302</v>
      </c>
    </row>
    <row r="2352" spans="1:11" x14ac:dyDescent="0.35">
      <c r="A2352" s="221" t="s">
        <v>303</v>
      </c>
      <c r="B2352" s="222"/>
      <c r="C2352" s="222"/>
      <c r="D2352" s="222"/>
      <c r="E2352" s="223"/>
      <c r="G2352" s="221" t="s">
        <v>303</v>
      </c>
      <c r="H2352" s="222">
        <v>178</v>
      </c>
      <c r="I2352" s="222"/>
      <c r="J2352" s="222"/>
      <c r="K2352" s="223"/>
    </row>
    <row r="2353" spans="1:11" x14ac:dyDescent="0.35">
      <c r="A2353" s="225" t="s">
        <v>304</v>
      </c>
      <c r="B2353" s="226"/>
      <c r="C2353" s="226"/>
      <c r="D2353" s="226"/>
      <c r="E2353" s="227"/>
      <c r="G2353" s="225"/>
      <c r="H2353" s="226"/>
      <c r="I2353" s="226"/>
      <c r="J2353" s="226"/>
      <c r="K2353" s="227"/>
    </row>
    <row r="2354" spans="1:11" x14ac:dyDescent="0.35">
      <c r="A2354" s="225"/>
      <c r="B2354" s="226"/>
      <c r="C2354" s="226"/>
      <c r="D2354" s="226"/>
      <c r="E2354" s="227"/>
      <c r="G2354" s="225"/>
      <c r="H2354" s="226"/>
      <c r="I2354" s="226"/>
      <c r="J2354" s="226"/>
      <c r="K2354" s="227"/>
    </row>
    <row r="2355" spans="1:11" x14ac:dyDescent="0.35">
      <c r="A2355" s="221"/>
      <c r="B2355" s="222"/>
      <c r="C2355" s="222"/>
      <c r="D2355" s="222"/>
      <c r="E2355" s="223"/>
      <c r="G2355" s="221"/>
      <c r="H2355" s="222"/>
      <c r="I2355" s="222"/>
      <c r="J2355" s="222"/>
      <c r="K2355" s="223"/>
    </row>
    <row r="2356" spans="1:11" x14ac:dyDescent="0.35">
      <c r="A2356" s="225"/>
      <c r="B2356" s="226"/>
      <c r="C2356" s="226"/>
      <c r="D2356" s="226"/>
      <c r="E2356" s="227"/>
      <c r="G2356" s="225"/>
      <c r="H2356" s="226"/>
      <c r="I2356" s="226"/>
      <c r="J2356" s="226"/>
      <c r="K2356" s="227"/>
    </row>
    <row r="2357" spans="1:11" ht="15" thickBot="1" x14ac:dyDescent="0.4">
      <c r="A2357" s="218" t="s">
        <v>34</v>
      </c>
      <c r="B2357" s="219">
        <f t="shared" ref="B2357:E2357" si="72">SUM(B2352:B2356)</f>
        <v>0</v>
      </c>
      <c r="C2357" s="219">
        <f t="shared" si="72"/>
        <v>0</v>
      </c>
      <c r="D2357" s="219">
        <f t="shared" si="72"/>
        <v>0</v>
      </c>
      <c r="E2357" s="219">
        <f t="shared" si="72"/>
        <v>0</v>
      </c>
      <c r="G2357" s="218" t="s">
        <v>34</v>
      </c>
      <c r="H2357" s="219">
        <f t="shared" ref="H2357:K2357" si="73">SUM(H2352:H2356)</f>
        <v>178</v>
      </c>
      <c r="I2357" s="219">
        <f t="shared" si="73"/>
        <v>0</v>
      </c>
      <c r="J2357" s="219">
        <f t="shared" si="73"/>
        <v>0</v>
      </c>
      <c r="K2357" s="219">
        <f t="shared" si="73"/>
        <v>0</v>
      </c>
    </row>
    <row r="2358" spans="1:11" x14ac:dyDescent="0.35">
      <c r="A2358" s="220" t="s">
        <v>305</v>
      </c>
      <c r="B2358" s="220">
        <f t="shared" ref="B2358" si="74">+B2357+C2357+D2357+E2357</f>
        <v>0</v>
      </c>
      <c r="C2358" s="220"/>
      <c r="D2358" s="220"/>
      <c r="E2358" s="220"/>
      <c r="G2358" s="220" t="s">
        <v>305</v>
      </c>
      <c r="H2358" s="220">
        <f t="shared" ref="H2358" si="75">+H2357+I2357+J2357+K2357</f>
        <v>178</v>
      </c>
      <c r="I2358" s="220"/>
      <c r="J2358" s="220"/>
      <c r="K2358" s="220"/>
    </row>
    <row r="2359" spans="1:11" ht="15" thickBot="1" x14ac:dyDescent="0.4">
      <c r="A2359" s="315" t="s">
        <v>298</v>
      </c>
      <c r="B2359" s="315"/>
      <c r="C2359" s="315"/>
      <c r="D2359" s="315"/>
      <c r="E2359" s="315"/>
      <c r="G2359" s="315" t="s">
        <v>314</v>
      </c>
      <c r="H2359" s="315"/>
      <c r="I2359" s="315"/>
      <c r="J2359" s="315"/>
      <c r="K2359" s="315"/>
    </row>
    <row r="2360" spans="1:11" ht="15" thickTop="1" x14ac:dyDescent="0.35">
      <c r="A2360" s="313">
        <v>45525</v>
      </c>
      <c r="B2360" s="313"/>
      <c r="C2360" s="313"/>
      <c r="D2360" s="313"/>
      <c r="E2360" s="313"/>
      <c r="G2360" s="326">
        <v>45525</v>
      </c>
      <c r="H2360" s="326"/>
      <c r="I2360" s="326"/>
      <c r="J2360" s="326"/>
      <c r="K2360" s="326"/>
    </row>
    <row r="2361" spans="1:11" x14ac:dyDescent="0.35">
      <c r="A2361" s="261" t="s">
        <v>159</v>
      </c>
      <c r="B2361" s="262" t="s">
        <v>299</v>
      </c>
      <c r="C2361" s="262" t="s">
        <v>300</v>
      </c>
      <c r="D2361" s="262" t="s">
        <v>301</v>
      </c>
      <c r="E2361" s="263" t="s">
        <v>302</v>
      </c>
      <c r="G2361" s="264" t="s">
        <v>159</v>
      </c>
      <c r="H2361" s="265" t="s">
        <v>299</v>
      </c>
      <c r="I2361" s="265" t="s">
        <v>300</v>
      </c>
      <c r="J2361" s="265" t="s">
        <v>301</v>
      </c>
      <c r="K2361" s="266" t="s">
        <v>302</v>
      </c>
    </row>
    <row r="2362" spans="1:11" x14ac:dyDescent="0.35">
      <c r="A2362" s="221" t="s">
        <v>303</v>
      </c>
      <c r="B2362" s="222">
        <v>649</v>
      </c>
      <c r="C2362" s="222"/>
      <c r="D2362" s="222"/>
      <c r="E2362" s="223"/>
      <c r="G2362" s="221" t="s">
        <v>303</v>
      </c>
      <c r="H2362" s="222"/>
      <c r="I2362" s="222"/>
      <c r="J2362" s="222"/>
      <c r="K2362" s="223"/>
    </row>
    <row r="2363" spans="1:11" x14ac:dyDescent="0.35">
      <c r="A2363" s="225" t="s">
        <v>304</v>
      </c>
      <c r="B2363" s="226"/>
      <c r="C2363" s="226"/>
      <c r="D2363" s="226"/>
      <c r="E2363" s="227"/>
      <c r="G2363" s="225"/>
      <c r="H2363" s="226"/>
      <c r="I2363" s="226"/>
      <c r="J2363" s="226"/>
      <c r="K2363" s="227"/>
    </row>
    <row r="2364" spans="1:11" x14ac:dyDescent="0.35">
      <c r="A2364" s="225"/>
      <c r="B2364" s="226"/>
      <c r="C2364" s="226"/>
      <c r="D2364" s="226"/>
      <c r="E2364" s="227"/>
      <c r="G2364" s="225"/>
      <c r="H2364" s="226"/>
      <c r="I2364" s="226"/>
      <c r="J2364" s="226"/>
      <c r="K2364" s="227"/>
    </row>
    <row r="2365" spans="1:11" x14ac:dyDescent="0.35">
      <c r="A2365" s="221"/>
      <c r="B2365" s="222"/>
      <c r="C2365" s="222"/>
      <c r="D2365" s="222"/>
      <c r="E2365" s="223"/>
      <c r="G2365" s="221"/>
      <c r="H2365" s="222"/>
      <c r="I2365" s="222"/>
      <c r="J2365" s="222"/>
      <c r="K2365" s="223"/>
    </row>
    <row r="2366" spans="1:11" x14ac:dyDescent="0.35">
      <c r="A2366" s="225"/>
      <c r="B2366" s="226"/>
      <c r="C2366" s="226"/>
      <c r="D2366" s="226"/>
      <c r="E2366" s="227"/>
      <c r="G2366" s="225"/>
      <c r="H2366" s="226"/>
      <c r="I2366" s="226"/>
      <c r="J2366" s="226"/>
      <c r="K2366" s="227"/>
    </row>
    <row r="2367" spans="1:11" ht="15" thickBot="1" x14ac:dyDescent="0.4">
      <c r="A2367" s="218" t="s">
        <v>34</v>
      </c>
      <c r="B2367" s="219">
        <f t="shared" ref="B2367:E2367" si="76">SUM(B2362:B2366)</f>
        <v>649</v>
      </c>
      <c r="C2367" s="219">
        <f t="shared" si="76"/>
        <v>0</v>
      </c>
      <c r="D2367" s="219">
        <f t="shared" si="76"/>
        <v>0</v>
      </c>
      <c r="E2367" s="219">
        <f t="shared" si="76"/>
        <v>0</v>
      </c>
      <c r="G2367" s="218" t="s">
        <v>34</v>
      </c>
      <c r="H2367" s="219">
        <f t="shared" ref="H2367:K2367" si="77">SUM(H2362:H2366)</f>
        <v>0</v>
      </c>
      <c r="I2367" s="219">
        <f t="shared" si="77"/>
        <v>0</v>
      </c>
      <c r="J2367" s="219">
        <f t="shared" si="77"/>
        <v>0</v>
      </c>
      <c r="K2367" s="219">
        <f t="shared" si="77"/>
        <v>0</v>
      </c>
    </row>
    <row r="2368" spans="1:11" x14ac:dyDescent="0.35">
      <c r="A2368" s="220" t="s">
        <v>305</v>
      </c>
      <c r="B2368" s="220">
        <f t="shared" ref="B2368" si="78">+B2367+C2367+D2367+E2367</f>
        <v>649</v>
      </c>
      <c r="C2368" s="220"/>
      <c r="D2368" s="220"/>
      <c r="E2368" s="220"/>
      <c r="G2368" s="220" t="s">
        <v>305</v>
      </c>
      <c r="H2368" s="220">
        <f t="shared" ref="H2368" si="79">+H2367+I2367+J2367+K2367</f>
        <v>0</v>
      </c>
      <c r="I2368" s="220"/>
      <c r="J2368" s="220"/>
      <c r="K2368" s="220"/>
    </row>
    <row r="2369" spans="1:11" ht="15" thickBot="1" x14ac:dyDescent="0.4">
      <c r="A2369" s="315" t="s">
        <v>298</v>
      </c>
      <c r="B2369" s="315"/>
      <c r="C2369" s="315"/>
      <c r="D2369" s="315"/>
      <c r="E2369" s="315"/>
      <c r="G2369" s="315" t="s">
        <v>314</v>
      </c>
      <c r="H2369" s="315"/>
      <c r="I2369" s="315"/>
      <c r="J2369" s="315"/>
      <c r="K2369" s="315"/>
    </row>
    <row r="2370" spans="1:11" ht="15" thickTop="1" x14ac:dyDescent="0.35">
      <c r="A2370" s="313">
        <v>45526</v>
      </c>
      <c r="B2370" s="313"/>
      <c r="C2370" s="313"/>
      <c r="D2370" s="313"/>
      <c r="E2370" s="313"/>
      <c r="G2370" s="326">
        <v>45526</v>
      </c>
      <c r="H2370" s="326"/>
      <c r="I2370" s="326"/>
      <c r="J2370" s="326"/>
      <c r="K2370" s="326"/>
    </row>
    <row r="2371" spans="1:11" x14ac:dyDescent="0.35">
      <c r="A2371" s="261" t="s">
        <v>159</v>
      </c>
      <c r="B2371" s="262" t="s">
        <v>299</v>
      </c>
      <c r="C2371" s="262" t="s">
        <v>300</v>
      </c>
      <c r="D2371" s="262" t="s">
        <v>301</v>
      </c>
      <c r="E2371" s="263" t="s">
        <v>302</v>
      </c>
      <c r="G2371" s="264" t="s">
        <v>159</v>
      </c>
      <c r="H2371" s="265" t="s">
        <v>299</v>
      </c>
      <c r="I2371" s="265" t="s">
        <v>300</v>
      </c>
      <c r="J2371" s="265" t="s">
        <v>301</v>
      </c>
      <c r="K2371" s="266" t="s">
        <v>302</v>
      </c>
    </row>
    <row r="2372" spans="1:11" x14ac:dyDescent="0.35">
      <c r="A2372" s="221" t="s">
        <v>303</v>
      </c>
      <c r="B2372" s="222">
        <v>4785</v>
      </c>
      <c r="C2372" s="222"/>
      <c r="D2372" s="222"/>
      <c r="E2372" s="223"/>
      <c r="G2372" s="221" t="s">
        <v>303</v>
      </c>
      <c r="H2372" s="222"/>
      <c r="I2372" s="222"/>
      <c r="J2372" s="222"/>
      <c r="K2372" s="223"/>
    </row>
    <row r="2373" spans="1:11" x14ac:dyDescent="0.35">
      <c r="A2373" s="225" t="s">
        <v>304</v>
      </c>
      <c r="B2373" s="226"/>
      <c r="C2373" s="226"/>
      <c r="D2373" s="226"/>
      <c r="E2373" s="227"/>
      <c r="G2373" s="225"/>
      <c r="H2373" s="226"/>
      <c r="I2373" s="226"/>
      <c r="J2373" s="226"/>
      <c r="K2373" s="227"/>
    </row>
    <row r="2374" spans="1:11" x14ac:dyDescent="0.35">
      <c r="A2374" s="225"/>
      <c r="B2374" s="226"/>
      <c r="C2374" s="226"/>
      <c r="D2374" s="226"/>
      <c r="E2374" s="227"/>
      <c r="G2374" s="225"/>
      <c r="H2374" s="226"/>
      <c r="I2374" s="226"/>
      <c r="J2374" s="226"/>
      <c r="K2374" s="227"/>
    </row>
    <row r="2375" spans="1:11" x14ac:dyDescent="0.35">
      <c r="A2375" s="221"/>
      <c r="B2375" s="222"/>
      <c r="C2375" s="222"/>
      <c r="D2375" s="222"/>
      <c r="E2375" s="223"/>
      <c r="G2375" s="221"/>
      <c r="H2375" s="222"/>
      <c r="I2375" s="222"/>
      <c r="J2375" s="222"/>
      <c r="K2375" s="223"/>
    </row>
    <row r="2376" spans="1:11" x14ac:dyDescent="0.35">
      <c r="A2376" s="225"/>
      <c r="B2376" s="226"/>
      <c r="C2376" s="226"/>
      <c r="D2376" s="226"/>
      <c r="E2376" s="227"/>
      <c r="G2376" s="225"/>
      <c r="H2376" s="226"/>
      <c r="I2376" s="226"/>
      <c r="J2376" s="226"/>
      <c r="K2376" s="227"/>
    </row>
    <row r="2377" spans="1:11" ht="15" thickBot="1" x14ac:dyDescent="0.4">
      <c r="A2377" s="218" t="s">
        <v>34</v>
      </c>
      <c r="B2377" s="219">
        <f t="shared" ref="B2377:E2377" si="80">SUM(B2372:B2376)</f>
        <v>4785</v>
      </c>
      <c r="C2377" s="219">
        <f t="shared" si="80"/>
        <v>0</v>
      </c>
      <c r="D2377" s="219">
        <f t="shared" si="80"/>
        <v>0</v>
      </c>
      <c r="E2377" s="219">
        <f t="shared" si="80"/>
        <v>0</v>
      </c>
      <c r="G2377" s="218" t="s">
        <v>34</v>
      </c>
      <c r="H2377" s="219">
        <f t="shared" ref="H2377:K2377" si="81">SUM(H2372:H2376)</f>
        <v>0</v>
      </c>
      <c r="I2377" s="219">
        <f t="shared" si="81"/>
        <v>0</v>
      </c>
      <c r="J2377" s="219">
        <f t="shared" si="81"/>
        <v>0</v>
      </c>
      <c r="K2377" s="219">
        <f t="shared" si="81"/>
        <v>0</v>
      </c>
    </row>
    <row r="2378" spans="1:11" x14ac:dyDescent="0.35">
      <c r="A2378" s="220" t="s">
        <v>305</v>
      </c>
      <c r="B2378" s="220">
        <f t="shared" ref="B2378" si="82">+B2377+C2377+D2377+E2377</f>
        <v>4785</v>
      </c>
      <c r="C2378" s="220"/>
      <c r="D2378" s="220"/>
      <c r="E2378" s="220"/>
      <c r="G2378" s="220" t="s">
        <v>305</v>
      </c>
      <c r="H2378" s="220">
        <f t="shared" ref="H2378" si="83">+H2377+I2377+J2377+K2377</f>
        <v>0</v>
      </c>
      <c r="I2378" s="220"/>
      <c r="J2378" s="220"/>
      <c r="K2378" s="220"/>
    </row>
    <row r="2379" spans="1:11" ht="15" thickBot="1" x14ac:dyDescent="0.4">
      <c r="A2379" s="315" t="s">
        <v>298</v>
      </c>
      <c r="B2379" s="315"/>
      <c r="C2379" s="315"/>
      <c r="D2379" s="315"/>
      <c r="E2379" s="315"/>
      <c r="G2379" s="315" t="s">
        <v>314</v>
      </c>
      <c r="H2379" s="315"/>
      <c r="I2379" s="315"/>
      <c r="J2379" s="315"/>
      <c r="K2379" s="315"/>
    </row>
    <row r="2380" spans="1:11" ht="15" thickTop="1" x14ac:dyDescent="0.35">
      <c r="A2380" s="313">
        <v>45527</v>
      </c>
      <c r="B2380" s="313"/>
      <c r="C2380" s="313"/>
      <c r="D2380" s="313"/>
      <c r="E2380" s="313"/>
      <c r="G2380" s="326">
        <v>45527</v>
      </c>
      <c r="H2380" s="326"/>
      <c r="I2380" s="326"/>
      <c r="J2380" s="326"/>
      <c r="K2380" s="326"/>
    </row>
    <row r="2381" spans="1:11" x14ac:dyDescent="0.35">
      <c r="A2381" s="261" t="s">
        <v>159</v>
      </c>
      <c r="B2381" s="262" t="s">
        <v>299</v>
      </c>
      <c r="C2381" s="262" t="s">
        <v>300</v>
      </c>
      <c r="D2381" s="262" t="s">
        <v>301</v>
      </c>
      <c r="E2381" s="263" t="s">
        <v>302</v>
      </c>
      <c r="G2381" s="264" t="s">
        <v>159</v>
      </c>
      <c r="H2381" s="265" t="s">
        <v>299</v>
      </c>
      <c r="I2381" s="265" t="s">
        <v>300</v>
      </c>
      <c r="J2381" s="265" t="s">
        <v>301</v>
      </c>
      <c r="K2381" s="266" t="s">
        <v>302</v>
      </c>
    </row>
    <row r="2382" spans="1:11" x14ac:dyDescent="0.35">
      <c r="A2382" s="221" t="s">
        <v>303</v>
      </c>
      <c r="B2382" s="222">
        <v>12503</v>
      </c>
      <c r="C2382" s="222"/>
      <c r="D2382" s="222"/>
      <c r="E2382" s="223"/>
      <c r="G2382" s="221" t="s">
        <v>303</v>
      </c>
      <c r="H2382" s="222">
        <v>1001</v>
      </c>
      <c r="I2382" s="222"/>
      <c r="J2382" s="222"/>
      <c r="K2382" s="223"/>
    </row>
    <row r="2383" spans="1:11" x14ac:dyDescent="0.35">
      <c r="A2383" s="225" t="s">
        <v>304</v>
      </c>
      <c r="B2383" s="226">
        <v>2000</v>
      </c>
      <c r="C2383" s="226"/>
      <c r="D2383" s="226"/>
      <c r="E2383" s="227"/>
      <c r="G2383" s="225"/>
      <c r="H2383" s="226"/>
      <c r="I2383" s="226"/>
      <c r="J2383" s="226"/>
      <c r="K2383" s="227"/>
    </row>
    <row r="2384" spans="1:11" x14ac:dyDescent="0.35">
      <c r="A2384" s="225"/>
      <c r="B2384" s="226"/>
      <c r="C2384" s="226"/>
      <c r="D2384" s="226"/>
      <c r="E2384" s="227"/>
      <c r="G2384" s="225"/>
      <c r="H2384" s="226"/>
      <c r="I2384" s="226"/>
      <c r="J2384" s="226"/>
      <c r="K2384" s="227"/>
    </row>
    <row r="2385" spans="1:11" x14ac:dyDescent="0.35">
      <c r="A2385" s="221"/>
      <c r="B2385" s="222"/>
      <c r="C2385" s="222"/>
      <c r="D2385" s="222"/>
      <c r="E2385" s="223"/>
      <c r="G2385" s="221"/>
      <c r="H2385" s="222"/>
      <c r="I2385" s="222"/>
      <c r="J2385" s="222"/>
      <c r="K2385" s="223"/>
    </row>
    <row r="2386" spans="1:11" x14ac:dyDescent="0.35">
      <c r="A2386" s="225"/>
      <c r="B2386" s="226"/>
      <c r="C2386" s="226"/>
      <c r="D2386" s="226"/>
      <c r="E2386" s="227"/>
      <c r="G2386" s="225"/>
      <c r="H2386" s="226"/>
      <c r="I2386" s="226"/>
      <c r="J2386" s="226"/>
      <c r="K2386" s="227"/>
    </row>
    <row r="2387" spans="1:11" ht="15" thickBot="1" x14ac:dyDescent="0.4">
      <c r="A2387" s="218" t="s">
        <v>34</v>
      </c>
      <c r="B2387" s="219">
        <f t="shared" ref="B2387:E2387" si="84">SUM(B2382:B2386)</f>
        <v>14503</v>
      </c>
      <c r="C2387" s="219">
        <f t="shared" si="84"/>
        <v>0</v>
      </c>
      <c r="D2387" s="219">
        <f t="shared" si="84"/>
        <v>0</v>
      </c>
      <c r="E2387" s="219">
        <f t="shared" si="84"/>
        <v>0</v>
      </c>
      <c r="G2387" s="218" t="s">
        <v>34</v>
      </c>
      <c r="H2387" s="219">
        <f t="shared" ref="H2387:K2387" si="85">SUM(H2382:H2386)</f>
        <v>1001</v>
      </c>
      <c r="I2387" s="219">
        <f t="shared" si="85"/>
        <v>0</v>
      </c>
      <c r="J2387" s="219">
        <f t="shared" si="85"/>
        <v>0</v>
      </c>
      <c r="K2387" s="219">
        <f t="shared" si="85"/>
        <v>0</v>
      </c>
    </row>
    <row r="2388" spans="1:11" x14ac:dyDescent="0.35">
      <c r="A2388" s="220" t="s">
        <v>305</v>
      </c>
      <c r="B2388" s="220">
        <f t="shared" ref="B2388" si="86">+B2387+C2387+D2387+E2387</f>
        <v>14503</v>
      </c>
      <c r="C2388" s="220"/>
      <c r="D2388" s="220"/>
      <c r="E2388" s="220"/>
      <c r="G2388" s="220" t="s">
        <v>305</v>
      </c>
      <c r="H2388" s="220">
        <f t="shared" ref="H2388" si="87">+H2387+I2387+J2387+K2387</f>
        <v>1001</v>
      </c>
      <c r="I2388" s="220"/>
      <c r="J2388" s="220"/>
      <c r="K2388" s="220"/>
    </row>
    <row r="2389" spans="1:11" ht="15" thickBot="1" x14ac:dyDescent="0.4">
      <c r="A2389" s="315" t="s">
        <v>298</v>
      </c>
      <c r="B2389" s="315"/>
      <c r="C2389" s="315"/>
      <c r="D2389" s="315"/>
      <c r="E2389" s="315"/>
      <c r="G2389" s="315" t="s">
        <v>314</v>
      </c>
      <c r="H2389" s="315"/>
      <c r="I2389" s="315"/>
      <c r="J2389" s="315"/>
      <c r="K2389" s="315"/>
    </row>
    <row r="2390" spans="1:11" ht="15" thickTop="1" x14ac:dyDescent="0.35">
      <c r="A2390" s="313">
        <v>45528</v>
      </c>
      <c r="B2390" s="313"/>
      <c r="C2390" s="313"/>
      <c r="D2390" s="313"/>
      <c r="E2390" s="313"/>
      <c r="G2390" s="326">
        <v>45528</v>
      </c>
      <c r="H2390" s="326"/>
      <c r="I2390" s="326"/>
      <c r="J2390" s="326"/>
      <c r="K2390" s="326"/>
    </row>
    <row r="2391" spans="1:11" x14ac:dyDescent="0.35">
      <c r="A2391" s="261" t="s">
        <v>159</v>
      </c>
      <c r="B2391" s="262" t="s">
        <v>299</v>
      </c>
      <c r="C2391" s="262" t="s">
        <v>300</v>
      </c>
      <c r="D2391" s="262" t="s">
        <v>301</v>
      </c>
      <c r="E2391" s="263" t="s">
        <v>302</v>
      </c>
      <c r="G2391" s="264" t="s">
        <v>159</v>
      </c>
      <c r="H2391" s="265" t="s">
        <v>299</v>
      </c>
      <c r="I2391" s="265" t="s">
        <v>300</v>
      </c>
      <c r="J2391" s="265" t="s">
        <v>301</v>
      </c>
      <c r="K2391" s="266" t="s">
        <v>302</v>
      </c>
    </row>
    <row r="2392" spans="1:11" x14ac:dyDescent="0.35">
      <c r="A2392" s="221" t="s">
        <v>303</v>
      </c>
      <c r="B2392" s="222">
        <v>13541</v>
      </c>
      <c r="C2392" s="222"/>
      <c r="D2392" s="222"/>
      <c r="E2392" s="223"/>
      <c r="G2392" s="221" t="s">
        <v>303</v>
      </c>
      <c r="H2392" s="222">
        <v>3940</v>
      </c>
      <c r="I2392" s="222"/>
      <c r="J2392" s="222"/>
      <c r="K2392" s="223"/>
    </row>
    <row r="2393" spans="1:11" x14ac:dyDescent="0.35">
      <c r="A2393" s="225" t="s">
        <v>304</v>
      </c>
      <c r="B2393" s="226"/>
      <c r="C2393" s="226"/>
      <c r="D2393" s="226"/>
      <c r="E2393" s="227"/>
      <c r="G2393" s="225"/>
      <c r="H2393" s="226"/>
      <c r="I2393" s="226"/>
      <c r="J2393" s="226"/>
      <c r="K2393" s="227"/>
    </row>
    <row r="2394" spans="1:11" x14ac:dyDescent="0.35">
      <c r="A2394" s="225"/>
      <c r="B2394" s="226"/>
      <c r="C2394" s="226"/>
      <c r="D2394" s="226"/>
      <c r="E2394" s="227"/>
      <c r="G2394" s="225"/>
      <c r="H2394" s="226"/>
      <c r="I2394" s="226"/>
      <c r="J2394" s="226"/>
      <c r="K2394" s="227"/>
    </row>
    <row r="2395" spans="1:11" x14ac:dyDescent="0.35">
      <c r="A2395" s="221"/>
      <c r="B2395" s="222"/>
      <c r="C2395" s="222"/>
      <c r="D2395" s="222"/>
      <c r="E2395" s="223"/>
      <c r="G2395" s="221"/>
      <c r="H2395" s="222"/>
      <c r="I2395" s="222"/>
      <c r="J2395" s="222"/>
      <c r="K2395" s="223"/>
    </row>
    <row r="2396" spans="1:11" x14ac:dyDescent="0.35">
      <c r="A2396" s="225"/>
      <c r="B2396" s="226"/>
      <c r="C2396" s="226"/>
      <c r="D2396" s="226"/>
      <c r="E2396" s="227"/>
      <c r="G2396" s="225"/>
      <c r="H2396" s="226"/>
      <c r="I2396" s="226"/>
      <c r="J2396" s="226"/>
      <c r="K2396" s="227"/>
    </row>
    <row r="2397" spans="1:11" ht="15" thickBot="1" x14ac:dyDescent="0.4">
      <c r="A2397" s="218" t="s">
        <v>34</v>
      </c>
      <c r="B2397" s="219">
        <f t="shared" ref="B2397:E2397" si="88">SUM(B2392:B2396)</f>
        <v>13541</v>
      </c>
      <c r="C2397" s="219">
        <f t="shared" si="88"/>
        <v>0</v>
      </c>
      <c r="D2397" s="219">
        <f t="shared" si="88"/>
        <v>0</v>
      </c>
      <c r="E2397" s="219">
        <f t="shared" si="88"/>
        <v>0</v>
      </c>
      <c r="G2397" s="218" t="s">
        <v>34</v>
      </c>
      <c r="H2397" s="219">
        <f t="shared" ref="H2397:K2397" si="89">SUM(H2392:H2396)</f>
        <v>3940</v>
      </c>
      <c r="I2397" s="219">
        <f t="shared" si="89"/>
        <v>0</v>
      </c>
      <c r="J2397" s="219">
        <f t="shared" si="89"/>
        <v>0</v>
      </c>
      <c r="K2397" s="219">
        <f t="shared" si="89"/>
        <v>0</v>
      </c>
    </row>
    <row r="2398" spans="1:11" x14ac:dyDescent="0.35">
      <c r="A2398" s="220" t="s">
        <v>305</v>
      </c>
      <c r="B2398" s="220">
        <f t="shared" ref="B2398" si="90">+B2397+C2397+D2397+E2397</f>
        <v>13541</v>
      </c>
      <c r="C2398" s="220"/>
      <c r="D2398" s="220"/>
      <c r="E2398" s="220"/>
      <c r="G2398" s="220" t="s">
        <v>305</v>
      </c>
      <c r="H2398" s="220">
        <f t="shared" ref="H2398" si="91">+H2397+I2397+J2397+K2397</f>
        <v>3940</v>
      </c>
      <c r="I2398" s="220"/>
      <c r="J2398" s="220"/>
      <c r="K2398" s="220"/>
    </row>
    <row r="2399" spans="1:11" ht="15" thickBot="1" x14ac:dyDescent="0.4">
      <c r="A2399" s="315" t="s">
        <v>298</v>
      </c>
      <c r="B2399" s="315"/>
      <c r="C2399" s="315"/>
      <c r="D2399" s="315"/>
      <c r="E2399" s="315"/>
      <c r="G2399" s="315" t="s">
        <v>314</v>
      </c>
      <c r="H2399" s="315"/>
      <c r="I2399" s="315"/>
      <c r="J2399" s="315"/>
      <c r="K2399" s="315"/>
    </row>
    <row r="2400" spans="1:11" ht="15" thickTop="1" x14ac:dyDescent="0.35">
      <c r="A2400" s="313">
        <v>45529</v>
      </c>
      <c r="B2400" s="313"/>
      <c r="C2400" s="313"/>
      <c r="D2400" s="313"/>
      <c r="E2400" s="313"/>
      <c r="G2400" s="326">
        <v>45529</v>
      </c>
      <c r="H2400" s="326"/>
      <c r="I2400" s="326"/>
      <c r="J2400" s="326"/>
      <c r="K2400" s="326"/>
    </row>
    <row r="2401" spans="1:11" x14ac:dyDescent="0.35">
      <c r="A2401" s="261" t="s">
        <v>159</v>
      </c>
      <c r="B2401" s="262" t="s">
        <v>299</v>
      </c>
      <c r="C2401" s="262" t="s">
        <v>300</v>
      </c>
      <c r="D2401" s="262" t="s">
        <v>301</v>
      </c>
      <c r="E2401" s="263" t="s">
        <v>302</v>
      </c>
      <c r="G2401" s="264" t="s">
        <v>159</v>
      </c>
      <c r="H2401" s="265" t="s">
        <v>299</v>
      </c>
      <c r="I2401" s="265" t="s">
        <v>300</v>
      </c>
      <c r="J2401" s="265" t="s">
        <v>301</v>
      </c>
      <c r="K2401" s="266" t="s">
        <v>302</v>
      </c>
    </row>
    <row r="2402" spans="1:11" x14ac:dyDescent="0.35">
      <c r="A2402" s="221" t="s">
        <v>303</v>
      </c>
      <c r="B2402" s="222">
        <v>2252</v>
      </c>
      <c r="C2402" s="222"/>
      <c r="D2402" s="222"/>
      <c r="E2402" s="223"/>
      <c r="G2402" s="221" t="s">
        <v>303</v>
      </c>
      <c r="H2402" s="222">
        <v>5665</v>
      </c>
      <c r="I2402" s="222"/>
      <c r="J2402" s="222"/>
      <c r="K2402" s="223"/>
    </row>
    <row r="2403" spans="1:11" x14ac:dyDescent="0.35">
      <c r="A2403" s="225" t="s">
        <v>304</v>
      </c>
      <c r="B2403" s="226">
        <v>600</v>
      </c>
      <c r="C2403" s="226"/>
      <c r="D2403" s="226"/>
      <c r="E2403" s="227"/>
      <c r="G2403" s="225"/>
      <c r="H2403" s="226"/>
      <c r="I2403" s="226"/>
      <c r="J2403" s="226"/>
      <c r="K2403" s="227"/>
    </row>
    <row r="2404" spans="1:11" x14ac:dyDescent="0.35">
      <c r="A2404" s="225"/>
      <c r="B2404" s="226"/>
      <c r="C2404" s="226"/>
      <c r="D2404" s="226"/>
      <c r="E2404" s="227"/>
      <c r="G2404" s="225"/>
      <c r="H2404" s="226"/>
      <c r="I2404" s="226"/>
      <c r="J2404" s="226"/>
      <c r="K2404" s="227"/>
    </row>
    <row r="2405" spans="1:11" x14ac:dyDescent="0.35">
      <c r="A2405" s="221"/>
      <c r="B2405" s="222"/>
      <c r="C2405" s="222"/>
      <c r="D2405" s="222"/>
      <c r="E2405" s="223"/>
      <c r="G2405" s="221"/>
      <c r="H2405" s="222"/>
      <c r="I2405" s="222"/>
      <c r="J2405" s="222"/>
      <c r="K2405" s="223"/>
    </row>
    <row r="2406" spans="1:11" x14ac:dyDescent="0.35">
      <c r="A2406" s="225"/>
      <c r="B2406" s="226"/>
      <c r="C2406" s="226"/>
      <c r="D2406" s="226"/>
      <c r="E2406" s="227"/>
      <c r="G2406" s="225"/>
      <c r="H2406" s="226"/>
      <c r="I2406" s="226"/>
      <c r="J2406" s="226"/>
      <c r="K2406" s="227"/>
    </row>
    <row r="2407" spans="1:11" ht="15" thickBot="1" x14ac:dyDescent="0.4">
      <c r="A2407" s="218" t="s">
        <v>34</v>
      </c>
      <c r="B2407" s="219">
        <f t="shared" ref="B2407:E2407" si="92">SUM(B2402:B2406)</f>
        <v>2852</v>
      </c>
      <c r="C2407" s="219">
        <f t="shared" si="92"/>
        <v>0</v>
      </c>
      <c r="D2407" s="219">
        <f t="shared" si="92"/>
        <v>0</v>
      </c>
      <c r="E2407" s="219">
        <f t="shared" si="92"/>
        <v>0</v>
      </c>
      <c r="G2407" s="218" t="s">
        <v>34</v>
      </c>
      <c r="H2407" s="219">
        <f t="shared" ref="H2407:K2407" si="93">SUM(H2402:H2406)</f>
        <v>5665</v>
      </c>
      <c r="I2407" s="219">
        <f t="shared" si="93"/>
        <v>0</v>
      </c>
      <c r="J2407" s="219">
        <f t="shared" si="93"/>
        <v>0</v>
      </c>
      <c r="K2407" s="219">
        <f t="shared" si="93"/>
        <v>0</v>
      </c>
    </row>
    <row r="2408" spans="1:11" x14ac:dyDescent="0.35">
      <c r="A2408" s="220" t="s">
        <v>305</v>
      </c>
      <c r="B2408" s="220">
        <f t="shared" ref="B2408" si="94">+B2407+C2407+D2407+E2407</f>
        <v>2852</v>
      </c>
      <c r="C2408" s="220"/>
      <c r="D2408" s="220"/>
      <c r="E2408" s="220"/>
      <c r="G2408" s="220" t="s">
        <v>305</v>
      </c>
      <c r="H2408" s="220">
        <f t="shared" ref="H2408" si="95">+H2407+I2407+J2407+K2407</f>
        <v>5665</v>
      </c>
      <c r="I2408" s="220"/>
      <c r="J2408" s="220"/>
      <c r="K2408" s="220"/>
    </row>
    <row r="2409" spans="1:11" ht="15" thickBot="1" x14ac:dyDescent="0.4">
      <c r="A2409" s="315" t="s">
        <v>298</v>
      </c>
      <c r="B2409" s="315"/>
      <c r="C2409" s="315"/>
      <c r="D2409" s="315"/>
      <c r="E2409" s="315"/>
      <c r="G2409" s="315" t="s">
        <v>314</v>
      </c>
      <c r="H2409" s="315"/>
      <c r="I2409" s="315"/>
      <c r="J2409" s="315"/>
      <c r="K2409" s="315"/>
    </row>
    <row r="2410" spans="1:11" ht="15" thickTop="1" x14ac:dyDescent="0.35">
      <c r="A2410" s="313">
        <v>45530</v>
      </c>
      <c r="B2410" s="313"/>
      <c r="C2410" s="313"/>
      <c r="D2410" s="313"/>
      <c r="E2410" s="313"/>
      <c r="G2410" s="326">
        <v>45530</v>
      </c>
      <c r="H2410" s="326"/>
      <c r="I2410" s="326"/>
      <c r="J2410" s="326"/>
      <c r="K2410" s="326"/>
    </row>
    <row r="2411" spans="1:11" x14ac:dyDescent="0.35">
      <c r="A2411" s="261" t="s">
        <v>159</v>
      </c>
      <c r="B2411" s="262" t="s">
        <v>299</v>
      </c>
      <c r="C2411" s="262" t="s">
        <v>300</v>
      </c>
      <c r="D2411" s="262" t="s">
        <v>301</v>
      </c>
      <c r="E2411" s="263" t="s">
        <v>302</v>
      </c>
      <c r="G2411" s="264" t="s">
        <v>159</v>
      </c>
      <c r="H2411" s="265" t="s">
        <v>299</v>
      </c>
      <c r="I2411" s="265" t="s">
        <v>300</v>
      </c>
      <c r="J2411" s="265" t="s">
        <v>301</v>
      </c>
      <c r="K2411" s="266" t="s">
        <v>302</v>
      </c>
    </row>
    <row r="2412" spans="1:11" x14ac:dyDescent="0.35">
      <c r="A2412" s="221" t="s">
        <v>303</v>
      </c>
      <c r="B2412" s="222">
        <v>3195</v>
      </c>
      <c r="C2412" s="222"/>
      <c r="D2412" s="222"/>
      <c r="E2412" s="223"/>
      <c r="G2412" s="221" t="s">
        <v>303</v>
      </c>
      <c r="H2412" s="222">
        <v>1522</v>
      </c>
      <c r="I2412" s="222"/>
      <c r="J2412" s="222"/>
      <c r="K2412" s="223"/>
    </row>
    <row r="2413" spans="1:11" x14ac:dyDescent="0.35">
      <c r="A2413" s="225" t="s">
        <v>304</v>
      </c>
      <c r="B2413" s="226">
        <v>9000</v>
      </c>
      <c r="C2413" s="226"/>
      <c r="D2413" s="226"/>
      <c r="E2413" s="227"/>
      <c r="G2413" s="225"/>
      <c r="H2413" s="226"/>
      <c r="I2413" s="226"/>
      <c r="J2413" s="226"/>
      <c r="K2413" s="227"/>
    </row>
    <row r="2414" spans="1:11" x14ac:dyDescent="0.35">
      <c r="A2414" s="225"/>
      <c r="B2414" s="226"/>
      <c r="C2414" s="226"/>
      <c r="D2414" s="226"/>
      <c r="E2414" s="227"/>
      <c r="G2414" s="225"/>
      <c r="H2414" s="226"/>
      <c r="I2414" s="226"/>
      <c r="J2414" s="226"/>
      <c r="K2414" s="227"/>
    </row>
    <row r="2415" spans="1:11" x14ac:dyDescent="0.35">
      <c r="A2415" s="221"/>
      <c r="B2415" s="222"/>
      <c r="C2415" s="222"/>
      <c r="D2415" s="222"/>
      <c r="E2415" s="223"/>
      <c r="G2415" s="221"/>
      <c r="H2415" s="222"/>
      <c r="I2415" s="222"/>
      <c r="J2415" s="222"/>
      <c r="K2415" s="223"/>
    </row>
    <row r="2416" spans="1:11" x14ac:dyDescent="0.35">
      <c r="A2416" s="225"/>
      <c r="B2416" s="226"/>
      <c r="C2416" s="226"/>
      <c r="D2416" s="226"/>
      <c r="E2416" s="227"/>
      <c r="G2416" s="225"/>
      <c r="H2416" s="226"/>
      <c r="I2416" s="226"/>
      <c r="J2416" s="226"/>
      <c r="K2416" s="227"/>
    </row>
    <row r="2417" spans="1:11" ht="15" thickBot="1" x14ac:dyDescent="0.4">
      <c r="A2417" s="218" t="s">
        <v>34</v>
      </c>
      <c r="B2417" s="219">
        <f t="shared" ref="B2417:E2417" si="96">SUM(B2412:B2416)</f>
        <v>12195</v>
      </c>
      <c r="C2417" s="219">
        <f t="shared" si="96"/>
        <v>0</v>
      </c>
      <c r="D2417" s="219">
        <f t="shared" si="96"/>
        <v>0</v>
      </c>
      <c r="E2417" s="219">
        <f t="shared" si="96"/>
        <v>0</v>
      </c>
      <c r="G2417" s="218" t="s">
        <v>34</v>
      </c>
      <c r="H2417" s="219">
        <f t="shared" ref="H2417:K2417" si="97">SUM(H2412:H2416)</f>
        <v>1522</v>
      </c>
      <c r="I2417" s="219">
        <f t="shared" si="97"/>
        <v>0</v>
      </c>
      <c r="J2417" s="219">
        <f t="shared" si="97"/>
        <v>0</v>
      </c>
      <c r="K2417" s="219">
        <f t="shared" si="97"/>
        <v>0</v>
      </c>
    </row>
    <row r="2418" spans="1:11" x14ac:dyDescent="0.35">
      <c r="A2418" s="220" t="s">
        <v>305</v>
      </c>
      <c r="B2418" s="220">
        <f t="shared" ref="B2418" si="98">+B2417+C2417+D2417+E2417</f>
        <v>12195</v>
      </c>
      <c r="C2418" s="220"/>
      <c r="D2418" s="220"/>
      <c r="E2418" s="220"/>
      <c r="G2418" s="220" t="s">
        <v>305</v>
      </c>
      <c r="H2418" s="220">
        <f t="shared" ref="H2418" si="99">+H2417+I2417+J2417+K2417</f>
        <v>1522</v>
      </c>
      <c r="I2418" s="220"/>
      <c r="J2418" s="220"/>
      <c r="K2418" s="220"/>
    </row>
    <row r="2419" spans="1:11" ht="15" thickBot="1" x14ac:dyDescent="0.4">
      <c r="A2419" s="315" t="s">
        <v>298</v>
      </c>
      <c r="B2419" s="315"/>
      <c r="C2419" s="315"/>
      <c r="D2419" s="315"/>
      <c r="E2419" s="315"/>
      <c r="G2419" s="315" t="s">
        <v>314</v>
      </c>
      <c r="H2419" s="315"/>
      <c r="I2419" s="315"/>
      <c r="J2419" s="315"/>
      <c r="K2419" s="315"/>
    </row>
    <row r="2420" spans="1:11" ht="15" thickTop="1" x14ac:dyDescent="0.35">
      <c r="A2420" s="313">
        <v>45531</v>
      </c>
      <c r="B2420" s="313"/>
      <c r="C2420" s="313"/>
      <c r="D2420" s="313"/>
      <c r="E2420" s="313"/>
      <c r="G2420" s="326">
        <v>45531</v>
      </c>
      <c r="H2420" s="326"/>
      <c r="I2420" s="326"/>
      <c r="J2420" s="326"/>
      <c r="K2420" s="326"/>
    </row>
    <row r="2421" spans="1:11" x14ac:dyDescent="0.35">
      <c r="A2421" s="261" t="s">
        <v>159</v>
      </c>
      <c r="B2421" s="262" t="s">
        <v>299</v>
      </c>
      <c r="C2421" s="262" t="s">
        <v>300</v>
      </c>
      <c r="D2421" s="262" t="s">
        <v>301</v>
      </c>
      <c r="E2421" s="263" t="s">
        <v>302</v>
      </c>
      <c r="G2421" s="264" t="s">
        <v>159</v>
      </c>
      <c r="H2421" s="265" t="s">
        <v>299</v>
      </c>
      <c r="I2421" s="265" t="s">
        <v>300</v>
      </c>
      <c r="J2421" s="265" t="s">
        <v>301</v>
      </c>
      <c r="K2421" s="266" t="s">
        <v>302</v>
      </c>
    </row>
    <row r="2422" spans="1:11" x14ac:dyDescent="0.35">
      <c r="A2422" s="221" t="s">
        <v>303</v>
      </c>
      <c r="B2422" s="222"/>
      <c r="C2422" s="222"/>
      <c r="D2422" s="222"/>
      <c r="E2422" s="223"/>
      <c r="G2422" s="221" t="s">
        <v>303</v>
      </c>
      <c r="H2422" s="222">
        <v>1375</v>
      </c>
      <c r="I2422" s="222"/>
      <c r="J2422" s="222"/>
      <c r="K2422" s="223"/>
    </row>
    <row r="2423" spans="1:11" x14ac:dyDescent="0.35">
      <c r="A2423" s="225" t="s">
        <v>304</v>
      </c>
      <c r="B2423" s="226">
        <v>5160</v>
      </c>
      <c r="C2423" s="226"/>
      <c r="D2423" s="226"/>
      <c r="E2423" s="227"/>
      <c r="G2423" s="225"/>
      <c r="H2423" s="226"/>
      <c r="I2423" s="226"/>
      <c r="J2423" s="226"/>
      <c r="K2423" s="227"/>
    </row>
    <row r="2424" spans="1:11" x14ac:dyDescent="0.35">
      <c r="A2424" s="225"/>
      <c r="B2424" s="226"/>
      <c r="C2424" s="226"/>
      <c r="D2424" s="226"/>
      <c r="E2424" s="227"/>
      <c r="G2424" s="225"/>
      <c r="H2424" s="226"/>
      <c r="I2424" s="226"/>
      <c r="J2424" s="226"/>
      <c r="K2424" s="227"/>
    </row>
    <row r="2425" spans="1:11" x14ac:dyDescent="0.35">
      <c r="A2425" s="221"/>
      <c r="B2425" s="222"/>
      <c r="C2425" s="222"/>
      <c r="D2425" s="222"/>
      <c r="E2425" s="223"/>
      <c r="G2425" s="221"/>
      <c r="H2425" s="222"/>
      <c r="I2425" s="222"/>
      <c r="J2425" s="222"/>
      <c r="K2425" s="223"/>
    </row>
    <row r="2426" spans="1:11" x14ac:dyDescent="0.35">
      <c r="A2426" s="225"/>
      <c r="B2426" s="226"/>
      <c r="C2426" s="226"/>
      <c r="D2426" s="226"/>
      <c r="E2426" s="227"/>
      <c r="G2426" s="225"/>
      <c r="H2426" s="226"/>
      <c r="I2426" s="226"/>
      <c r="J2426" s="226"/>
      <c r="K2426" s="227"/>
    </row>
    <row r="2427" spans="1:11" ht="15" thickBot="1" x14ac:dyDescent="0.4">
      <c r="A2427" s="218" t="s">
        <v>34</v>
      </c>
      <c r="B2427" s="219">
        <f t="shared" ref="B2427:E2427" si="100">SUM(B2422:B2426)</f>
        <v>5160</v>
      </c>
      <c r="C2427" s="219">
        <f t="shared" si="100"/>
        <v>0</v>
      </c>
      <c r="D2427" s="219">
        <f t="shared" si="100"/>
        <v>0</v>
      </c>
      <c r="E2427" s="219">
        <f t="shared" si="100"/>
        <v>0</v>
      </c>
      <c r="G2427" s="218" t="s">
        <v>34</v>
      </c>
      <c r="H2427" s="219">
        <f t="shared" ref="H2427:K2427" si="101">SUM(H2422:H2426)</f>
        <v>1375</v>
      </c>
      <c r="I2427" s="219">
        <f t="shared" si="101"/>
        <v>0</v>
      </c>
      <c r="J2427" s="219">
        <f t="shared" si="101"/>
        <v>0</v>
      </c>
      <c r="K2427" s="219">
        <f t="shared" si="101"/>
        <v>0</v>
      </c>
    </row>
    <row r="2428" spans="1:11" x14ac:dyDescent="0.35">
      <c r="A2428" s="220" t="s">
        <v>305</v>
      </c>
      <c r="B2428" s="220">
        <f t="shared" ref="B2428" si="102">+B2427+C2427+D2427+E2427</f>
        <v>5160</v>
      </c>
      <c r="C2428" s="220"/>
      <c r="D2428" s="220"/>
      <c r="E2428" s="220"/>
      <c r="G2428" s="220" t="s">
        <v>305</v>
      </c>
      <c r="H2428" s="220">
        <f t="shared" ref="H2428" si="103">+H2427+I2427+J2427+K2427</f>
        <v>1375</v>
      </c>
      <c r="I2428" s="220"/>
      <c r="J2428" s="220"/>
      <c r="K2428" s="220"/>
    </row>
    <row r="2429" spans="1:11" ht="15" thickBot="1" x14ac:dyDescent="0.4">
      <c r="A2429" s="315" t="s">
        <v>298</v>
      </c>
      <c r="B2429" s="315"/>
      <c r="C2429" s="315"/>
      <c r="D2429" s="315"/>
      <c r="E2429" s="315"/>
      <c r="G2429" s="315" t="s">
        <v>314</v>
      </c>
      <c r="H2429" s="315"/>
      <c r="I2429" s="315"/>
      <c r="J2429" s="315"/>
      <c r="K2429" s="315"/>
    </row>
    <row r="2430" spans="1:11" ht="15" thickTop="1" x14ac:dyDescent="0.35">
      <c r="A2430" s="313">
        <v>45532</v>
      </c>
      <c r="B2430" s="313"/>
      <c r="C2430" s="313"/>
      <c r="D2430" s="313"/>
      <c r="E2430" s="313"/>
      <c r="G2430" s="326">
        <v>45532</v>
      </c>
      <c r="H2430" s="326"/>
      <c r="I2430" s="326"/>
      <c r="J2430" s="326"/>
      <c r="K2430" s="326"/>
    </row>
    <row r="2431" spans="1:11" x14ac:dyDescent="0.35">
      <c r="A2431" s="261" t="s">
        <v>159</v>
      </c>
      <c r="B2431" s="262" t="s">
        <v>299</v>
      </c>
      <c r="C2431" s="262" t="s">
        <v>300</v>
      </c>
      <c r="D2431" s="262" t="s">
        <v>301</v>
      </c>
      <c r="E2431" s="263" t="s">
        <v>302</v>
      </c>
      <c r="G2431" s="264" t="s">
        <v>159</v>
      </c>
      <c r="H2431" s="265" t="s">
        <v>299</v>
      </c>
      <c r="I2431" s="265" t="s">
        <v>300</v>
      </c>
      <c r="J2431" s="265" t="s">
        <v>301</v>
      </c>
      <c r="K2431" s="266" t="s">
        <v>302</v>
      </c>
    </row>
    <row r="2432" spans="1:11" x14ac:dyDescent="0.35">
      <c r="A2432" s="221" t="s">
        <v>303</v>
      </c>
      <c r="B2432" s="222">
        <v>1604</v>
      </c>
      <c r="C2432" s="222"/>
      <c r="D2432" s="222"/>
      <c r="E2432" s="223"/>
      <c r="G2432" s="221" t="s">
        <v>303</v>
      </c>
      <c r="H2432" s="222"/>
      <c r="I2432" s="222"/>
      <c r="J2432" s="222"/>
      <c r="K2432" s="223"/>
    </row>
    <row r="2433" spans="1:11" x14ac:dyDescent="0.35">
      <c r="A2433" s="225" t="s">
        <v>304</v>
      </c>
      <c r="B2433" s="226">
        <v>4262</v>
      </c>
      <c r="C2433" s="226"/>
      <c r="D2433" s="226"/>
      <c r="E2433" s="227"/>
      <c r="G2433" s="225"/>
      <c r="H2433" s="226"/>
      <c r="I2433" s="226"/>
      <c r="J2433" s="226"/>
      <c r="K2433" s="227"/>
    </row>
    <row r="2434" spans="1:11" x14ac:dyDescent="0.35">
      <c r="A2434" s="225"/>
      <c r="B2434" s="226"/>
      <c r="C2434" s="226"/>
      <c r="D2434" s="226"/>
      <c r="E2434" s="227"/>
      <c r="G2434" s="225"/>
      <c r="H2434" s="226"/>
      <c r="I2434" s="226"/>
      <c r="J2434" s="226"/>
      <c r="K2434" s="227"/>
    </row>
    <row r="2435" spans="1:11" x14ac:dyDescent="0.35">
      <c r="A2435" s="221"/>
      <c r="B2435" s="222"/>
      <c r="C2435" s="222"/>
      <c r="D2435" s="222"/>
      <c r="E2435" s="223"/>
      <c r="G2435" s="221"/>
      <c r="H2435" s="222"/>
      <c r="I2435" s="222"/>
      <c r="J2435" s="222"/>
      <c r="K2435" s="223"/>
    </row>
    <row r="2436" spans="1:11" x14ac:dyDescent="0.35">
      <c r="A2436" s="225"/>
      <c r="B2436" s="226"/>
      <c r="C2436" s="226"/>
      <c r="D2436" s="226"/>
      <c r="E2436" s="227"/>
      <c r="G2436" s="225"/>
      <c r="H2436" s="226"/>
      <c r="I2436" s="226"/>
      <c r="J2436" s="226"/>
      <c r="K2436" s="227"/>
    </row>
    <row r="2437" spans="1:11" ht="15" thickBot="1" x14ac:dyDescent="0.4">
      <c r="A2437" s="218" t="s">
        <v>34</v>
      </c>
      <c r="B2437" s="219">
        <f t="shared" ref="B2437:E2437" si="104">SUM(B2432:B2436)</f>
        <v>5866</v>
      </c>
      <c r="C2437" s="219">
        <f t="shared" si="104"/>
        <v>0</v>
      </c>
      <c r="D2437" s="219">
        <f t="shared" si="104"/>
        <v>0</v>
      </c>
      <c r="E2437" s="219">
        <f t="shared" si="104"/>
        <v>0</v>
      </c>
      <c r="G2437" s="218" t="s">
        <v>34</v>
      </c>
      <c r="H2437" s="219">
        <f t="shared" ref="H2437:K2437" si="105">SUM(H2432:H2436)</f>
        <v>0</v>
      </c>
      <c r="I2437" s="219">
        <f t="shared" si="105"/>
        <v>0</v>
      </c>
      <c r="J2437" s="219">
        <f t="shared" si="105"/>
        <v>0</v>
      </c>
      <c r="K2437" s="219">
        <f t="shared" si="105"/>
        <v>0</v>
      </c>
    </row>
    <row r="2438" spans="1:11" x14ac:dyDescent="0.35">
      <c r="A2438" s="220" t="s">
        <v>305</v>
      </c>
      <c r="B2438" s="220">
        <f t="shared" ref="B2438" si="106">+B2437+C2437+D2437+E2437</f>
        <v>5866</v>
      </c>
      <c r="C2438" s="220"/>
      <c r="D2438" s="220"/>
      <c r="E2438" s="220"/>
      <c r="G2438" s="220" t="s">
        <v>305</v>
      </c>
      <c r="H2438" s="220">
        <f t="shared" ref="H2438" si="107">+H2437+I2437+J2437+K2437</f>
        <v>0</v>
      </c>
      <c r="I2438" s="220"/>
      <c r="J2438" s="220"/>
      <c r="K2438" s="220"/>
    </row>
    <row r="2439" spans="1:11" ht="15" thickBot="1" x14ac:dyDescent="0.4">
      <c r="A2439" s="315" t="s">
        <v>298</v>
      </c>
      <c r="B2439" s="315"/>
      <c r="C2439" s="315"/>
      <c r="D2439" s="315"/>
      <c r="E2439" s="315"/>
      <c r="G2439" s="315" t="s">
        <v>314</v>
      </c>
      <c r="H2439" s="315"/>
      <c r="I2439" s="315"/>
      <c r="J2439" s="315"/>
      <c r="K2439" s="315"/>
    </row>
    <row r="2440" spans="1:11" ht="15" thickTop="1" x14ac:dyDescent="0.35">
      <c r="A2440" s="313">
        <v>45533</v>
      </c>
      <c r="B2440" s="313"/>
      <c r="C2440" s="313"/>
      <c r="D2440" s="313"/>
      <c r="E2440" s="313"/>
      <c r="G2440" s="326">
        <v>45533</v>
      </c>
      <c r="H2440" s="326"/>
      <c r="I2440" s="326"/>
      <c r="J2440" s="326"/>
      <c r="K2440" s="326"/>
    </row>
    <row r="2441" spans="1:11" x14ac:dyDescent="0.35">
      <c r="A2441" s="261" t="s">
        <v>159</v>
      </c>
      <c r="B2441" s="262" t="s">
        <v>299</v>
      </c>
      <c r="C2441" s="262" t="s">
        <v>300</v>
      </c>
      <c r="D2441" s="262" t="s">
        <v>301</v>
      </c>
      <c r="E2441" s="263" t="s">
        <v>302</v>
      </c>
      <c r="G2441" s="264" t="s">
        <v>159</v>
      </c>
      <c r="H2441" s="265" t="s">
        <v>299</v>
      </c>
      <c r="I2441" s="265" t="s">
        <v>300</v>
      </c>
      <c r="J2441" s="265" t="s">
        <v>301</v>
      </c>
      <c r="K2441" s="266" t="s">
        <v>302</v>
      </c>
    </row>
    <row r="2442" spans="1:11" x14ac:dyDescent="0.35">
      <c r="A2442" s="221" t="s">
        <v>303</v>
      </c>
      <c r="B2442" s="222">
        <v>3625</v>
      </c>
      <c r="C2442" s="222"/>
      <c r="D2442" s="222"/>
      <c r="E2442" s="223"/>
      <c r="G2442" s="221" t="s">
        <v>303</v>
      </c>
      <c r="H2442" s="222">
        <v>485</v>
      </c>
      <c r="I2442" s="222"/>
      <c r="J2442" s="222"/>
      <c r="K2442" s="223"/>
    </row>
    <row r="2443" spans="1:11" x14ac:dyDescent="0.35">
      <c r="A2443" s="225" t="s">
        <v>304</v>
      </c>
      <c r="B2443" s="226">
        <v>7970</v>
      </c>
      <c r="C2443" s="226"/>
      <c r="D2443" s="226"/>
      <c r="E2443" s="227"/>
      <c r="G2443" s="225"/>
      <c r="H2443" s="226"/>
      <c r="I2443" s="226"/>
      <c r="J2443" s="226"/>
      <c r="K2443" s="227"/>
    </row>
    <row r="2444" spans="1:11" x14ac:dyDescent="0.35">
      <c r="A2444" s="225"/>
      <c r="B2444" s="226"/>
      <c r="C2444" s="226"/>
      <c r="D2444" s="226"/>
      <c r="E2444" s="227"/>
      <c r="G2444" s="225"/>
      <c r="H2444" s="226"/>
      <c r="I2444" s="226"/>
      <c r="J2444" s="226"/>
      <c r="K2444" s="227"/>
    </row>
    <row r="2445" spans="1:11" x14ac:dyDescent="0.35">
      <c r="A2445" s="221"/>
      <c r="B2445" s="222"/>
      <c r="C2445" s="222"/>
      <c r="D2445" s="222"/>
      <c r="E2445" s="223"/>
      <c r="G2445" s="221"/>
      <c r="H2445" s="222"/>
      <c r="I2445" s="222"/>
      <c r="J2445" s="222"/>
      <c r="K2445" s="223"/>
    </row>
    <row r="2446" spans="1:11" x14ac:dyDescent="0.35">
      <c r="A2446" s="225"/>
      <c r="B2446" s="226"/>
      <c r="C2446" s="226"/>
      <c r="D2446" s="226"/>
      <c r="E2446" s="227"/>
      <c r="G2446" s="225"/>
      <c r="H2446" s="226"/>
      <c r="I2446" s="226"/>
      <c r="J2446" s="226"/>
      <c r="K2446" s="227"/>
    </row>
    <row r="2447" spans="1:11" ht="15" thickBot="1" x14ac:dyDescent="0.4">
      <c r="A2447" s="218" t="s">
        <v>34</v>
      </c>
      <c r="B2447" s="219">
        <f t="shared" ref="B2447:E2447" si="108">SUM(B2442:B2446)</f>
        <v>11595</v>
      </c>
      <c r="C2447" s="219">
        <f t="shared" si="108"/>
        <v>0</v>
      </c>
      <c r="D2447" s="219">
        <f t="shared" si="108"/>
        <v>0</v>
      </c>
      <c r="E2447" s="219">
        <f t="shared" si="108"/>
        <v>0</v>
      </c>
      <c r="G2447" s="218" t="s">
        <v>34</v>
      </c>
      <c r="H2447" s="219">
        <f t="shared" ref="H2447:K2447" si="109">SUM(H2442:H2446)</f>
        <v>485</v>
      </c>
      <c r="I2447" s="219">
        <f t="shared" si="109"/>
        <v>0</v>
      </c>
      <c r="J2447" s="219">
        <f t="shared" si="109"/>
        <v>0</v>
      </c>
      <c r="K2447" s="219">
        <f t="shared" si="109"/>
        <v>0</v>
      </c>
    </row>
    <row r="2448" spans="1:11" x14ac:dyDescent="0.35">
      <c r="A2448" s="220" t="s">
        <v>305</v>
      </c>
      <c r="B2448" s="220">
        <f t="shared" ref="B2448" si="110">+B2447+C2447+D2447+E2447</f>
        <v>11595</v>
      </c>
      <c r="C2448" s="220"/>
      <c r="D2448" s="220"/>
      <c r="E2448" s="220"/>
      <c r="G2448" s="220" t="s">
        <v>305</v>
      </c>
      <c r="H2448" s="220">
        <f t="shared" ref="H2448" si="111">+H2447+I2447+J2447+K2447</f>
        <v>485</v>
      </c>
      <c r="I2448" s="220"/>
      <c r="J2448" s="220"/>
      <c r="K2448" s="220"/>
    </row>
    <row r="2449" spans="1:11" ht="15" thickBot="1" x14ac:dyDescent="0.4">
      <c r="A2449" s="315" t="s">
        <v>298</v>
      </c>
      <c r="B2449" s="315"/>
      <c r="C2449" s="315"/>
      <c r="D2449" s="315"/>
      <c r="E2449" s="315"/>
      <c r="G2449" s="315" t="s">
        <v>314</v>
      </c>
      <c r="H2449" s="315"/>
      <c r="I2449" s="315"/>
      <c r="J2449" s="315"/>
      <c r="K2449" s="315"/>
    </row>
    <row r="2450" spans="1:11" ht="15" thickTop="1" x14ac:dyDescent="0.35">
      <c r="A2450" s="313">
        <v>45534</v>
      </c>
      <c r="B2450" s="313"/>
      <c r="C2450" s="313"/>
      <c r="D2450" s="313"/>
      <c r="E2450" s="313"/>
      <c r="G2450" s="326">
        <v>45534</v>
      </c>
      <c r="H2450" s="326"/>
      <c r="I2450" s="326"/>
      <c r="J2450" s="326"/>
      <c r="K2450" s="326"/>
    </row>
    <row r="2451" spans="1:11" x14ac:dyDescent="0.35">
      <c r="A2451" s="261" t="s">
        <v>159</v>
      </c>
      <c r="B2451" s="262" t="s">
        <v>299</v>
      </c>
      <c r="C2451" s="262" t="s">
        <v>300</v>
      </c>
      <c r="D2451" s="262" t="s">
        <v>301</v>
      </c>
      <c r="E2451" s="263" t="s">
        <v>302</v>
      </c>
      <c r="G2451" s="264" t="s">
        <v>159</v>
      </c>
      <c r="H2451" s="265" t="s">
        <v>299</v>
      </c>
      <c r="I2451" s="265" t="s">
        <v>300</v>
      </c>
      <c r="J2451" s="265" t="s">
        <v>301</v>
      </c>
      <c r="K2451" s="266" t="s">
        <v>302</v>
      </c>
    </row>
    <row r="2452" spans="1:11" x14ac:dyDescent="0.35">
      <c r="A2452" s="221" t="s">
        <v>303</v>
      </c>
      <c r="B2452" s="222">
        <v>10812</v>
      </c>
      <c r="C2452" s="222"/>
      <c r="D2452" s="222"/>
      <c r="E2452" s="223"/>
      <c r="G2452" s="221" t="s">
        <v>303</v>
      </c>
      <c r="H2452" s="222">
        <v>477</v>
      </c>
      <c r="I2452" s="222"/>
      <c r="J2452" s="222"/>
      <c r="K2452" s="223"/>
    </row>
    <row r="2453" spans="1:11" x14ac:dyDescent="0.35">
      <c r="A2453" s="225" t="s">
        <v>304</v>
      </c>
      <c r="B2453" s="226">
        <v>4000</v>
      </c>
      <c r="C2453" s="226"/>
      <c r="D2453" s="226"/>
      <c r="E2453" s="227"/>
      <c r="G2453" s="225"/>
      <c r="H2453" s="226"/>
      <c r="I2453" s="226"/>
      <c r="J2453" s="226"/>
      <c r="K2453" s="227"/>
    </row>
    <row r="2454" spans="1:11" x14ac:dyDescent="0.35">
      <c r="A2454" s="225"/>
      <c r="B2454" s="226"/>
      <c r="C2454" s="226"/>
      <c r="D2454" s="226"/>
      <c r="E2454" s="227"/>
      <c r="G2454" s="225"/>
      <c r="H2454" s="226"/>
      <c r="I2454" s="226"/>
      <c r="J2454" s="226"/>
      <c r="K2454" s="227"/>
    </row>
    <row r="2455" spans="1:11" x14ac:dyDescent="0.35">
      <c r="A2455" s="221"/>
      <c r="B2455" s="222"/>
      <c r="C2455" s="222"/>
      <c r="D2455" s="222"/>
      <c r="E2455" s="223"/>
      <c r="G2455" s="221"/>
      <c r="H2455" s="222"/>
      <c r="I2455" s="222"/>
      <c r="J2455" s="222"/>
      <c r="K2455" s="223"/>
    </row>
    <row r="2456" spans="1:11" x14ac:dyDescent="0.35">
      <c r="A2456" s="225"/>
      <c r="B2456" s="226"/>
      <c r="C2456" s="226"/>
      <c r="D2456" s="226"/>
      <c r="E2456" s="227"/>
      <c r="G2456" s="225"/>
      <c r="H2456" s="226"/>
      <c r="I2456" s="226"/>
      <c r="J2456" s="226"/>
      <c r="K2456" s="227"/>
    </row>
    <row r="2457" spans="1:11" ht="15" thickBot="1" x14ac:dyDescent="0.4">
      <c r="A2457" s="218" t="s">
        <v>34</v>
      </c>
      <c r="B2457" s="219">
        <f t="shared" ref="B2457:E2457" si="112">SUM(B2452:B2456)</f>
        <v>14812</v>
      </c>
      <c r="C2457" s="219">
        <f t="shared" si="112"/>
        <v>0</v>
      </c>
      <c r="D2457" s="219">
        <f t="shared" si="112"/>
        <v>0</v>
      </c>
      <c r="E2457" s="219">
        <f t="shared" si="112"/>
        <v>0</v>
      </c>
      <c r="G2457" s="218" t="s">
        <v>34</v>
      </c>
      <c r="H2457" s="219">
        <f t="shared" ref="H2457:K2457" si="113">SUM(H2452:H2456)</f>
        <v>477</v>
      </c>
      <c r="I2457" s="219">
        <f t="shared" si="113"/>
        <v>0</v>
      </c>
      <c r="J2457" s="219">
        <f t="shared" si="113"/>
        <v>0</v>
      </c>
      <c r="K2457" s="219">
        <f t="shared" si="113"/>
        <v>0</v>
      </c>
    </row>
    <row r="2458" spans="1:11" x14ac:dyDescent="0.35">
      <c r="A2458" s="220" t="s">
        <v>305</v>
      </c>
      <c r="B2458" s="220">
        <f t="shared" ref="B2458" si="114">+B2457+C2457+D2457+E2457</f>
        <v>14812</v>
      </c>
      <c r="C2458" s="220"/>
      <c r="D2458" s="220"/>
      <c r="E2458" s="220"/>
      <c r="G2458" s="220" t="s">
        <v>305</v>
      </c>
      <c r="H2458" s="220">
        <f t="shared" ref="H2458" si="115">+H2457+I2457+J2457+K2457</f>
        <v>477</v>
      </c>
      <c r="I2458" s="220"/>
      <c r="J2458" s="220"/>
      <c r="K2458" s="220"/>
    </row>
    <row r="2459" spans="1:11" ht="15" thickBot="1" x14ac:dyDescent="0.4">
      <c r="A2459" s="315" t="s">
        <v>298</v>
      </c>
      <c r="B2459" s="315"/>
      <c r="C2459" s="315"/>
      <c r="D2459" s="315"/>
      <c r="E2459" s="315"/>
      <c r="G2459" s="315" t="s">
        <v>314</v>
      </c>
      <c r="H2459" s="315"/>
      <c r="I2459" s="315"/>
      <c r="J2459" s="315"/>
      <c r="K2459" s="315"/>
    </row>
    <row r="2460" spans="1:11" ht="15" thickTop="1" x14ac:dyDescent="0.35">
      <c r="A2460" s="313">
        <v>45535</v>
      </c>
      <c r="B2460" s="313"/>
      <c r="C2460" s="313"/>
      <c r="D2460" s="313"/>
      <c r="E2460" s="313"/>
      <c r="G2460" s="326">
        <v>45535</v>
      </c>
      <c r="H2460" s="326"/>
      <c r="I2460" s="326"/>
      <c r="J2460" s="326"/>
      <c r="K2460" s="326"/>
    </row>
    <row r="2461" spans="1:11" x14ac:dyDescent="0.35">
      <c r="A2461" s="261" t="s">
        <v>159</v>
      </c>
      <c r="B2461" s="262" t="s">
        <v>299</v>
      </c>
      <c r="C2461" s="262" t="s">
        <v>300</v>
      </c>
      <c r="D2461" s="262" t="s">
        <v>301</v>
      </c>
      <c r="E2461" s="263" t="s">
        <v>302</v>
      </c>
      <c r="G2461" s="264" t="s">
        <v>159</v>
      </c>
      <c r="H2461" s="265" t="s">
        <v>299</v>
      </c>
      <c r="I2461" s="265" t="s">
        <v>300</v>
      </c>
      <c r="J2461" s="265" t="s">
        <v>301</v>
      </c>
      <c r="K2461" s="266" t="s">
        <v>302</v>
      </c>
    </row>
    <row r="2462" spans="1:11" x14ac:dyDescent="0.35">
      <c r="A2462" s="221" t="s">
        <v>303</v>
      </c>
      <c r="B2462" s="222">
        <v>11442</v>
      </c>
      <c r="C2462" s="222"/>
      <c r="D2462" s="222"/>
      <c r="E2462" s="223"/>
      <c r="G2462" s="221" t="s">
        <v>303</v>
      </c>
      <c r="H2462" s="222">
        <v>2655</v>
      </c>
      <c r="I2462" s="222"/>
      <c r="J2462" s="222"/>
      <c r="K2462" s="223"/>
    </row>
    <row r="2463" spans="1:11" x14ac:dyDescent="0.35">
      <c r="A2463" s="225" t="s">
        <v>304</v>
      </c>
      <c r="B2463" s="226"/>
      <c r="C2463" s="226"/>
      <c r="D2463" s="226"/>
      <c r="E2463" s="227"/>
      <c r="G2463" s="225"/>
      <c r="H2463" s="226"/>
      <c r="I2463" s="226"/>
      <c r="J2463" s="226"/>
      <c r="K2463" s="227"/>
    </row>
    <row r="2464" spans="1:11" x14ac:dyDescent="0.35">
      <c r="A2464" s="225"/>
      <c r="B2464" s="226"/>
      <c r="C2464" s="226"/>
      <c r="D2464" s="226"/>
      <c r="E2464" s="227"/>
      <c r="G2464" s="225"/>
      <c r="H2464" s="226"/>
      <c r="I2464" s="226"/>
      <c r="J2464" s="226"/>
      <c r="K2464" s="227"/>
    </row>
    <row r="2465" spans="1:13" x14ac:dyDescent="0.35">
      <c r="A2465" s="221"/>
      <c r="B2465" s="222"/>
      <c r="C2465" s="222"/>
      <c r="D2465" s="222"/>
      <c r="E2465" s="223"/>
      <c r="G2465" s="221"/>
      <c r="H2465" s="222"/>
      <c r="I2465" s="222"/>
      <c r="J2465" s="222"/>
      <c r="K2465" s="223"/>
    </row>
    <row r="2466" spans="1:13" x14ac:dyDescent="0.35">
      <c r="A2466" s="225"/>
      <c r="B2466" s="226"/>
      <c r="C2466" s="226"/>
      <c r="D2466" s="226"/>
      <c r="E2466" s="227"/>
      <c r="G2466" s="225"/>
      <c r="H2466" s="226"/>
      <c r="I2466" s="226"/>
      <c r="J2466" s="226"/>
      <c r="K2466" s="227"/>
    </row>
    <row r="2467" spans="1:13" ht="15" thickBot="1" x14ac:dyDescent="0.4">
      <c r="A2467" s="218" t="s">
        <v>34</v>
      </c>
      <c r="B2467" s="219">
        <f t="shared" ref="B2467:E2467" si="116">SUM(B2462:B2466)</f>
        <v>11442</v>
      </c>
      <c r="C2467" s="219">
        <f t="shared" si="116"/>
        <v>0</v>
      </c>
      <c r="D2467" s="219">
        <f t="shared" si="116"/>
        <v>0</v>
      </c>
      <c r="E2467" s="219">
        <f t="shared" si="116"/>
        <v>0</v>
      </c>
      <c r="G2467" s="218" t="s">
        <v>34</v>
      </c>
      <c r="H2467" s="219">
        <f t="shared" ref="H2467:K2467" si="117">SUM(H2462:H2466)</f>
        <v>2655</v>
      </c>
      <c r="I2467" s="219">
        <f t="shared" si="117"/>
        <v>0</v>
      </c>
      <c r="J2467" s="219">
        <f t="shared" si="117"/>
        <v>0</v>
      </c>
      <c r="K2467" s="219">
        <f t="shared" si="117"/>
        <v>0</v>
      </c>
    </row>
    <row r="2468" spans="1:13" x14ac:dyDescent="0.35">
      <c r="A2468" s="220" t="s">
        <v>305</v>
      </c>
      <c r="B2468" s="220">
        <f t="shared" ref="B2468" si="118">+B2467+C2467+D2467+E2467</f>
        <v>11442</v>
      </c>
      <c r="C2468" s="220"/>
      <c r="D2468" s="220"/>
      <c r="E2468" s="220"/>
      <c r="G2468" s="220" t="s">
        <v>305</v>
      </c>
      <c r="H2468" s="220">
        <f t="shared" ref="H2468" si="119">+H2467+I2467+J2467+K2467</f>
        <v>2655</v>
      </c>
      <c r="I2468" s="220"/>
      <c r="J2468" s="220"/>
      <c r="K2468" s="220"/>
    </row>
    <row r="2469" spans="1:13" ht="15" thickBot="1" x14ac:dyDescent="0.4"/>
    <row r="2470" spans="1:13" ht="34.5" customHeight="1" thickBot="1" x14ac:dyDescent="0.4">
      <c r="A2470" s="316" t="s">
        <v>336</v>
      </c>
      <c r="B2470" s="317"/>
      <c r="C2470" s="317"/>
      <c r="D2470" s="317"/>
      <c r="E2470" s="317"/>
      <c r="F2470" s="318"/>
      <c r="G2470" s="324">
        <f>SUMIF($A$2159:M2469,"*"&amp;K2470&amp;"*",$B$2159:N2469)</f>
        <v>335589</v>
      </c>
      <c r="H2470" s="319"/>
      <c r="I2470" s="319"/>
      <c r="J2470" s="325"/>
      <c r="K2470" s="322" t="s">
        <v>305</v>
      </c>
      <c r="L2470" s="323"/>
      <c r="M2470" s="228">
        <f>+G2470</f>
        <v>335589</v>
      </c>
    </row>
    <row r="2472" spans="1:13" ht="15" thickBot="1" x14ac:dyDescent="0.4">
      <c r="A2472" s="315" t="s">
        <v>298</v>
      </c>
      <c r="B2472" s="315"/>
      <c r="C2472" s="315"/>
      <c r="D2472" s="315"/>
      <c r="E2472" s="315"/>
      <c r="G2472" s="315" t="s">
        <v>314</v>
      </c>
      <c r="H2472" s="315"/>
      <c r="I2472" s="315"/>
      <c r="J2472" s="315"/>
      <c r="K2472" s="315"/>
    </row>
    <row r="2473" spans="1:13" ht="15" thickTop="1" x14ac:dyDescent="0.35">
      <c r="A2473" s="313">
        <v>45536</v>
      </c>
      <c r="B2473" s="314"/>
      <c r="C2473" s="314"/>
      <c r="D2473" s="314"/>
      <c r="E2473" s="314"/>
      <c r="G2473" s="313">
        <v>45536</v>
      </c>
      <c r="H2473" s="314"/>
      <c r="I2473" s="314"/>
      <c r="J2473" s="314"/>
      <c r="K2473" s="314"/>
    </row>
    <row r="2474" spans="1:13" x14ac:dyDescent="0.35">
      <c r="A2474" s="261" t="s">
        <v>159</v>
      </c>
      <c r="B2474" s="262" t="s">
        <v>299</v>
      </c>
      <c r="C2474" s="262" t="s">
        <v>300</v>
      </c>
      <c r="D2474" s="262" t="s">
        <v>301</v>
      </c>
      <c r="E2474" s="263" t="s">
        <v>302</v>
      </c>
      <c r="G2474" s="264" t="s">
        <v>159</v>
      </c>
      <c r="H2474" s="265" t="s">
        <v>299</v>
      </c>
      <c r="I2474" s="265" t="s">
        <v>300</v>
      </c>
      <c r="J2474" s="265" t="s">
        <v>301</v>
      </c>
      <c r="K2474" s="266" t="s">
        <v>302</v>
      </c>
    </row>
    <row r="2475" spans="1:13" x14ac:dyDescent="0.35">
      <c r="A2475" s="221" t="s">
        <v>303</v>
      </c>
      <c r="B2475" s="222">
        <v>22979</v>
      </c>
      <c r="C2475" s="222"/>
      <c r="D2475" s="222"/>
      <c r="E2475" s="223"/>
      <c r="G2475" s="221" t="s">
        <v>303</v>
      </c>
      <c r="H2475" s="222">
        <v>5598</v>
      </c>
      <c r="I2475" s="222"/>
      <c r="J2475" s="222"/>
      <c r="K2475" s="223"/>
    </row>
    <row r="2476" spans="1:13" x14ac:dyDescent="0.35">
      <c r="A2476" s="225" t="s">
        <v>304</v>
      </c>
      <c r="B2476" s="226"/>
      <c r="C2476" s="226"/>
      <c r="D2476" s="226"/>
      <c r="E2476" s="227"/>
      <c r="G2476" s="225"/>
      <c r="H2476" s="226"/>
      <c r="I2476" s="226"/>
      <c r="J2476" s="226"/>
      <c r="K2476" s="227"/>
    </row>
    <row r="2477" spans="1:13" x14ac:dyDescent="0.35">
      <c r="A2477" s="225"/>
      <c r="B2477" s="226"/>
      <c r="C2477" s="226"/>
      <c r="D2477" s="226"/>
      <c r="E2477" s="227"/>
      <c r="G2477" s="225"/>
      <c r="H2477" s="226"/>
      <c r="I2477" s="226"/>
      <c r="J2477" s="226"/>
      <c r="K2477" s="227"/>
    </row>
    <row r="2478" spans="1:13" x14ac:dyDescent="0.35">
      <c r="A2478" s="221"/>
      <c r="B2478" s="222"/>
      <c r="C2478" s="222"/>
      <c r="D2478" s="222"/>
      <c r="E2478" s="223"/>
      <c r="G2478" s="221"/>
      <c r="H2478" s="222"/>
      <c r="I2478" s="222"/>
      <c r="J2478" s="222"/>
      <c r="K2478" s="223"/>
    </row>
    <row r="2479" spans="1:13" x14ac:dyDescent="0.35">
      <c r="A2479" s="225"/>
      <c r="B2479" s="226"/>
      <c r="C2479" s="226"/>
      <c r="D2479" s="226"/>
      <c r="E2479" s="227"/>
      <c r="G2479" s="225"/>
      <c r="H2479" s="226"/>
      <c r="I2479" s="226"/>
      <c r="J2479" s="226"/>
      <c r="K2479" s="227"/>
    </row>
    <row r="2480" spans="1:13" ht="15" thickBot="1" x14ac:dyDescent="0.4">
      <c r="A2480" s="218" t="s">
        <v>34</v>
      </c>
      <c r="B2480" s="219">
        <f>SUM(B2475:B2479)</f>
        <v>22979</v>
      </c>
      <c r="C2480" s="219">
        <f>SUM(C2475:C2479)</f>
        <v>0</v>
      </c>
      <c r="D2480" s="219">
        <f>SUM(D2475:D2479)</f>
        <v>0</v>
      </c>
      <c r="E2480" s="219">
        <f>SUM(E2475:E2479)</f>
        <v>0</v>
      </c>
      <c r="G2480" s="218" t="s">
        <v>34</v>
      </c>
      <c r="H2480" s="219">
        <f>SUM(H2475:H2479)</f>
        <v>5598</v>
      </c>
      <c r="I2480" s="219">
        <f>SUM(I2475:I2479)</f>
        <v>0</v>
      </c>
      <c r="J2480" s="219">
        <f>SUM(J2475:J2479)</f>
        <v>0</v>
      </c>
      <c r="K2480" s="219">
        <f>SUM(K2475:K2479)</f>
        <v>0</v>
      </c>
    </row>
    <row r="2481" spans="1:11" x14ac:dyDescent="0.35">
      <c r="A2481" s="220" t="s">
        <v>305</v>
      </c>
      <c r="B2481" s="220">
        <f>+B2480+C2480+D2480+E2480</f>
        <v>22979</v>
      </c>
      <c r="C2481" s="220"/>
      <c r="D2481" s="220"/>
      <c r="E2481" s="220"/>
      <c r="G2481" s="220" t="s">
        <v>305</v>
      </c>
      <c r="H2481" s="220">
        <f>+H2480+I2480+J2480+K2480</f>
        <v>5598</v>
      </c>
      <c r="I2481" s="220"/>
      <c r="J2481" s="220"/>
      <c r="K2481" s="220"/>
    </row>
    <row r="2482" spans="1:11" ht="15" thickBot="1" x14ac:dyDescent="0.4">
      <c r="A2482" s="315" t="s">
        <v>298</v>
      </c>
      <c r="B2482" s="315"/>
      <c r="C2482" s="315"/>
      <c r="D2482" s="315"/>
      <c r="E2482" s="315"/>
      <c r="G2482" s="315" t="s">
        <v>314</v>
      </c>
      <c r="H2482" s="315"/>
      <c r="I2482" s="315"/>
      <c r="J2482" s="315"/>
      <c r="K2482" s="315"/>
    </row>
    <row r="2483" spans="1:11" ht="15" thickTop="1" x14ac:dyDescent="0.35">
      <c r="A2483" s="313">
        <v>45537</v>
      </c>
      <c r="B2483" s="314"/>
      <c r="C2483" s="314"/>
      <c r="D2483" s="314"/>
      <c r="E2483" s="314"/>
      <c r="G2483" s="313">
        <v>45537</v>
      </c>
      <c r="H2483" s="314"/>
      <c r="I2483" s="314"/>
      <c r="J2483" s="314"/>
      <c r="K2483" s="314"/>
    </row>
    <row r="2484" spans="1:11" x14ac:dyDescent="0.35">
      <c r="A2484" s="261" t="s">
        <v>159</v>
      </c>
      <c r="B2484" s="262" t="s">
        <v>299</v>
      </c>
      <c r="C2484" s="262" t="s">
        <v>300</v>
      </c>
      <c r="D2484" s="262" t="s">
        <v>301</v>
      </c>
      <c r="E2484" s="263" t="s">
        <v>302</v>
      </c>
      <c r="G2484" s="264" t="s">
        <v>159</v>
      </c>
      <c r="H2484" s="265" t="s">
        <v>299</v>
      </c>
      <c r="I2484" s="265" t="s">
        <v>300</v>
      </c>
      <c r="J2484" s="265" t="s">
        <v>301</v>
      </c>
      <c r="K2484" s="266" t="s">
        <v>302</v>
      </c>
    </row>
    <row r="2485" spans="1:11" x14ac:dyDescent="0.35">
      <c r="A2485" s="221" t="s">
        <v>303</v>
      </c>
      <c r="B2485" s="222">
        <v>6185</v>
      </c>
      <c r="C2485" s="222"/>
      <c r="D2485" s="222"/>
      <c r="E2485" s="223"/>
      <c r="G2485" s="221" t="s">
        <v>303</v>
      </c>
      <c r="H2485" s="222">
        <v>829</v>
      </c>
      <c r="I2485" s="222"/>
      <c r="J2485" s="222"/>
      <c r="K2485" s="223"/>
    </row>
    <row r="2486" spans="1:11" x14ac:dyDescent="0.35">
      <c r="A2486" s="225" t="s">
        <v>304</v>
      </c>
      <c r="B2486" s="226">
        <v>10855</v>
      </c>
      <c r="C2486" s="226"/>
      <c r="D2486" s="226"/>
      <c r="E2486" s="227"/>
      <c r="G2486" s="225"/>
      <c r="H2486" s="226"/>
      <c r="I2486" s="226"/>
      <c r="J2486" s="226"/>
      <c r="K2486" s="227"/>
    </row>
    <row r="2487" spans="1:11" x14ac:dyDescent="0.35">
      <c r="A2487" s="225"/>
      <c r="B2487" s="226"/>
      <c r="C2487" s="226"/>
      <c r="D2487" s="226"/>
      <c r="E2487" s="227"/>
      <c r="G2487" s="225"/>
      <c r="H2487" s="226"/>
      <c r="I2487" s="226"/>
      <c r="J2487" s="226"/>
      <c r="K2487" s="227"/>
    </row>
    <row r="2488" spans="1:11" x14ac:dyDescent="0.35">
      <c r="A2488" s="221"/>
      <c r="B2488" s="222"/>
      <c r="C2488" s="222"/>
      <c r="D2488" s="222"/>
      <c r="E2488" s="223"/>
      <c r="G2488" s="221"/>
      <c r="H2488" s="222"/>
      <c r="I2488" s="222"/>
      <c r="J2488" s="222"/>
      <c r="K2488" s="223"/>
    </row>
    <row r="2489" spans="1:11" x14ac:dyDescent="0.35">
      <c r="A2489" s="225"/>
      <c r="B2489" s="226"/>
      <c r="C2489" s="226"/>
      <c r="D2489" s="226"/>
      <c r="E2489" s="227"/>
      <c r="G2489" s="225"/>
      <c r="H2489" s="226"/>
      <c r="I2489" s="226"/>
      <c r="J2489" s="226"/>
      <c r="K2489" s="227"/>
    </row>
    <row r="2490" spans="1:11" ht="15" thickBot="1" x14ac:dyDescent="0.4">
      <c r="A2490" s="218" t="s">
        <v>34</v>
      </c>
      <c r="B2490" s="219">
        <f t="shared" ref="B2490:E2490" si="120">SUM(B2485:B2489)</f>
        <v>17040</v>
      </c>
      <c r="C2490" s="219">
        <f t="shared" si="120"/>
        <v>0</v>
      </c>
      <c r="D2490" s="219">
        <f t="shared" si="120"/>
        <v>0</v>
      </c>
      <c r="E2490" s="219">
        <f t="shared" si="120"/>
        <v>0</v>
      </c>
      <c r="G2490" s="218" t="s">
        <v>34</v>
      </c>
      <c r="H2490" s="219">
        <f t="shared" ref="H2490:K2490" si="121">SUM(H2485:H2489)</f>
        <v>829</v>
      </c>
      <c r="I2490" s="219">
        <f t="shared" si="121"/>
        <v>0</v>
      </c>
      <c r="J2490" s="219">
        <f t="shared" si="121"/>
        <v>0</v>
      </c>
      <c r="K2490" s="219">
        <f t="shared" si="121"/>
        <v>0</v>
      </c>
    </row>
    <row r="2491" spans="1:11" x14ac:dyDescent="0.35">
      <c r="A2491" s="220" t="s">
        <v>305</v>
      </c>
      <c r="B2491" s="220">
        <f t="shared" ref="B2491" si="122">+B2490+C2490+D2490+E2490</f>
        <v>17040</v>
      </c>
      <c r="C2491" s="220"/>
      <c r="D2491" s="220"/>
      <c r="E2491" s="220"/>
      <c r="G2491" s="220" t="s">
        <v>305</v>
      </c>
      <c r="H2491" s="220">
        <f t="shared" ref="H2491" si="123">+H2490+I2490+J2490+K2490</f>
        <v>829</v>
      </c>
      <c r="I2491" s="220"/>
      <c r="J2491" s="220"/>
      <c r="K2491" s="220"/>
    </row>
    <row r="2492" spans="1:11" ht="15" thickBot="1" x14ac:dyDescent="0.4">
      <c r="A2492" s="315" t="s">
        <v>298</v>
      </c>
      <c r="B2492" s="315"/>
      <c r="C2492" s="315"/>
      <c r="D2492" s="315"/>
      <c r="E2492" s="315"/>
      <c r="G2492" s="315" t="s">
        <v>314</v>
      </c>
      <c r="H2492" s="315"/>
      <c r="I2492" s="315"/>
      <c r="J2492" s="315"/>
      <c r="K2492" s="315"/>
    </row>
    <row r="2493" spans="1:11" ht="15" thickTop="1" x14ac:dyDescent="0.35">
      <c r="A2493" s="313">
        <v>45538</v>
      </c>
      <c r="B2493" s="314"/>
      <c r="C2493" s="314"/>
      <c r="D2493" s="314"/>
      <c r="E2493" s="314"/>
      <c r="G2493" s="313">
        <v>45538</v>
      </c>
      <c r="H2493" s="314"/>
      <c r="I2493" s="314"/>
      <c r="J2493" s="314"/>
      <c r="K2493" s="314"/>
    </row>
    <row r="2494" spans="1:11" x14ac:dyDescent="0.35">
      <c r="A2494" s="261" t="s">
        <v>159</v>
      </c>
      <c r="B2494" s="262" t="s">
        <v>299</v>
      </c>
      <c r="C2494" s="262" t="s">
        <v>300</v>
      </c>
      <c r="D2494" s="262" t="s">
        <v>301</v>
      </c>
      <c r="E2494" s="263" t="s">
        <v>302</v>
      </c>
      <c r="G2494" s="264" t="s">
        <v>159</v>
      </c>
      <c r="H2494" s="265" t="s">
        <v>299</v>
      </c>
      <c r="I2494" s="265" t="s">
        <v>300</v>
      </c>
      <c r="J2494" s="265" t="s">
        <v>301</v>
      </c>
      <c r="K2494" s="266" t="s">
        <v>302</v>
      </c>
    </row>
    <row r="2495" spans="1:11" x14ac:dyDescent="0.35">
      <c r="A2495" s="221" t="s">
        <v>303</v>
      </c>
      <c r="B2495" s="222">
        <v>1057</v>
      </c>
      <c r="C2495" s="222"/>
      <c r="D2495" s="222"/>
      <c r="E2495" s="223"/>
      <c r="G2495" s="221" t="s">
        <v>303</v>
      </c>
      <c r="H2495" s="222"/>
      <c r="I2495" s="222"/>
      <c r="J2495" s="222"/>
      <c r="K2495" s="223"/>
    </row>
    <row r="2496" spans="1:11" x14ac:dyDescent="0.35">
      <c r="A2496" s="225" t="s">
        <v>304</v>
      </c>
      <c r="B2496" s="226"/>
      <c r="C2496" s="226"/>
      <c r="D2496" s="226"/>
      <c r="E2496" s="227"/>
      <c r="G2496" s="225"/>
      <c r="H2496" s="226"/>
      <c r="I2496" s="226"/>
      <c r="J2496" s="226"/>
      <c r="K2496" s="227"/>
    </row>
    <row r="2497" spans="1:11" x14ac:dyDescent="0.35">
      <c r="A2497" s="225"/>
      <c r="B2497" s="226"/>
      <c r="C2497" s="226"/>
      <c r="D2497" s="226"/>
      <c r="E2497" s="227"/>
      <c r="G2497" s="225"/>
      <c r="H2497" s="226"/>
      <c r="I2497" s="226"/>
      <c r="J2497" s="226"/>
      <c r="K2497" s="227"/>
    </row>
    <row r="2498" spans="1:11" x14ac:dyDescent="0.35">
      <c r="A2498" s="221"/>
      <c r="B2498" s="222"/>
      <c r="C2498" s="222"/>
      <c r="D2498" s="222"/>
      <c r="E2498" s="223"/>
      <c r="G2498" s="221"/>
      <c r="H2498" s="222"/>
      <c r="I2498" s="222"/>
      <c r="J2498" s="222"/>
      <c r="K2498" s="223"/>
    </row>
    <row r="2499" spans="1:11" x14ac:dyDescent="0.35">
      <c r="A2499" s="225"/>
      <c r="B2499" s="226"/>
      <c r="C2499" s="226"/>
      <c r="D2499" s="226"/>
      <c r="E2499" s="227"/>
      <c r="G2499" s="225"/>
      <c r="H2499" s="226"/>
      <c r="I2499" s="226"/>
      <c r="J2499" s="226"/>
      <c r="K2499" s="227"/>
    </row>
    <row r="2500" spans="1:11" ht="15" thickBot="1" x14ac:dyDescent="0.4">
      <c r="A2500" s="218" t="s">
        <v>34</v>
      </c>
      <c r="B2500" s="219">
        <f t="shared" ref="B2500:E2500" si="124">SUM(B2495:B2499)</f>
        <v>1057</v>
      </c>
      <c r="C2500" s="219">
        <f t="shared" si="124"/>
        <v>0</v>
      </c>
      <c r="D2500" s="219">
        <f t="shared" si="124"/>
        <v>0</v>
      </c>
      <c r="E2500" s="219">
        <f t="shared" si="124"/>
        <v>0</v>
      </c>
      <c r="G2500" s="218" t="s">
        <v>34</v>
      </c>
      <c r="H2500" s="219">
        <f t="shared" ref="H2500:K2500" si="125">SUM(H2495:H2499)</f>
        <v>0</v>
      </c>
      <c r="I2500" s="219">
        <f t="shared" si="125"/>
        <v>0</v>
      </c>
      <c r="J2500" s="219">
        <f t="shared" si="125"/>
        <v>0</v>
      </c>
      <c r="K2500" s="219">
        <f t="shared" si="125"/>
        <v>0</v>
      </c>
    </row>
    <row r="2501" spans="1:11" x14ac:dyDescent="0.35">
      <c r="A2501" s="220" t="s">
        <v>305</v>
      </c>
      <c r="B2501" s="220">
        <f t="shared" ref="B2501" si="126">+B2500+C2500+D2500+E2500</f>
        <v>1057</v>
      </c>
      <c r="C2501" s="220"/>
      <c r="D2501" s="220"/>
      <c r="E2501" s="220"/>
      <c r="G2501" s="220" t="s">
        <v>305</v>
      </c>
      <c r="H2501" s="220">
        <f t="shared" ref="H2501" si="127">+H2500+I2500+J2500+K2500</f>
        <v>0</v>
      </c>
      <c r="I2501" s="220"/>
      <c r="J2501" s="220"/>
      <c r="K2501" s="220"/>
    </row>
    <row r="2502" spans="1:11" ht="15" thickBot="1" x14ac:dyDescent="0.4">
      <c r="A2502" s="315" t="s">
        <v>298</v>
      </c>
      <c r="B2502" s="315"/>
      <c r="C2502" s="315"/>
      <c r="D2502" s="315"/>
      <c r="E2502" s="315"/>
      <c r="G2502" s="315" t="s">
        <v>314</v>
      </c>
      <c r="H2502" s="315"/>
      <c r="I2502" s="315"/>
      <c r="J2502" s="315"/>
      <c r="K2502" s="315"/>
    </row>
    <row r="2503" spans="1:11" ht="15" thickTop="1" x14ac:dyDescent="0.35">
      <c r="A2503" s="313">
        <v>45539</v>
      </c>
      <c r="B2503" s="314"/>
      <c r="C2503" s="314"/>
      <c r="D2503" s="314"/>
      <c r="E2503" s="314"/>
      <c r="G2503" s="313">
        <v>45539</v>
      </c>
      <c r="H2503" s="314"/>
      <c r="I2503" s="314"/>
      <c r="J2503" s="314"/>
      <c r="K2503" s="314"/>
    </row>
    <row r="2504" spans="1:11" x14ac:dyDescent="0.35">
      <c r="A2504" s="261" t="s">
        <v>159</v>
      </c>
      <c r="B2504" s="262" t="s">
        <v>299</v>
      </c>
      <c r="C2504" s="262" t="s">
        <v>300</v>
      </c>
      <c r="D2504" s="262" t="s">
        <v>301</v>
      </c>
      <c r="E2504" s="263" t="s">
        <v>302</v>
      </c>
      <c r="G2504" s="264" t="s">
        <v>159</v>
      </c>
      <c r="H2504" s="265" t="s">
        <v>299</v>
      </c>
      <c r="I2504" s="265" t="s">
        <v>300</v>
      </c>
      <c r="J2504" s="265" t="s">
        <v>301</v>
      </c>
      <c r="K2504" s="266" t="s">
        <v>302</v>
      </c>
    </row>
    <row r="2505" spans="1:11" x14ac:dyDescent="0.35">
      <c r="A2505" s="221" t="s">
        <v>303</v>
      </c>
      <c r="B2505" s="222"/>
      <c r="C2505" s="222"/>
      <c r="D2505" s="222"/>
      <c r="E2505" s="223"/>
      <c r="G2505" s="221" t="s">
        <v>303</v>
      </c>
      <c r="H2505" s="222"/>
      <c r="I2505" s="222"/>
      <c r="J2505" s="222"/>
      <c r="K2505" s="223"/>
    </row>
    <row r="2506" spans="1:11" x14ac:dyDescent="0.35">
      <c r="A2506" s="225" t="s">
        <v>304</v>
      </c>
      <c r="B2506" s="226"/>
      <c r="C2506" s="226"/>
      <c r="D2506" s="226"/>
      <c r="E2506" s="227"/>
      <c r="G2506" s="225"/>
      <c r="H2506" s="226"/>
      <c r="I2506" s="226"/>
      <c r="J2506" s="226"/>
      <c r="K2506" s="227"/>
    </row>
    <row r="2507" spans="1:11" x14ac:dyDescent="0.35">
      <c r="A2507" s="225"/>
      <c r="B2507" s="226"/>
      <c r="C2507" s="226"/>
      <c r="D2507" s="226"/>
      <c r="E2507" s="227"/>
      <c r="G2507" s="225"/>
      <c r="H2507" s="226"/>
      <c r="I2507" s="226"/>
      <c r="J2507" s="226"/>
      <c r="K2507" s="227"/>
    </row>
    <row r="2508" spans="1:11" x14ac:dyDescent="0.35">
      <c r="A2508" s="221"/>
      <c r="B2508" s="222"/>
      <c r="C2508" s="222"/>
      <c r="D2508" s="222"/>
      <c r="E2508" s="223"/>
      <c r="G2508" s="221"/>
      <c r="H2508" s="222"/>
      <c r="I2508" s="222"/>
      <c r="J2508" s="222"/>
      <c r="K2508" s="223"/>
    </row>
    <row r="2509" spans="1:11" x14ac:dyDescent="0.35">
      <c r="A2509" s="225"/>
      <c r="B2509" s="226"/>
      <c r="C2509" s="226"/>
      <c r="D2509" s="226"/>
      <c r="E2509" s="227"/>
      <c r="G2509" s="225"/>
      <c r="H2509" s="226"/>
      <c r="I2509" s="226"/>
      <c r="J2509" s="226"/>
      <c r="K2509" s="227"/>
    </row>
    <row r="2510" spans="1:11" ht="15" thickBot="1" x14ac:dyDescent="0.4">
      <c r="A2510" s="218" t="s">
        <v>34</v>
      </c>
      <c r="B2510" s="219">
        <f t="shared" ref="B2510:E2510" si="128">SUM(B2505:B2509)</f>
        <v>0</v>
      </c>
      <c r="C2510" s="219">
        <f t="shared" si="128"/>
        <v>0</v>
      </c>
      <c r="D2510" s="219">
        <f t="shared" si="128"/>
        <v>0</v>
      </c>
      <c r="E2510" s="219">
        <f t="shared" si="128"/>
        <v>0</v>
      </c>
      <c r="G2510" s="218" t="s">
        <v>34</v>
      </c>
      <c r="H2510" s="219">
        <f t="shared" ref="H2510:K2510" si="129">SUM(H2505:H2509)</f>
        <v>0</v>
      </c>
      <c r="I2510" s="219">
        <f t="shared" si="129"/>
        <v>0</v>
      </c>
      <c r="J2510" s="219">
        <f t="shared" si="129"/>
        <v>0</v>
      </c>
      <c r="K2510" s="219">
        <f t="shared" si="129"/>
        <v>0</v>
      </c>
    </row>
    <row r="2511" spans="1:11" x14ac:dyDescent="0.35">
      <c r="A2511" s="220" t="s">
        <v>305</v>
      </c>
      <c r="B2511" s="220">
        <f t="shared" ref="B2511" si="130">+B2510+C2510+D2510+E2510</f>
        <v>0</v>
      </c>
      <c r="C2511" s="220"/>
      <c r="D2511" s="220"/>
      <c r="E2511" s="220"/>
      <c r="G2511" s="220" t="s">
        <v>305</v>
      </c>
      <c r="H2511" s="220">
        <f t="shared" ref="H2511" si="131">+H2510+I2510+J2510+K2510</f>
        <v>0</v>
      </c>
      <c r="I2511" s="220"/>
      <c r="J2511" s="220"/>
      <c r="K2511" s="220"/>
    </row>
    <row r="2512" spans="1:11" ht="15" thickBot="1" x14ac:dyDescent="0.4">
      <c r="A2512" s="315" t="s">
        <v>298</v>
      </c>
      <c r="B2512" s="315"/>
      <c r="C2512" s="315"/>
      <c r="D2512" s="315"/>
      <c r="E2512" s="315"/>
      <c r="G2512" s="315" t="s">
        <v>314</v>
      </c>
      <c r="H2512" s="315"/>
      <c r="I2512" s="315"/>
      <c r="J2512" s="315"/>
      <c r="K2512" s="315"/>
    </row>
    <row r="2513" spans="1:11" ht="15" thickTop="1" x14ac:dyDescent="0.35">
      <c r="A2513" s="313">
        <v>45540</v>
      </c>
      <c r="B2513" s="314"/>
      <c r="C2513" s="314"/>
      <c r="D2513" s="314"/>
      <c r="E2513" s="314"/>
      <c r="G2513" s="313">
        <v>45540</v>
      </c>
      <c r="H2513" s="314"/>
      <c r="I2513" s="314"/>
      <c r="J2513" s="314"/>
      <c r="K2513" s="314"/>
    </row>
    <row r="2514" spans="1:11" x14ac:dyDescent="0.35">
      <c r="A2514" s="261" t="s">
        <v>159</v>
      </c>
      <c r="B2514" s="262" t="s">
        <v>299</v>
      </c>
      <c r="C2514" s="262" t="s">
        <v>300</v>
      </c>
      <c r="D2514" s="262" t="s">
        <v>301</v>
      </c>
      <c r="E2514" s="263" t="s">
        <v>302</v>
      </c>
      <c r="G2514" s="264" t="s">
        <v>159</v>
      </c>
      <c r="H2514" s="265" t="s">
        <v>299</v>
      </c>
      <c r="I2514" s="265" t="s">
        <v>300</v>
      </c>
      <c r="J2514" s="265" t="s">
        <v>301</v>
      </c>
      <c r="K2514" s="266" t="s">
        <v>302</v>
      </c>
    </row>
    <row r="2515" spans="1:11" x14ac:dyDescent="0.35">
      <c r="A2515" s="221" t="s">
        <v>303</v>
      </c>
      <c r="B2515" s="222">
        <v>10803</v>
      </c>
      <c r="C2515" s="222"/>
      <c r="D2515" s="222"/>
      <c r="E2515" s="223">
        <v>190</v>
      </c>
      <c r="G2515" s="221" t="s">
        <v>303</v>
      </c>
      <c r="H2515" s="222">
        <v>433</v>
      </c>
      <c r="I2515" s="222"/>
      <c r="J2515" s="222"/>
      <c r="K2515" s="223"/>
    </row>
    <row r="2516" spans="1:11" x14ac:dyDescent="0.35">
      <c r="A2516" s="225" t="s">
        <v>304</v>
      </c>
      <c r="B2516" s="226"/>
      <c r="C2516" s="226"/>
      <c r="D2516" s="226"/>
      <c r="E2516" s="227"/>
      <c r="G2516" s="225"/>
      <c r="H2516" s="226"/>
      <c r="I2516" s="226"/>
      <c r="J2516" s="226"/>
      <c r="K2516" s="227"/>
    </row>
    <row r="2517" spans="1:11" x14ac:dyDescent="0.35">
      <c r="A2517" s="225"/>
      <c r="B2517" s="226"/>
      <c r="C2517" s="226"/>
      <c r="D2517" s="226"/>
      <c r="E2517" s="227"/>
      <c r="G2517" s="225"/>
      <c r="H2517" s="226"/>
      <c r="I2517" s="226"/>
      <c r="J2517" s="226"/>
      <c r="K2517" s="227"/>
    </row>
    <row r="2518" spans="1:11" x14ac:dyDescent="0.35">
      <c r="A2518" s="221"/>
      <c r="B2518" s="222"/>
      <c r="C2518" s="222"/>
      <c r="D2518" s="222"/>
      <c r="E2518" s="223"/>
      <c r="G2518" s="221"/>
      <c r="H2518" s="222"/>
      <c r="I2518" s="222"/>
      <c r="J2518" s="222"/>
      <c r="K2518" s="223"/>
    </row>
    <row r="2519" spans="1:11" x14ac:dyDescent="0.35">
      <c r="A2519" s="225"/>
      <c r="B2519" s="226"/>
      <c r="C2519" s="226"/>
      <c r="D2519" s="226"/>
      <c r="E2519" s="227"/>
      <c r="G2519" s="225"/>
      <c r="H2519" s="226"/>
      <c r="I2519" s="226"/>
      <c r="J2519" s="226"/>
      <c r="K2519" s="227"/>
    </row>
    <row r="2520" spans="1:11" ht="15" thickBot="1" x14ac:dyDescent="0.4">
      <c r="A2520" s="218" t="s">
        <v>34</v>
      </c>
      <c r="B2520" s="219">
        <f t="shared" ref="B2520:E2520" si="132">SUM(B2515:B2519)</f>
        <v>10803</v>
      </c>
      <c r="C2520" s="219">
        <f t="shared" si="132"/>
        <v>0</v>
      </c>
      <c r="D2520" s="219">
        <f t="shared" si="132"/>
        <v>0</v>
      </c>
      <c r="E2520" s="219">
        <f t="shared" si="132"/>
        <v>190</v>
      </c>
      <c r="G2520" s="218" t="s">
        <v>34</v>
      </c>
      <c r="H2520" s="219">
        <f t="shared" ref="H2520:K2520" si="133">SUM(H2515:H2519)</f>
        <v>433</v>
      </c>
      <c r="I2520" s="219">
        <f t="shared" si="133"/>
        <v>0</v>
      </c>
      <c r="J2520" s="219">
        <f t="shared" si="133"/>
        <v>0</v>
      </c>
      <c r="K2520" s="219">
        <f t="shared" si="133"/>
        <v>0</v>
      </c>
    </row>
    <row r="2521" spans="1:11" x14ac:dyDescent="0.35">
      <c r="A2521" s="220" t="s">
        <v>305</v>
      </c>
      <c r="B2521" s="220">
        <f t="shared" ref="B2521" si="134">+B2520+C2520+D2520+E2520</f>
        <v>10993</v>
      </c>
      <c r="C2521" s="220"/>
      <c r="D2521" s="220"/>
      <c r="E2521" s="220"/>
      <c r="G2521" s="220" t="s">
        <v>305</v>
      </c>
      <c r="H2521" s="220">
        <f t="shared" ref="H2521" si="135">+H2520+I2520+J2520+K2520</f>
        <v>433</v>
      </c>
      <c r="I2521" s="220"/>
      <c r="J2521" s="220"/>
      <c r="K2521" s="220"/>
    </row>
    <row r="2522" spans="1:11" ht="15" thickBot="1" x14ac:dyDescent="0.4">
      <c r="A2522" s="315" t="s">
        <v>298</v>
      </c>
      <c r="B2522" s="315"/>
      <c r="C2522" s="315"/>
      <c r="D2522" s="315"/>
      <c r="E2522" s="315"/>
      <c r="G2522" s="315" t="s">
        <v>314</v>
      </c>
      <c r="H2522" s="315"/>
      <c r="I2522" s="315"/>
      <c r="J2522" s="315"/>
      <c r="K2522" s="315"/>
    </row>
    <row r="2523" spans="1:11" ht="15" thickTop="1" x14ac:dyDescent="0.35">
      <c r="A2523" s="313">
        <v>45541</v>
      </c>
      <c r="B2523" s="314"/>
      <c r="C2523" s="314"/>
      <c r="D2523" s="314"/>
      <c r="E2523" s="314"/>
      <c r="G2523" s="313">
        <v>45541</v>
      </c>
      <c r="H2523" s="314"/>
      <c r="I2523" s="314"/>
      <c r="J2523" s="314"/>
      <c r="K2523" s="314"/>
    </row>
    <row r="2524" spans="1:11" x14ac:dyDescent="0.35">
      <c r="A2524" s="261" t="s">
        <v>159</v>
      </c>
      <c r="B2524" s="262" t="s">
        <v>299</v>
      </c>
      <c r="C2524" s="262" t="s">
        <v>300</v>
      </c>
      <c r="D2524" s="262" t="s">
        <v>301</v>
      </c>
      <c r="E2524" s="263" t="s">
        <v>302</v>
      </c>
      <c r="G2524" s="264" t="s">
        <v>159</v>
      </c>
      <c r="H2524" s="265" t="s">
        <v>299</v>
      </c>
      <c r="I2524" s="265" t="s">
        <v>300</v>
      </c>
      <c r="J2524" s="265" t="s">
        <v>301</v>
      </c>
      <c r="K2524" s="266" t="s">
        <v>302</v>
      </c>
    </row>
    <row r="2525" spans="1:11" x14ac:dyDescent="0.35">
      <c r="A2525" s="221" t="s">
        <v>303</v>
      </c>
      <c r="B2525" s="222">
        <v>8391</v>
      </c>
      <c r="C2525" s="222"/>
      <c r="D2525" s="222"/>
      <c r="E2525" s="223">
        <v>1747</v>
      </c>
      <c r="G2525" s="221" t="s">
        <v>303</v>
      </c>
      <c r="H2525" s="222">
        <v>2265</v>
      </c>
      <c r="I2525" s="222"/>
      <c r="J2525" s="222"/>
      <c r="K2525" s="223"/>
    </row>
    <row r="2526" spans="1:11" x14ac:dyDescent="0.35">
      <c r="A2526" s="225" t="s">
        <v>304</v>
      </c>
      <c r="B2526" s="226">
        <v>8900</v>
      </c>
      <c r="C2526" s="226"/>
      <c r="D2526" s="226"/>
      <c r="E2526" s="227"/>
      <c r="G2526" s="225"/>
      <c r="H2526" s="226"/>
      <c r="I2526" s="226"/>
      <c r="J2526" s="226"/>
      <c r="K2526" s="227"/>
    </row>
    <row r="2527" spans="1:11" x14ac:dyDescent="0.35">
      <c r="A2527" s="225"/>
      <c r="B2527" s="226"/>
      <c r="C2527" s="226"/>
      <c r="D2527" s="226"/>
      <c r="E2527" s="227"/>
      <c r="G2527" s="225"/>
      <c r="H2527" s="226"/>
      <c r="I2527" s="226"/>
      <c r="J2527" s="226"/>
      <c r="K2527" s="227"/>
    </row>
    <row r="2528" spans="1:11" x14ac:dyDescent="0.35">
      <c r="A2528" s="221"/>
      <c r="B2528" s="222"/>
      <c r="C2528" s="222"/>
      <c r="D2528" s="222"/>
      <c r="E2528" s="223"/>
      <c r="G2528" s="221"/>
      <c r="H2528" s="222"/>
      <c r="I2528" s="222"/>
      <c r="J2528" s="222"/>
      <c r="K2528" s="223"/>
    </row>
    <row r="2529" spans="1:11" x14ac:dyDescent="0.35">
      <c r="A2529" s="225"/>
      <c r="B2529" s="226"/>
      <c r="C2529" s="226"/>
      <c r="D2529" s="226"/>
      <c r="E2529" s="227"/>
      <c r="G2529" s="225"/>
      <c r="H2529" s="226"/>
      <c r="I2529" s="226"/>
      <c r="J2529" s="226"/>
      <c r="K2529" s="227"/>
    </row>
    <row r="2530" spans="1:11" ht="15" thickBot="1" x14ac:dyDescent="0.4">
      <c r="A2530" s="218" t="s">
        <v>34</v>
      </c>
      <c r="B2530" s="219">
        <f t="shared" ref="B2530:E2530" si="136">SUM(B2525:B2529)</f>
        <v>17291</v>
      </c>
      <c r="C2530" s="219">
        <f t="shared" si="136"/>
        <v>0</v>
      </c>
      <c r="D2530" s="219">
        <f t="shared" si="136"/>
        <v>0</v>
      </c>
      <c r="E2530" s="219">
        <f t="shared" si="136"/>
        <v>1747</v>
      </c>
      <c r="G2530" s="218" t="s">
        <v>34</v>
      </c>
      <c r="H2530" s="219">
        <f t="shared" ref="H2530:K2530" si="137">SUM(H2525:H2529)</f>
        <v>2265</v>
      </c>
      <c r="I2530" s="219">
        <f t="shared" si="137"/>
        <v>0</v>
      </c>
      <c r="J2530" s="219">
        <f t="shared" si="137"/>
        <v>0</v>
      </c>
      <c r="K2530" s="219">
        <f t="shared" si="137"/>
        <v>0</v>
      </c>
    </row>
    <row r="2531" spans="1:11" x14ac:dyDescent="0.35">
      <c r="A2531" s="220" t="s">
        <v>305</v>
      </c>
      <c r="B2531" s="220">
        <f t="shared" ref="B2531" si="138">+B2530+C2530+D2530+E2530</f>
        <v>19038</v>
      </c>
      <c r="C2531" s="220"/>
      <c r="D2531" s="220"/>
      <c r="E2531" s="220"/>
      <c r="G2531" s="220" t="s">
        <v>305</v>
      </c>
      <c r="H2531" s="220">
        <f t="shared" ref="H2531" si="139">+H2530+I2530+J2530+K2530</f>
        <v>2265</v>
      </c>
      <c r="I2531" s="220"/>
      <c r="J2531" s="220"/>
      <c r="K2531" s="220"/>
    </row>
    <row r="2532" spans="1:11" ht="15" thickBot="1" x14ac:dyDescent="0.4">
      <c r="A2532" s="315" t="s">
        <v>298</v>
      </c>
      <c r="B2532" s="315"/>
      <c r="C2532" s="315"/>
      <c r="D2532" s="315"/>
      <c r="E2532" s="315"/>
      <c r="G2532" s="315" t="s">
        <v>314</v>
      </c>
      <c r="H2532" s="315"/>
      <c r="I2532" s="315"/>
      <c r="J2532" s="315"/>
      <c r="K2532" s="315"/>
    </row>
    <row r="2533" spans="1:11" ht="15" thickTop="1" x14ac:dyDescent="0.35">
      <c r="A2533" s="313">
        <v>45542</v>
      </c>
      <c r="B2533" s="314"/>
      <c r="C2533" s="314"/>
      <c r="D2533" s="314"/>
      <c r="E2533" s="314"/>
      <c r="G2533" s="313">
        <v>45542</v>
      </c>
      <c r="H2533" s="314"/>
      <c r="I2533" s="314"/>
      <c r="J2533" s="314"/>
      <c r="K2533" s="314"/>
    </row>
    <row r="2534" spans="1:11" x14ac:dyDescent="0.35">
      <c r="A2534" s="261" t="s">
        <v>159</v>
      </c>
      <c r="B2534" s="262" t="s">
        <v>299</v>
      </c>
      <c r="C2534" s="262" t="s">
        <v>300</v>
      </c>
      <c r="D2534" s="262" t="s">
        <v>301</v>
      </c>
      <c r="E2534" s="263" t="s">
        <v>302</v>
      </c>
      <c r="G2534" s="264" t="s">
        <v>159</v>
      </c>
      <c r="H2534" s="265" t="s">
        <v>299</v>
      </c>
      <c r="I2534" s="265" t="s">
        <v>300</v>
      </c>
      <c r="J2534" s="265" t="s">
        <v>301</v>
      </c>
      <c r="K2534" s="266" t="s">
        <v>302</v>
      </c>
    </row>
    <row r="2535" spans="1:11" x14ac:dyDescent="0.35">
      <c r="A2535" s="221" t="s">
        <v>303</v>
      </c>
      <c r="B2535" s="222">
        <v>10390</v>
      </c>
      <c r="C2535" s="222"/>
      <c r="D2535" s="222"/>
      <c r="E2535" s="223"/>
      <c r="G2535" s="221" t="s">
        <v>303</v>
      </c>
      <c r="H2535" s="222">
        <v>2005</v>
      </c>
      <c r="I2535" s="222"/>
      <c r="J2535" s="222"/>
      <c r="K2535" s="223">
        <v>1446</v>
      </c>
    </row>
    <row r="2536" spans="1:11" x14ac:dyDescent="0.35">
      <c r="A2536" s="225" t="s">
        <v>304</v>
      </c>
      <c r="B2536" s="226">
        <v>5000</v>
      </c>
      <c r="C2536" s="226"/>
      <c r="D2536" s="226"/>
      <c r="E2536" s="227"/>
      <c r="G2536" s="225"/>
      <c r="H2536" s="226"/>
      <c r="I2536" s="226"/>
      <c r="J2536" s="226"/>
      <c r="K2536" s="227"/>
    </row>
    <row r="2537" spans="1:11" x14ac:dyDescent="0.35">
      <c r="A2537" s="225"/>
      <c r="B2537" s="226"/>
      <c r="C2537" s="226"/>
      <c r="D2537" s="226"/>
      <c r="E2537" s="227"/>
      <c r="G2537" s="225"/>
      <c r="H2537" s="226"/>
      <c r="I2537" s="226"/>
      <c r="J2537" s="226"/>
      <c r="K2537" s="227"/>
    </row>
    <row r="2538" spans="1:11" x14ac:dyDescent="0.35">
      <c r="A2538" s="221"/>
      <c r="B2538" s="222"/>
      <c r="C2538" s="222"/>
      <c r="D2538" s="222"/>
      <c r="E2538" s="223"/>
      <c r="G2538" s="221"/>
      <c r="H2538" s="222"/>
      <c r="I2538" s="222"/>
      <c r="J2538" s="222"/>
      <c r="K2538" s="223"/>
    </row>
    <row r="2539" spans="1:11" x14ac:dyDescent="0.35">
      <c r="A2539" s="225"/>
      <c r="B2539" s="226"/>
      <c r="C2539" s="226"/>
      <c r="D2539" s="226"/>
      <c r="E2539" s="227"/>
      <c r="G2539" s="225"/>
      <c r="H2539" s="226"/>
      <c r="I2539" s="226"/>
      <c r="J2539" s="226"/>
      <c r="K2539" s="227"/>
    </row>
    <row r="2540" spans="1:11" ht="15" thickBot="1" x14ac:dyDescent="0.4">
      <c r="A2540" s="218" t="s">
        <v>34</v>
      </c>
      <c r="B2540" s="219">
        <f t="shared" ref="B2540:E2540" si="140">SUM(B2535:B2539)</f>
        <v>15390</v>
      </c>
      <c r="C2540" s="219">
        <f t="shared" si="140"/>
        <v>0</v>
      </c>
      <c r="D2540" s="219">
        <f t="shared" si="140"/>
        <v>0</v>
      </c>
      <c r="E2540" s="219">
        <f t="shared" si="140"/>
        <v>0</v>
      </c>
      <c r="G2540" s="218" t="s">
        <v>34</v>
      </c>
      <c r="H2540" s="219">
        <f t="shared" ref="H2540:K2540" si="141">SUM(H2535:H2539)</f>
        <v>2005</v>
      </c>
      <c r="I2540" s="219">
        <f t="shared" si="141"/>
        <v>0</v>
      </c>
      <c r="J2540" s="219">
        <f t="shared" si="141"/>
        <v>0</v>
      </c>
      <c r="K2540" s="219">
        <f t="shared" si="141"/>
        <v>1446</v>
      </c>
    </row>
    <row r="2541" spans="1:11" x14ac:dyDescent="0.35">
      <c r="A2541" s="220" t="s">
        <v>305</v>
      </c>
      <c r="B2541" s="220">
        <f t="shared" ref="B2541" si="142">+B2540+C2540+D2540+E2540</f>
        <v>15390</v>
      </c>
      <c r="C2541" s="220"/>
      <c r="D2541" s="220"/>
      <c r="E2541" s="220"/>
      <c r="G2541" s="220" t="s">
        <v>305</v>
      </c>
      <c r="H2541" s="220">
        <f t="shared" ref="H2541" si="143">+H2540+I2540+J2540+K2540</f>
        <v>3451</v>
      </c>
      <c r="I2541" s="220"/>
      <c r="J2541" s="220"/>
      <c r="K2541" s="220"/>
    </row>
    <row r="2542" spans="1:11" ht="15" thickBot="1" x14ac:dyDescent="0.4">
      <c r="A2542" s="315" t="s">
        <v>298</v>
      </c>
      <c r="B2542" s="315"/>
      <c r="C2542" s="315"/>
      <c r="D2542" s="315"/>
      <c r="E2542" s="315"/>
      <c r="G2542" s="315" t="s">
        <v>314</v>
      </c>
      <c r="H2542" s="315"/>
      <c r="I2542" s="315"/>
      <c r="J2542" s="315"/>
      <c r="K2542" s="315"/>
    </row>
    <row r="2543" spans="1:11" ht="15" thickTop="1" x14ac:dyDescent="0.35">
      <c r="A2543" s="313">
        <v>45543</v>
      </c>
      <c r="B2543" s="314"/>
      <c r="C2543" s="314"/>
      <c r="D2543" s="314"/>
      <c r="E2543" s="314"/>
      <c r="G2543" s="313">
        <v>45543</v>
      </c>
      <c r="H2543" s="314"/>
      <c r="I2543" s="314"/>
      <c r="J2543" s="314"/>
      <c r="K2543" s="314"/>
    </row>
    <row r="2544" spans="1:11" x14ac:dyDescent="0.35">
      <c r="A2544" s="261" t="s">
        <v>159</v>
      </c>
      <c r="B2544" s="262" t="s">
        <v>299</v>
      </c>
      <c r="C2544" s="262" t="s">
        <v>300</v>
      </c>
      <c r="D2544" s="262" t="s">
        <v>301</v>
      </c>
      <c r="E2544" s="263" t="s">
        <v>302</v>
      </c>
      <c r="G2544" s="264" t="s">
        <v>159</v>
      </c>
      <c r="H2544" s="265" t="s">
        <v>299</v>
      </c>
      <c r="I2544" s="265" t="s">
        <v>300</v>
      </c>
      <c r="J2544" s="265" t="s">
        <v>301</v>
      </c>
      <c r="K2544" s="266" t="s">
        <v>302</v>
      </c>
    </row>
    <row r="2545" spans="1:11" x14ac:dyDescent="0.35">
      <c r="A2545" s="221" t="s">
        <v>303</v>
      </c>
      <c r="B2545" s="222">
        <v>14351</v>
      </c>
      <c r="C2545" s="222"/>
      <c r="D2545" s="222"/>
      <c r="E2545" s="223"/>
      <c r="G2545" s="221" t="s">
        <v>303</v>
      </c>
      <c r="H2545" s="222">
        <v>4368</v>
      </c>
      <c r="I2545" s="222"/>
      <c r="J2545" s="222"/>
      <c r="K2545" s="223"/>
    </row>
    <row r="2546" spans="1:11" x14ac:dyDescent="0.35">
      <c r="A2546" s="225" t="s">
        <v>304</v>
      </c>
      <c r="B2546" s="226">
        <v>8042</v>
      </c>
      <c r="C2546" s="226"/>
      <c r="D2546" s="226"/>
      <c r="E2546" s="227"/>
      <c r="G2546" s="225"/>
      <c r="H2546" s="226"/>
      <c r="I2546" s="226"/>
      <c r="J2546" s="226"/>
      <c r="K2546" s="227"/>
    </row>
    <row r="2547" spans="1:11" x14ac:dyDescent="0.35">
      <c r="A2547" s="225"/>
      <c r="B2547" s="226"/>
      <c r="C2547" s="226"/>
      <c r="D2547" s="226"/>
      <c r="E2547" s="227"/>
      <c r="G2547" s="225"/>
      <c r="H2547" s="226"/>
      <c r="I2547" s="226"/>
      <c r="J2547" s="226"/>
      <c r="K2547" s="227"/>
    </row>
    <row r="2548" spans="1:11" x14ac:dyDescent="0.35">
      <c r="A2548" s="221"/>
      <c r="B2548" s="222"/>
      <c r="C2548" s="222"/>
      <c r="D2548" s="222"/>
      <c r="E2548" s="223"/>
      <c r="G2548" s="221"/>
      <c r="H2548" s="222"/>
      <c r="I2548" s="222"/>
      <c r="J2548" s="222"/>
      <c r="K2548" s="223"/>
    </row>
    <row r="2549" spans="1:11" x14ac:dyDescent="0.35">
      <c r="A2549" s="225"/>
      <c r="B2549" s="226"/>
      <c r="C2549" s="226"/>
      <c r="D2549" s="226"/>
      <c r="E2549" s="227"/>
      <c r="G2549" s="225"/>
      <c r="H2549" s="226"/>
      <c r="I2549" s="226"/>
      <c r="J2549" s="226"/>
      <c r="K2549" s="227"/>
    </row>
    <row r="2550" spans="1:11" ht="15" thickBot="1" x14ac:dyDescent="0.4">
      <c r="A2550" s="218" t="s">
        <v>34</v>
      </c>
      <c r="B2550" s="219">
        <f t="shared" ref="B2550:E2550" si="144">SUM(B2545:B2549)</f>
        <v>22393</v>
      </c>
      <c r="C2550" s="219">
        <f t="shared" si="144"/>
        <v>0</v>
      </c>
      <c r="D2550" s="219">
        <f t="shared" si="144"/>
        <v>0</v>
      </c>
      <c r="E2550" s="219">
        <f t="shared" si="144"/>
        <v>0</v>
      </c>
      <c r="G2550" s="218" t="s">
        <v>34</v>
      </c>
      <c r="H2550" s="219">
        <f t="shared" ref="H2550:K2550" si="145">SUM(H2545:H2549)</f>
        <v>4368</v>
      </c>
      <c r="I2550" s="219">
        <f t="shared" si="145"/>
        <v>0</v>
      </c>
      <c r="J2550" s="219">
        <f t="shared" si="145"/>
        <v>0</v>
      </c>
      <c r="K2550" s="219">
        <f t="shared" si="145"/>
        <v>0</v>
      </c>
    </row>
    <row r="2551" spans="1:11" x14ac:dyDescent="0.35">
      <c r="A2551" s="220" t="s">
        <v>305</v>
      </c>
      <c r="B2551" s="220">
        <f t="shared" ref="B2551" si="146">+B2550+C2550+D2550+E2550</f>
        <v>22393</v>
      </c>
      <c r="C2551" s="220"/>
      <c r="D2551" s="220"/>
      <c r="E2551" s="220"/>
      <c r="G2551" s="220" t="s">
        <v>305</v>
      </c>
      <c r="H2551" s="220">
        <f t="shared" ref="H2551" si="147">+H2550+I2550+J2550+K2550</f>
        <v>4368</v>
      </c>
      <c r="I2551" s="220"/>
      <c r="J2551" s="220"/>
      <c r="K2551" s="220"/>
    </row>
    <row r="2552" spans="1:11" ht="15" thickBot="1" x14ac:dyDescent="0.4">
      <c r="A2552" s="315" t="s">
        <v>298</v>
      </c>
      <c r="B2552" s="315"/>
      <c r="C2552" s="315"/>
      <c r="D2552" s="315"/>
      <c r="E2552" s="315"/>
      <c r="G2552" s="315" t="s">
        <v>314</v>
      </c>
      <c r="H2552" s="315"/>
      <c r="I2552" s="315"/>
      <c r="J2552" s="315"/>
      <c r="K2552" s="315"/>
    </row>
    <row r="2553" spans="1:11" ht="15" thickTop="1" x14ac:dyDescent="0.35">
      <c r="A2553" s="313">
        <v>45544</v>
      </c>
      <c r="B2553" s="314"/>
      <c r="C2553" s="314"/>
      <c r="D2553" s="314"/>
      <c r="E2553" s="314"/>
      <c r="G2553" s="313">
        <v>45544</v>
      </c>
      <c r="H2553" s="314"/>
      <c r="I2553" s="314"/>
      <c r="J2553" s="314"/>
      <c r="K2553" s="314"/>
    </row>
    <row r="2554" spans="1:11" x14ac:dyDescent="0.35">
      <c r="A2554" s="261" t="s">
        <v>159</v>
      </c>
      <c r="B2554" s="262" t="s">
        <v>299</v>
      </c>
      <c r="C2554" s="262" t="s">
        <v>300</v>
      </c>
      <c r="D2554" s="262" t="s">
        <v>301</v>
      </c>
      <c r="E2554" s="263" t="s">
        <v>302</v>
      </c>
      <c r="G2554" s="264" t="s">
        <v>159</v>
      </c>
      <c r="H2554" s="265" t="s">
        <v>299</v>
      </c>
      <c r="I2554" s="265" t="s">
        <v>300</v>
      </c>
      <c r="J2554" s="265" t="s">
        <v>301</v>
      </c>
      <c r="K2554" s="266" t="s">
        <v>302</v>
      </c>
    </row>
    <row r="2555" spans="1:11" x14ac:dyDescent="0.35">
      <c r="A2555" s="221" t="s">
        <v>303</v>
      </c>
      <c r="B2555" s="222">
        <v>5520</v>
      </c>
      <c r="C2555" s="222"/>
      <c r="D2555" s="222"/>
      <c r="E2555" s="223"/>
      <c r="G2555" s="221" t="s">
        <v>303</v>
      </c>
      <c r="H2555" s="222">
        <v>510</v>
      </c>
      <c r="I2555" s="222"/>
      <c r="J2555" s="222"/>
      <c r="K2555" s="223"/>
    </row>
    <row r="2556" spans="1:11" x14ac:dyDescent="0.35">
      <c r="A2556" s="225" t="s">
        <v>304</v>
      </c>
      <c r="B2556" s="226">
        <v>12716</v>
      </c>
      <c r="C2556" s="226"/>
      <c r="D2556" s="226"/>
      <c r="E2556" s="227"/>
      <c r="G2556" s="225"/>
      <c r="H2556" s="226"/>
      <c r="I2556" s="226"/>
      <c r="J2556" s="226"/>
      <c r="K2556" s="227"/>
    </row>
    <row r="2557" spans="1:11" x14ac:dyDescent="0.35">
      <c r="A2557" s="225"/>
      <c r="B2557" s="226"/>
      <c r="C2557" s="226"/>
      <c r="D2557" s="226"/>
      <c r="E2557" s="227"/>
      <c r="G2557" s="225"/>
      <c r="H2557" s="226"/>
      <c r="I2557" s="226"/>
      <c r="J2557" s="226"/>
      <c r="K2557" s="227"/>
    </row>
    <row r="2558" spans="1:11" x14ac:dyDescent="0.35">
      <c r="A2558" s="221"/>
      <c r="B2558" s="222"/>
      <c r="C2558" s="222"/>
      <c r="D2558" s="222"/>
      <c r="E2558" s="223"/>
      <c r="G2558" s="221"/>
      <c r="H2558" s="222"/>
      <c r="I2558" s="222"/>
      <c r="J2558" s="222"/>
      <c r="K2558" s="223"/>
    </row>
    <row r="2559" spans="1:11" x14ac:dyDescent="0.35">
      <c r="A2559" s="225"/>
      <c r="B2559" s="226"/>
      <c r="C2559" s="226"/>
      <c r="D2559" s="226"/>
      <c r="E2559" s="227"/>
      <c r="G2559" s="225"/>
      <c r="H2559" s="226"/>
      <c r="I2559" s="226"/>
      <c r="J2559" s="226"/>
      <c r="K2559" s="227"/>
    </row>
    <row r="2560" spans="1:11" ht="15" thickBot="1" x14ac:dyDescent="0.4">
      <c r="A2560" s="218" t="s">
        <v>34</v>
      </c>
      <c r="B2560" s="219">
        <f t="shared" ref="B2560:E2560" si="148">SUM(B2555:B2559)</f>
        <v>18236</v>
      </c>
      <c r="C2560" s="219">
        <f t="shared" si="148"/>
        <v>0</v>
      </c>
      <c r="D2560" s="219">
        <f t="shared" si="148"/>
        <v>0</v>
      </c>
      <c r="E2560" s="219">
        <f t="shared" si="148"/>
        <v>0</v>
      </c>
      <c r="G2560" s="218" t="s">
        <v>34</v>
      </c>
      <c r="H2560" s="219">
        <f t="shared" ref="H2560:K2560" si="149">SUM(H2555:H2559)</f>
        <v>510</v>
      </c>
      <c r="I2560" s="219">
        <f t="shared" si="149"/>
        <v>0</v>
      </c>
      <c r="J2560" s="219">
        <f t="shared" si="149"/>
        <v>0</v>
      </c>
      <c r="K2560" s="219">
        <f t="shared" si="149"/>
        <v>0</v>
      </c>
    </row>
    <row r="2561" spans="1:11" x14ac:dyDescent="0.35">
      <c r="A2561" s="220" t="s">
        <v>305</v>
      </c>
      <c r="B2561" s="220">
        <f t="shared" ref="B2561" si="150">+B2560+C2560+D2560+E2560</f>
        <v>18236</v>
      </c>
      <c r="C2561" s="220"/>
      <c r="D2561" s="220"/>
      <c r="E2561" s="220"/>
      <c r="G2561" s="220" t="s">
        <v>305</v>
      </c>
      <c r="H2561" s="220">
        <f t="shared" ref="H2561" si="151">+H2560+I2560+J2560+K2560</f>
        <v>510</v>
      </c>
      <c r="I2561" s="220"/>
      <c r="J2561" s="220"/>
      <c r="K2561" s="220"/>
    </row>
    <row r="2562" spans="1:11" ht="15" thickBot="1" x14ac:dyDescent="0.4">
      <c r="A2562" s="315" t="s">
        <v>298</v>
      </c>
      <c r="B2562" s="315"/>
      <c r="C2562" s="315"/>
      <c r="D2562" s="315"/>
      <c r="E2562" s="315"/>
      <c r="G2562" s="315" t="s">
        <v>314</v>
      </c>
      <c r="H2562" s="315"/>
      <c r="I2562" s="315"/>
      <c r="J2562" s="315"/>
      <c r="K2562" s="315"/>
    </row>
    <row r="2563" spans="1:11" ht="15" thickTop="1" x14ac:dyDescent="0.35">
      <c r="A2563" s="313">
        <v>45545</v>
      </c>
      <c r="B2563" s="314"/>
      <c r="C2563" s="314"/>
      <c r="D2563" s="314"/>
      <c r="E2563" s="314"/>
      <c r="G2563" s="313">
        <v>45545</v>
      </c>
      <c r="H2563" s="314"/>
      <c r="I2563" s="314"/>
      <c r="J2563" s="314"/>
      <c r="K2563" s="314"/>
    </row>
    <row r="2564" spans="1:11" x14ac:dyDescent="0.35">
      <c r="A2564" s="261" t="s">
        <v>159</v>
      </c>
      <c r="B2564" s="262" t="s">
        <v>299</v>
      </c>
      <c r="C2564" s="262" t="s">
        <v>300</v>
      </c>
      <c r="D2564" s="262" t="s">
        <v>301</v>
      </c>
      <c r="E2564" s="263" t="s">
        <v>302</v>
      </c>
      <c r="G2564" s="264" t="s">
        <v>159</v>
      </c>
      <c r="H2564" s="265" t="s">
        <v>299</v>
      </c>
      <c r="I2564" s="265" t="s">
        <v>300</v>
      </c>
      <c r="J2564" s="265" t="s">
        <v>301</v>
      </c>
      <c r="K2564" s="266" t="s">
        <v>302</v>
      </c>
    </row>
    <row r="2565" spans="1:11" x14ac:dyDescent="0.35">
      <c r="A2565" s="221" t="s">
        <v>303</v>
      </c>
      <c r="B2565" s="222">
        <v>460</v>
      </c>
      <c r="C2565" s="222"/>
      <c r="D2565" s="222"/>
      <c r="E2565" s="223"/>
      <c r="G2565" s="221" t="s">
        <v>303</v>
      </c>
      <c r="H2565" s="222">
        <v>524</v>
      </c>
      <c r="I2565" s="222"/>
      <c r="J2565" s="222"/>
      <c r="K2565" s="223"/>
    </row>
    <row r="2566" spans="1:11" x14ac:dyDescent="0.35">
      <c r="A2566" s="225" t="s">
        <v>304</v>
      </c>
      <c r="B2566" s="226">
        <v>12792</v>
      </c>
      <c r="C2566" s="226"/>
      <c r="D2566" s="226"/>
      <c r="E2566" s="227"/>
      <c r="G2566" s="225"/>
      <c r="H2566" s="226"/>
      <c r="I2566" s="226"/>
      <c r="J2566" s="226"/>
      <c r="K2566" s="227"/>
    </row>
    <row r="2567" spans="1:11" x14ac:dyDescent="0.35">
      <c r="A2567" s="225"/>
      <c r="B2567" s="226"/>
      <c r="C2567" s="226"/>
      <c r="D2567" s="226"/>
      <c r="E2567" s="227"/>
      <c r="G2567" s="225"/>
      <c r="H2567" s="226"/>
      <c r="I2567" s="226"/>
      <c r="J2567" s="226"/>
      <c r="K2567" s="227"/>
    </row>
    <row r="2568" spans="1:11" x14ac:dyDescent="0.35">
      <c r="A2568" s="221"/>
      <c r="B2568" s="222"/>
      <c r="C2568" s="222"/>
      <c r="D2568" s="222"/>
      <c r="E2568" s="223"/>
      <c r="G2568" s="221"/>
      <c r="H2568" s="222"/>
      <c r="I2568" s="222"/>
      <c r="J2568" s="222"/>
      <c r="K2568" s="223"/>
    </row>
    <row r="2569" spans="1:11" x14ac:dyDescent="0.35">
      <c r="A2569" s="225"/>
      <c r="B2569" s="226"/>
      <c r="C2569" s="226"/>
      <c r="D2569" s="226"/>
      <c r="E2569" s="227"/>
      <c r="G2569" s="225"/>
      <c r="H2569" s="226"/>
      <c r="I2569" s="226"/>
      <c r="J2569" s="226"/>
      <c r="K2569" s="227"/>
    </row>
    <row r="2570" spans="1:11" ht="15" thickBot="1" x14ac:dyDescent="0.4">
      <c r="A2570" s="218" t="s">
        <v>34</v>
      </c>
      <c r="B2570" s="219">
        <f t="shared" ref="B2570:E2570" si="152">SUM(B2565:B2569)</f>
        <v>13252</v>
      </c>
      <c r="C2570" s="219">
        <f t="shared" si="152"/>
        <v>0</v>
      </c>
      <c r="D2570" s="219">
        <f t="shared" si="152"/>
        <v>0</v>
      </c>
      <c r="E2570" s="219">
        <f t="shared" si="152"/>
        <v>0</v>
      </c>
      <c r="G2570" s="218" t="s">
        <v>34</v>
      </c>
      <c r="H2570" s="219">
        <f t="shared" ref="H2570:K2570" si="153">SUM(H2565:H2569)</f>
        <v>524</v>
      </c>
      <c r="I2570" s="219">
        <f t="shared" si="153"/>
        <v>0</v>
      </c>
      <c r="J2570" s="219">
        <f t="shared" si="153"/>
        <v>0</v>
      </c>
      <c r="K2570" s="219">
        <f t="shared" si="153"/>
        <v>0</v>
      </c>
    </row>
    <row r="2571" spans="1:11" x14ac:dyDescent="0.35">
      <c r="A2571" s="220" t="s">
        <v>305</v>
      </c>
      <c r="B2571" s="220">
        <f t="shared" ref="B2571" si="154">+B2570+C2570+D2570+E2570</f>
        <v>13252</v>
      </c>
      <c r="C2571" s="220"/>
      <c r="D2571" s="220"/>
      <c r="E2571" s="220"/>
      <c r="G2571" s="220" t="s">
        <v>305</v>
      </c>
      <c r="H2571" s="220">
        <f t="shared" ref="H2571" si="155">+H2570+I2570+J2570+K2570</f>
        <v>524</v>
      </c>
      <c r="I2571" s="220"/>
      <c r="J2571" s="220"/>
      <c r="K2571" s="220"/>
    </row>
    <row r="2572" spans="1:11" ht="15" thickBot="1" x14ac:dyDescent="0.4">
      <c r="A2572" s="315" t="s">
        <v>298</v>
      </c>
      <c r="B2572" s="315"/>
      <c r="C2572" s="315"/>
      <c r="D2572" s="315"/>
      <c r="E2572" s="315"/>
      <c r="G2572" s="315" t="s">
        <v>314</v>
      </c>
      <c r="H2572" s="315"/>
      <c r="I2572" s="315"/>
      <c r="J2572" s="315"/>
      <c r="K2572" s="315"/>
    </row>
    <row r="2573" spans="1:11" ht="15" thickTop="1" x14ac:dyDescent="0.35">
      <c r="A2573" s="313">
        <v>45546</v>
      </c>
      <c r="B2573" s="314"/>
      <c r="C2573" s="314"/>
      <c r="D2573" s="314"/>
      <c r="E2573" s="314"/>
      <c r="G2573" s="313">
        <v>45546</v>
      </c>
      <c r="H2573" s="314"/>
      <c r="I2573" s="314"/>
      <c r="J2573" s="314"/>
      <c r="K2573" s="314"/>
    </row>
    <row r="2574" spans="1:11" x14ac:dyDescent="0.35">
      <c r="A2574" s="261" t="s">
        <v>159</v>
      </c>
      <c r="B2574" s="262" t="s">
        <v>299</v>
      </c>
      <c r="C2574" s="262" t="s">
        <v>300</v>
      </c>
      <c r="D2574" s="262" t="s">
        <v>301</v>
      </c>
      <c r="E2574" s="263" t="s">
        <v>302</v>
      </c>
      <c r="G2574" s="264" t="s">
        <v>159</v>
      </c>
      <c r="H2574" s="265" t="s">
        <v>299</v>
      </c>
      <c r="I2574" s="265" t="s">
        <v>300</v>
      </c>
      <c r="J2574" s="265" t="s">
        <v>301</v>
      </c>
      <c r="K2574" s="266" t="s">
        <v>302</v>
      </c>
    </row>
    <row r="2575" spans="1:11" x14ac:dyDescent="0.35">
      <c r="A2575" s="221" t="s">
        <v>303</v>
      </c>
      <c r="B2575" s="222">
        <v>1354</v>
      </c>
      <c r="C2575" s="222"/>
      <c r="D2575" s="222"/>
      <c r="E2575" s="223"/>
      <c r="G2575" s="221" t="s">
        <v>303</v>
      </c>
      <c r="H2575" s="222"/>
      <c r="I2575" s="222"/>
      <c r="J2575" s="222"/>
      <c r="K2575" s="223"/>
    </row>
    <row r="2576" spans="1:11" x14ac:dyDescent="0.35">
      <c r="A2576" s="225" t="s">
        <v>304</v>
      </c>
      <c r="B2576" s="226"/>
      <c r="C2576" s="226"/>
      <c r="D2576" s="226"/>
      <c r="E2576" s="227"/>
      <c r="G2576" s="225"/>
      <c r="H2576" s="226"/>
      <c r="I2576" s="226"/>
      <c r="J2576" s="226"/>
      <c r="K2576" s="227"/>
    </row>
    <row r="2577" spans="1:11" x14ac:dyDescent="0.35">
      <c r="A2577" s="225"/>
      <c r="B2577" s="226"/>
      <c r="C2577" s="226"/>
      <c r="D2577" s="226"/>
      <c r="E2577" s="227"/>
      <c r="G2577" s="225"/>
      <c r="H2577" s="226"/>
      <c r="I2577" s="226"/>
      <c r="J2577" s="226"/>
      <c r="K2577" s="227"/>
    </row>
    <row r="2578" spans="1:11" x14ac:dyDescent="0.35">
      <c r="A2578" s="221"/>
      <c r="B2578" s="222"/>
      <c r="C2578" s="222"/>
      <c r="D2578" s="222"/>
      <c r="E2578" s="223"/>
      <c r="G2578" s="221"/>
      <c r="H2578" s="222"/>
      <c r="I2578" s="222"/>
      <c r="J2578" s="222"/>
      <c r="K2578" s="223"/>
    </row>
    <row r="2579" spans="1:11" x14ac:dyDescent="0.35">
      <c r="A2579" s="225"/>
      <c r="B2579" s="226"/>
      <c r="C2579" s="226"/>
      <c r="D2579" s="226"/>
      <c r="E2579" s="227"/>
      <c r="G2579" s="225"/>
      <c r="H2579" s="226"/>
      <c r="I2579" s="226"/>
      <c r="J2579" s="226"/>
      <c r="K2579" s="227"/>
    </row>
    <row r="2580" spans="1:11" ht="15" thickBot="1" x14ac:dyDescent="0.4">
      <c r="A2580" s="218" t="s">
        <v>34</v>
      </c>
      <c r="B2580" s="219">
        <f t="shared" ref="B2580:E2580" si="156">SUM(B2575:B2579)</f>
        <v>1354</v>
      </c>
      <c r="C2580" s="219">
        <f t="shared" si="156"/>
        <v>0</v>
      </c>
      <c r="D2580" s="219">
        <f t="shared" si="156"/>
        <v>0</v>
      </c>
      <c r="E2580" s="219">
        <f t="shared" si="156"/>
        <v>0</v>
      </c>
      <c r="G2580" s="218" t="s">
        <v>34</v>
      </c>
      <c r="H2580" s="219">
        <f t="shared" ref="H2580:K2580" si="157">SUM(H2575:H2579)</f>
        <v>0</v>
      </c>
      <c r="I2580" s="219">
        <f t="shared" si="157"/>
        <v>0</v>
      </c>
      <c r="J2580" s="219">
        <f t="shared" si="157"/>
        <v>0</v>
      </c>
      <c r="K2580" s="219">
        <f t="shared" si="157"/>
        <v>0</v>
      </c>
    </row>
    <row r="2581" spans="1:11" x14ac:dyDescent="0.35">
      <c r="A2581" s="220" t="s">
        <v>305</v>
      </c>
      <c r="B2581" s="220">
        <f t="shared" ref="B2581" si="158">+B2580+C2580+D2580+E2580</f>
        <v>1354</v>
      </c>
      <c r="C2581" s="220"/>
      <c r="D2581" s="220"/>
      <c r="E2581" s="220"/>
      <c r="G2581" s="220" t="s">
        <v>305</v>
      </c>
      <c r="H2581" s="220">
        <f t="shared" ref="H2581" si="159">+H2580+I2580+J2580+K2580</f>
        <v>0</v>
      </c>
      <c r="I2581" s="220"/>
      <c r="J2581" s="220"/>
      <c r="K2581" s="220"/>
    </row>
    <row r="2582" spans="1:11" ht="15" thickBot="1" x14ac:dyDescent="0.4">
      <c r="A2582" s="315" t="s">
        <v>298</v>
      </c>
      <c r="B2582" s="315"/>
      <c r="C2582" s="315"/>
      <c r="D2582" s="315"/>
      <c r="E2582" s="315"/>
      <c r="G2582" s="315" t="s">
        <v>314</v>
      </c>
      <c r="H2582" s="315"/>
      <c r="I2582" s="315"/>
      <c r="J2582" s="315"/>
      <c r="K2582" s="315"/>
    </row>
    <row r="2583" spans="1:11" ht="15" thickTop="1" x14ac:dyDescent="0.35">
      <c r="A2583" s="313">
        <v>45547</v>
      </c>
      <c r="B2583" s="314"/>
      <c r="C2583" s="314"/>
      <c r="D2583" s="314"/>
      <c r="E2583" s="314"/>
      <c r="G2583" s="313">
        <v>45547</v>
      </c>
      <c r="H2583" s="314"/>
      <c r="I2583" s="314"/>
      <c r="J2583" s="314"/>
      <c r="K2583" s="314"/>
    </row>
    <row r="2584" spans="1:11" x14ac:dyDescent="0.35">
      <c r="A2584" s="261" t="s">
        <v>159</v>
      </c>
      <c r="B2584" s="262" t="s">
        <v>299</v>
      </c>
      <c r="C2584" s="262" t="s">
        <v>300</v>
      </c>
      <c r="D2584" s="262" t="s">
        <v>301</v>
      </c>
      <c r="E2584" s="263" t="s">
        <v>302</v>
      </c>
      <c r="G2584" s="264" t="s">
        <v>159</v>
      </c>
      <c r="H2584" s="265" t="s">
        <v>299</v>
      </c>
      <c r="I2584" s="265" t="s">
        <v>300</v>
      </c>
      <c r="J2584" s="265" t="s">
        <v>301</v>
      </c>
      <c r="K2584" s="266" t="s">
        <v>302</v>
      </c>
    </row>
    <row r="2585" spans="1:11" x14ac:dyDescent="0.35">
      <c r="A2585" s="221" t="s">
        <v>303</v>
      </c>
      <c r="B2585" s="222">
        <v>11084</v>
      </c>
      <c r="C2585" s="222"/>
      <c r="D2585" s="222"/>
      <c r="E2585" s="223"/>
      <c r="G2585" s="221" t="s">
        <v>303</v>
      </c>
      <c r="H2585" s="222"/>
      <c r="I2585" s="222"/>
      <c r="J2585" s="222"/>
      <c r="K2585" s="223"/>
    </row>
    <row r="2586" spans="1:11" x14ac:dyDescent="0.35">
      <c r="A2586" s="225" t="s">
        <v>304</v>
      </c>
      <c r="B2586" s="226"/>
      <c r="C2586" s="226"/>
      <c r="D2586" s="226"/>
      <c r="E2586" s="227"/>
      <c r="G2586" s="225"/>
      <c r="H2586" s="226"/>
      <c r="I2586" s="226"/>
      <c r="J2586" s="226"/>
      <c r="K2586" s="227"/>
    </row>
    <row r="2587" spans="1:11" x14ac:dyDescent="0.35">
      <c r="A2587" s="225"/>
      <c r="B2587" s="226"/>
      <c r="C2587" s="226"/>
      <c r="D2587" s="226"/>
      <c r="E2587" s="227"/>
      <c r="G2587" s="225"/>
      <c r="H2587" s="226"/>
      <c r="I2587" s="226"/>
      <c r="J2587" s="226"/>
      <c r="K2587" s="227"/>
    </row>
    <row r="2588" spans="1:11" x14ac:dyDescent="0.35">
      <c r="A2588" s="221"/>
      <c r="B2588" s="222"/>
      <c r="C2588" s="222"/>
      <c r="D2588" s="222"/>
      <c r="E2588" s="223"/>
      <c r="G2588" s="221"/>
      <c r="H2588" s="222"/>
      <c r="I2588" s="222"/>
      <c r="J2588" s="222"/>
      <c r="K2588" s="223"/>
    </row>
    <row r="2589" spans="1:11" x14ac:dyDescent="0.35">
      <c r="A2589" s="225"/>
      <c r="B2589" s="226"/>
      <c r="C2589" s="226"/>
      <c r="D2589" s="226"/>
      <c r="E2589" s="227"/>
      <c r="G2589" s="225"/>
      <c r="H2589" s="226"/>
      <c r="I2589" s="226"/>
      <c r="J2589" s="226"/>
      <c r="K2589" s="227"/>
    </row>
    <row r="2590" spans="1:11" ht="15" thickBot="1" x14ac:dyDescent="0.4">
      <c r="A2590" s="218" t="s">
        <v>34</v>
      </c>
      <c r="B2590" s="219">
        <f t="shared" ref="B2590:E2590" si="160">SUM(B2585:B2589)</f>
        <v>11084</v>
      </c>
      <c r="C2590" s="219">
        <f t="shared" si="160"/>
        <v>0</v>
      </c>
      <c r="D2590" s="219">
        <f t="shared" si="160"/>
        <v>0</v>
      </c>
      <c r="E2590" s="219">
        <f t="shared" si="160"/>
        <v>0</v>
      </c>
      <c r="G2590" s="218" t="s">
        <v>34</v>
      </c>
      <c r="H2590" s="219">
        <f t="shared" ref="H2590:K2590" si="161">SUM(H2585:H2589)</f>
        <v>0</v>
      </c>
      <c r="I2590" s="219">
        <f t="shared" si="161"/>
        <v>0</v>
      </c>
      <c r="J2590" s="219">
        <f t="shared" si="161"/>
        <v>0</v>
      </c>
      <c r="K2590" s="219">
        <f t="shared" si="161"/>
        <v>0</v>
      </c>
    </row>
    <row r="2591" spans="1:11" x14ac:dyDescent="0.35">
      <c r="A2591" s="220" t="s">
        <v>305</v>
      </c>
      <c r="B2591" s="220">
        <f t="shared" ref="B2591" si="162">+B2590+C2590+D2590+E2590</f>
        <v>11084</v>
      </c>
      <c r="C2591" s="220"/>
      <c r="D2591" s="220"/>
      <c r="E2591" s="220"/>
      <c r="G2591" s="220" t="s">
        <v>305</v>
      </c>
      <c r="H2591" s="220">
        <f t="shared" ref="H2591" si="163">+H2590+I2590+J2590+K2590</f>
        <v>0</v>
      </c>
      <c r="I2591" s="220"/>
      <c r="J2591" s="220"/>
      <c r="K2591" s="220"/>
    </row>
    <row r="2592" spans="1:11" ht="15" thickBot="1" x14ac:dyDescent="0.4">
      <c r="A2592" s="315" t="s">
        <v>298</v>
      </c>
      <c r="B2592" s="315"/>
      <c r="C2592" s="315"/>
      <c r="D2592" s="315"/>
      <c r="E2592" s="315"/>
      <c r="G2592" s="315" t="s">
        <v>314</v>
      </c>
      <c r="H2592" s="315"/>
      <c r="I2592" s="315"/>
      <c r="J2592" s="315"/>
      <c r="K2592" s="315"/>
    </row>
    <row r="2593" spans="1:11" ht="15" thickTop="1" x14ac:dyDescent="0.35">
      <c r="A2593" s="313">
        <v>45548</v>
      </c>
      <c r="B2593" s="314"/>
      <c r="C2593" s="314"/>
      <c r="D2593" s="314"/>
      <c r="E2593" s="314"/>
      <c r="G2593" s="313">
        <v>45548</v>
      </c>
      <c r="H2593" s="314"/>
      <c r="I2593" s="314"/>
      <c r="J2593" s="314"/>
      <c r="K2593" s="314"/>
    </row>
    <row r="2594" spans="1:11" x14ac:dyDescent="0.35">
      <c r="A2594" s="261" t="s">
        <v>159</v>
      </c>
      <c r="B2594" s="262" t="s">
        <v>299</v>
      </c>
      <c r="C2594" s="262" t="s">
        <v>300</v>
      </c>
      <c r="D2594" s="262" t="s">
        <v>301</v>
      </c>
      <c r="E2594" s="263" t="s">
        <v>302</v>
      </c>
      <c r="G2594" s="264" t="s">
        <v>159</v>
      </c>
      <c r="H2594" s="265" t="s">
        <v>299</v>
      </c>
      <c r="I2594" s="265" t="s">
        <v>300</v>
      </c>
      <c r="J2594" s="265" t="s">
        <v>301</v>
      </c>
      <c r="K2594" s="266" t="s">
        <v>302</v>
      </c>
    </row>
    <row r="2595" spans="1:11" x14ac:dyDescent="0.35">
      <c r="A2595" s="221" t="s">
        <v>303</v>
      </c>
      <c r="B2595" s="222">
        <v>10558</v>
      </c>
      <c r="C2595" s="222"/>
      <c r="D2595" s="222"/>
      <c r="E2595" s="223"/>
      <c r="G2595" s="221" t="s">
        <v>303</v>
      </c>
      <c r="H2595" s="222">
        <v>794</v>
      </c>
      <c r="I2595" s="222"/>
      <c r="J2595" s="222"/>
      <c r="K2595" s="223"/>
    </row>
    <row r="2596" spans="1:11" x14ac:dyDescent="0.35">
      <c r="A2596" s="225" t="s">
        <v>304</v>
      </c>
      <c r="B2596" s="226">
        <v>1430</v>
      </c>
      <c r="C2596" s="226"/>
      <c r="D2596" s="226"/>
      <c r="E2596" s="227"/>
      <c r="G2596" s="225"/>
      <c r="H2596" s="226"/>
      <c r="I2596" s="226"/>
      <c r="J2596" s="226"/>
      <c r="K2596" s="227"/>
    </row>
    <row r="2597" spans="1:11" x14ac:dyDescent="0.35">
      <c r="A2597" s="225"/>
      <c r="B2597" s="226"/>
      <c r="C2597" s="226"/>
      <c r="D2597" s="226"/>
      <c r="E2597" s="227"/>
      <c r="G2597" s="225"/>
      <c r="H2597" s="226"/>
      <c r="I2597" s="226"/>
      <c r="J2597" s="226"/>
      <c r="K2597" s="227"/>
    </row>
    <row r="2598" spans="1:11" x14ac:dyDescent="0.35">
      <c r="A2598" s="221"/>
      <c r="B2598" s="222"/>
      <c r="C2598" s="222"/>
      <c r="D2598" s="222"/>
      <c r="E2598" s="223"/>
      <c r="G2598" s="221"/>
      <c r="H2598" s="222"/>
      <c r="I2598" s="222"/>
      <c r="J2598" s="222"/>
      <c r="K2598" s="223"/>
    </row>
    <row r="2599" spans="1:11" x14ac:dyDescent="0.35">
      <c r="A2599" s="225"/>
      <c r="B2599" s="226"/>
      <c r="C2599" s="226"/>
      <c r="D2599" s="226"/>
      <c r="E2599" s="227"/>
      <c r="G2599" s="225"/>
      <c r="H2599" s="226"/>
      <c r="I2599" s="226"/>
      <c r="J2599" s="226"/>
      <c r="K2599" s="227"/>
    </row>
    <row r="2600" spans="1:11" ht="15" thickBot="1" x14ac:dyDescent="0.4">
      <c r="A2600" s="218" t="s">
        <v>34</v>
      </c>
      <c r="B2600" s="219">
        <f t="shared" ref="B2600:E2600" si="164">SUM(B2595:B2599)</f>
        <v>11988</v>
      </c>
      <c r="C2600" s="219">
        <f t="shared" si="164"/>
        <v>0</v>
      </c>
      <c r="D2600" s="219">
        <f t="shared" si="164"/>
        <v>0</v>
      </c>
      <c r="E2600" s="219">
        <f t="shared" si="164"/>
        <v>0</v>
      </c>
      <c r="G2600" s="218" t="s">
        <v>34</v>
      </c>
      <c r="H2600" s="219">
        <f t="shared" ref="H2600:K2600" si="165">SUM(H2595:H2599)</f>
        <v>794</v>
      </c>
      <c r="I2600" s="219">
        <f t="shared" si="165"/>
        <v>0</v>
      </c>
      <c r="J2600" s="219">
        <f t="shared" si="165"/>
        <v>0</v>
      </c>
      <c r="K2600" s="219">
        <f t="shared" si="165"/>
        <v>0</v>
      </c>
    </row>
    <row r="2601" spans="1:11" x14ac:dyDescent="0.35">
      <c r="A2601" s="220" t="s">
        <v>305</v>
      </c>
      <c r="B2601" s="220">
        <f t="shared" ref="B2601" si="166">+B2600+C2600+D2600+E2600</f>
        <v>11988</v>
      </c>
      <c r="C2601" s="220"/>
      <c r="D2601" s="220"/>
      <c r="E2601" s="220"/>
      <c r="G2601" s="220" t="s">
        <v>305</v>
      </c>
      <c r="H2601" s="220">
        <f t="shared" ref="H2601" si="167">+H2600+I2600+J2600+K2600</f>
        <v>794</v>
      </c>
      <c r="I2601" s="220"/>
      <c r="J2601" s="220"/>
      <c r="K2601" s="220"/>
    </row>
    <row r="2602" spans="1:11" ht="15" thickBot="1" x14ac:dyDescent="0.4">
      <c r="A2602" s="315" t="s">
        <v>298</v>
      </c>
      <c r="B2602" s="315"/>
      <c r="C2602" s="315"/>
      <c r="D2602" s="315"/>
      <c r="E2602" s="315"/>
      <c r="G2602" s="315" t="s">
        <v>314</v>
      </c>
      <c r="H2602" s="315"/>
      <c r="I2602" s="315"/>
      <c r="J2602" s="315"/>
      <c r="K2602" s="315"/>
    </row>
    <row r="2603" spans="1:11" ht="15" thickTop="1" x14ac:dyDescent="0.35">
      <c r="A2603" s="313">
        <v>45549</v>
      </c>
      <c r="B2603" s="314"/>
      <c r="C2603" s="314"/>
      <c r="D2603" s="314"/>
      <c r="E2603" s="314"/>
      <c r="G2603" s="313">
        <v>45549</v>
      </c>
      <c r="H2603" s="314"/>
      <c r="I2603" s="314"/>
      <c r="J2603" s="314"/>
      <c r="K2603" s="314"/>
    </row>
    <row r="2604" spans="1:11" x14ac:dyDescent="0.35">
      <c r="A2604" s="261" t="s">
        <v>159</v>
      </c>
      <c r="B2604" s="262" t="s">
        <v>299</v>
      </c>
      <c r="C2604" s="262" t="s">
        <v>300</v>
      </c>
      <c r="D2604" s="262" t="s">
        <v>301</v>
      </c>
      <c r="E2604" s="263" t="s">
        <v>302</v>
      </c>
      <c r="G2604" s="264" t="s">
        <v>159</v>
      </c>
      <c r="H2604" s="265" t="s">
        <v>299</v>
      </c>
      <c r="I2604" s="265" t="s">
        <v>300</v>
      </c>
      <c r="J2604" s="265" t="s">
        <v>301</v>
      </c>
      <c r="K2604" s="266" t="s">
        <v>302</v>
      </c>
    </row>
    <row r="2605" spans="1:11" x14ac:dyDescent="0.35">
      <c r="A2605" s="221" t="s">
        <v>303</v>
      </c>
      <c r="B2605" s="222">
        <v>10328</v>
      </c>
      <c r="C2605" s="222"/>
      <c r="D2605" s="222"/>
      <c r="E2605" s="223"/>
      <c r="G2605" s="221" t="s">
        <v>303</v>
      </c>
      <c r="H2605" s="222">
        <v>2857</v>
      </c>
      <c r="I2605" s="222"/>
      <c r="J2605" s="222"/>
      <c r="K2605" s="223"/>
    </row>
    <row r="2606" spans="1:11" x14ac:dyDescent="0.35">
      <c r="A2606" s="225" t="s">
        <v>304</v>
      </c>
      <c r="B2606" s="226"/>
      <c r="C2606" s="226"/>
      <c r="D2606" s="226"/>
      <c r="E2606" s="227"/>
      <c r="G2606" s="225"/>
      <c r="H2606" s="226"/>
      <c r="I2606" s="226"/>
      <c r="J2606" s="226"/>
      <c r="K2606" s="227"/>
    </row>
    <row r="2607" spans="1:11" x14ac:dyDescent="0.35">
      <c r="A2607" s="225"/>
      <c r="B2607" s="226"/>
      <c r="C2607" s="226"/>
      <c r="D2607" s="226"/>
      <c r="E2607" s="227"/>
      <c r="G2607" s="225"/>
      <c r="H2607" s="226"/>
      <c r="I2607" s="226"/>
      <c r="J2607" s="226"/>
      <c r="K2607" s="227"/>
    </row>
    <row r="2608" spans="1:11" x14ac:dyDescent="0.35">
      <c r="A2608" s="221"/>
      <c r="B2608" s="222"/>
      <c r="C2608" s="222"/>
      <c r="D2608" s="222"/>
      <c r="E2608" s="223"/>
      <c r="G2608" s="221"/>
      <c r="H2608" s="222"/>
      <c r="I2608" s="222"/>
      <c r="J2608" s="222"/>
      <c r="K2608" s="223"/>
    </row>
    <row r="2609" spans="1:11" x14ac:dyDescent="0.35">
      <c r="A2609" s="225"/>
      <c r="B2609" s="226"/>
      <c r="C2609" s="226"/>
      <c r="D2609" s="226"/>
      <c r="E2609" s="227"/>
      <c r="G2609" s="225"/>
      <c r="H2609" s="226"/>
      <c r="I2609" s="226"/>
      <c r="J2609" s="226"/>
      <c r="K2609" s="227"/>
    </row>
    <row r="2610" spans="1:11" ht="15" thickBot="1" x14ac:dyDescent="0.4">
      <c r="A2610" s="218" t="s">
        <v>34</v>
      </c>
      <c r="B2610" s="219">
        <f t="shared" ref="B2610:E2610" si="168">SUM(B2605:B2609)</f>
        <v>10328</v>
      </c>
      <c r="C2610" s="219">
        <f t="shared" si="168"/>
        <v>0</v>
      </c>
      <c r="D2610" s="219">
        <f t="shared" si="168"/>
        <v>0</v>
      </c>
      <c r="E2610" s="219">
        <f t="shared" si="168"/>
        <v>0</v>
      </c>
      <c r="G2610" s="218" t="s">
        <v>34</v>
      </c>
      <c r="H2610" s="219">
        <f t="shared" ref="H2610:K2610" si="169">SUM(H2605:H2609)</f>
        <v>2857</v>
      </c>
      <c r="I2610" s="219">
        <f t="shared" si="169"/>
        <v>0</v>
      </c>
      <c r="J2610" s="219">
        <f t="shared" si="169"/>
        <v>0</v>
      </c>
      <c r="K2610" s="219">
        <f t="shared" si="169"/>
        <v>0</v>
      </c>
    </row>
    <row r="2611" spans="1:11" x14ac:dyDescent="0.35">
      <c r="A2611" s="220" t="s">
        <v>305</v>
      </c>
      <c r="B2611" s="220">
        <f t="shared" ref="B2611" si="170">+B2610+C2610+D2610+E2610</f>
        <v>10328</v>
      </c>
      <c r="C2611" s="220"/>
      <c r="D2611" s="220"/>
      <c r="E2611" s="220"/>
      <c r="G2611" s="220" t="s">
        <v>305</v>
      </c>
      <c r="H2611" s="220">
        <f t="shared" ref="H2611" si="171">+H2610+I2610+J2610+K2610</f>
        <v>2857</v>
      </c>
      <c r="I2611" s="220"/>
      <c r="J2611" s="220"/>
      <c r="K2611" s="220"/>
    </row>
    <row r="2612" spans="1:11" ht="15" thickBot="1" x14ac:dyDescent="0.4">
      <c r="A2612" s="315" t="s">
        <v>298</v>
      </c>
      <c r="B2612" s="315"/>
      <c r="C2612" s="315"/>
      <c r="D2612" s="315"/>
      <c r="E2612" s="315"/>
      <c r="G2612" s="315" t="s">
        <v>314</v>
      </c>
      <c r="H2612" s="315"/>
      <c r="I2612" s="315"/>
      <c r="J2612" s="315"/>
      <c r="K2612" s="315"/>
    </row>
    <row r="2613" spans="1:11" ht="15" thickTop="1" x14ac:dyDescent="0.35">
      <c r="A2613" s="313">
        <v>45550</v>
      </c>
      <c r="B2613" s="314"/>
      <c r="C2613" s="314"/>
      <c r="D2613" s="314"/>
      <c r="E2613" s="314"/>
      <c r="G2613" s="313">
        <v>45550</v>
      </c>
      <c r="H2613" s="314"/>
      <c r="I2613" s="314"/>
      <c r="J2613" s="314"/>
      <c r="K2613" s="314"/>
    </row>
    <row r="2614" spans="1:11" x14ac:dyDescent="0.35">
      <c r="A2614" s="261" t="s">
        <v>159</v>
      </c>
      <c r="B2614" s="262" t="s">
        <v>299</v>
      </c>
      <c r="C2614" s="262" t="s">
        <v>300</v>
      </c>
      <c r="D2614" s="262" t="s">
        <v>301</v>
      </c>
      <c r="E2614" s="263" t="s">
        <v>302</v>
      </c>
      <c r="G2614" s="264" t="s">
        <v>159</v>
      </c>
      <c r="H2614" s="265" t="s">
        <v>299</v>
      </c>
      <c r="I2614" s="265" t="s">
        <v>300</v>
      </c>
      <c r="J2614" s="265" t="s">
        <v>301</v>
      </c>
      <c r="K2614" s="266" t="s">
        <v>302</v>
      </c>
    </row>
    <row r="2615" spans="1:11" x14ac:dyDescent="0.35">
      <c r="A2615" s="221" t="s">
        <v>303</v>
      </c>
      <c r="B2615" s="222">
        <v>15838</v>
      </c>
      <c r="C2615" s="222"/>
      <c r="D2615" s="222"/>
      <c r="E2615" s="223"/>
      <c r="G2615" s="221" t="s">
        <v>303</v>
      </c>
      <c r="H2615" s="222">
        <v>1904</v>
      </c>
      <c r="I2615" s="222"/>
      <c r="J2615" s="222"/>
      <c r="K2615" s="223"/>
    </row>
    <row r="2616" spans="1:11" x14ac:dyDescent="0.35">
      <c r="A2616" s="225" t="s">
        <v>304</v>
      </c>
      <c r="B2616" s="226">
        <v>3400</v>
      </c>
      <c r="C2616" s="226"/>
      <c r="D2616" s="226"/>
      <c r="E2616" s="227"/>
      <c r="G2616" s="225"/>
      <c r="H2616" s="226"/>
      <c r="I2616" s="226"/>
      <c r="J2616" s="226"/>
      <c r="K2616" s="227"/>
    </row>
    <row r="2617" spans="1:11" x14ac:dyDescent="0.35">
      <c r="A2617" s="225"/>
      <c r="B2617" s="226"/>
      <c r="C2617" s="226"/>
      <c r="D2617" s="226"/>
      <c r="E2617" s="227"/>
      <c r="G2617" s="225"/>
      <c r="H2617" s="226"/>
      <c r="I2617" s="226"/>
      <c r="J2617" s="226"/>
      <c r="K2617" s="227"/>
    </row>
    <row r="2618" spans="1:11" x14ac:dyDescent="0.35">
      <c r="A2618" s="221"/>
      <c r="B2618" s="222"/>
      <c r="C2618" s="222"/>
      <c r="D2618" s="222"/>
      <c r="E2618" s="223"/>
      <c r="G2618" s="221"/>
      <c r="H2618" s="222"/>
      <c r="I2618" s="222"/>
      <c r="J2618" s="222"/>
      <c r="K2618" s="223"/>
    </row>
    <row r="2619" spans="1:11" x14ac:dyDescent="0.35">
      <c r="A2619" s="225"/>
      <c r="B2619" s="226"/>
      <c r="C2619" s="226"/>
      <c r="D2619" s="226"/>
      <c r="E2619" s="227"/>
      <c r="G2619" s="225"/>
      <c r="H2619" s="226"/>
      <c r="I2619" s="226"/>
      <c r="J2619" s="226"/>
      <c r="K2619" s="227"/>
    </row>
    <row r="2620" spans="1:11" ht="15" thickBot="1" x14ac:dyDescent="0.4">
      <c r="A2620" s="218" t="s">
        <v>34</v>
      </c>
      <c r="B2620" s="219">
        <f t="shared" ref="B2620:E2620" si="172">SUM(B2615:B2619)</f>
        <v>19238</v>
      </c>
      <c r="C2620" s="219">
        <f t="shared" si="172"/>
        <v>0</v>
      </c>
      <c r="D2620" s="219">
        <f t="shared" si="172"/>
        <v>0</v>
      </c>
      <c r="E2620" s="219">
        <f t="shared" si="172"/>
        <v>0</v>
      </c>
      <c r="G2620" s="218" t="s">
        <v>34</v>
      </c>
      <c r="H2620" s="219">
        <f t="shared" ref="H2620:K2620" si="173">SUM(H2615:H2619)</f>
        <v>1904</v>
      </c>
      <c r="I2620" s="219">
        <f t="shared" si="173"/>
        <v>0</v>
      </c>
      <c r="J2620" s="219">
        <f t="shared" si="173"/>
        <v>0</v>
      </c>
      <c r="K2620" s="219">
        <f t="shared" si="173"/>
        <v>0</v>
      </c>
    </row>
    <row r="2621" spans="1:11" x14ac:dyDescent="0.35">
      <c r="A2621" s="220" t="s">
        <v>305</v>
      </c>
      <c r="B2621" s="220">
        <f t="shared" ref="B2621" si="174">+B2620+C2620+D2620+E2620</f>
        <v>19238</v>
      </c>
      <c r="C2621" s="220"/>
      <c r="D2621" s="220"/>
      <c r="E2621" s="220"/>
      <c r="G2621" s="220" t="s">
        <v>305</v>
      </c>
      <c r="H2621" s="220">
        <f t="shared" ref="H2621" si="175">+H2620+I2620+J2620+K2620</f>
        <v>1904</v>
      </c>
      <c r="I2621" s="220"/>
      <c r="J2621" s="220"/>
      <c r="K2621" s="220"/>
    </row>
    <row r="2622" spans="1:11" ht="15" thickBot="1" x14ac:dyDescent="0.4">
      <c r="A2622" s="315" t="s">
        <v>298</v>
      </c>
      <c r="B2622" s="315"/>
      <c r="C2622" s="315"/>
      <c r="D2622" s="315"/>
      <c r="E2622" s="315"/>
      <c r="G2622" s="315" t="s">
        <v>314</v>
      </c>
      <c r="H2622" s="315"/>
      <c r="I2622" s="315"/>
      <c r="J2622" s="315"/>
      <c r="K2622" s="315"/>
    </row>
    <row r="2623" spans="1:11" ht="15" thickTop="1" x14ac:dyDescent="0.35">
      <c r="A2623" s="313">
        <v>45551</v>
      </c>
      <c r="B2623" s="314"/>
      <c r="C2623" s="314"/>
      <c r="D2623" s="314"/>
      <c r="E2623" s="314"/>
      <c r="G2623" s="313">
        <v>45551</v>
      </c>
      <c r="H2623" s="314"/>
      <c r="I2623" s="314"/>
      <c r="J2623" s="314"/>
      <c r="K2623" s="314"/>
    </row>
    <row r="2624" spans="1:11" x14ac:dyDescent="0.35">
      <c r="A2624" s="261" t="s">
        <v>159</v>
      </c>
      <c r="B2624" s="262" t="s">
        <v>299</v>
      </c>
      <c r="C2624" s="262" t="s">
        <v>300</v>
      </c>
      <c r="D2624" s="262" t="s">
        <v>301</v>
      </c>
      <c r="E2624" s="263" t="s">
        <v>302</v>
      </c>
      <c r="G2624" s="264" t="s">
        <v>159</v>
      </c>
      <c r="H2624" s="265" t="s">
        <v>299</v>
      </c>
      <c r="I2624" s="265" t="s">
        <v>300</v>
      </c>
      <c r="J2624" s="265" t="s">
        <v>301</v>
      </c>
      <c r="K2624" s="266" t="s">
        <v>302</v>
      </c>
    </row>
    <row r="2625" spans="1:11" x14ac:dyDescent="0.35">
      <c r="A2625" s="221" t="s">
        <v>303</v>
      </c>
      <c r="B2625" s="222">
        <v>17146</v>
      </c>
      <c r="C2625" s="222"/>
      <c r="D2625" s="222"/>
      <c r="E2625" s="223"/>
      <c r="G2625" s="221" t="s">
        <v>303</v>
      </c>
      <c r="H2625" s="222">
        <v>2034</v>
      </c>
      <c r="I2625" s="222"/>
      <c r="J2625" s="222"/>
      <c r="K2625" s="223"/>
    </row>
    <row r="2626" spans="1:11" x14ac:dyDescent="0.35">
      <c r="A2626" s="225" t="s">
        <v>304</v>
      </c>
      <c r="B2626" s="226">
        <v>7941</v>
      </c>
      <c r="C2626" s="226"/>
      <c r="D2626" s="226"/>
      <c r="E2626" s="227"/>
      <c r="G2626" s="225"/>
      <c r="H2626" s="226"/>
      <c r="I2626" s="226"/>
      <c r="J2626" s="226"/>
      <c r="K2626" s="227"/>
    </row>
    <row r="2627" spans="1:11" x14ac:dyDescent="0.35">
      <c r="A2627" s="225"/>
      <c r="B2627" s="226"/>
      <c r="C2627" s="226"/>
      <c r="D2627" s="226"/>
      <c r="E2627" s="227"/>
      <c r="G2627" s="225"/>
      <c r="H2627" s="226"/>
      <c r="I2627" s="226"/>
      <c r="J2627" s="226"/>
      <c r="K2627" s="227"/>
    </row>
    <row r="2628" spans="1:11" x14ac:dyDescent="0.35">
      <c r="A2628" s="221"/>
      <c r="B2628" s="222"/>
      <c r="C2628" s="222"/>
      <c r="D2628" s="222"/>
      <c r="E2628" s="223"/>
      <c r="G2628" s="221"/>
      <c r="H2628" s="222"/>
      <c r="I2628" s="222"/>
      <c r="J2628" s="222"/>
      <c r="K2628" s="223"/>
    </row>
    <row r="2629" spans="1:11" x14ac:dyDescent="0.35">
      <c r="A2629" s="225"/>
      <c r="B2629" s="226"/>
      <c r="C2629" s="226"/>
      <c r="D2629" s="226"/>
      <c r="E2629" s="227"/>
      <c r="G2629" s="225"/>
      <c r="H2629" s="226"/>
      <c r="I2629" s="226"/>
      <c r="J2629" s="226"/>
      <c r="K2629" s="227"/>
    </row>
    <row r="2630" spans="1:11" ht="15" thickBot="1" x14ac:dyDescent="0.4">
      <c r="A2630" s="218" t="s">
        <v>34</v>
      </c>
      <c r="B2630" s="219">
        <f t="shared" ref="B2630:E2630" si="176">SUM(B2625:B2629)</f>
        <v>25087</v>
      </c>
      <c r="C2630" s="219">
        <f t="shared" si="176"/>
        <v>0</v>
      </c>
      <c r="D2630" s="219">
        <f t="shared" si="176"/>
        <v>0</v>
      </c>
      <c r="E2630" s="219">
        <f t="shared" si="176"/>
        <v>0</v>
      </c>
      <c r="G2630" s="218" t="s">
        <v>34</v>
      </c>
      <c r="H2630" s="219">
        <f t="shared" ref="H2630:K2630" si="177">SUM(H2625:H2629)</f>
        <v>2034</v>
      </c>
      <c r="I2630" s="219">
        <f t="shared" si="177"/>
        <v>0</v>
      </c>
      <c r="J2630" s="219">
        <f t="shared" si="177"/>
        <v>0</v>
      </c>
      <c r="K2630" s="219">
        <f t="shared" si="177"/>
        <v>0</v>
      </c>
    </row>
    <row r="2631" spans="1:11" x14ac:dyDescent="0.35">
      <c r="A2631" s="220" t="s">
        <v>305</v>
      </c>
      <c r="B2631" s="220">
        <f t="shared" ref="B2631" si="178">+B2630+C2630+D2630+E2630</f>
        <v>25087</v>
      </c>
      <c r="C2631" s="220"/>
      <c r="D2631" s="220"/>
      <c r="E2631" s="220"/>
      <c r="G2631" s="220" t="s">
        <v>305</v>
      </c>
      <c r="H2631" s="220">
        <f t="shared" ref="H2631" si="179">+H2630+I2630+J2630+K2630</f>
        <v>2034</v>
      </c>
      <c r="I2631" s="220"/>
      <c r="J2631" s="220"/>
      <c r="K2631" s="220"/>
    </row>
    <row r="2632" spans="1:11" ht="15" thickBot="1" x14ac:dyDescent="0.4">
      <c r="A2632" s="315" t="s">
        <v>298</v>
      </c>
      <c r="B2632" s="315"/>
      <c r="C2632" s="315"/>
      <c r="D2632" s="315"/>
      <c r="E2632" s="315"/>
      <c r="G2632" s="315" t="s">
        <v>314</v>
      </c>
      <c r="H2632" s="315"/>
      <c r="I2632" s="315"/>
      <c r="J2632" s="315"/>
      <c r="K2632" s="315"/>
    </row>
    <row r="2633" spans="1:11" ht="15" thickTop="1" x14ac:dyDescent="0.35">
      <c r="A2633" s="313">
        <v>45552</v>
      </c>
      <c r="B2633" s="314"/>
      <c r="C2633" s="314"/>
      <c r="D2633" s="314"/>
      <c r="E2633" s="314"/>
      <c r="G2633" s="313">
        <v>45552</v>
      </c>
      <c r="H2633" s="314"/>
      <c r="I2633" s="314"/>
      <c r="J2633" s="314"/>
      <c r="K2633" s="314"/>
    </row>
    <row r="2634" spans="1:11" x14ac:dyDescent="0.35">
      <c r="A2634" s="261" t="s">
        <v>159</v>
      </c>
      <c r="B2634" s="262" t="s">
        <v>299</v>
      </c>
      <c r="C2634" s="262" t="s">
        <v>300</v>
      </c>
      <c r="D2634" s="262" t="s">
        <v>301</v>
      </c>
      <c r="E2634" s="263" t="s">
        <v>302</v>
      </c>
      <c r="G2634" s="264" t="s">
        <v>159</v>
      </c>
      <c r="H2634" s="265" t="s">
        <v>299</v>
      </c>
      <c r="I2634" s="265" t="s">
        <v>300</v>
      </c>
      <c r="J2634" s="265" t="s">
        <v>301</v>
      </c>
      <c r="K2634" s="266" t="s">
        <v>302</v>
      </c>
    </row>
    <row r="2635" spans="1:11" x14ac:dyDescent="0.35">
      <c r="A2635" s="221" t="s">
        <v>303</v>
      </c>
      <c r="B2635" s="222">
        <v>740</v>
      </c>
      <c r="C2635" s="222"/>
      <c r="D2635" s="222"/>
      <c r="E2635" s="223"/>
      <c r="G2635" s="221" t="s">
        <v>303</v>
      </c>
      <c r="H2635" s="222">
        <v>410</v>
      </c>
      <c r="I2635" s="222"/>
      <c r="J2635" s="222"/>
      <c r="K2635" s="223"/>
    </row>
    <row r="2636" spans="1:11" x14ac:dyDescent="0.35">
      <c r="A2636" s="225" t="s">
        <v>304</v>
      </c>
      <c r="B2636" s="226">
        <v>10490</v>
      </c>
      <c r="C2636" s="226"/>
      <c r="D2636" s="226"/>
      <c r="E2636" s="227"/>
      <c r="G2636" s="225"/>
      <c r="H2636" s="226"/>
      <c r="I2636" s="226"/>
      <c r="J2636" s="226"/>
      <c r="K2636" s="227"/>
    </row>
    <row r="2637" spans="1:11" x14ac:dyDescent="0.35">
      <c r="A2637" s="225"/>
      <c r="B2637" s="226"/>
      <c r="C2637" s="226"/>
      <c r="D2637" s="226"/>
      <c r="E2637" s="227"/>
      <c r="G2637" s="225"/>
      <c r="H2637" s="226"/>
      <c r="I2637" s="226"/>
      <c r="J2637" s="226"/>
      <c r="K2637" s="227"/>
    </row>
    <row r="2638" spans="1:11" x14ac:dyDescent="0.35">
      <c r="A2638" s="221"/>
      <c r="B2638" s="222"/>
      <c r="C2638" s="222"/>
      <c r="D2638" s="222"/>
      <c r="E2638" s="223"/>
      <c r="G2638" s="221"/>
      <c r="H2638" s="222"/>
      <c r="I2638" s="222"/>
      <c r="J2638" s="222"/>
      <c r="K2638" s="223"/>
    </row>
    <row r="2639" spans="1:11" x14ac:dyDescent="0.35">
      <c r="A2639" s="225"/>
      <c r="B2639" s="226"/>
      <c r="C2639" s="226"/>
      <c r="D2639" s="226"/>
      <c r="E2639" s="227"/>
      <c r="G2639" s="225"/>
      <c r="H2639" s="226"/>
      <c r="I2639" s="226"/>
      <c r="J2639" s="226"/>
      <c r="K2639" s="227"/>
    </row>
    <row r="2640" spans="1:11" ht="15" thickBot="1" x14ac:dyDescent="0.4">
      <c r="A2640" s="218" t="s">
        <v>34</v>
      </c>
      <c r="B2640" s="219">
        <f t="shared" ref="B2640:E2640" si="180">SUM(B2635:B2639)</f>
        <v>11230</v>
      </c>
      <c r="C2640" s="219">
        <f t="shared" si="180"/>
        <v>0</v>
      </c>
      <c r="D2640" s="219">
        <f t="shared" si="180"/>
        <v>0</v>
      </c>
      <c r="E2640" s="219">
        <f t="shared" si="180"/>
        <v>0</v>
      </c>
      <c r="G2640" s="218" t="s">
        <v>34</v>
      </c>
      <c r="H2640" s="219">
        <f t="shared" ref="H2640:K2640" si="181">SUM(H2635:H2639)</f>
        <v>410</v>
      </c>
      <c r="I2640" s="219">
        <f t="shared" si="181"/>
        <v>0</v>
      </c>
      <c r="J2640" s="219">
        <f t="shared" si="181"/>
        <v>0</v>
      </c>
      <c r="K2640" s="219">
        <f t="shared" si="181"/>
        <v>0</v>
      </c>
    </row>
    <row r="2641" spans="1:11" x14ac:dyDescent="0.35">
      <c r="A2641" s="220" t="s">
        <v>305</v>
      </c>
      <c r="B2641" s="220">
        <f t="shared" ref="B2641" si="182">+B2640+C2640+D2640+E2640</f>
        <v>11230</v>
      </c>
      <c r="C2641" s="220"/>
      <c r="D2641" s="220"/>
      <c r="E2641" s="220"/>
      <c r="G2641" s="220" t="s">
        <v>305</v>
      </c>
      <c r="H2641" s="220">
        <f t="shared" ref="H2641" si="183">+H2640+I2640+J2640+K2640</f>
        <v>410</v>
      </c>
      <c r="I2641" s="220"/>
      <c r="J2641" s="220"/>
      <c r="K2641" s="220"/>
    </row>
    <row r="2642" spans="1:11" ht="15" thickBot="1" x14ac:dyDescent="0.4">
      <c r="A2642" s="315" t="s">
        <v>298</v>
      </c>
      <c r="B2642" s="315"/>
      <c r="C2642" s="315"/>
      <c r="D2642" s="315"/>
      <c r="E2642" s="315"/>
      <c r="G2642" s="315" t="s">
        <v>314</v>
      </c>
      <c r="H2642" s="315"/>
      <c r="I2642" s="315"/>
      <c r="J2642" s="315"/>
      <c r="K2642" s="315"/>
    </row>
    <row r="2643" spans="1:11" ht="15" thickTop="1" x14ac:dyDescent="0.35">
      <c r="A2643" s="313">
        <v>45553</v>
      </c>
      <c r="B2643" s="314"/>
      <c r="C2643" s="314"/>
      <c r="D2643" s="314"/>
      <c r="E2643" s="314"/>
      <c r="G2643" s="313">
        <v>45553</v>
      </c>
      <c r="H2643" s="314"/>
      <c r="I2643" s="314"/>
      <c r="J2643" s="314"/>
      <c r="K2643" s="314"/>
    </row>
    <row r="2644" spans="1:11" x14ac:dyDescent="0.35">
      <c r="A2644" s="261" t="s">
        <v>159</v>
      </c>
      <c r="B2644" s="262" t="s">
        <v>299</v>
      </c>
      <c r="C2644" s="262" t="s">
        <v>300</v>
      </c>
      <c r="D2644" s="262" t="s">
        <v>301</v>
      </c>
      <c r="E2644" s="263" t="s">
        <v>302</v>
      </c>
      <c r="G2644" s="264" t="s">
        <v>159</v>
      </c>
      <c r="H2644" s="265" t="s">
        <v>299</v>
      </c>
      <c r="I2644" s="265" t="s">
        <v>300</v>
      </c>
      <c r="J2644" s="265" t="s">
        <v>301</v>
      </c>
      <c r="K2644" s="266" t="s">
        <v>302</v>
      </c>
    </row>
    <row r="2645" spans="1:11" x14ac:dyDescent="0.35">
      <c r="A2645" s="221" t="s">
        <v>303</v>
      </c>
      <c r="B2645" s="222">
        <v>2839</v>
      </c>
      <c r="C2645" s="222"/>
      <c r="D2645" s="222"/>
      <c r="E2645" s="223"/>
      <c r="G2645" s="221" t="s">
        <v>303</v>
      </c>
      <c r="H2645" s="222"/>
      <c r="I2645" s="222"/>
      <c r="J2645" s="222"/>
      <c r="K2645" s="223"/>
    </row>
    <row r="2646" spans="1:11" x14ac:dyDescent="0.35">
      <c r="A2646" s="225" t="s">
        <v>304</v>
      </c>
      <c r="B2646" s="226"/>
      <c r="C2646" s="226"/>
      <c r="D2646" s="226"/>
      <c r="E2646" s="227"/>
      <c r="G2646" s="225"/>
      <c r="H2646" s="226"/>
      <c r="I2646" s="226"/>
      <c r="J2646" s="226"/>
      <c r="K2646" s="227"/>
    </row>
    <row r="2647" spans="1:11" x14ac:dyDescent="0.35">
      <c r="A2647" s="225"/>
      <c r="B2647" s="226"/>
      <c r="C2647" s="226"/>
      <c r="D2647" s="226"/>
      <c r="E2647" s="227"/>
      <c r="G2647" s="225"/>
      <c r="H2647" s="226"/>
      <c r="I2647" s="226"/>
      <c r="J2647" s="226"/>
      <c r="K2647" s="227"/>
    </row>
    <row r="2648" spans="1:11" x14ac:dyDescent="0.35">
      <c r="A2648" s="221"/>
      <c r="B2648" s="222"/>
      <c r="C2648" s="222"/>
      <c r="D2648" s="222"/>
      <c r="E2648" s="223"/>
      <c r="G2648" s="221"/>
      <c r="H2648" s="222"/>
      <c r="I2648" s="222"/>
      <c r="J2648" s="222"/>
      <c r="K2648" s="223"/>
    </row>
    <row r="2649" spans="1:11" x14ac:dyDescent="0.35">
      <c r="A2649" s="225"/>
      <c r="B2649" s="226"/>
      <c r="C2649" s="226"/>
      <c r="D2649" s="226"/>
      <c r="E2649" s="227"/>
      <c r="G2649" s="225"/>
      <c r="H2649" s="226"/>
      <c r="I2649" s="226"/>
      <c r="J2649" s="226"/>
      <c r="K2649" s="227"/>
    </row>
    <row r="2650" spans="1:11" ht="15" thickBot="1" x14ac:dyDescent="0.4">
      <c r="A2650" s="218" t="s">
        <v>34</v>
      </c>
      <c r="B2650" s="219">
        <f t="shared" ref="B2650:E2650" si="184">SUM(B2645:B2649)</f>
        <v>2839</v>
      </c>
      <c r="C2650" s="219">
        <f t="shared" si="184"/>
        <v>0</v>
      </c>
      <c r="D2650" s="219">
        <f t="shared" si="184"/>
        <v>0</v>
      </c>
      <c r="E2650" s="219">
        <f t="shared" si="184"/>
        <v>0</v>
      </c>
      <c r="G2650" s="218" t="s">
        <v>34</v>
      </c>
      <c r="H2650" s="219">
        <f t="shared" ref="H2650:K2650" si="185">SUM(H2645:H2649)</f>
        <v>0</v>
      </c>
      <c r="I2650" s="219">
        <f t="shared" si="185"/>
        <v>0</v>
      </c>
      <c r="J2650" s="219">
        <f t="shared" si="185"/>
        <v>0</v>
      </c>
      <c r="K2650" s="219">
        <f t="shared" si="185"/>
        <v>0</v>
      </c>
    </row>
    <row r="2651" spans="1:11" x14ac:dyDescent="0.35">
      <c r="A2651" s="220" t="s">
        <v>305</v>
      </c>
      <c r="B2651" s="220">
        <f t="shared" ref="B2651" si="186">+B2650+C2650+D2650+E2650</f>
        <v>2839</v>
      </c>
      <c r="C2651" s="220"/>
      <c r="D2651" s="220"/>
      <c r="E2651" s="220"/>
      <c r="G2651" s="220" t="s">
        <v>305</v>
      </c>
      <c r="H2651" s="220">
        <f t="shared" ref="H2651" si="187">+H2650+I2650+J2650+K2650</f>
        <v>0</v>
      </c>
      <c r="I2651" s="220"/>
      <c r="J2651" s="220"/>
      <c r="K2651" s="220"/>
    </row>
    <row r="2652" spans="1:11" ht="15" thickBot="1" x14ac:dyDescent="0.4">
      <c r="A2652" s="315" t="s">
        <v>298</v>
      </c>
      <c r="B2652" s="315"/>
      <c r="C2652" s="315"/>
      <c r="D2652" s="315"/>
      <c r="E2652" s="315"/>
      <c r="G2652" s="315" t="s">
        <v>314</v>
      </c>
      <c r="H2652" s="315"/>
      <c r="I2652" s="315"/>
      <c r="J2652" s="315"/>
      <c r="K2652" s="315"/>
    </row>
    <row r="2653" spans="1:11" ht="15" thickTop="1" x14ac:dyDescent="0.35">
      <c r="A2653" s="313">
        <v>45554</v>
      </c>
      <c r="B2653" s="314"/>
      <c r="C2653" s="314"/>
      <c r="D2653" s="314"/>
      <c r="E2653" s="314"/>
      <c r="G2653" s="313">
        <v>45554</v>
      </c>
      <c r="H2653" s="314"/>
      <c r="I2653" s="314"/>
      <c r="J2653" s="314"/>
      <c r="K2653" s="314"/>
    </row>
    <row r="2654" spans="1:11" x14ac:dyDescent="0.35">
      <c r="A2654" s="261" t="s">
        <v>159</v>
      </c>
      <c r="B2654" s="262" t="s">
        <v>299</v>
      </c>
      <c r="C2654" s="262" t="s">
        <v>300</v>
      </c>
      <c r="D2654" s="262" t="s">
        <v>301</v>
      </c>
      <c r="E2654" s="263" t="s">
        <v>302</v>
      </c>
      <c r="G2654" s="264" t="s">
        <v>159</v>
      </c>
      <c r="H2654" s="265" t="s">
        <v>299</v>
      </c>
      <c r="I2654" s="265" t="s">
        <v>300</v>
      </c>
      <c r="J2654" s="265" t="s">
        <v>301</v>
      </c>
      <c r="K2654" s="266" t="s">
        <v>302</v>
      </c>
    </row>
    <row r="2655" spans="1:11" x14ac:dyDescent="0.35">
      <c r="A2655" s="221" t="s">
        <v>303</v>
      </c>
      <c r="B2655" s="222">
        <v>5122</v>
      </c>
      <c r="C2655" s="222"/>
      <c r="D2655" s="222"/>
      <c r="E2655" s="223"/>
      <c r="G2655" s="221" t="s">
        <v>303</v>
      </c>
      <c r="H2655" s="222">
        <v>1578</v>
      </c>
      <c r="I2655" s="222"/>
      <c r="J2655" s="222"/>
      <c r="K2655" s="223"/>
    </row>
    <row r="2656" spans="1:11" x14ac:dyDescent="0.35">
      <c r="A2656" s="225" t="s">
        <v>304</v>
      </c>
      <c r="B2656" s="226">
        <v>105</v>
      </c>
      <c r="C2656" s="226"/>
      <c r="D2656" s="226"/>
      <c r="E2656" s="227"/>
      <c r="G2656" s="225"/>
      <c r="H2656" s="226"/>
      <c r="I2656" s="226"/>
      <c r="J2656" s="226"/>
      <c r="K2656" s="227"/>
    </row>
    <row r="2657" spans="1:11" x14ac:dyDescent="0.35">
      <c r="A2657" s="225"/>
      <c r="B2657" s="226"/>
      <c r="C2657" s="226"/>
      <c r="D2657" s="226"/>
      <c r="E2657" s="227"/>
      <c r="G2657" s="225"/>
      <c r="H2657" s="226"/>
      <c r="I2657" s="226"/>
      <c r="J2657" s="226"/>
      <c r="K2657" s="227"/>
    </row>
    <row r="2658" spans="1:11" x14ac:dyDescent="0.35">
      <c r="A2658" s="221"/>
      <c r="B2658" s="222"/>
      <c r="C2658" s="222"/>
      <c r="D2658" s="222"/>
      <c r="E2658" s="223"/>
      <c r="G2658" s="221"/>
      <c r="H2658" s="222"/>
      <c r="I2658" s="222"/>
      <c r="J2658" s="222"/>
      <c r="K2658" s="223"/>
    </row>
    <row r="2659" spans="1:11" x14ac:dyDescent="0.35">
      <c r="A2659" s="225"/>
      <c r="B2659" s="226"/>
      <c r="C2659" s="226"/>
      <c r="D2659" s="226"/>
      <c r="E2659" s="227"/>
      <c r="G2659" s="225"/>
      <c r="H2659" s="226"/>
      <c r="I2659" s="226"/>
      <c r="J2659" s="226"/>
      <c r="K2659" s="227"/>
    </row>
    <row r="2660" spans="1:11" ht="15" thickBot="1" x14ac:dyDescent="0.4">
      <c r="A2660" s="218" t="s">
        <v>34</v>
      </c>
      <c r="B2660" s="219">
        <f t="shared" ref="B2660:E2660" si="188">SUM(B2655:B2659)</f>
        <v>5227</v>
      </c>
      <c r="C2660" s="219">
        <f t="shared" si="188"/>
        <v>0</v>
      </c>
      <c r="D2660" s="219">
        <f t="shared" si="188"/>
        <v>0</v>
      </c>
      <c r="E2660" s="219">
        <f t="shared" si="188"/>
        <v>0</v>
      </c>
      <c r="G2660" s="218" t="s">
        <v>34</v>
      </c>
      <c r="H2660" s="219">
        <f t="shared" ref="H2660:K2660" si="189">SUM(H2655:H2659)</f>
        <v>1578</v>
      </c>
      <c r="I2660" s="219">
        <f t="shared" si="189"/>
        <v>0</v>
      </c>
      <c r="J2660" s="219">
        <f t="shared" si="189"/>
        <v>0</v>
      </c>
      <c r="K2660" s="219">
        <f t="shared" si="189"/>
        <v>0</v>
      </c>
    </row>
    <row r="2661" spans="1:11" x14ac:dyDescent="0.35">
      <c r="A2661" s="220" t="s">
        <v>305</v>
      </c>
      <c r="B2661" s="220">
        <f t="shared" ref="B2661" si="190">+B2660+C2660+D2660+E2660</f>
        <v>5227</v>
      </c>
      <c r="C2661" s="220"/>
      <c r="D2661" s="220"/>
      <c r="E2661" s="220"/>
      <c r="G2661" s="220" t="s">
        <v>305</v>
      </c>
      <c r="H2661" s="220">
        <f t="shared" ref="H2661" si="191">+H2660+I2660+J2660+K2660</f>
        <v>1578</v>
      </c>
      <c r="I2661" s="220"/>
      <c r="J2661" s="220"/>
      <c r="K2661" s="220"/>
    </row>
    <row r="2662" spans="1:11" ht="15" thickBot="1" x14ac:dyDescent="0.4">
      <c r="A2662" s="315" t="s">
        <v>298</v>
      </c>
      <c r="B2662" s="315"/>
      <c r="C2662" s="315"/>
      <c r="D2662" s="315"/>
      <c r="E2662" s="315"/>
      <c r="G2662" s="315" t="s">
        <v>314</v>
      </c>
      <c r="H2662" s="315"/>
      <c r="I2662" s="315"/>
      <c r="J2662" s="315"/>
      <c r="K2662" s="315"/>
    </row>
    <row r="2663" spans="1:11" ht="15" thickTop="1" x14ac:dyDescent="0.35">
      <c r="A2663" s="313">
        <v>45555</v>
      </c>
      <c r="B2663" s="314"/>
      <c r="C2663" s="314"/>
      <c r="D2663" s="314"/>
      <c r="E2663" s="314"/>
      <c r="G2663" s="313">
        <v>45555</v>
      </c>
      <c r="H2663" s="314"/>
      <c r="I2663" s="314"/>
      <c r="J2663" s="314"/>
      <c r="K2663" s="314"/>
    </row>
    <row r="2664" spans="1:11" x14ac:dyDescent="0.35">
      <c r="A2664" s="261" t="s">
        <v>159</v>
      </c>
      <c r="B2664" s="262" t="s">
        <v>299</v>
      </c>
      <c r="C2664" s="262" t="s">
        <v>300</v>
      </c>
      <c r="D2664" s="262" t="s">
        <v>301</v>
      </c>
      <c r="E2664" s="263" t="s">
        <v>302</v>
      </c>
      <c r="G2664" s="264" t="s">
        <v>159</v>
      </c>
      <c r="H2664" s="265" t="s">
        <v>299</v>
      </c>
      <c r="I2664" s="265" t="s">
        <v>300</v>
      </c>
      <c r="J2664" s="265" t="s">
        <v>301</v>
      </c>
      <c r="K2664" s="266" t="s">
        <v>302</v>
      </c>
    </row>
    <row r="2665" spans="1:11" x14ac:dyDescent="0.35">
      <c r="A2665" s="221" t="s">
        <v>303</v>
      </c>
      <c r="B2665" s="222">
        <v>6020</v>
      </c>
      <c r="C2665" s="222"/>
      <c r="D2665" s="222"/>
      <c r="E2665" s="223"/>
      <c r="G2665" s="221" t="s">
        <v>303</v>
      </c>
      <c r="H2665" s="222"/>
      <c r="I2665" s="222">
        <v>461</v>
      </c>
      <c r="J2665" s="222"/>
      <c r="K2665" s="223"/>
    </row>
    <row r="2666" spans="1:11" x14ac:dyDescent="0.35">
      <c r="A2666" s="225" t="s">
        <v>304</v>
      </c>
      <c r="B2666" s="226">
        <v>4425</v>
      </c>
      <c r="C2666" s="226"/>
      <c r="D2666" s="226"/>
      <c r="E2666" s="227"/>
      <c r="G2666" s="225"/>
      <c r="H2666" s="226"/>
      <c r="I2666" s="226"/>
      <c r="J2666" s="226"/>
      <c r="K2666" s="227"/>
    </row>
    <row r="2667" spans="1:11" x14ac:dyDescent="0.35">
      <c r="A2667" s="225"/>
      <c r="B2667" s="226"/>
      <c r="C2667" s="226"/>
      <c r="D2667" s="226"/>
      <c r="E2667" s="227"/>
      <c r="G2667" s="225"/>
      <c r="H2667" s="226"/>
      <c r="I2667" s="226"/>
      <c r="J2667" s="226"/>
      <c r="K2667" s="227"/>
    </row>
    <row r="2668" spans="1:11" x14ac:dyDescent="0.35">
      <c r="A2668" s="221"/>
      <c r="B2668" s="222"/>
      <c r="C2668" s="222"/>
      <c r="D2668" s="222"/>
      <c r="E2668" s="223"/>
      <c r="G2668" s="221"/>
      <c r="H2668" s="222"/>
      <c r="I2668" s="222"/>
      <c r="J2668" s="222"/>
      <c r="K2668" s="223"/>
    </row>
    <row r="2669" spans="1:11" x14ac:dyDescent="0.35">
      <c r="A2669" s="225"/>
      <c r="B2669" s="226"/>
      <c r="C2669" s="226"/>
      <c r="D2669" s="226"/>
      <c r="E2669" s="227"/>
      <c r="G2669" s="225"/>
      <c r="H2669" s="226"/>
      <c r="I2669" s="226"/>
      <c r="J2669" s="226"/>
      <c r="K2669" s="227"/>
    </row>
    <row r="2670" spans="1:11" ht="15" thickBot="1" x14ac:dyDescent="0.4">
      <c r="A2670" s="218" t="s">
        <v>34</v>
      </c>
      <c r="B2670" s="219">
        <f t="shared" ref="B2670:E2670" si="192">SUM(B2665:B2669)</f>
        <v>10445</v>
      </c>
      <c r="C2670" s="219">
        <f t="shared" si="192"/>
        <v>0</v>
      </c>
      <c r="D2670" s="219">
        <f t="shared" si="192"/>
        <v>0</v>
      </c>
      <c r="E2670" s="219">
        <f t="shared" si="192"/>
        <v>0</v>
      </c>
      <c r="G2670" s="218" t="s">
        <v>34</v>
      </c>
      <c r="H2670" s="219">
        <f t="shared" ref="H2670:K2670" si="193">SUM(H2665:H2669)</f>
        <v>0</v>
      </c>
      <c r="I2670" s="219">
        <f t="shared" si="193"/>
        <v>461</v>
      </c>
      <c r="J2670" s="219">
        <f t="shared" si="193"/>
        <v>0</v>
      </c>
      <c r="K2670" s="219">
        <f t="shared" si="193"/>
        <v>0</v>
      </c>
    </row>
    <row r="2671" spans="1:11" x14ac:dyDescent="0.35">
      <c r="A2671" s="220" t="s">
        <v>305</v>
      </c>
      <c r="B2671" s="220">
        <f t="shared" ref="B2671" si="194">+B2670+C2670+D2670+E2670</f>
        <v>10445</v>
      </c>
      <c r="C2671" s="220"/>
      <c r="D2671" s="220"/>
      <c r="E2671" s="220"/>
      <c r="G2671" s="220" t="s">
        <v>305</v>
      </c>
      <c r="H2671" s="220">
        <f t="shared" ref="H2671" si="195">+H2670+I2670+J2670+K2670</f>
        <v>461</v>
      </c>
      <c r="I2671" s="220"/>
      <c r="J2671" s="220"/>
      <c r="K2671" s="220"/>
    </row>
    <row r="2672" spans="1:11" ht="15" thickBot="1" x14ac:dyDescent="0.4">
      <c r="A2672" s="315" t="s">
        <v>298</v>
      </c>
      <c r="B2672" s="315"/>
      <c r="C2672" s="315"/>
      <c r="D2672" s="315"/>
      <c r="E2672" s="315"/>
      <c r="G2672" s="315" t="s">
        <v>314</v>
      </c>
      <c r="H2672" s="315"/>
      <c r="I2672" s="315"/>
      <c r="J2672" s="315"/>
      <c r="K2672" s="315"/>
    </row>
    <row r="2673" spans="1:13" ht="15" thickTop="1" x14ac:dyDescent="0.35">
      <c r="A2673" s="313">
        <v>45556</v>
      </c>
      <c r="B2673" s="314"/>
      <c r="C2673" s="314"/>
      <c r="D2673" s="314"/>
      <c r="E2673" s="314"/>
      <c r="G2673" s="313">
        <v>45556</v>
      </c>
      <c r="H2673" s="314"/>
      <c r="I2673" s="314"/>
      <c r="J2673" s="314"/>
      <c r="K2673" s="314"/>
    </row>
    <row r="2674" spans="1:13" x14ac:dyDescent="0.35">
      <c r="A2674" s="261" t="s">
        <v>159</v>
      </c>
      <c r="B2674" s="262" t="s">
        <v>299</v>
      </c>
      <c r="C2674" s="262" t="s">
        <v>300</v>
      </c>
      <c r="D2674" s="262" t="s">
        <v>301</v>
      </c>
      <c r="E2674" s="263" t="s">
        <v>302</v>
      </c>
      <c r="G2674" s="264" t="s">
        <v>159</v>
      </c>
      <c r="H2674" s="265" t="s">
        <v>299</v>
      </c>
      <c r="I2674" s="265" t="s">
        <v>300</v>
      </c>
      <c r="J2674" s="265" t="s">
        <v>301</v>
      </c>
      <c r="K2674" s="266" t="s">
        <v>302</v>
      </c>
    </row>
    <row r="2675" spans="1:13" x14ac:dyDescent="0.35">
      <c r="A2675" s="221" t="s">
        <v>303</v>
      </c>
      <c r="B2675" s="222">
        <v>9530</v>
      </c>
      <c r="C2675" s="222"/>
      <c r="D2675" s="222"/>
      <c r="E2675" s="223"/>
      <c r="G2675" s="221" t="s">
        <v>303</v>
      </c>
      <c r="H2675" s="222">
        <v>2244</v>
      </c>
      <c r="I2675" s="222"/>
      <c r="J2675" s="222"/>
      <c r="K2675" s="223">
        <v>300</v>
      </c>
    </row>
    <row r="2676" spans="1:13" x14ac:dyDescent="0.35">
      <c r="A2676" s="225" t="s">
        <v>304</v>
      </c>
      <c r="B2676" s="226">
        <v>4709</v>
      </c>
      <c r="C2676" s="226"/>
      <c r="D2676" s="226"/>
      <c r="E2676" s="227"/>
      <c r="G2676" s="225"/>
      <c r="H2676" s="226"/>
      <c r="I2676" s="226"/>
      <c r="J2676" s="226"/>
      <c r="K2676" s="227"/>
    </row>
    <row r="2677" spans="1:13" x14ac:dyDescent="0.35">
      <c r="A2677" s="225"/>
      <c r="B2677" s="226"/>
      <c r="C2677" s="226"/>
      <c r="D2677" s="226"/>
      <c r="E2677" s="227"/>
      <c r="G2677" s="225"/>
      <c r="H2677" s="226"/>
      <c r="I2677" s="226"/>
      <c r="J2677" s="226"/>
      <c r="K2677" s="227"/>
    </row>
    <row r="2678" spans="1:13" x14ac:dyDescent="0.35">
      <c r="A2678" s="221"/>
      <c r="B2678" s="222"/>
      <c r="C2678" s="222"/>
      <c r="D2678" s="222"/>
      <c r="E2678" s="223"/>
      <c r="G2678" s="221"/>
      <c r="H2678" s="222"/>
      <c r="I2678" s="222"/>
      <c r="J2678" s="222"/>
      <c r="K2678" s="223"/>
    </row>
    <row r="2679" spans="1:13" x14ac:dyDescent="0.35">
      <c r="A2679" s="225"/>
      <c r="B2679" s="226"/>
      <c r="C2679" s="226"/>
      <c r="D2679" s="226"/>
      <c r="E2679" s="227"/>
      <c r="G2679" s="225"/>
      <c r="H2679" s="226"/>
      <c r="I2679" s="226"/>
      <c r="J2679" s="226"/>
      <c r="K2679" s="227"/>
    </row>
    <row r="2680" spans="1:13" ht="15" thickBot="1" x14ac:dyDescent="0.4">
      <c r="A2680" s="218" t="s">
        <v>34</v>
      </c>
      <c r="B2680" s="219">
        <f t="shared" ref="B2680:E2680" si="196">SUM(B2675:B2679)</f>
        <v>14239</v>
      </c>
      <c r="C2680" s="219">
        <f t="shared" si="196"/>
        <v>0</v>
      </c>
      <c r="D2680" s="219">
        <f t="shared" si="196"/>
        <v>0</v>
      </c>
      <c r="E2680" s="219">
        <f t="shared" si="196"/>
        <v>0</v>
      </c>
      <c r="G2680" s="218" t="s">
        <v>34</v>
      </c>
      <c r="H2680" s="219">
        <f t="shared" ref="H2680:K2680" si="197">SUM(H2675:H2679)</f>
        <v>2244</v>
      </c>
      <c r="I2680" s="219">
        <f t="shared" si="197"/>
        <v>0</v>
      </c>
      <c r="J2680" s="219">
        <f t="shared" si="197"/>
        <v>0</v>
      </c>
      <c r="K2680" s="219">
        <f t="shared" si="197"/>
        <v>300</v>
      </c>
    </row>
    <row r="2681" spans="1:13" x14ac:dyDescent="0.35">
      <c r="A2681" s="220" t="s">
        <v>305</v>
      </c>
      <c r="B2681" s="220">
        <f t="shared" ref="B2681" si="198">+B2680+C2680+D2680+E2680</f>
        <v>14239</v>
      </c>
      <c r="C2681" s="220"/>
      <c r="D2681" s="220"/>
      <c r="E2681" s="220"/>
      <c r="G2681" s="220" t="s">
        <v>305</v>
      </c>
      <c r="H2681" s="220">
        <f t="shared" ref="H2681" si="199">+H2680+I2680+J2680+K2680</f>
        <v>2544</v>
      </c>
      <c r="I2681" s="220"/>
      <c r="J2681" s="220"/>
      <c r="K2681" s="220"/>
    </row>
    <row r="2682" spans="1:13" ht="15" thickBot="1" x14ac:dyDescent="0.4">
      <c r="A2682" s="315" t="s">
        <v>298</v>
      </c>
      <c r="B2682" s="315"/>
      <c r="C2682" s="315"/>
      <c r="D2682" s="315"/>
      <c r="E2682" s="315"/>
      <c r="G2682" s="315" t="s">
        <v>314</v>
      </c>
      <c r="H2682" s="315"/>
      <c r="I2682" s="315"/>
      <c r="J2682" s="315"/>
      <c r="K2682" s="315"/>
    </row>
    <row r="2683" spans="1:13" ht="15" thickTop="1" x14ac:dyDescent="0.35">
      <c r="A2683" s="313">
        <v>45557</v>
      </c>
      <c r="B2683" s="314"/>
      <c r="C2683" s="314"/>
      <c r="D2683" s="314"/>
      <c r="E2683" s="314"/>
      <c r="G2683" s="313">
        <v>45557</v>
      </c>
      <c r="H2683" s="314"/>
      <c r="I2683" s="314"/>
      <c r="J2683" s="314"/>
      <c r="K2683" s="314"/>
    </row>
    <row r="2684" spans="1:13" x14ac:dyDescent="0.35">
      <c r="A2684" s="261" t="s">
        <v>159</v>
      </c>
      <c r="B2684" s="262" t="s">
        <v>299</v>
      </c>
      <c r="C2684" s="262" t="s">
        <v>300</v>
      </c>
      <c r="D2684" s="262" t="s">
        <v>301</v>
      </c>
      <c r="E2684" s="263" t="s">
        <v>302</v>
      </c>
      <c r="G2684" s="264" t="s">
        <v>159</v>
      </c>
      <c r="H2684" s="265" t="s">
        <v>299</v>
      </c>
      <c r="I2684" s="265" t="s">
        <v>300</v>
      </c>
      <c r="J2684" s="265" t="s">
        <v>301</v>
      </c>
      <c r="K2684" s="266" t="s">
        <v>302</v>
      </c>
    </row>
    <row r="2685" spans="1:13" x14ac:dyDescent="0.35">
      <c r="A2685" s="221" t="s">
        <v>303</v>
      </c>
      <c r="B2685" s="222">
        <v>16979</v>
      </c>
      <c r="C2685" s="222"/>
      <c r="D2685" s="222"/>
      <c r="E2685" s="223"/>
      <c r="G2685" s="221" t="s">
        <v>303</v>
      </c>
      <c r="H2685" s="222">
        <v>4640</v>
      </c>
      <c r="I2685" s="222"/>
      <c r="J2685" s="222"/>
      <c r="K2685" s="223"/>
    </row>
    <row r="2686" spans="1:13" x14ac:dyDescent="0.35">
      <c r="A2686" s="225" t="s">
        <v>304</v>
      </c>
      <c r="B2686" s="226">
        <v>4056</v>
      </c>
      <c r="C2686" s="226"/>
      <c r="D2686" s="226"/>
      <c r="E2686" s="227"/>
      <c r="G2686" s="225"/>
      <c r="H2686" s="226"/>
      <c r="I2686" s="226"/>
      <c r="J2686" s="226"/>
      <c r="K2686" s="227"/>
      <c r="M2686" s="47"/>
    </row>
    <row r="2687" spans="1:13" x14ac:dyDescent="0.35">
      <c r="A2687" s="225"/>
      <c r="B2687" s="226"/>
      <c r="C2687" s="226"/>
      <c r="D2687" s="226"/>
      <c r="E2687" s="227"/>
      <c r="G2687" s="225"/>
      <c r="H2687" s="226"/>
      <c r="I2687" s="226"/>
      <c r="J2687" s="226"/>
      <c r="K2687" s="227"/>
    </row>
    <row r="2688" spans="1:13" x14ac:dyDescent="0.35">
      <c r="A2688" s="221"/>
      <c r="B2688" s="222"/>
      <c r="C2688" s="222"/>
      <c r="D2688" s="222"/>
      <c r="E2688" s="223"/>
      <c r="G2688" s="221"/>
      <c r="H2688" s="222"/>
      <c r="I2688" s="222"/>
      <c r="J2688" s="222"/>
      <c r="K2688" s="223"/>
    </row>
    <row r="2689" spans="1:11" x14ac:dyDescent="0.35">
      <c r="A2689" s="225"/>
      <c r="B2689" s="226"/>
      <c r="C2689" s="226"/>
      <c r="D2689" s="226"/>
      <c r="E2689" s="227"/>
      <c r="G2689" s="225"/>
      <c r="H2689" s="226"/>
      <c r="I2689" s="226"/>
      <c r="J2689" s="226"/>
      <c r="K2689" s="227"/>
    </row>
    <row r="2690" spans="1:11" ht="15" thickBot="1" x14ac:dyDescent="0.4">
      <c r="A2690" s="218" t="s">
        <v>34</v>
      </c>
      <c r="B2690" s="219">
        <f t="shared" ref="B2690:E2690" si="200">SUM(B2685:B2689)</f>
        <v>21035</v>
      </c>
      <c r="C2690" s="219">
        <f t="shared" si="200"/>
        <v>0</v>
      </c>
      <c r="D2690" s="219">
        <f t="shared" si="200"/>
        <v>0</v>
      </c>
      <c r="E2690" s="219">
        <f t="shared" si="200"/>
        <v>0</v>
      </c>
      <c r="G2690" s="218" t="s">
        <v>34</v>
      </c>
      <c r="H2690" s="219">
        <f t="shared" ref="H2690:K2690" si="201">SUM(H2685:H2689)</f>
        <v>4640</v>
      </c>
      <c r="I2690" s="219">
        <f t="shared" si="201"/>
        <v>0</v>
      </c>
      <c r="J2690" s="219">
        <f t="shared" si="201"/>
        <v>0</v>
      </c>
      <c r="K2690" s="219">
        <f t="shared" si="201"/>
        <v>0</v>
      </c>
    </row>
    <row r="2691" spans="1:11" x14ac:dyDescent="0.35">
      <c r="A2691" s="220" t="s">
        <v>305</v>
      </c>
      <c r="B2691" s="220">
        <f t="shared" ref="B2691" si="202">+B2690+C2690+D2690+E2690</f>
        <v>21035</v>
      </c>
      <c r="C2691" s="220"/>
      <c r="D2691" s="220"/>
      <c r="E2691" s="220"/>
      <c r="G2691" s="220" t="s">
        <v>305</v>
      </c>
      <c r="H2691" s="220">
        <f t="shared" ref="H2691" si="203">+H2690+I2690+J2690+K2690</f>
        <v>4640</v>
      </c>
      <c r="I2691" s="220"/>
      <c r="J2691" s="220"/>
      <c r="K2691" s="220"/>
    </row>
    <row r="2692" spans="1:11" ht="15" thickBot="1" x14ac:dyDescent="0.4">
      <c r="A2692" s="315" t="s">
        <v>298</v>
      </c>
      <c r="B2692" s="315"/>
      <c r="C2692" s="315"/>
      <c r="D2692" s="315"/>
      <c r="E2692" s="315"/>
      <c r="G2692" s="315" t="s">
        <v>314</v>
      </c>
      <c r="H2692" s="315"/>
      <c r="I2692" s="315"/>
      <c r="J2692" s="315"/>
      <c r="K2692" s="315"/>
    </row>
    <row r="2693" spans="1:11" ht="15" thickTop="1" x14ac:dyDescent="0.35">
      <c r="A2693" s="313">
        <v>45558</v>
      </c>
      <c r="B2693" s="314"/>
      <c r="C2693" s="314"/>
      <c r="D2693" s="314"/>
      <c r="E2693" s="314"/>
      <c r="G2693" s="313">
        <v>45558</v>
      </c>
      <c r="H2693" s="314"/>
      <c r="I2693" s="314"/>
      <c r="J2693" s="314"/>
      <c r="K2693" s="314"/>
    </row>
    <row r="2694" spans="1:11" x14ac:dyDescent="0.35">
      <c r="A2694" s="261" t="s">
        <v>159</v>
      </c>
      <c r="B2694" s="262" t="s">
        <v>299</v>
      </c>
      <c r="C2694" s="262" t="s">
        <v>300</v>
      </c>
      <c r="D2694" s="262" t="s">
        <v>301</v>
      </c>
      <c r="E2694" s="263" t="s">
        <v>302</v>
      </c>
      <c r="G2694" s="264" t="s">
        <v>159</v>
      </c>
      <c r="H2694" s="265" t="s">
        <v>299</v>
      </c>
      <c r="I2694" s="265" t="s">
        <v>300</v>
      </c>
      <c r="J2694" s="265" t="s">
        <v>301</v>
      </c>
      <c r="K2694" s="266" t="s">
        <v>302</v>
      </c>
    </row>
    <row r="2695" spans="1:11" x14ac:dyDescent="0.35">
      <c r="A2695" s="221" t="s">
        <v>303</v>
      </c>
      <c r="B2695" s="222">
        <v>3381</v>
      </c>
      <c r="C2695" s="222"/>
      <c r="D2695" s="222"/>
      <c r="E2695" s="223"/>
      <c r="G2695" s="221" t="s">
        <v>303</v>
      </c>
      <c r="H2695" s="222">
        <v>1180</v>
      </c>
      <c r="I2695" s="222"/>
      <c r="J2695" s="222"/>
      <c r="K2695" s="223"/>
    </row>
    <row r="2696" spans="1:11" x14ac:dyDescent="0.35">
      <c r="A2696" s="225" t="s">
        <v>304</v>
      </c>
      <c r="B2696" s="226">
        <v>9940</v>
      </c>
      <c r="C2696" s="226"/>
      <c r="D2696" s="226"/>
      <c r="E2696" s="227"/>
      <c r="G2696" s="225"/>
      <c r="H2696" s="226"/>
      <c r="I2696" s="226"/>
      <c r="J2696" s="226"/>
      <c r="K2696" s="227"/>
    </row>
    <row r="2697" spans="1:11" x14ac:dyDescent="0.35">
      <c r="A2697" s="225"/>
      <c r="B2697" s="226"/>
      <c r="C2697" s="226"/>
      <c r="D2697" s="226"/>
      <c r="E2697" s="227"/>
      <c r="G2697" s="225"/>
      <c r="H2697" s="226"/>
      <c r="I2697" s="226"/>
      <c r="J2697" s="226"/>
      <c r="K2697" s="227"/>
    </row>
    <row r="2698" spans="1:11" x14ac:dyDescent="0.35">
      <c r="A2698" s="221"/>
      <c r="B2698" s="222"/>
      <c r="C2698" s="222"/>
      <c r="D2698" s="222"/>
      <c r="E2698" s="223"/>
      <c r="G2698" s="221"/>
      <c r="H2698" s="222"/>
      <c r="I2698" s="222"/>
      <c r="J2698" s="222"/>
      <c r="K2698" s="223"/>
    </row>
    <row r="2699" spans="1:11" x14ac:dyDescent="0.35">
      <c r="A2699" s="225"/>
      <c r="B2699" s="226"/>
      <c r="C2699" s="226"/>
      <c r="D2699" s="226"/>
      <c r="E2699" s="227"/>
      <c r="G2699" s="225"/>
      <c r="H2699" s="226"/>
      <c r="I2699" s="226"/>
      <c r="J2699" s="226"/>
      <c r="K2699" s="227"/>
    </row>
    <row r="2700" spans="1:11" ht="15" thickBot="1" x14ac:dyDescent="0.4">
      <c r="A2700" s="218" t="s">
        <v>34</v>
      </c>
      <c r="B2700" s="219">
        <f t="shared" ref="B2700:E2700" si="204">SUM(B2695:B2699)</f>
        <v>13321</v>
      </c>
      <c r="C2700" s="219">
        <f t="shared" si="204"/>
        <v>0</v>
      </c>
      <c r="D2700" s="219">
        <f t="shared" si="204"/>
        <v>0</v>
      </c>
      <c r="E2700" s="219">
        <f t="shared" si="204"/>
        <v>0</v>
      </c>
      <c r="G2700" s="218" t="s">
        <v>34</v>
      </c>
      <c r="H2700" s="219">
        <f t="shared" ref="H2700:K2700" si="205">SUM(H2695:H2699)</f>
        <v>1180</v>
      </c>
      <c r="I2700" s="219">
        <f t="shared" si="205"/>
        <v>0</v>
      </c>
      <c r="J2700" s="219">
        <f t="shared" si="205"/>
        <v>0</v>
      </c>
      <c r="K2700" s="219">
        <f t="shared" si="205"/>
        <v>0</v>
      </c>
    </row>
    <row r="2701" spans="1:11" x14ac:dyDescent="0.35">
      <c r="A2701" s="220" t="s">
        <v>305</v>
      </c>
      <c r="B2701" s="220">
        <f t="shared" ref="B2701" si="206">+B2700+C2700+D2700+E2700</f>
        <v>13321</v>
      </c>
      <c r="C2701" s="220"/>
      <c r="D2701" s="220"/>
      <c r="E2701" s="220"/>
      <c r="G2701" s="220" t="s">
        <v>305</v>
      </c>
      <c r="H2701" s="220">
        <f t="shared" ref="H2701" si="207">+H2700+I2700+J2700+K2700</f>
        <v>1180</v>
      </c>
      <c r="I2701" s="220"/>
      <c r="J2701" s="220"/>
      <c r="K2701" s="220"/>
    </row>
    <row r="2702" spans="1:11" ht="15" thickBot="1" x14ac:dyDescent="0.4">
      <c r="A2702" s="315" t="s">
        <v>298</v>
      </c>
      <c r="B2702" s="315"/>
      <c r="C2702" s="315"/>
      <c r="D2702" s="315"/>
      <c r="E2702" s="315"/>
      <c r="G2702" s="315" t="s">
        <v>314</v>
      </c>
      <c r="H2702" s="315"/>
      <c r="I2702" s="315"/>
      <c r="J2702" s="315"/>
      <c r="K2702" s="315"/>
    </row>
    <row r="2703" spans="1:11" ht="15" thickTop="1" x14ac:dyDescent="0.35">
      <c r="A2703" s="313">
        <v>45559</v>
      </c>
      <c r="B2703" s="314"/>
      <c r="C2703" s="314"/>
      <c r="D2703" s="314"/>
      <c r="E2703" s="314"/>
      <c r="G2703" s="313">
        <v>45559</v>
      </c>
      <c r="H2703" s="314"/>
      <c r="I2703" s="314"/>
      <c r="J2703" s="314"/>
      <c r="K2703" s="314"/>
    </row>
    <row r="2704" spans="1:11" x14ac:dyDescent="0.35">
      <c r="A2704" s="261" t="s">
        <v>159</v>
      </c>
      <c r="B2704" s="262" t="s">
        <v>299</v>
      </c>
      <c r="C2704" s="262" t="s">
        <v>300</v>
      </c>
      <c r="D2704" s="262" t="s">
        <v>301</v>
      </c>
      <c r="E2704" s="263" t="s">
        <v>302</v>
      </c>
      <c r="G2704" s="264" t="s">
        <v>159</v>
      </c>
      <c r="H2704" s="265" t="s">
        <v>299</v>
      </c>
      <c r="I2704" s="265" t="s">
        <v>300</v>
      </c>
      <c r="J2704" s="265" t="s">
        <v>301</v>
      </c>
      <c r="K2704" s="266" t="s">
        <v>302</v>
      </c>
    </row>
    <row r="2705" spans="1:11" x14ac:dyDescent="0.35">
      <c r="A2705" s="221" t="s">
        <v>303</v>
      </c>
      <c r="B2705" s="222">
        <v>927</v>
      </c>
      <c r="C2705" s="222"/>
      <c r="D2705" s="222"/>
      <c r="E2705" s="223"/>
      <c r="G2705" s="221" t="s">
        <v>303</v>
      </c>
      <c r="H2705" s="222">
        <v>2048</v>
      </c>
      <c r="I2705" s="222"/>
      <c r="J2705" s="222"/>
      <c r="K2705" s="223"/>
    </row>
    <row r="2706" spans="1:11" x14ac:dyDescent="0.35">
      <c r="A2706" s="225" t="s">
        <v>304</v>
      </c>
      <c r="B2706" s="226"/>
      <c r="C2706" s="226"/>
      <c r="D2706" s="226"/>
      <c r="E2706" s="227"/>
      <c r="G2706" s="225"/>
      <c r="H2706" s="226"/>
      <c r="I2706" s="226"/>
      <c r="J2706" s="226"/>
      <c r="K2706" s="227"/>
    </row>
    <row r="2707" spans="1:11" x14ac:dyDescent="0.35">
      <c r="A2707" s="225"/>
      <c r="B2707" s="226"/>
      <c r="C2707" s="226"/>
      <c r="D2707" s="226"/>
      <c r="E2707" s="227"/>
      <c r="G2707" s="225"/>
      <c r="H2707" s="226"/>
      <c r="I2707" s="226"/>
      <c r="J2707" s="226"/>
      <c r="K2707" s="227"/>
    </row>
    <row r="2708" spans="1:11" x14ac:dyDescent="0.35">
      <c r="A2708" s="221"/>
      <c r="B2708" s="222"/>
      <c r="C2708" s="222"/>
      <c r="D2708" s="222"/>
      <c r="E2708" s="223"/>
      <c r="G2708" s="221"/>
      <c r="H2708" s="222"/>
      <c r="I2708" s="222"/>
      <c r="J2708" s="222"/>
      <c r="K2708" s="223"/>
    </row>
    <row r="2709" spans="1:11" x14ac:dyDescent="0.35">
      <c r="A2709" s="225"/>
      <c r="B2709" s="226"/>
      <c r="C2709" s="226"/>
      <c r="D2709" s="226"/>
      <c r="E2709" s="227"/>
      <c r="G2709" s="225"/>
      <c r="H2709" s="226"/>
      <c r="I2709" s="226"/>
      <c r="J2709" s="226"/>
      <c r="K2709" s="227"/>
    </row>
    <row r="2710" spans="1:11" ht="15" thickBot="1" x14ac:dyDescent="0.4">
      <c r="A2710" s="218" t="s">
        <v>34</v>
      </c>
      <c r="B2710" s="219">
        <f t="shared" ref="B2710:E2710" si="208">SUM(B2705:B2709)</f>
        <v>927</v>
      </c>
      <c r="C2710" s="219">
        <f t="shared" si="208"/>
        <v>0</v>
      </c>
      <c r="D2710" s="219">
        <f t="shared" si="208"/>
        <v>0</v>
      </c>
      <c r="E2710" s="219">
        <f t="shared" si="208"/>
        <v>0</v>
      </c>
      <c r="G2710" s="218" t="s">
        <v>34</v>
      </c>
      <c r="H2710" s="219">
        <f t="shared" ref="H2710:K2710" si="209">SUM(H2705:H2709)</f>
        <v>2048</v>
      </c>
      <c r="I2710" s="219">
        <f t="shared" si="209"/>
        <v>0</v>
      </c>
      <c r="J2710" s="219">
        <f t="shared" si="209"/>
        <v>0</v>
      </c>
      <c r="K2710" s="219">
        <f t="shared" si="209"/>
        <v>0</v>
      </c>
    </row>
    <row r="2711" spans="1:11" x14ac:dyDescent="0.35">
      <c r="A2711" s="220" t="s">
        <v>305</v>
      </c>
      <c r="B2711" s="220">
        <f t="shared" ref="B2711" si="210">+B2710+C2710+D2710+E2710</f>
        <v>927</v>
      </c>
      <c r="C2711" s="220"/>
      <c r="D2711" s="220"/>
      <c r="E2711" s="220"/>
      <c r="G2711" s="220" t="s">
        <v>305</v>
      </c>
      <c r="H2711" s="220">
        <f t="shared" ref="H2711" si="211">+H2710+I2710+J2710+K2710</f>
        <v>2048</v>
      </c>
      <c r="I2711" s="220"/>
      <c r="J2711" s="220"/>
      <c r="K2711" s="220"/>
    </row>
    <row r="2712" spans="1:11" ht="15" thickBot="1" x14ac:dyDescent="0.4">
      <c r="A2712" s="315" t="s">
        <v>298</v>
      </c>
      <c r="B2712" s="315"/>
      <c r="C2712" s="315"/>
      <c r="D2712" s="315"/>
      <c r="E2712" s="315"/>
      <c r="G2712" s="315" t="s">
        <v>314</v>
      </c>
      <c r="H2712" s="315"/>
      <c r="I2712" s="315"/>
      <c r="J2712" s="315"/>
      <c r="K2712" s="315"/>
    </row>
    <row r="2713" spans="1:11" ht="15" thickTop="1" x14ac:dyDescent="0.35">
      <c r="A2713" s="313">
        <v>45560</v>
      </c>
      <c r="B2713" s="314"/>
      <c r="C2713" s="314"/>
      <c r="D2713" s="314"/>
      <c r="E2713" s="314"/>
      <c r="G2713" s="313">
        <v>45560</v>
      </c>
      <c r="H2713" s="314"/>
      <c r="I2713" s="314"/>
      <c r="J2713" s="314"/>
      <c r="K2713" s="314"/>
    </row>
    <row r="2714" spans="1:11" x14ac:dyDescent="0.35">
      <c r="A2714" s="261" t="s">
        <v>159</v>
      </c>
      <c r="B2714" s="262" t="s">
        <v>299</v>
      </c>
      <c r="C2714" s="262" t="s">
        <v>300</v>
      </c>
      <c r="D2714" s="262" t="s">
        <v>301</v>
      </c>
      <c r="E2714" s="263" t="s">
        <v>302</v>
      </c>
      <c r="G2714" s="264" t="s">
        <v>159</v>
      </c>
      <c r="H2714" s="265" t="s">
        <v>299</v>
      </c>
      <c r="I2714" s="265" t="s">
        <v>300</v>
      </c>
      <c r="J2714" s="265" t="s">
        <v>301</v>
      </c>
      <c r="K2714" s="266" t="s">
        <v>302</v>
      </c>
    </row>
    <row r="2715" spans="1:11" x14ac:dyDescent="0.35">
      <c r="A2715" s="221" t="s">
        <v>303</v>
      </c>
      <c r="B2715" s="222">
        <v>1684</v>
      </c>
      <c r="C2715" s="222"/>
      <c r="D2715" s="222"/>
      <c r="E2715" s="223"/>
      <c r="G2715" s="221" t="s">
        <v>303</v>
      </c>
      <c r="H2715" s="222"/>
      <c r="I2715" s="222"/>
      <c r="J2715" s="222"/>
      <c r="K2715" s="223"/>
    </row>
    <row r="2716" spans="1:11" x14ac:dyDescent="0.35">
      <c r="A2716" s="225" t="s">
        <v>304</v>
      </c>
      <c r="B2716" s="226"/>
      <c r="C2716" s="226"/>
      <c r="D2716" s="226"/>
      <c r="E2716" s="227">
        <v>9660</v>
      </c>
      <c r="G2716" s="225"/>
      <c r="H2716" s="226"/>
      <c r="I2716" s="226"/>
      <c r="J2716" s="226"/>
      <c r="K2716" s="227"/>
    </row>
    <row r="2717" spans="1:11" x14ac:dyDescent="0.35">
      <c r="A2717" s="225"/>
      <c r="B2717" s="226"/>
      <c r="C2717" s="226"/>
      <c r="D2717" s="226"/>
      <c r="E2717" s="227"/>
      <c r="G2717" s="225"/>
      <c r="H2717" s="226"/>
      <c r="I2717" s="226"/>
      <c r="J2717" s="226"/>
      <c r="K2717" s="227"/>
    </row>
    <row r="2718" spans="1:11" x14ac:dyDescent="0.35">
      <c r="A2718" s="221"/>
      <c r="B2718" s="222"/>
      <c r="C2718" s="222"/>
      <c r="D2718" s="222"/>
      <c r="E2718" s="223"/>
      <c r="G2718" s="221"/>
      <c r="H2718" s="222"/>
      <c r="I2718" s="222"/>
      <c r="J2718" s="222"/>
      <c r="K2718" s="223"/>
    </row>
    <row r="2719" spans="1:11" x14ac:dyDescent="0.35">
      <c r="A2719" s="225"/>
      <c r="B2719" s="226"/>
      <c r="C2719" s="226"/>
      <c r="D2719" s="226"/>
      <c r="E2719" s="227"/>
      <c r="G2719" s="225"/>
      <c r="H2719" s="226"/>
      <c r="I2719" s="226"/>
      <c r="J2719" s="226"/>
      <c r="K2719" s="227"/>
    </row>
    <row r="2720" spans="1:11" ht="15" thickBot="1" x14ac:dyDescent="0.4">
      <c r="A2720" s="218" t="s">
        <v>34</v>
      </c>
      <c r="B2720" s="219">
        <f t="shared" ref="B2720:E2720" si="212">SUM(B2715:B2719)</f>
        <v>1684</v>
      </c>
      <c r="C2720" s="219">
        <f t="shared" si="212"/>
        <v>0</v>
      </c>
      <c r="D2720" s="219">
        <f t="shared" si="212"/>
        <v>0</v>
      </c>
      <c r="E2720" s="219">
        <f t="shared" si="212"/>
        <v>9660</v>
      </c>
      <c r="G2720" s="218" t="s">
        <v>34</v>
      </c>
      <c r="H2720" s="219">
        <f t="shared" ref="H2720:K2720" si="213">SUM(H2715:H2719)</f>
        <v>0</v>
      </c>
      <c r="I2720" s="219">
        <f t="shared" si="213"/>
        <v>0</v>
      </c>
      <c r="J2720" s="219">
        <f t="shared" si="213"/>
        <v>0</v>
      </c>
      <c r="K2720" s="219">
        <f t="shared" si="213"/>
        <v>0</v>
      </c>
    </row>
    <row r="2721" spans="1:11" x14ac:dyDescent="0.35">
      <c r="A2721" s="220" t="s">
        <v>305</v>
      </c>
      <c r="B2721" s="220">
        <f t="shared" ref="B2721" si="214">+B2720+C2720+D2720+E2720</f>
        <v>11344</v>
      </c>
      <c r="C2721" s="220"/>
      <c r="D2721" s="220"/>
      <c r="E2721" s="220"/>
      <c r="G2721" s="220" t="s">
        <v>305</v>
      </c>
      <c r="H2721" s="220">
        <f t="shared" ref="H2721" si="215">+H2720+I2720+J2720+K2720</f>
        <v>0</v>
      </c>
      <c r="I2721" s="220"/>
      <c r="J2721" s="220"/>
      <c r="K2721" s="220"/>
    </row>
    <row r="2722" spans="1:11" ht="15" thickBot="1" x14ac:dyDescent="0.4">
      <c r="A2722" s="315" t="s">
        <v>298</v>
      </c>
      <c r="B2722" s="315"/>
      <c r="C2722" s="315"/>
      <c r="D2722" s="315"/>
      <c r="E2722" s="315"/>
      <c r="G2722" s="315" t="s">
        <v>314</v>
      </c>
      <c r="H2722" s="315"/>
      <c r="I2722" s="315"/>
      <c r="J2722" s="315"/>
      <c r="K2722" s="315"/>
    </row>
    <row r="2723" spans="1:11" ht="15" thickTop="1" x14ac:dyDescent="0.35">
      <c r="A2723" s="313">
        <v>45561</v>
      </c>
      <c r="B2723" s="314"/>
      <c r="C2723" s="314"/>
      <c r="D2723" s="314"/>
      <c r="E2723" s="314"/>
      <c r="G2723" s="313">
        <v>45561</v>
      </c>
      <c r="H2723" s="314"/>
      <c r="I2723" s="314"/>
      <c r="J2723" s="314"/>
      <c r="K2723" s="314"/>
    </row>
    <row r="2724" spans="1:11" x14ac:dyDescent="0.35">
      <c r="A2724" s="261" t="s">
        <v>159</v>
      </c>
      <c r="B2724" s="262" t="s">
        <v>299</v>
      </c>
      <c r="C2724" s="262" t="s">
        <v>300</v>
      </c>
      <c r="D2724" s="262" t="s">
        <v>301</v>
      </c>
      <c r="E2724" s="263" t="s">
        <v>302</v>
      </c>
      <c r="G2724" s="264" t="s">
        <v>159</v>
      </c>
      <c r="H2724" s="265" t="s">
        <v>299</v>
      </c>
      <c r="I2724" s="265" t="s">
        <v>300</v>
      </c>
      <c r="J2724" s="265" t="s">
        <v>301</v>
      </c>
      <c r="K2724" s="266" t="s">
        <v>302</v>
      </c>
    </row>
    <row r="2725" spans="1:11" x14ac:dyDescent="0.35">
      <c r="A2725" s="221" t="s">
        <v>303</v>
      </c>
      <c r="B2725" s="222">
        <v>8911</v>
      </c>
      <c r="C2725" s="222"/>
      <c r="D2725" s="222"/>
      <c r="E2725" s="223"/>
      <c r="G2725" s="221" t="s">
        <v>303</v>
      </c>
      <c r="H2725" s="222">
        <v>1253</v>
      </c>
      <c r="I2725" s="222"/>
      <c r="J2725" s="222"/>
      <c r="K2725" s="223">
        <v>545</v>
      </c>
    </row>
    <row r="2726" spans="1:11" x14ac:dyDescent="0.35">
      <c r="A2726" s="225" t="s">
        <v>304</v>
      </c>
      <c r="B2726" s="226"/>
      <c r="C2726" s="226"/>
      <c r="D2726" s="226"/>
      <c r="E2726" s="227"/>
      <c r="G2726" s="225"/>
      <c r="H2726" s="226"/>
      <c r="I2726" s="226"/>
      <c r="J2726" s="226"/>
      <c r="K2726" s="227"/>
    </row>
    <row r="2727" spans="1:11" x14ac:dyDescent="0.35">
      <c r="A2727" s="225"/>
      <c r="B2727" s="226"/>
      <c r="C2727" s="226"/>
      <c r="D2727" s="226"/>
      <c r="E2727" s="227"/>
      <c r="G2727" s="225"/>
      <c r="H2727" s="226"/>
      <c r="I2727" s="226"/>
      <c r="J2727" s="226"/>
      <c r="K2727" s="227"/>
    </row>
    <row r="2728" spans="1:11" x14ac:dyDescent="0.35">
      <c r="A2728" s="221"/>
      <c r="B2728" s="222"/>
      <c r="C2728" s="222"/>
      <c r="D2728" s="222"/>
      <c r="E2728" s="223"/>
      <c r="G2728" s="221"/>
      <c r="H2728" s="222"/>
      <c r="I2728" s="222"/>
      <c r="J2728" s="222"/>
      <c r="K2728" s="223"/>
    </row>
    <row r="2729" spans="1:11" x14ac:dyDescent="0.35">
      <c r="A2729" s="225"/>
      <c r="B2729" s="226"/>
      <c r="C2729" s="226"/>
      <c r="D2729" s="226"/>
      <c r="E2729" s="227"/>
      <c r="G2729" s="225"/>
      <c r="H2729" s="226"/>
      <c r="I2729" s="226"/>
      <c r="J2729" s="226"/>
      <c r="K2729" s="227"/>
    </row>
    <row r="2730" spans="1:11" ht="15" thickBot="1" x14ac:dyDescent="0.4">
      <c r="A2730" s="218" t="s">
        <v>34</v>
      </c>
      <c r="B2730" s="219">
        <f t="shared" ref="B2730:E2730" si="216">SUM(B2725:B2729)</f>
        <v>8911</v>
      </c>
      <c r="C2730" s="219">
        <f t="shared" si="216"/>
        <v>0</v>
      </c>
      <c r="D2730" s="219">
        <f t="shared" si="216"/>
        <v>0</v>
      </c>
      <c r="E2730" s="219">
        <f t="shared" si="216"/>
        <v>0</v>
      </c>
      <c r="G2730" s="218" t="s">
        <v>34</v>
      </c>
      <c r="H2730" s="219">
        <f t="shared" ref="H2730:K2730" si="217">SUM(H2725:H2729)</f>
        <v>1253</v>
      </c>
      <c r="I2730" s="219">
        <f t="shared" si="217"/>
        <v>0</v>
      </c>
      <c r="J2730" s="219">
        <f t="shared" si="217"/>
        <v>0</v>
      </c>
      <c r="K2730" s="219">
        <f t="shared" si="217"/>
        <v>545</v>
      </c>
    </row>
    <row r="2731" spans="1:11" x14ac:dyDescent="0.35">
      <c r="A2731" s="220" t="s">
        <v>305</v>
      </c>
      <c r="B2731" s="220">
        <f t="shared" ref="B2731" si="218">+B2730+C2730+D2730+E2730</f>
        <v>8911</v>
      </c>
      <c r="C2731" s="220"/>
      <c r="D2731" s="220"/>
      <c r="E2731" s="220"/>
      <c r="G2731" s="220" t="s">
        <v>305</v>
      </c>
      <c r="H2731" s="220">
        <f t="shared" ref="H2731" si="219">+H2730+I2730+J2730+K2730</f>
        <v>1798</v>
      </c>
      <c r="I2731" s="220"/>
      <c r="J2731" s="220"/>
      <c r="K2731" s="220"/>
    </row>
    <row r="2732" spans="1:11" ht="15" thickBot="1" x14ac:dyDescent="0.4">
      <c r="A2732" s="315" t="s">
        <v>298</v>
      </c>
      <c r="B2732" s="315"/>
      <c r="C2732" s="315"/>
      <c r="D2732" s="315"/>
      <c r="E2732" s="315"/>
      <c r="G2732" s="315" t="s">
        <v>314</v>
      </c>
      <c r="H2732" s="315"/>
      <c r="I2732" s="315"/>
      <c r="J2732" s="315"/>
      <c r="K2732" s="315"/>
    </row>
    <row r="2733" spans="1:11" ht="15" thickTop="1" x14ac:dyDescent="0.35">
      <c r="A2733" s="313">
        <v>45562</v>
      </c>
      <c r="B2733" s="314"/>
      <c r="C2733" s="314"/>
      <c r="D2733" s="314"/>
      <c r="E2733" s="314"/>
      <c r="G2733" s="313">
        <v>45562</v>
      </c>
      <c r="H2733" s="314"/>
      <c r="I2733" s="314"/>
      <c r="J2733" s="314"/>
      <c r="K2733" s="314"/>
    </row>
    <row r="2734" spans="1:11" x14ac:dyDescent="0.35">
      <c r="A2734" s="261" t="s">
        <v>159</v>
      </c>
      <c r="B2734" s="262" t="s">
        <v>299</v>
      </c>
      <c r="C2734" s="262" t="s">
        <v>300</v>
      </c>
      <c r="D2734" s="262" t="s">
        <v>301</v>
      </c>
      <c r="E2734" s="263" t="s">
        <v>302</v>
      </c>
      <c r="G2734" s="264" t="s">
        <v>159</v>
      </c>
      <c r="H2734" s="265" t="s">
        <v>299</v>
      </c>
      <c r="I2734" s="265" t="s">
        <v>300</v>
      </c>
      <c r="J2734" s="265" t="s">
        <v>301</v>
      </c>
      <c r="K2734" s="266" t="s">
        <v>302</v>
      </c>
    </row>
    <row r="2735" spans="1:11" x14ac:dyDescent="0.35">
      <c r="A2735" s="221" t="s">
        <v>303</v>
      </c>
      <c r="B2735" s="222">
        <v>6051</v>
      </c>
      <c r="C2735" s="222"/>
      <c r="D2735" s="222"/>
      <c r="E2735" s="223">
        <v>1604</v>
      </c>
      <c r="G2735" s="221" t="s">
        <v>303</v>
      </c>
      <c r="H2735" s="222">
        <v>914</v>
      </c>
      <c r="I2735" s="222"/>
      <c r="J2735" s="222"/>
      <c r="K2735" s="223"/>
    </row>
    <row r="2736" spans="1:11" x14ac:dyDescent="0.35">
      <c r="A2736" s="225" t="s">
        <v>304</v>
      </c>
      <c r="B2736" s="226"/>
      <c r="C2736" s="226"/>
      <c r="D2736" s="226"/>
      <c r="E2736" s="227"/>
      <c r="G2736" s="225"/>
      <c r="H2736" s="226"/>
      <c r="I2736" s="226"/>
      <c r="J2736" s="226"/>
      <c r="K2736" s="227"/>
    </row>
    <row r="2737" spans="1:11" x14ac:dyDescent="0.35">
      <c r="A2737" s="225"/>
      <c r="B2737" s="226"/>
      <c r="C2737" s="226"/>
      <c r="D2737" s="226"/>
      <c r="E2737" s="227"/>
      <c r="G2737" s="225"/>
      <c r="H2737" s="226"/>
      <c r="I2737" s="226"/>
      <c r="J2737" s="226"/>
      <c r="K2737" s="227"/>
    </row>
    <row r="2738" spans="1:11" x14ac:dyDescent="0.35">
      <c r="A2738" s="221"/>
      <c r="B2738" s="222"/>
      <c r="C2738" s="222"/>
      <c r="D2738" s="222"/>
      <c r="E2738" s="223"/>
      <c r="G2738" s="221"/>
      <c r="H2738" s="222"/>
      <c r="I2738" s="222"/>
      <c r="J2738" s="222"/>
      <c r="K2738" s="223"/>
    </row>
    <row r="2739" spans="1:11" x14ac:dyDescent="0.35">
      <c r="A2739" s="225"/>
      <c r="B2739" s="226"/>
      <c r="C2739" s="226"/>
      <c r="D2739" s="226"/>
      <c r="E2739" s="227"/>
      <c r="G2739" s="225"/>
      <c r="H2739" s="226"/>
      <c r="I2739" s="226"/>
      <c r="J2739" s="226"/>
      <c r="K2739" s="227"/>
    </row>
    <row r="2740" spans="1:11" ht="15" thickBot="1" x14ac:dyDescent="0.4">
      <c r="A2740" s="218" t="s">
        <v>34</v>
      </c>
      <c r="B2740" s="219">
        <f t="shared" ref="B2740:E2740" si="220">SUM(B2735:B2739)</f>
        <v>6051</v>
      </c>
      <c r="C2740" s="219">
        <f t="shared" si="220"/>
        <v>0</v>
      </c>
      <c r="D2740" s="219">
        <f t="shared" si="220"/>
        <v>0</v>
      </c>
      <c r="E2740" s="219">
        <f t="shared" si="220"/>
        <v>1604</v>
      </c>
      <c r="G2740" s="218" t="s">
        <v>34</v>
      </c>
      <c r="H2740" s="219">
        <f t="shared" ref="H2740:K2740" si="221">SUM(H2735:H2739)</f>
        <v>914</v>
      </c>
      <c r="I2740" s="219">
        <f t="shared" si="221"/>
        <v>0</v>
      </c>
      <c r="J2740" s="219">
        <f t="shared" si="221"/>
        <v>0</v>
      </c>
      <c r="K2740" s="219">
        <f t="shared" si="221"/>
        <v>0</v>
      </c>
    </row>
    <row r="2741" spans="1:11" x14ac:dyDescent="0.35">
      <c r="A2741" s="220" t="s">
        <v>305</v>
      </c>
      <c r="B2741" s="220">
        <f t="shared" ref="B2741" si="222">+B2740+C2740+D2740+E2740</f>
        <v>7655</v>
      </c>
      <c r="C2741" s="220"/>
      <c r="D2741" s="220"/>
      <c r="E2741" s="220"/>
      <c r="G2741" s="220" t="s">
        <v>305</v>
      </c>
      <c r="H2741" s="220">
        <f t="shared" ref="H2741" si="223">+H2740+I2740+J2740+K2740</f>
        <v>914</v>
      </c>
      <c r="I2741" s="220"/>
      <c r="J2741" s="220"/>
      <c r="K2741" s="220"/>
    </row>
    <row r="2742" spans="1:11" ht="15" thickBot="1" x14ac:dyDescent="0.4">
      <c r="A2742" s="315" t="s">
        <v>298</v>
      </c>
      <c r="B2742" s="315"/>
      <c r="C2742" s="315"/>
      <c r="D2742" s="315"/>
      <c r="E2742" s="315"/>
      <c r="G2742" s="315" t="s">
        <v>314</v>
      </c>
      <c r="H2742" s="315"/>
      <c r="I2742" s="315"/>
      <c r="J2742" s="315"/>
      <c r="K2742" s="315"/>
    </row>
    <row r="2743" spans="1:11" ht="15" thickTop="1" x14ac:dyDescent="0.35">
      <c r="A2743" s="313">
        <v>45563</v>
      </c>
      <c r="B2743" s="314"/>
      <c r="C2743" s="314"/>
      <c r="D2743" s="314"/>
      <c r="E2743" s="314"/>
      <c r="G2743" s="313">
        <v>45563</v>
      </c>
      <c r="H2743" s="314"/>
      <c r="I2743" s="314"/>
      <c r="J2743" s="314"/>
      <c r="K2743" s="314"/>
    </row>
    <row r="2744" spans="1:11" x14ac:dyDescent="0.35">
      <c r="A2744" s="261" t="s">
        <v>159</v>
      </c>
      <c r="B2744" s="262" t="s">
        <v>299</v>
      </c>
      <c r="C2744" s="262" t="s">
        <v>300</v>
      </c>
      <c r="D2744" s="262" t="s">
        <v>301</v>
      </c>
      <c r="E2744" s="263" t="s">
        <v>302</v>
      </c>
      <c r="G2744" s="264" t="s">
        <v>159</v>
      </c>
      <c r="H2744" s="265" t="s">
        <v>299</v>
      </c>
      <c r="I2744" s="265" t="s">
        <v>300</v>
      </c>
      <c r="J2744" s="265" t="s">
        <v>301</v>
      </c>
      <c r="K2744" s="266" t="s">
        <v>302</v>
      </c>
    </row>
    <row r="2745" spans="1:11" x14ac:dyDescent="0.35">
      <c r="A2745" s="221" t="s">
        <v>303</v>
      </c>
      <c r="B2745" s="222">
        <v>6492</v>
      </c>
      <c r="C2745" s="222"/>
      <c r="D2745" s="222"/>
      <c r="E2745" s="223">
        <v>3781</v>
      </c>
      <c r="G2745" s="221" t="s">
        <v>303</v>
      </c>
      <c r="H2745" s="222">
        <v>5350</v>
      </c>
      <c r="I2745" s="222"/>
      <c r="J2745" s="222"/>
      <c r="K2745" s="223">
        <v>1985</v>
      </c>
    </row>
    <row r="2746" spans="1:11" x14ac:dyDescent="0.35">
      <c r="A2746" s="225" t="s">
        <v>304</v>
      </c>
      <c r="B2746" s="226"/>
      <c r="C2746" s="226"/>
      <c r="D2746" s="226"/>
      <c r="E2746" s="227"/>
      <c r="G2746" s="225"/>
      <c r="H2746" s="226"/>
      <c r="I2746" s="226"/>
      <c r="J2746" s="226"/>
      <c r="K2746" s="227"/>
    </row>
    <row r="2747" spans="1:11" x14ac:dyDescent="0.35">
      <c r="A2747" s="225"/>
      <c r="B2747" s="226"/>
      <c r="C2747" s="226"/>
      <c r="D2747" s="226"/>
      <c r="E2747" s="227"/>
      <c r="G2747" s="225"/>
      <c r="H2747" s="226"/>
      <c r="I2747" s="226"/>
      <c r="J2747" s="226"/>
      <c r="K2747" s="227"/>
    </row>
    <row r="2748" spans="1:11" x14ac:dyDescent="0.35">
      <c r="A2748" s="221"/>
      <c r="B2748" s="222"/>
      <c r="C2748" s="222"/>
      <c r="D2748" s="222"/>
      <c r="E2748" s="223"/>
      <c r="G2748" s="221"/>
      <c r="H2748" s="222"/>
      <c r="I2748" s="222"/>
      <c r="J2748" s="222"/>
      <c r="K2748" s="223"/>
    </row>
    <row r="2749" spans="1:11" x14ac:dyDescent="0.35">
      <c r="A2749" s="225"/>
      <c r="B2749" s="226"/>
      <c r="C2749" s="226"/>
      <c r="D2749" s="226"/>
      <c r="E2749" s="227"/>
      <c r="G2749" s="225"/>
      <c r="H2749" s="226"/>
      <c r="I2749" s="226"/>
      <c r="J2749" s="226"/>
      <c r="K2749" s="227"/>
    </row>
    <row r="2750" spans="1:11" ht="15" thickBot="1" x14ac:dyDescent="0.4">
      <c r="A2750" s="218" t="s">
        <v>34</v>
      </c>
      <c r="B2750" s="219">
        <f t="shared" ref="B2750:E2750" si="224">SUM(B2745:B2749)</f>
        <v>6492</v>
      </c>
      <c r="C2750" s="219">
        <f t="shared" si="224"/>
        <v>0</v>
      </c>
      <c r="D2750" s="219">
        <f t="shared" si="224"/>
        <v>0</v>
      </c>
      <c r="E2750" s="219">
        <f t="shared" si="224"/>
        <v>3781</v>
      </c>
      <c r="G2750" s="218" t="s">
        <v>34</v>
      </c>
      <c r="H2750" s="219">
        <f t="shared" ref="H2750:K2750" si="225">SUM(H2745:H2749)</f>
        <v>5350</v>
      </c>
      <c r="I2750" s="219">
        <f t="shared" si="225"/>
        <v>0</v>
      </c>
      <c r="J2750" s="219">
        <f t="shared" si="225"/>
        <v>0</v>
      </c>
      <c r="K2750" s="219">
        <f t="shared" si="225"/>
        <v>1985</v>
      </c>
    </row>
    <row r="2751" spans="1:11" x14ac:dyDescent="0.35">
      <c r="A2751" s="220" t="s">
        <v>305</v>
      </c>
      <c r="B2751" s="220">
        <f t="shared" ref="B2751" si="226">+B2750+C2750+D2750+E2750</f>
        <v>10273</v>
      </c>
      <c r="C2751" s="220"/>
      <c r="D2751" s="220"/>
      <c r="E2751" s="220"/>
      <c r="G2751" s="220" t="s">
        <v>305</v>
      </c>
      <c r="H2751" s="220">
        <f t="shared" ref="H2751" si="227">+H2750+I2750+J2750+K2750</f>
        <v>7335</v>
      </c>
      <c r="I2751" s="220"/>
      <c r="J2751" s="220"/>
      <c r="K2751" s="220"/>
    </row>
    <row r="2752" spans="1:11" ht="15" thickBot="1" x14ac:dyDescent="0.4">
      <c r="A2752" s="315" t="s">
        <v>298</v>
      </c>
      <c r="B2752" s="315"/>
      <c r="C2752" s="315"/>
      <c r="D2752" s="315"/>
      <c r="E2752" s="315"/>
      <c r="G2752" s="315" t="s">
        <v>314</v>
      </c>
      <c r="H2752" s="315"/>
      <c r="I2752" s="315"/>
      <c r="J2752" s="315"/>
      <c r="K2752" s="315"/>
    </row>
    <row r="2753" spans="1:11" ht="15" thickTop="1" x14ac:dyDescent="0.35">
      <c r="A2753" s="313">
        <v>45564</v>
      </c>
      <c r="B2753" s="314"/>
      <c r="C2753" s="314"/>
      <c r="D2753" s="314"/>
      <c r="E2753" s="314"/>
      <c r="G2753" s="313">
        <v>45564</v>
      </c>
      <c r="H2753" s="314"/>
      <c r="I2753" s="314"/>
      <c r="J2753" s="314"/>
      <c r="K2753" s="314"/>
    </row>
    <row r="2754" spans="1:11" x14ac:dyDescent="0.35">
      <c r="A2754" s="261" t="s">
        <v>159</v>
      </c>
      <c r="B2754" s="262" t="s">
        <v>299</v>
      </c>
      <c r="C2754" s="262" t="s">
        <v>300</v>
      </c>
      <c r="D2754" s="262" t="s">
        <v>301</v>
      </c>
      <c r="E2754" s="263" t="s">
        <v>302</v>
      </c>
      <c r="G2754" s="264" t="s">
        <v>159</v>
      </c>
      <c r="H2754" s="265" t="s">
        <v>299</v>
      </c>
      <c r="I2754" s="265" t="s">
        <v>300</v>
      </c>
      <c r="J2754" s="265" t="s">
        <v>301</v>
      </c>
      <c r="K2754" s="266" t="s">
        <v>302</v>
      </c>
    </row>
    <row r="2755" spans="1:11" x14ac:dyDescent="0.35">
      <c r="A2755" s="221" t="s">
        <v>303</v>
      </c>
      <c r="B2755" s="222">
        <v>16685</v>
      </c>
      <c r="C2755" s="222"/>
      <c r="D2755" s="222"/>
      <c r="E2755" s="223">
        <v>3278</v>
      </c>
      <c r="G2755" s="221" t="s">
        <v>303</v>
      </c>
      <c r="H2755" s="222">
        <v>1774</v>
      </c>
      <c r="I2755" s="222"/>
      <c r="J2755" s="222"/>
      <c r="K2755" s="223">
        <v>1116</v>
      </c>
    </row>
    <row r="2756" spans="1:11" x14ac:dyDescent="0.35">
      <c r="A2756" s="225" t="s">
        <v>304</v>
      </c>
      <c r="B2756" s="226">
        <v>1474</v>
      </c>
      <c r="C2756" s="226"/>
      <c r="D2756" s="226"/>
      <c r="E2756" s="227"/>
      <c r="G2756" s="225"/>
      <c r="H2756" s="226"/>
      <c r="I2756" s="226"/>
      <c r="J2756" s="226"/>
      <c r="K2756" s="227"/>
    </row>
    <row r="2757" spans="1:11" x14ac:dyDescent="0.35">
      <c r="A2757" s="225"/>
      <c r="B2757" s="226"/>
      <c r="C2757" s="226"/>
      <c r="D2757" s="226"/>
      <c r="E2757" s="227"/>
      <c r="G2757" s="225"/>
      <c r="H2757" s="226"/>
      <c r="I2757" s="226"/>
      <c r="J2757" s="226"/>
      <c r="K2757" s="227"/>
    </row>
    <row r="2758" spans="1:11" x14ac:dyDescent="0.35">
      <c r="A2758" s="221"/>
      <c r="B2758" s="222"/>
      <c r="C2758" s="222"/>
      <c r="D2758" s="222"/>
      <c r="E2758" s="223"/>
      <c r="G2758" s="221"/>
      <c r="H2758" s="222"/>
      <c r="I2758" s="222"/>
      <c r="J2758" s="222"/>
      <c r="K2758" s="223"/>
    </row>
    <row r="2759" spans="1:11" x14ac:dyDescent="0.35">
      <c r="A2759" s="225"/>
      <c r="B2759" s="226"/>
      <c r="C2759" s="226"/>
      <c r="D2759" s="226"/>
      <c r="E2759" s="227"/>
      <c r="G2759" s="225"/>
      <c r="H2759" s="226"/>
      <c r="I2759" s="226"/>
      <c r="J2759" s="226"/>
      <c r="K2759" s="227"/>
    </row>
    <row r="2760" spans="1:11" ht="15" thickBot="1" x14ac:dyDescent="0.4">
      <c r="A2760" s="218" t="s">
        <v>34</v>
      </c>
      <c r="B2760" s="219">
        <f t="shared" ref="B2760:E2760" si="228">SUM(B2755:B2759)</f>
        <v>18159</v>
      </c>
      <c r="C2760" s="219">
        <f t="shared" si="228"/>
        <v>0</v>
      </c>
      <c r="D2760" s="219">
        <f t="shared" si="228"/>
        <v>0</v>
      </c>
      <c r="E2760" s="219">
        <f t="shared" si="228"/>
        <v>3278</v>
      </c>
      <c r="G2760" s="218" t="s">
        <v>34</v>
      </c>
      <c r="H2760" s="219">
        <f t="shared" ref="H2760:K2760" si="229">SUM(H2755:H2759)</f>
        <v>1774</v>
      </c>
      <c r="I2760" s="219">
        <f t="shared" si="229"/>
        <v>0</v>
      </c>
      <c r="J2760" s="219">
        <f t="shared" si="229"/>
        <v>0</v>
      </c>
      <c r="K2760" s="219">
        <f t="shared" si="229"/>
        <v>1116</v>
      </c>
    </row>
    <row r="2761" spans="1:11" x14ac:dyDescent="0.35">
      <c r="A2761" s="220" t="s">
        <v>305</v>
      </c>
      <c r="B2761" s="220">
        <f t="shared" ref="B2761" si="230">+B2760+C2760+D2760+E2760</f>
        <v>21437</v>
      </c>
      <c r="C2761" s="220"/>
      <c r="D2761" s="220"/>
      <c r="E2761" s="220"/>
      <c r="G2761" s="220" t="s">
        <v>305</v>
      </c>
      <c r="H2761" s="220">
        <f t="shared" ref="H2761" si="231">+H2760+I2760+J2760+K2760</f>
        <v>2890</v>
      </c>
      <c r="I2761" s="220"/>
      <c r="J2761" s="220"/>
      <c r="K2761" s="220"/>
    </row>
    <row r="2762" spans="1:11" ht="15" thickBot="1" x14ac:dyDescent="0.4">
      <c r="A2762" s="315" t="s">
        <v>298</v>
      </c>
      <c r="B2762" s="315"/>
      <c r="C2762" s="315"/>
      <c r="D2762" s="315"/>
      <c r="E2762" s="315"/>
      <c r="G2762" s="315" t="s">
        <v>314</v>
      </c>
      <c r="H2762" s="315"/>
      <c r="I2762" s="315"/>
      <c r="J2762" s="315"/>
      <c r="K2762" s="315"/>
    </row>
    <row r="2763" spans="1:11" ht="15" thickTop="1" x14ac:dyDescent="0.35">
      <c r="A2763" s="313">
        <v>45565</v>
      </c>
      <c r="B2763" s="314"/>
      <c r="C2763" s="314"/>
      <c r="D2763" s="314"/>
      <c r="E2763" s="314"/>
      <c r="G2763" s="313">
        <v>45565</v>
      </c>
      <c r="H2763" s="314"/>
      <c r="I2763" s="314"/>
      <c r="J2763" s="314"/>
      <c r="K2763" s="314"/>
    </row>
    <row r="2764" spans="1:11" x14ac:dyDescent="0.35">
      <c r="A2764" s="261" t="s">
        <v>159</v>
      </c>
      <c r="B2764" s="262" t="s">
        <v>299</v>
      </c>
      <c r="C2764" s="262" t="s">
        <v>300</v>
      </c>
      <c r="D2764" s="262" t="s">
        <v>301</v>
      </c>
      <c r="E2764" s="263" t="s">
        <v>302</v>
      </c>
      <c r="G2764" s="264" t="s">
        <v>159</v>
      </c>
      <c r="H2764" s="265" t="s">
        <v>299</v>
      </c>
      <c r="I2764" s="265" t="s">
        <v>300</v>
      </c>
      <c r="J2764" s="265" t="s">
        <v>301</v>
      </c>
      <c r="K2764" s="266" t="s">
        <v>302</v>
      </c>
    </row>
    <row r="2765" spans="1:11" x14ac:dyDescent="0.35">
      <c r="A2765" s="221" t="s">
        <v>303</v>
      </c>
      <c r="B2765" s="222">
        <v>7145</v>
      </c>
      <c r="C2765" s="222"/>
      <c r="D2765" s="222"/>
      <c r="E2765" s="223"/>
      <c r="G2765" s="221" t="s">
        <v>303</v>
      </c>
      <c r="H2765" s="222">
        <v>2908</v>
      </c>
      <c r="I2765" s="222"/>
      <c r="J2765" s="222"/>
      <c r="K2765" s="223"/>
    </row>
    <row r="2766" spans="1:11" x14ac:dyDescent="0.35">
      <c r="A2766" s="225" t="s">
        <v>304</v>
      </c>
      <c r="B2766" s="226">
        <v>2363</v>
      </c>
      <c r="C2766" s="226">
        <v>11000</v>
      </c>
      <c r="D2766" s="226"/>
      <c r="E2766" s="227"/>
      <c r="G2766" s="225"/>
      <c r="H2766" s="226"/>
      <c r="I2766" s="226"/>
      <c r="J2766" s="226"/>
      <c r="K2766" s="227"/>
    </row>
    <row r="2767" spans="1:11" x14ac:dyDescent="0.35">
      <c r="A2767" s="225"/>
      <c r="B2767" s="226"/>
      <c r="C2767" s="226"/>
      <c r="D2767" s="226"/>
      <c r="E2767" s="227"/>
      <c r="G2767" s="225"/>
      <c r="H2767" s="226"/>
      <c r="I2767" s="226"/>
      <c r="J2767" s="226"/>
      <c r="K2767" s="227"/>
    </row>
    <row r="2768" spans="1:11" x14ac:dyDescent="0.35">
      <c r="A2768" s="221"/>
      <c r="B2768" s="222"/>
      <c r="C2768" s="222"/>
      <c r="D2768" s="222"/>
      <c r="E2768" s="223"/>
      <c r="G2768" s="221"/>
      <c r="H2768" s="222"/>
      <c r="I2768" s="222"/>
      <c r="J2768" s="222"/>
      <c r="K2768" s="223"/>
    </row>
    <row r="2769" spans="1:13" x14ac:dyDescent="0.35">
      <c r="A2769" s="225"/>
      <c r="B2769" s="226"/>
      <c r="C2769" s="226"/>
      <c r="D2769" s="226"/>
      <c r="E2769" s="227"/>
      <c r="G2769" s="225"/>
      <c r="H2769" s="226"/>
      <c r="I2769" s="226"/>
      <c r="J2769" s="226"/>
      <c r="K2769" s="227"/>
    </row>
    <row r="2770" spans="1:13" ht="15" thickBot="1" x14ac:dyDescent="0.4">
      <c r="A2770" s="218" t="s">
        <v>34</v>
      </c>
      <c r="B2770" s="219">
        <f t="shared" ref="B2770:E2770" si="232">SUM(B2765:B2769)</f>
        <v>9508</v>
      </c>
      <c r="C2770" s="219">
        <f t="shared" si="232"/>
        <v>11000</v>
      </c>
      <c r="D2770" s="219">
        <f t="shared" si="232"/>
        <v>0</v>
      </c>
      <c r="E2770" s="219">
        <f t="shared" si="232"/>
        <v>0</v>
      </c>
      <c r="G2770" s="218" t="s">
        <v>34</v>
      </c>
      <c r="H2770" s="219">
        <f t="shared" ref="H2770:K2770" si="233">SUM(H2765:H2769)</f>
        <v>2908</v>
      </c>
      <c r="I2770" s="219">
        <f t="shared" si="233"/>
        <v>0</v>
      </c>
      <c r="J2770" s="219">
        <f t="shared" si="233"/>
        <v>0</v>
      </c>
      <c r="K2770" s="219">
        <f t="shared" si="233"/>
        <v>0</v>
      </c>
    </row>
    <row r="2771" spans="1:13" x14ac:dyDescent="0.35">
      <c r="A2771" s="220" t="s">
        <v>305</v>
      </c>
      <c r="B2771" s="220">
        <f t="shared" ref="B2771" si="234">+B2770+C2770+D2770+E2770</f>
        <v>20508</v>
      </c>
      <c r="C2771" s="220"/>
      <c r="D2771" s="220"/>
      <c r="E2771" s="220"/>
      <c r="G2771" s="220" t="s">
        <v>305</v>
      </c>
      <c r="H2771" s="220">
        <f t="shared" ref="H2771" si="235">+H2770+I2770+J2770+K2770</f>
        <v>2908</v>
      </c>
      <c r="I2771" s="220"/>
      <c r="J2771" s="220"/>
      <c r="K2771" s="220"/>
    </row>
    <row r="2774" spans="1:13" ht="15" thickBot="1" x14ac:dyDescent="0.4"/>
    <row r="2775" spans="1:13" ht="34.5" customHeight="1" thickBot="1" x14ac:dyDescent="0.4">
      <c r="A2775" s="316" t="s">
        <v>335</v>
      </c>
      <c r="B2775" s="317"/>
      <c r="C2775" s="317"/>
      <c r="D2775" s="317"/>
      <c r="E2775" s="317"/>
      <c r="F2775" s="318"/>
      <c r="G2775" s="324">
        <f>SUMIF($A$2474:M2774,"*"&amp;K2775&amp;"*",$B$2474:N2774)</f>
        <v>433121</v>
      </c>
      <c r="H2775" s="319"/>
      <c r="I2775" s="319"/>
      <c r="J2775" s="325"/>
      <c r="K2775" s="322" t="s">
        <v>305</v>
      </c>
      <c r="L2775" s="323"/>
      <c r="M2775" s="228">
        <f>+G2775</f>
        <v>433121</v>
      </c>
    </row>
    <row r="2777" spans="1:13" ht="15" thickBot="1" x14ac:dyDescent="0.4">
      <c r="A2777" s="315" t="s">
        <v>298</v>
      </c>
      <c r="B2777" s="315"/>
      <c r="C2777" s="315"/>
      <c r="D2777" s="315"/>
      <c r="E2777" s="315"/>
      <c r="G2777" s="315" t="s">
        <v>314</v>
      </c>
      <c r="H2777" s="315"/>
      <c r="I2777" s="315"/>
      <c r="J2777" s="315"/>
      <c r="K2777" s="315"/>
    </row>
    <row r="2778" spans="1:13" ht="15" thickTop="1" x14ac:dyDescent="0.35">
      <c r="A2778" s="313">
        <v>45566</v>
      </c>
      <c r="B2778" s="314"/>
      <c r="C2778" s="314"/>
      <c r="D2778" s="314"/>
      <c r="E2778" s="314"/>
      <c r="G2778" s="313">
        <v>45566</v>
      </c>
      <c r="H2778" s="314"/>
      <c r="I2778" s="314"/>
      <c r="J2778" s="314"/>
      <c r="K2778" s="314"/>
    </row>
    <row r="2779" spans="1:13" x14ac:dyDescent="0.35">
      <c r="A2779" s="261" t="s">
        <v>159</v>
      </c>
      <c r="B2779" s="262" t="s">
        <v>299</v>
      </c>
      <c r="C2779" s="262" t="s">
        <v>300</v>
      </c>
      <c r="D2779" s="262" t="s">
        <v>301</v>
      </c>
      <c r="E2779" s="263" t="s">
        <v>302</v>
      </c>
      <c r="G2779" s="264" t="s">
        <v>159</v>
      </c>
      <c r="H2779" s="265" t="s">
        <v>299</v>
      </c>
      <c r="I2779" s="265" t="s">
        <v>300</v>
      </c>
      <c r="J2779" s="265" t="s">
        <v>301</v>
      </c>
      <c r="K2779" s="266" t="s">
        <v>302</v>
      </c>
    </row>
    <row r="2780" spans="1:13" x14ac:dyDescent="0.35">
      <c r="A2780" s="221" t="s">
        <v>303</v>
      </c>
      <c r="B2780" s="222"/>
      <c r="C2780" s="222"/>
      <c r="D2780" s="222"/>
      <c r="E2780" s="223"/>
      <c r="G2780" s="221" t="s">
        <v>303</v>
      </c>
      <c r="H2780" s="222"/>
      <c r="I2780" s="222"/>
      <c r="J2780" s="222"/>
      <c r="K2780" s="223"/>
    </row>
    <row r="2781" spans="1:13" x14ac:dyDescent="0.35">
      <c r="A2781" s="225" t="s">
        <v>304</v>
      </c>
      <c r="B2781" s="226"/>
      <c r="C2781" s="226"/>
      <c r="D2781" s="226"/>
      <c r="E2781" s="227"/>
      <c r="G2781" s="225"/>
      <c r="H2781" s="226"/>
      <c r="I2781" s="226"/>
      <c r="J2781" s="226"/>
      <c r="K2781" s="227"/>
    </row>
    <row r="2782" spans="1:13" x14ac:dyDescent="0.35">
      <c r="A2782" s="225"/>
      <c r="B2782" s="226"/>
      <c r="C2782" s="226"/>
      <c r="D2782" s="226"/>
      <c r="E2782" s="227"/>
      <c r="G2782" s="225"/>
      <c r="H2782" s="226"/>
      <c r="I2782" s="226"/>
      <c r="J2782" s="226"/>
      <c r="K2782" s="227"/>
    </row>
    <row r="2783" spans="1:13" x14ac:dyDescent="0.35">
      <c r="A2783" s="221"/>
      <c r="B2783" s="222"/>
      <c r="C2783" s="222"/>
      <c r="D2783" s="222"/>
      <c r="E2783" s="223"/>
      <c r="G2783" s="221"/>
      <c r="H2783" s="222"/>
      <c r="I2783" s="222"/>
      <c r="J2783" s="222"/>
      <c r="K2783" s="223"/>
    </row>
    <row r="2784" spans="1:13" x14ac:dyDescent="0.35">
      <c r="A2784" s="225"/>
      <c r="B2784" s="226"/>
      <c r="C2784" s="226"/>
      <c r="D2784" s="226"/>
      <c r="E2784" s="227"/>
      <c r="G2784" s="225"/>
      <c r="H2784" s="226"/>
      <c r="I2784" s="226"/>
      <c r="J2784" s="226"/>
      <c r="K2784" s="227"/>
    </row>
    <row r="2785" spans="1:11" ht="15" thickBot="1" x14ac:dyDescent="0.4">
      <c r="A2785" s="218" t="s">
        <v>34</v>
      </c>
      <c r="B2785" s="219">
        <f>SUM(B2780:B2784)</f>
        <v>0</v>
      </c>
      <c r="C2785" s="219">
        <f>SUM(C2780:C2784)</f>
        <v>0</v>
      </c>
      <c r="D2785" s="219">
        <f>SUM(D2780:D2784)</f>
        <v>0</v>
      </c>
      <c r="E2785" s="219">
        <f>SUM(E2780:E2784)</f>
        <v>0</v>
      </c>
      <c r="G2785" s="218" t="s">
        <v>34</v>
      </c>
      <c r="H2785" s="219">
        <f>SUM(H2780:H2784)</f>
        <v>0</v>
      </c>
      <c r="I2785" s="219">
        <f>SUM(I2780:I2784)</f>
        <v>0</v>
      </c>
      <c r="J2785" s="219">
        <f>SUM(J2780:J2784)</f>
        <v>0</v>
      </c>
      <c r="K2785" s="219">
        <f>SUM(K2780:K2784)</f>
        <v>0</v>
      </c>
    </row>
    <row r="2786" spans="1:11" x14ac:dyDescent="0.35">
      <c r="A2786" s="220" t="s">
        <v>305</v>
      </c>
      <c r="B2786" s="220">
        <f>+B2785+C2785+D2785+E2785</f>
        <v>0</v>
      </c>
      <c r="C2786" s="220"/>
      <c r="D2786" s="220"/>
      <c r="E2786" s="220"/>
      <c r="G2786" s="220" t="s">
        <v>305</v>
      </c>
      <c r="H2786" s="220">
        <f>+H2785+I2785+J2785+K2785</f>
        <v>0</v>
      </c>
      <c r="I2786" s="220"/>
      <c r="J2786" s="220"/>
      <c r="K2786" s="220"/>
    </row>
    <row r="2787" spans="1:11" ht="15" thickBot="1" x14ac:dyDescent="0.4">
      <c r="A2787" s="315" t="s">
        <v>298</v>
      </c>
      <c r="B2787" s="315"/>
      <c r="C2787" s="315"/>
      <c r="D2787" s="315"/>
      <c r="E2787" s="315"/>
      <c r="G2787" s="315" t="s">
        <v>314</v>
      </c>
      <c r="H2787" s="315"/>
      <c r="I2787" s="315"/>
      <c r="J2787" s="315"/>
      <c r="K2787" s="315"/>
    </row>
    <row r="2788" spans="1:11" ht="15" thickTop="1" x14ac:dyDescent="0.35">
      <c r="A2788" s="313">
        <v>45567</v>
      </c>
      <c r="B2788" s="314"/>
      <c r="C2788" s="314"/>
      <c r="D2788" s="314"/>
      <c r="E2788" s="314"/>
      <c r="G2788" s="313">
        <v>45567</v>
      </c>
      <c r="H2788" s="314"/>
      <c r="I2788" s="314"/>
      <c r="J2788" s="314"/>
      <c r="K2788" s="314"/>
    </row>
    <row r="2789" spans="1:11" x14ac:dyDescent="0.35">
      <c r="A2789" s="261" t="s">
        <v>159</v>
      </c>
      <c r="B2789" s="262" t="s">
        <v>299</v>
      </c>
      <c r="C2789" s="262" t="s">
        <v>300</v>
      </c>
      <c r="D2789" s="262" t="s">
        <v>301</v>
      </c>
      <c r="E2789" s="263" t="s">
        <v>302</v>
      </c>
      <c r="G2789" s="264" t="s">
        <v>159</v>
      </c>
      <c r="H2789" s="265" t="s">
        <v>299</v>
      </c>
      <c r="I2789" s="265" t="s">
        <v>300</v>
      </c>
      <c r="J2789" s="265" t="s">
        <v>301</v>
      </c>
      <c r="K2789" s="266" t="s">
        <v>302</v>
      </c>
    </row>
    <row r="2790" spans="1:11" x14ac:dyDescent="0.35">
      <c r="A2790" s="221" t="s">
        <v>303</v>
      </c>
      <c r="B2790" s="222">
        <v>2732</v>
      </c>
      <c r="C2790" s="222"/>
      <c r="D2790" s="222"/>
      <c r="E2790" s="223"/>
      <c r="G2790" s="221" t="s">
        <v>303</v>
      </c>
      <c r="H2790" s="222"/>
      <c r="I2790" s="222"/>
      <c r="J2790" s="222"/>
      <c r="K2790" s="223"/>
    </row>
    <row r="2791" spans="1:11" x14ac:dyDescent="0.35">
      <c r="A2791" s="225" t="s">
        <v>304</v>
      </c>
      <c r="B2791" s="226">
        <v>6097</v>
      </c>
      <c r="C2791" s="226"/>
      <c r="D2791" s="226"/>
      <c r="E2791" s="227"/>
      <c r="G2791" s="225"/>
      <c r="H2791" s="226"/>
      <c r="I2791" s="226"/>
      <c r="J2791" s="226"/>
      <c r="K2791" s="227"/>
    </row>
    <row r="2792" spans="1:11" x14ac:dyDescent="0.35">
      <c r="A2792" s="225"/>
      <c r="B2792" s="226"/>
      <c r="C2792" s="226"/>
      <c r="D2792" s="226"/>
      <c r="E2792" s="227"/>
      <c r="G2792" s="225"/>
      <c r="H2792" s="226"/>
      <c r="I2792" s="226"/>
      <c r="J2792" s="226"/>
      <c r="K2792" s="227"/>
    </row>
    <row r="2793" spans="1:11" x14ac:dyDescent="0.35">
      <c r="A2793" s="221"/>
      <c r="B2793" s="222"/>
      <c r="C2793" s="222"/>
      <c r="D2793" s="222"/>
      <c r="E2793" s="223"/>
      <c r="G2793" s="221"/>
      <c r="H2793" s="222"/>
      <c r="I2793" s="222"/>
      <c r="J2793" s="222"/>
      <c r="K2793" s="223"/>
    </row>
    <row r="2794" spans="1:11" x14ac:dyDescent="0.35">
      <c r="A2794" s="225"/>
      <c r="B2794" s="226"/>
      <c r="C2794" s="226"/>
      <c r="D2794" s="226"/>
      <c r="E2794" s="227"/>
      <c r="G2794" s="225"/>
      <c r="H2794" s="226"/>
      <c r="I2794" s="226"/>
      <c r="J2794" s="226"/>
      <c r="K2794" s="227"/>
    </row>
    <row r="2795" spans="1:11" ht="15" thickBot="1" x14ac:dyDescent="0.4">
      <c r="A2795" s="218" t="s">
        <v>34</v>
      </c>
      <c r="B2795" s="219">
        <f>SUM(B2790:B2794)</f>
        <v>8829</v>
      </c>
      <c r="C2795" s="219">
        <f>SUM(C2790:C2794)</f>
        <v>0</v>
      </c>
      <c r="D2795" s="219">
        <f>SUM(D2790:D2794)</f>
        <v>0</v>
      </c>
      <c r="E2795" s="219">
        <f>SUM(E2790:E2794)</f>
        <v>0</v>
      </c>
      <c r="G2795" s="218" t="s">
        <v>34</v>
      </c>
      <c r="H2795" s="219">
        <f>SUM(H2790:H2794)</f>
        <v>0</v>
      </c>
      <c r="I2795" s="219">
        <f>SUM(I2790:I2794)</f>
        <v>0</v>
      </c>
      <c r="J2795" s="219">
        <f>SUM(J2790:J2794)</f>
        <v>0</v>
      </c>
      <c r="K2795" s="219">
        <f>SUM(K2790:K2794)</f>
        <v>0</v>
      </c>
    </row>
    <row r="2796" spans="1:11" x14ac:dyDescent="0.35">
      <c r="A2796" s="220" t="s">
        <v>305</v>
      </c>
      <c r="B2796" s="220">
        <f>+B2795+C2795+D2795+E2795</f>
        <v>8829</v>
      </c>
      <c r="C2796" s="220"/>
      <c r="D2796" s="220"/>
      <c r="E2796" s="220"/>
      <c r="G2796" s="220" t="s">
        <v>305</v>
      </c>
      <c r="H2796" s="220">
        <f>+H2795+I2795+J2795+K2795</f>
        <v>0</v>
      </c>
      <c r="I2796" s="220"/>
      <c r="J2796" s="220"/>
      <c r="K2796" s="220"/>
    </row>
    <row r="2797" spans="1:11" ht="15" thickBot="1" x14ac:dyDescent="0.4">
      <c r="A2797" s="315" t="s">
        <v>298</v>
      </c>
      <c r="B2797" s="315"/>
      <c r="C2797" s="315"/>
      <c r="D2797" s="315"/>
      <c r="E2797" s="315"/>
      <c r="G2797" s="315" t="s">
        <v>314</v>
      </c>
      <c r="H2797" s="315"/>
      <c r="I2797" s="315"/>
      <c r="J2797" s="315"/>
      <c r="K2797" s="315"/>
    </row>
    <row r="2798" spans="1:11" ht="15" thickTop="1" x14ac:dyDescent="0.35">
      <c r="A2798" s="313">
        <v>45568</v>
      </c>
      <c r="B2798" s="314"/>
      <c r="C2798" s="314"/>
      <c r="D2798" s="314"/>
      <c r="E2798" s="314"/>
      <c r="G2798" s="313">
        <v>45568</v>
      </c>
      <c r="H2798" s="314"/>
      <c r="I2798" s="314"/>
      <c r="J2798" s="314"/>
      <c r="K2798" s="314"/>
    </row>
    <row r="2799" spans="1:11" x14ac:dyDescent="0.35">
      <c r="A2799" s="261" t="s">
        <v>159</v>
      </c>
      <c r="B2799" s="262" t="s">
        <v>299</v>
      </c>
      <c r="C2799" s="262" t="s">
        <v>300</v>
      </c>
      <c r="D2799" s="262" t="s">
        <v>301</v>
      </c>
      <c r="E2799" s="263" t="s">
        <v>302</v>
      </c>
      <c r="G2799" s="264" t="s">
        <v>159</v>
      </c>
      <c r="H2799" s="265" t="s">
        <v>299</v>
      </c>
      <c r="I2799" s="265" t="s">
        <v>300</v>
      </c>
      <c r="J2799" s="265" t="s">
        <v>301</v>
      </c>
      <c r="K2799" s="266" t="s">
        <v>302</v>
      </c>
    </row>
    <row r="2800" spans="1:11" x14ac:dyDescent="0.35">
      <c r="A2800" s="221" t="s">
        <v>303</v>
      </c>
      <c r="B2800" s="222">
        <v>8767</v>
      </c>
      <c r="C2800" s="222"/>
      <c r="D2800" s="222"/>
      <c r="E2800" s="223"/>
      <c r="G2800" s="221" t="s">
        <v>303</v>
      </c>
      <c r="H2800" s="222">
        <v>909</v>
      </c>
      <c r="I2800" s="222"/>
      <c r="J2800" s="222"/>
      <c r="K2800" s="223"/>
    </row>
    <row r="2801" spans="1:11" x14ac:dyDescent="0.35">
      <c r="A2801" s="225" t="s">
        <v>304</v>
      </c>
      <c r="B2801" s="226"/>
      <c r="C2801" s="226"/>
      <c r="D2801" s="226"/>
      <c r="E2801" s="227"/>
      <c r="G2801" s="225"/>
      <c r="H2801" s="226"/>
      <c r="I2801" s="226"/>
      <c r="J2801" s="226"/>
      <c r="K2801" s="227"/>
    </row>
    <row r="2802" spans="1:11" x14ac:dyDescent="0.35">
      <c r="A2802" s="225"/>
      <c r="B2802" s="226"/>
      <c r="C2802" s="226"/>
      <c r="D2802" s="226"/>
      <c r="E2802" s="227"/>
      <c r="G2802" s="225"/>
      <c r="H2802" s="226"/>
      <c r="I2802" s="226"/>
      <c r="J2802" s="226"/>
      <c r="K2802" s="227"/>
    </row>
    <row r="2803" spans="1:11" x14ac:dyDescent="0.35">
      <c r="A2803" s="221"/>
      <c r="B2803" s="222"/>
      <c r="C2803" s="222"/>
      <c r="D2803" s="222"/>
      <c r="E2803" s="223"/>
      <c r="G2803" s="221"/>
      <c r="H2803" s="222"/>
      <c r="I2803" s="222"/>
      <c r="J2803" s="222"/>
      <c r="K2803" s="223"/>
    </row>
    <row r="2804" spans="1:11" x14ac:dyDescent="0.35">
      <c r="A2804" s="225"/>
      <c r="B2804" s="226"/>
      <c r="C2804" s="226"/>
      <c r="D2804" s="226"/>
      <c r="E2804" s="227"/>
      <c r="G2804" s="225"/>
      <c r="H2804" s="226"/>
      <c r="I2804" s="226"/>
      <c r="J2804" s="226"/>
      <c r="K2804" s="227"/>
    </row>
    <row r="2805" spans="1:11" ht="15" thickBot="1" x14ac:dyDescent="0.4">
      <c r="A2805" s="218" t="s">
        <v>34</v>
      </c>
      <c r="B2805" s="219">
        <f>SUM(B2800:B2804)</f>
        <v>8767</v>
      </c>
      <c r="C2805" s="219">
        <f>SUM(C2800:C2804)</f>
        <v>0</v>
      </c>
      <c r="D2805" s="219">
        <f>SUM(D2800:D2804)</f>
        <v>0</v>
      </c>
      <c r="E2805" s="219">
        <f>SUM(E2800:E2804)</f>
        <v>0</v>
      </c>
      <c r="G2805" s="218" t="s">
        <v>34</v>
      </c>
      <c r="H2805" s="219">
        <f>SUM(H2800:H2804)</f>
        <v>909</v>
      </c>
      <c r="I2805" s="219">
        <f>SUM(I2800:I2804)</f>
        <v>0</v>
      </c>
      <c r="J2805" s="219">
        <f>SUM(J2800:J2804)</f>
        <v>0</v>
      </c>
      <c r="K2805" s="219">
        <f>SUM(K2800:K2804)</f>
        <v>0</v>
      </c>
    </row>
    <row r="2806" spans="1:11" x14ac:dyDescent="0.35">
      <c r="A2806" s="220" t="s">
        <v>305</v>
      </c>
      <c r="B2806" s="220">
        <f>+B2805+C2805+D2805+E2805</f>
        <v>8767</v>
      </c>
      <c r="C2806" s="220"/>
      <c r="D2806" s="220"/>
      <c r="E2806" s="220"/>
      <c r="G2806" s="220" t="s">
        <v>305</v>
      </c>
      <c r="H2806" s="220">
        <f>+H2805+I2805+J2805+K2805</f>
        <v>909</v>
      </c>
      <c r="I2806" s="220"/>
      <c r="J2806" s="220"/>
      <c r="K2806" s="220"/>
    </row>
    <row r="2807" spans="1:11" ht="15" thickBot="1" x14ac:dyDescent="0.4">
      <c r="A2807" s="315" t="s">
        <v>298</v>
      </c>
      <c r="B2807" s="315"/>
      <c r="C2807" s="315"/>
      <c r="D2807" s="315"/>
      <c r="E2807" s="315"/>
      <c r="G2807" s="315" t="s">
        <v>314</v>
      </c>
      <c r="H2807" s="315"/>
      <c r="I2807" s="315"/>
      <c r="J2807" s="315"/>
      <c r="K2807" s="315"/>
    </row>
    <row r="2808" spans="1:11" ht="15" thickTop="1" x14ac:dyDescent="0.35">
      <c r="A2808" s="313">
        <v>45569</v>
      </c>
      <c r="B2808" s="314"/>
      <c r="C2808" s="314"/>
      <c r="D2808" s="314"/>
      <c r="E2808" s="314"/>
      <c r="G2808" s="313">
        <v>45569</v>
      </c>
      <c r="H2808" s="314"/>
      <c r="I2808" s="314"/>
      <c r="J2808" s="314"/>
      <c r="K2808" s="314"/>
    </row>
    <row r="2809" spans="1:11" x14ac:dyDescent="0.35">
      <c r="A2809" s="261" t="s">
        <v>159</v>
      </c>
      <c r="B2809" s="262" t="s">
        <v>299</v>
      </c>
      <c r="C2809" s="262" t="s">
        <v>300</v>
      </c>
      <c r="D2809" s="262" t="s">
        <v>301</v>
      </c>
      <c r="E2809" s="263" t="s">
        <v>302</v>
      </c>
      <c r="G2809" s="264" t="s">
        <v>159</v>
      </c>
      <c r="H2809" s="265" t="s">
        <v>299</v>
      </c>
      <c r="I2809" s="265" t="s">
        <v>300</v>
      </c>
      <c r="J2809" s="265" t="s">
        <v>301</v>
      </c>
      <c r="K2809" s="266" t="s">
        <v>302</v>
      </c>
    </row>
    <row r="2810" spans="1:11" x14ac:dyDescent="0.35">
      <c r="A2810" s="221" t="s">
        <v>303</v>
      </c>
      <c r="B2810" s="222">
        <v>5207</v>
      </c>
      <c r="C2810" s="222"/>
      <c r="D2810" s="222"/>
      <c r="E2810" s="223">
        <v>4223</v>
      </c>
      <c r="G2810" s="221" t="s">
        <v>303</v>
      </c>
      <c r="H2810" s="222">
        <v>2079</v>
      </c>
      <c r="I2810" s="222"/>
      <c r="J2810" s="222"/>
      <c r="K2810" s="223">
        <v>240</v>
      </c>
    </row>
    <row r="2811" spans="1:11" x14ac:dyDescent="0.35">
      <c r="A2811" s="225" t="s">
        <v>304</v>
      </c>
      <c r="B2811" s="226"/>
      <c r="C2811" s="226"/>
      <c r="D2811" s="226"/>
      <c r="E2811" s="227"/>
      <c r="G2811" s="225"/>
      <c r="H2811" s="226"/>
      <c r="I2811" s="226"/>
      <c r="J2811" s="226"/>
      <c r="K2811" s="227"/>
    </row>
    <row r="2812" spans="1:11" x14ac:dyDescent="0.35">
      <c r="A2812" s="225"/>
      <c r="B2812" s="226"/>
      <c r="C2812" s="226"/>
      <c r="D2812" s="226"/>
      <c r="E2812" s="227"/>
      <c r="G2812" s="225"/>
      <c r="H2812" s="226"/>
      <c r="I2812" s="226"/>
      <c r="J2812" s="226"/>
      <c r="K2812" s="227"/>
    </row>
    <row r="2813" spans="1:11" x14ac:dyDescent="0.35">
      <c r="A2813" s="221"/>
      <c r="B2813" s="222"/>
      <c r="C2813" s="222"/>
      <c r="D2813" s="222"/>
      <c r="E2813" s="223"/>
      <c r="G2813" s="221"/>
      <c r="H2813" s="222"/>
      <c r="I2813" s="222"/>
      <c r="J2813" s="222"/>
      <c r="K2813" s="223"/>
    </row>
    <row r="2814" spans="1:11" x14ac:dyDescent="0.35">
      <c r="A2814" s="225"/>
      <c r="B2814" s="226"/>
      <c r="C2814" s="226"/>
      <c r="D2814" s="226"/>
      <c r="E2814" s="227"/>
      <c r="G2814" s="225"/>
      <c r="H2814" s="226"/>
      <c r="I2814" s="226"/>
      <c r="J2814" s="226"/>
      <c r="K2814" s="227"/>
    </row>
    <row r="2815" spans="1:11" ht="15" thickBot="1" x14ac:dyDescent="0.4">
      <c r="A2815" s="218" t="s">
        <v>34</v>
      </c>
      <c r="B2815" s="219">
        <f>SUM(B2810:B2814)</f>
        <v>5207</v>
      </c>
      <c r="C2815" s="219">
        <f>SUM(C2810:C2814)</f>
        <v>0</v>
      </c>
      <c r="D2815" s="219">
        <f>SUM(D2810:D2814)</f>
        <v>0</v>
      </c>
      <c r="E2815" s="219">
        <f>SUM(E2810:E2814)</f>
        <v>4223</v>
      </c>
      <c r="G2815" s="218" t="s">
        <v>34</v>
      </c>
      <c r="H2815" s="219">
        <f>SUM(H2810:H2814)</f>
        <v>2079</v>
      </c>
      <c r="I2815" s="219">
        <f>SUM(I2810:I2814)</f>
        <v>0</v>
      </c>
      <c r="J2815" s="219">
        <f>SUM(J2810:J2814)</f>
        <v>0</v>
      </c>
      <c r="K2815" s="219">
        <f>SUM(K2810:K2814)</f>
        <v>240</v>
      </c>
    </row>
    <row r="2816" spans="1:11" x14ac:dyDescent="0.35">
      <c r="A2816" s="220" t="s">
        <v>305</v>
      </c>
      <c r="B2816" s="220">
        <f>+B2815+C2815+D2815+E2815</f>
        <v>9430</v>
      </c>
      <c r="C2816" s="220"/>
      <c r="D2816" s="220"/>
      <c r="E2816" s="220"/>
      <c r="G2816" s="220" t="s">
        <v>305</v>
      </c>
      <c r="H2816" s="220">
        <f>+H2815+I2815+J2815+K2815</f>
        <v>2319</v>
      </c>
      <c r="I2816" s="220"/>
      <c r="J2816" s="220"/>
      <c r="K2816" s="220"/>
    </row>
    <row r="2817" spans="1:11" ht="15" thickBot="1" x14ac:dyDescent="0.4">
      <c r="A2817" s="315" t="s">
        <v>298</v>
      </c>
      <c r="B2817" s="315"/>
      <c r="C2817" s="315"/>
      <c r="D2817" s="315"/>
      <c r="E2817" s="315"/>
      <c r="G2817" s="315" t="s">
        <v>314</v>
      </c>
      <c r="H2817" s="315"/>
      <c r="I2817" s="315"/>
      <c r="J2817" s="315"/>
      <c r="K2817" s="315"/>
    </row>
    <row r="2818" spans="1:11" ht="15" thickTop="1" x14ac:dyDescent="0.35">
      <c r="A2818" s="313">
        <v>45570</v>
      </c>
      <c r="B2818" s="314"/>
      <c r="C2818" s="314"/>
      <c r="D2818" s="314"/>
      <c r="E2818" s="314"/>
      <c r="G2818" s="313">
        <v>45570</v>
      </c>
      <c r="H2818" s="314"/>
      <c r="I2818" s="314"/>
      <c r="J2818" s="314"/>
      <c r="K2818" s="314"/>
    </row>
    <row r="2819" spans="1:11" x14ac:dyDescent="0.35">
      <c r="A2819" s="261" t="s">
        <v>159</v>
      </c>
      <c r="B2819" s="262" t="s">
        <v>299</v>
      </c>
      <c r="C2819" s="262" t="s">
        <v>300</v>
      </c>
      <c r="D2819" s="262" t="s">
        <v>301</v>
      </c>
      <c r="E2819" s="263" t="s">
        <v>302</v>
      </c>
      <c r="G2819" s="264" t="s">
        <v>159</v>
      </c>
      <c r="H2819" s="265" t="s">
        <v>299</v>
      </c>
      <c r="I2819" s="265" t="s">
        <v>300</v>
      </c>
      <c r="J2819" s="265" t="s">
        <v>301</v>
      </c>
      <c r="K2819" s="266" t="s">
        <v>302</v>
      </c>
    </row>
    <row r="2820" spans="1:11" x14ac:dyDescent="0.35">
      <c r="A2820" s="221" t="s">
        <v>303</v>
      </c>
      <c r="B2820" s="222">
        <v>16967</v>
      </c>
      <c r="C2820" s="222"/>
      <c r="D2820" s="222"/>
      <c r="E2820" s="223">
        <v>1095</v>
      </c>
      <c r="G2820" s="221" t="s">
        <v>303</v>
      </c>
      <c r="H2820" s="222">
        <v>4120</v>
      </c>
      <c r="I2820" s="222"/>
      <c r="J2820" s="222"/>
      <c r="K2820" s="223">
        <v>286</v>
      </c>
    </row>
    <row r="2821" spans="1:11" x14ac:dyDescent="0.35">
      <c r="A2821" s="225" t="s">
        <v>304</v>
      </c>
      <c r="B2821" s="226">
        <v>5000</v>
      </c>
      <c r="C2821" s="226"/>
      <c r="D2821" s="226"/>
      <c r="E2821" s="227"/>
      <c r="G2821" s="225"/>
      <c r="H2821" s="226"/>
      <c r="I2821" s="226"/>
      <c r="J2821" s="226"/>
      <c r="K2821" s="227"/>
    </row>
    <row r="2822" spans="1:11" x14ac:dyDescent="0.35">
      <c r="A2822" s="225"/>
      <c r="B2822" s="226"/>
      <c r="C2822" s="226"/>
      <c r="D2822" s="226"/>
      <c r="E2822" s="227"/>
      <c r="G2822" s="225"/>
      <c r="H2822" s="226"/>
      <c r="I2822" s="226"/>
      <c r="J2822" s="226"/>
      <c r="K2822" s="227"/>
    </row>
    <row r="2823" spans="1:11" x14ac:dyDescent="0.35">
      <c r="A2823" s="221"/>
      <c r="B2823" s="222"/>
      <c r="C2823" s="222"/>
      <c r="D2823" s="222"/>
      <c r="E2823" s="223"/>
      <c r="G2823" s="221"/>
      <c r="H2823" s="222"/>
      <c r="I2823" s="222"/>
      <c r="J2823" s="222"/>
      <c r="K2823" s="223"/>
    </row>
    <row r="2824" spans="1:11" x14ac:dyDescent="0.35">
      <c r="A2824" s="225"/>
      <c r="B2824" s="226"/>
      <c r="C2824" s="226"/>
      <c r="D2824" s="226"/>
      <c r="E2824" s="227"/>
      <c r="G2824" s="225"/>
      <c r="H2824" s="226"/>
      <c r="I2824" s="226"/>
      <c r="J2824" s="226"/>
      <c r="K2824" s="227"/>
    </row>
    <row r="2825" spans="1:11" ht="15" thickBot="1" x14ac:dyDescent="0.4">
      <c r="A2825" s="218" t="s">
        <v>34</v>
      </c>
      <c r="B2825" s="219">
        <f>SUM(B2820:B2824)</f>
        <v>21967</v>
      </c>
      <c r="C2825" s="219">
        <f>SUM(C2820:C2824)</f>
        <v>0</v>
      </c>
      <c r="D2825" s="219">
        <f>SUM(D2820:D2824)</f>
        <v>0</v>
      </c>
      <c r="E2825" s="219">
        <f>SUM(E2820:E2824)</f>
        <v>1095</v>
      </c>
      <c r="G2825" s="218" t="s">
        <v>34</v>
      </c>
      <c r="H2825" s="219">
        <f>SUM(H2820:H2824)</f>
        <v>4120</v>
      </c>
      <c r="I2825" s="219">
        <f>SUM(I2820:I2824)</f>
        <v>0</v>
      </c>
      <c r="J2825" s="219">
        <f>SUM(J2820:J2824)</f>
        <v>0</v>
      </c>
      <c r="K2825" s="219">
        <f>SUM(K2820:K2824)</f>
        <v>286</v>
      </c>
    </row>
    <row r="2826" spans="1:11" x14ac:dyDescent="0.35">
      <c r="A2826" s="220" t="s">
        <v>305</v>
      </c>
      <c r="B2826" s="220">
        <f>+B2825+C2825+D2825+E2825</f>
        <v>23062</v>
      </c>
      <c r="C2826" s="220"/>
      <c r="D2826" s="220"/>
      <c r="E2826" s="220"/>
      <c r="G2826" s="220" t="s">
        <v>305</v>
      </c>
      <c r="H2826" s="220">
        <f>+H2825+I2825+J2825+K2825</f>
        <v>4406</v>
      </c>
      <c r="I2826" s="220"/>
      <c r="J2826" s="220"/>
      <c r="K2826" s="220"/>
    </row>
    <row r="2827" spans="1:11" ht="15" thickBot="1" x14ac:dyDescent="0.4">
      <c r="A2827" s="315" t="s">
        <v>298</v>
      </c>
      <c r="B2827" s="315"/>
      <c r="C2827" s="315"/>
      <c r="D2827" s="315"/>
      <c r="E2827" s="315"/>
      <c r="G2827" s="315" t="s">
        <v>314</v>
      </c>
      <c r="H2827" s="315"/>
      <c r="I2827" s="315"/>
      <c r="J2827" s="315"/>
      <c r="K2827" s="315"/>
    </row>
    <row r="2828" spans="1:11" ht="15" thickTop="1" x14ac:dyDescent="0.35">
      <c r="A2828" s="313">
        <v>45571</v>
      </c>
      <c r="B2828" s="314"/>
      <c r="C2828" s="314"/>
      <c r="D2828" s="314"/>
      <c r="E2828" s="314"/>
      <c r="G2828" s="313">
        <v>45571</v>
      </c>
      <c r="H2828" s="314"/>
      <c r="I2828" s="314"/>
      <c r="J2828" s="314"/>
      <c r="K2828" s="314"/>
    </row>
    <row r="2829" spans="1:11" x14ac:dyDescent="0.35">
      <c r="A2829" s="261" t="s">
        <v>159</v>
      </c>
      <c r="B2829" s="262" t="s">
        <v>299</v>
      </c>
      <c r="C2829" s="262" t="s">
        <v>300</v>
      </c>
      <c r="D2829" s="262" t="s">
        <v>301</v>
      </c>
      <c r="E2829" s="263" t="s">
        <v>302</v>
      </c>
      <c r="G2829" s="264" t="s">
        <v>159</v>
      </c>
      <c r="H2829" s="265" t="s">
        <v>299</v>
      </c>
      <c r="I2829" s="265" t="s">
        <v>300</v>
      </c>
      <c r="J2829" s="265" t="s">
        <v>301</v>
      </c>
      <c r="K2829" s="266" t="s">
        <v>302</v>
      </c>
    </row>
    <row r="2830" spans="1:11" x14ac:dyDescent="0.35">
      <c r="A2830" s="221" t="s">
        <v>303</v>
      </c>
      <c r="B2830" s="222">
        <v>19404</v>
      </c>
      <c r="C2830" s="222"/>
      <c r="D2830" s="222"/>
      <c r="E2830" s="223">
        <v>2281</v>
      </c>
      <c r="G2830" s="221" t="s">
        <v>303</v>
      </c>
      <c r="H2830" s="222">
        <v>3168</v>
      </c>
      <c r="I2830" s="222"/>
      <c r="J2830" s="222"/>
      <c r="K2830" s="223">
        <v>490</v>
      </c>
    </row>
    <row r="2831" spans="1:11" x14ac:dyDescent="0.35">
      <c r="A2831" s="225" t="s">
        <v>304</v>
      </c>
      <c r="B2831" s="226"/>
      <c r="C2831" s="226"/>
      <c r="D2831" s="226"/>
      <c r="E2831" s="227"/>
      <c r="G2831" s="225"/>
      <c r="H2831" s="226"/>
      <c r="I2831" s="226"/>
      <c r="J2831" s="226"/>
      <c r="K2831" s="227"/>
    </row>
    <row r="2832" spans="1:11" x14ac:dyDescent="0.35">
      <c r="A2832" s="225"/>
      <c r="B2832" s="226"/>
      <c r="C2832" s="226"/>
      <c r="D2832" s="226"/>
      <c r="E2832" s="227"/>
      <c r="G2832" s="225"/>
      <c r="H2832" s="226"/>
      <c r="I2832" s="226"/>
      <c r="J2832" s="226"/>
      <c r="K2832" s="227"/>
    </row>
    <row r="2833" spans="1:11" x14ac:dyDescent="0.35">
      <c r="A2833" s="221"/>
      <c r="B2833" s="222"/>
      <c r="C2833" s="222"/>
      <c r="D2833" s="222"/>
      <c r="E2833" s="223"/>
      <c r="G2833" s="221"/>
      <c r="H2833" s="222"/>
      <c r="I2833" s="222"/>
      <c r="J2833" s="222"/>
      <c r="K2833" s="223"/>
    </row>
    <row r="2834" spans="1:11" x14ac:dyDescent="0.35">
      <c r="A2834" s="225"/>
      <c r="B2834" s="226"/>
      <c r="C2834" s="226"/>
      <c r="D2834" s="226"/>
      <c r="E2834" s="227"/>
      <c r="G2834" s="225"/>
      <c r="H2834" s="226"/>
      <c r="I2834" s="226"/>
      <c r="J2834" s="226"/>
      <c r="K2834" s="227"/>
    </row>
    <row r="2835" spans="1:11" ht="15" thickBot="1" x14ac:dyDescent="0.4">
      <c r="A2835" s="218" t="s">
        <v>34</v>
      </c>
      <c r="B2835" s="219">
        <f>SUM(B2830:B2834)</f>
        <v>19404</v>
      </c>
      <c r="C2835" s="219">
        <f>SUM(C2830:C2834)</f>
        <v>0</v>
      </c>
      <c r="D2835" s="219">
        <f>SUM(D2830:D2834)</f>
        <v>0</v>
      </c>
      <c r="E2835" s="219">
        <f>SUM(E2830:E2834)</f>
        <v>2281</v>
      </c>
      <c r="G2835" s="218" t="s">
        <v>34</v>
      </c>
      <c r="H2835" s="219">
        <f>SUM(H2830:H2834)</f>
        <v>3168</v>
      </c>
      <c r="I2835" s="219">
        <f>SUM(I2830:I2834)</f>
        <v>0</v>
      </c>
      <c r="J2835" s="219">
        <f>SUM(J2830:J2834)</f>
        <v>0</v>
      </c>
      <c r="K2835" s="219">
        <f>SUM(K2830:K2834)</f>
        <v>490</v>
      </c>
    </row>
    <row r="2836" spans="1:11" x14ac:dyDescent="0.35">
      <c r="A2836" s="220" t="s">
        <v>305</v>
      </c>
      <c r="B2836" s="220">
        <f>+B2835+C2835+D2835+E2835</f>
        <v>21685</v>
      </c>
      <c r="C2836" s="220"/>
      <c r="D2836" s="220"/>
      <c r="E2836" s="220"/>
      <c r="G2836" s="220" t="s">
        <v>305</v>
      </c>
      <c r="H2836" s="220">
        <f>+H2835+I2835+J2835+K2835</f>
        <v>3658</v>
      </c>
      <c r="I2836" s="220"/>
      <c r="J2836" s="220"/>
      <c r="K2836" s="220"/>
    </row>
    <row r="2837" spans="1:11" ht="15" thickBot="1" x14ac:dyDescent="0.4">
      <c r="A2837" s="315" t="s">
        <v>298</v>
      </c>
      <c r="B2837" s="315"/>
      <c r="C2837" s="315"/>
      <c r="D2837" s="315"/>
      <c r="E2837" s="315"/>
      <c r="G2837" s="315" t="s">
        <v>314</v>
      </c>
      <c r="H2837" s="315"/>
      <c r="I2837" s="315"/>
      <c r="J2837" s="315"/>
      <c r="K2837" s="315"/>
    </row>
    <row r="2838" spans="1:11" ht="15" thickTop="1" x14ac:dyDescent="0.35">
      <c r="A2838" s="313">
        <v>45572</v>
      </c>
      <c r="B2838" s="314"/>
      <c r="C2838" s="314"/>
      <c r="D2838" s="314"/>
      <c r="E2838" s="314"/>
      <c r="G2838" s="313">
        <v>45572</v>
      </c>
      <c r="H2838" s="314"/>
      <c r="I2838" s="314"/>
      <c r="J2838" s="314"/>
      <c r="K2838" s="314"/>
    </row>
    <row r="2839" spans="1:11" x14ac:dyDescent="0.35">
      <c r="A2839" s="261" t="s">
        <v>159</v>
      </c>
      <c r="B2839" s="262" t="s">
        <v>299</v>
      </c>
      <c r="C2839" s="262" t="s">
        <v>300</v>
      </c>
      <c r="D2839" s="262" t="s">
        <v>301</v>
      </c>
      <c r="E2839" s="263" t="s">
        <v>302</v>
      </c>
      <c r="G2839" s="264" t="s">
        <v>159</v>
      </c>
      <c r="H2839" s="265" t="s">
        <v>299</v>
      </c>
      <c r="I2839" s="265" t="s">
        <v>300</v>
      </c>
      <c r="J2839" s="265" t="s">
        <v>301</v>
      </c>
      <c r="K2839" s="266" t="s">
        <v>302</v>
      </c>
    </row>
    <row r="2840" spans="1:11" x14ac:dyDescent="0.35">
      <c r="A2840" s="221" t="s">
        <v>303</v>
      </c>
      <c r="B2840" s="222">
        <v>5185</v>
      </c>
      <c r="C2840" s="222"/>
      <c r="D2840" s="222"/>
      <c r="E2840" s="223"/>
      <c r="G2840" s="221" t="s">
        <v>303</v>
      </c>
      <c r="H2840" s="222">
        <v>953</v>
      </c>
      <c r="I2840" s="222"/>
      <c r="J2840" s="222"/>
      <c r="K2840" s="223"/>
    </row>
    <row r="2841" spans="1:11" x14ac:dyDescent="0.35">
      <c r="A2841" s="225" t="s">
        <v>304</v>
      </c>
      <c r="B2841" s="226">
        <v>15037</v>
      </c>
      <c r="C2841" s="226"/>
      <c r="D2841" s="226"/>
      <c r="E2841" s="227"/>
      <c r="G2841" s="225"/>
      <c r="H2841" s="226"/>
      <c r="I2841" s="226"/>
      <c r="J2841" s="226"/>
      <c r="K2841" s="227"/>
    </row>
    <row r="2842" spans="1:11" x14ac:dyDescent="0.35">
      <c r="A2842" s="225"/>
      <c r="B2842" s="226"/>
      <c r="C2842" s="226"/>
      <c r="D2842" s="226"/>
      <c r="E2842" s="227"/>
      <c r="G2842" s="225"/>
      <c r="H2842" s="226"/>
      <c r="I2842" s="226"/>
      <c r="J2842" s="226"/>
      <c r="K2842" s="227"/>
    </row>
    <row r="2843" spans="1:11" x14ac:dyDescent="0.35">
      <c r="A2843" s="221"/>
      <c r="B2843" s="222"/>
      <c r="C2843" s="222"/>
      <c r="D2843" s="222"/>
      <c r="E2843" s="223"/>
      <c r="G2843" s="221"/>
      <c r="H2843" s="222"/>
      <c r="I2843" s="222"/>
      <c r="J2843" s="222"/>
      <c r="K2843" s="223"/>
    </row>
    <row r="2844" spans="1:11" x14ac:dyDescent="0.35">
      <c r="A2844" s="225"/>
      <c r="B2844" s="226"/>
      <c r="C2844" s="226"/>
      <c r="D2844" s="226"/>
      <c r="E2844" s="227"/>
      <c r="G2844" s="225"/>
      <c r="H2844" s="226"/>
      <c r="I2844" s="226"/>
      <c r="J2844" s="226"/>
      <c r="K2844" s="227"/>
    </row>
    <row r="2845" spans="1:11" ht="15" thickBot="1" x14ac:dyDescent="0.4">
      <c r="A2845" s="218" t="s">
        <v>34</v>
      </c>
      <c r="B2845" s="219">
        <f>SUM(B2840:B2844)</f>
        <v>20222</v>
      </c>
      <c r="C2845" s="219">
        <f>SUM(C2840:C2844)</f>
        <v>0</v>
      </c>
      <c r="D2845" s="219">
        <f>SUM(D2840:D2844)</f>
        <v>0</v>
      </c>
      <c r="E2845" s="219">
        <f>SUM(E2840:E2844)</f>
        <v>0</v>
      </c>
      <c r="G2845" s="218" t="s">
        <v>34</v>
      </c>
      <c r="H2845" s="219">
        <f>SUM(H2840:H2844)</f>
        <v>953</v>
      </c>
      <c r="I2845" s="219">
        <f>SUM(I2840:I2844)</f>
        <v>0</v>
      </c>
      <c r="J2845" s="219">
        <f>SUM(J2840:J2844)</f>
        <v>0</v>
      </c>
      <c r="K2845" s="219">
        <f>SUM(K2840:K2844)</f>
        <v>0</v>
      </c>
    </row>
    <row r="2846" spans="1:11" x14ac:dyDescent="0.35">
      <c r="A2846" s="220" t="s">
        <v>305</v>
      </c>
      <c r="B2846" s="220">
        <f>+B2845+C2845+D2845+E2845</f>
        <v>20222</v>
      </c>
      <c r="C2846" s="220"/>
      <c r="D2846" s="220"/>
      <c r="E2846" s="220"/>
      <c r="G2846" s="220" t="s">
        <v>305</v>
      </c>
      <c r="H2846" s="220">
        <f>+H2845+I2845+J2845+K2845</f>
        <v>953</v>
      </c>
      <c r="I2846" s="220"/>
      <c r="J2846" s="220"/>
      <c r="K2846" s="220"/>
    </row>
    <row r="2847" spans="1:11" ht="15" thickBot="1" x14ac:dyDescent="0.4">
      <c r="A2847" s="315" t="s">
        <v>298</v>
      </c>
      <c r="B2847" s="315"/>
      <c r="C2847" s="315"/>
      <c r="D2847" s="315"/>
      <c r="E2847" s="315"/>
      <c r="G2847" s="315" t="s">
        <v>314</v>
      </c>
      <c r="H2847" s="315"/>
      <c r="I2847" s="315"/>
      <c r="J2847" s="315"/>
      <c r="K2847" s="315"/>
    </row>
    <row r="2848" spans="1:11" ht="15" thickTop="1" x14ac:dyDescent="0.35">
      <c r="A2848" s="313">
        <v>45573</v>
      </c>
      <c r="B2848" s="314"/>
      <c r="C2848" s="314"/>
      <c r="D2848" s="314"/>
      <c r="E2848" s="314"/>
      <c r="G2848" s="313">
        <v>45573</v>
      </c>
      <c r="H2848" s="314"/>
      <c r="I2848" s="314"/>
      <c r="J2848" s="314"/>
      <c r="K2848" s="314"/>
    </row>
    <row r="2849" spans="1:11" x14ac:dyDescent="0.35">
      <c r="A2849" s="261" t="s">
        <v>159</v>
      </c>
      <c r="B2849" s="262" t="s">
        <v>299</v>
      </c>
      <c r="C2849" s="262" t="s">
        <v>300</v>
      </c>
      <c r="D2849" s="262" t="s">
        <v>301</v>
      </c>
      <c r="E2849" s="263" t="s">
        <v>302</v>
      </c>
      <c r="G2849" s="264" t="s">
        <v>159</v>
      </c>
      <c r="H2849" s="265" t="s">
        <v>299</v>
      </c>
      <c r="I2849" s="265" t="s">
        <v>300</v>
      </c>
      <c r="J2849" s="265" t="s">
        <v>301</v>
      </c>
      <c r="K2849" s="266" t="s">
        <v>302</v>
      </c>
    </row>
    <row r="2850" spans="1:11" x14ac:dyDescent="0.35">
      <c r="A2850" s="221" t="s">
        <v>303</v>
      </c>
      <c r="B2850" s="222"/>
      <c r="C2850" s="222"/>
      <c r="D2850" s="222"/>
      <c r="E2850" s="223"/>
      <c r="G2850" s="221" t="s">
        <v>303</v>
      </c>
      <c r="H2850" s="222">
        <v>1175</v>
      </c>
      <c r="I2850" s="222"/>
      <c r="J2850" s="222"/>
      <c r="K2850" s="223"/>
    </row>
    <row r="2851" spans="1:11" x14ac:dyDescent="0.35">
      <c r="A2851" s="225" t="s">
        <v>304</v>
      </c>
      <c r="B2851" s="226">
        <v>3000</v>
      </c>
      <c r="C2851" s="226"/>
      <c r="D2851" s="226"/>
      <c r="E2851" s="227"/>
      <c r="G2851" s="225"/>
      <c r="H2851" s="226"/>
      <c r="I2851" s="226"/>
      <c r="J2851" s="226"/>
      <c r="K2851" s="227"/>
    </row>
    <row r="2852" spans="1:11" x14ac:dyDescent="0.35">
      <c r="A2852" s="225"/>
      <c r="B2852" s="226"/>
      <c r="C2852" s="226"/>
      <c r="D2852" s="226"/>
      <c r="E2852" s="227"/>
      <c r="G2852" s="225"/>
      <c r="H2852" s="226"/>
      <c r="I2852" s="226"/>
      <c r="J2852" s="226"/>
      <c r="K2852" s="227"/>
    </row>
    <row r="2853" spans="1:11" x14ac:dyDescent="0.35">
      <c r="A2853" s="221"/>
      <c r="B2853" s="222"/>
      <c r="C2853" s="222"/>
      <c r="D2853" s="222"/>
      <c r="E2853" s="223"/>
      <c r="G2853" s="221"/>
      <c r="H2853" s="222"/>
      <c r="I2853" s="222"/>
      <c r="J2853" s="222"/>
      <c r="K2853" s="223"/>
    </row>
    <row r="2854" spans="1:11" x14ac:dyDescent="0.35">
      <c r="A2854" s="225"/>
      <c r="B2854" s="226"/>
      <c r="C2854" s="226"/>
      <c r="D2854" s="226"/>
      <c r="E2854" s="227"/>
      <c r="G2854" s="225"/>
      <c r="H2854" s="226"/>
      <c r="I2854" s="226"/>
      <c r="J2854" s="226"/>
      <c r="K2854" s="227"/>
    </row>
    <row r="2855" spans="1:11" ht="15" thickBot="1" x14ac:dyDescent="0.4">
      <c r="A2855" s="218" t="s">
        <v>34</v>
      </c>
      <c r="B2855" s="219">
        <f>SUM(B2850:B2854)</f>
        <v>3000</v>
      </c>
      <c r="C2855" s="219">
        <f>SUM(C2850:C2854)</f>
        <v>0</v>
      </c>
      <c r="D2855" s="219">
        <f>SUM(D2850:D2854)</f>
        <v>0</v>
      </c>
      <c r="E2855" s="219">
        <f>SUM(E2850:E2854)</f>
        <v>0</v>
      </c>
      <c r="G2855" s="218" t="s">
        <v>34</v>
      </c>
      <c r="H2855" s="219">
        <f>SUM(H2850:H2854)</f>
        <v>1175</v>
      </c>
      <c r="I2855" s="219">
        <f>SUM(I2850:I2854)</f>
        <v>0</v>
      </c>
      <c r="J2855" s="219">
        <f>SUM(J2850:J2854)</f>
        <v>0</v>
      </c>
      <c r="K2855" s="219">
        <f>SUM(K2850:K2854)</f>
        <v>0</v>
      </c>
    </row>
    <row r="2856" spans="1:11" x14ac:dyDescent="0.35">
      <c r="A2856" s="220" t="s">
        <v>305</v>
      </c>
      <c r="B2856" s="220">
        <f>+B2855+C2855+D2855+E2855</f>
        <v>3000</v>
      </c>
      <c r="C2856" s="220"/>
      <c r="D2856" s="220"/>
      <c r="E2856" s="220"/>
      <c r="G2856" s="220" t="s">
        <v>305</v>
      </c>
      <c r="H2856" s="220">
        <f>+H2855+I2855+J2855+K2855</f>
        <v>1175</v>
      </c>
      <c r="I2856" s="220"/>
      <c r="J2856" s="220"/>
      <c r="K2856" s="220"/>
    </row>
    <row r="2857" spans="1:11" ht="15" thickBot="1" x14ac:dyDescent="0.4">
      <c r="A2857" s="315" t="s">
        <v>298</v>
      </c>
      <c r="B2857" s="315"/>
      <c r="C2857" s="315"/>
      <c r="D2857" s="315"/>
      <c r="E2857" s="315"/>
      <c r="G2857" s="315" t="s">
        <v>314</v>
      </c>
      <c r="H2857" s="315"/>
      <c r="I2857" s="315"/>
      <c r="J2857" s="315"/>
      <c r="K2857" s="315"/>
    </row>
    <row r="2858" spans="1:11" ht="15" thickTop="1" x14ac:dyDescent="0.35">
      <c r="A2858" s="313">
        <v>45574</v>
      </c>
      <c r="B2858" s="314"/>
      <c r="C2858" s="314"/>
      <c r="D2858" s="314"/>
      <c r="E2858" s="314"/>
      <c r="G2858" s="313">
        <v>45574</v>
      </c>
      <c r="H2858" s="314"/>
      <c r="I2858" s="314"/>
      <c r="J2858" s="314"/>
      <c r="K2858" s="314"/>
    </row>
    <row r="2859" spans="1:11" x14ac:dyDescent="0.35">
      <c r="A2859" s="261" t="s">
        <v>159</v>
      </c>
      <c r="B2859" s="262" t="s">
        <v>299</v>
      </c>
      <c r="C2859" s="262" t="s">
        <v>300</v>
      </c>
      <c r="D2859" s="262" t="s">
        <v>301</v>
      </c>
      <c r="E2859" s="263" t="s">
        <v>302</v>
      </c>
      <c r="G2859" s="264" t="s">
        <v>159</v>
      </c>
      <c r="H2859" s="265" t="s">
        <v>299</v>
      </c>
      <c r="I2859" s="265" t="s">
        <v>300</v>
      </c>
      <c r="J2859" s="265" t="s">
        <v>301</v>
      </c>
      <c r="K2859" s="266" t="s">
        <v>302</v>
      </c>
    </row>
    <row r="2860" spans="1:11" x14ac:dyDescent="0.35">
      <c r="A2860" s="221" t="s">
        <v>303</v>
      </c>
      <c r="B2860" s="222">
        <v>4266</v>
      </c>
      <c r="C2860" s="222"/>
      <c r="D2860" s="222"/>
      <c r="E2860" s="223"/>
      <c r="G2860" s="221" t="s">
        <v>303</v>
      </c>
      <c r="H2860" s="222"/>
      <c r="I2860" s="222"/>
      <c r="J2860" s="222"/>
      <c r="K2860" s="223"/>
    </row>
    <row r="2861" spans="1:11" x14ac:dyDescent="0.35">
      <c r="A2861" s="225" t="s">
        <v>304</v>
      </c>
      <c r="B2861" s="226"/>
      <c r="C2861" s="226"/>
      <c r="D2861" s="226"/>
      <c r="E2861" s="227"/>
      <c r="G2861" s="225"/>
      <c r="H2861" s="226"/>
      <c r="I2861" s="226"/>
      <c r="J2861" s="226"/>
      <c r="K2861" s="227"/>
    </row>
    <row r="2862" spans="1:11" x14ac:dyDescent="0.35">
      <c r="A2862" s="225"/>
      <c r="B2862" s="226"/>
      <c r="C2862" s="226"/>
      <c r="D2862" s="226"/>
      <c r="E2862" s="227"/>
      <c r="G2862" s="225"/>
      <c r="H2862" s="226"/>
      <c r="I2862" s="226"/>
      <c r="J2862" s="226"/>
      <c r="K2862" s="227"/>
    </row>
    <row r="2863" spans="1:11" x14ac:dyDescent="0.35">
      <c r="A2863" s="221"/>
      <c r="B2863" s="222"/>
      <c r="C2863" s="222"/>
      <c r="D2863" s="222"/>
      <c r="E2863" s="223"/>
      <c r="G2863" s="221"/>
      <c r="H2863" s="222"/>
      <c r="I2863" s="222"/>
      <c r="J2863" s="222"/>
      <c r="K2863" s="223"/>
    </row>
    <row r="2864" spans="1:11" x14ac:dyDescent="0.35">
      <c r="A2864" s="225"/>
      <c r="B2864" s="226"/>
      <c r="C2864" s="226"/>
      <c r="D2864" s="226"/>
      <c r="E2864" s="227"/>
      <c r="G2864" s="225"/>
      <c r="H2864" s="226"/>
      <c r="I2864" s="226"/>
      <c r="J2864" s="226"/>
      <c r="K2864" s="227"/>
    </row>
    <row r="2865" spans="1:11" ht="15" thickBot="1" x14ac:dyDescent="0.4">
      <c r="A2865" s="218" t="s">
        <v>34</v>
      </c>
      <c r="B2865" s="219">
        <f>SUM(B2860:B2864)</f>
        <v>4266</v>
      </c>
      <c r="C2865" s="219">
        <f>SUM(C2860:C2864)</f>
        <v>0</v>
      </c>
      <c r="D2865" s="219">
        <f>SUM(D2860:D2864)</f>
        <v>0</v>
      </c>
      <c r="E2865" s="219">
        <f>SUM(E2860:E2864)</f>
        <v>0</v>
      </c>
      <c r="G2865" s="218" t="s">
        <v>34</v>
      </c>
      <c r="H2865" s="219">
        <f>SUM(H2860:H2864)</f>
        <v>0</v>
      </c>
      <c r="I2865" s="219">
        <f>SUM(I2860:I2864)</f>
        <v>0</v>
      </c>
      <c r="J2865" s="219">
        <f>SUM(J2860:J2864)</f>
        <v>0</v>
      </c>
      <c r="K2865" s="219">
        <f>SUM(K2860:K2864)</f>
        <v>0</v>
      </c>
    </row>
    <row r="2866" spans="1:11" x14ac:dyDescent="0.35">
      <c r="A2866" s="220" t="s">
        <v>305</v>
      </c>
      <c r="B2866" s="220">
        <f>+B2865+C2865+D2865+E2865</f>
        <v>4266</v>
      </c>
      <c r="C2866" s="220"/>
      <c r="D2866" s="220"/>
      <c r="E2866" s="220"/>
      <c r="G2866" s="220" t="s">
        <v>305</v>
      </c>
      <c r="H2866" s="220">
        <f>+H2865+I2865+J2865+K2865</f>
        <v>0</v>
      </c>
      <c r="I2866" s="220"/>
      <c r="J2866" s="220"/>
      <c r="K2866" s="220"/>
    </row>
    <row r="2867" spans="1:11" ht="15" thickBot="1" x14ac:dyDescent="0.4">
      <c r="A2867" s="315" t="s">
        <v>298</v>
      </c>
      <c r="B2867" s="315"/>
      <c r="C2867" s="315"/>
      <c r="D2867" s="315"/>
      <c r="E2867" s="315"/>
      <c r="G2867" s="315" t="s">
        <v>314</v>
      </c>
      <c r="H2867" s="315"/>
      <c r="I2867" s="315"/>
      <c r="J2867" s="315"/>
      <c r="K2867" s="315"/>
    </row>
    <row r="2868" spans="1:11" ht="15" thickTop="1" x14ac:dyDescent="0.35">
      <c r="A2868" s="313">
        <v>45575</v>
      </c>
      <c r="B2868" s="314"/>
      <c r="C2868" s="314"/>
      <c r="D2868" s="314"/>
      <c r="E2868" s="314"/>
      <c r="G2868" s="313">
        <v>45575</v>
      </c>
      <c r="H2868" s="314"/>
      <c r="I2868" s="314"/>
      <c r="J2868" s="314"/>
      <c r="K2868" s="314"/>
    </row>
    <row r="2869" spans="1:11" x14ac:dyDescent="0.35">
      <c r="A2869" s="261" t="s">
        <v>159</v>
      </c>
      <c r="B2869" s="262" t="s">
        <v>299</v>
      </c>
      <c r="C2869" s="262" t="s">
        <v>300</v>
      </c>
      <c r="D2869" s="262" t="s">
        <v>301</v>
      </c>
      <c r="E2869" s="263" t="s">
        <v>302</v>
      </c>
      <c r="G2869" s="264" t="s">
        <v>159</v>
      </c>
      <c r="H2869" s="265" t="s">
        <v>299</v>
      </c>
      <c r="I2869" s="265" t="s">
        <v>300</v>
      </c>
      <c r="J2869" s="265" t="s">
        <v>301</v>
      </c>
      <c r="K2869" s="266" t="s">
        <v>302</v>
      </c>
    </row>
    <row r="2870" spans="1:11" x14ac:dyDescent="0.35">
      <c r="A2870" s="221" t="s">
        <v>303</v>
      </c>
      <c r="B2870" s="222">
        <v>7512</v>
      </c>
      <c r="C2870" s="222"/>
      <c r="D2870" s="222"/>
      <c r="E2870" s="223"/>
      <c r="G2870" s="221" t="s">
        <v>303</v>
      </c>
      <c r="H2870" s="222">
        <v>251</v>
      </c>
      <c r="I2870" s="222"/>
      <c r="J2870" s="222"/>
      <c r="K2870" s="223"/>
    </row>
    <row r="2871" spans="1:11" x14ac:dyDescent="0.35">
      <c r="A2871" s="225" t="s">
        <v>304</v>
      </c>
      <c r="B2871" s="226">
        <v>395</v>
      </c>
      <c r="C2871" s="226"/>
      <c r="D2871" s="226"/>
      <c r="E2871" s="227"/>
      <c r="G2871" s="225"/>
      <c r="H2871" s="226"/>
      <c r="I2871" s="226"/>
      <c r="J2871" s="226"/>
      <c r="K2871" s="227"/>
    </row>
    <row r="2872" spans="1:11" x14ac:dyDescent="0.35">
      <c r="A2872" s="225"/>
      <c r="B2872" s="226"/>
      <c r="C2872" s="226"/>
      <c r="D2872" s="226"/>
      <c r="E2872" s="227"/>
      <c r="G2872" s="225"/>
      <c r="H2872" s="226"/>
      <c r="I2872" s="226"/>
      <c r="J2872" s="226"/>
      <c r="K2872" s="227"/>
    </row>
    <row r="2873" spans="1:11" x14ac:dyDescent="0.35">
      <c r="A2873" s="221"/>
      <c r="B2873" s="222"/>
      <c r="C2873" s="222"/>
      <c r="D2873" s="222"/>
      <c r="E2873" s="223"/>
      <c r="G2873" s="221"/>
      <c r="H2873" s="222"/>
      <c r="I2873" s="222"/>
      <c r="J2873" s="222"/>
      <c r="K2873" s="223"/>
    </row>
    <row r="2874" spans="1:11" x14ac:dyDescent="0.35">
      <c r="A2874" s="225"/>
      <c r="B2874" s="226"/>
      <c r="C2874" s="226"/>
      <c r="D2874" s="226"/>
      <c r="E2874" s="227"/>
      <c r="G2874" s="225"/>
      <c r="H2874" s="226"/>
      <c r="I2874" s="226"/>
      <c r="J2874" s="226"/>
      <c r="K2874" s="227"/>
    </row>
    <row r="2875" spans="1:11" ht="15" thickBot="1" x14ac:dyDescent="0.4">
      <c r="A2875" s="218" t="s">
        <v>34</v>
      </c>
      <c r="B2875" s="219">
        <f>SUM(B2870:B2874)</f>
        <v>7907</v>
      </c>
      <c r="C2875" s="219">
        <f>SUM(C2870:C2874)</f>
        <v>0</v>
      </c>
      <c r="D2875" s="219">
        <f>SUM(D2870:D2874)</f>
        <v>0</v>
      </c>
      <c r="E2875" s="219">
        <f>SUM(E2870:E2874)</f>
        <v>0</v>
      </c>
      <c r="G2875" s="218" t="s">
        <v>34</v>
      </c>
      <c r="H2875" s="219">
        <f>SUM(H2870:H2874)</f>
        <v>251</v>
      </c>
      <c r="I2875" s="219">
        <f>SUM(I2870:I2874)</f>
        <v>0</v>
      </c>
      <c r="J2875" s="219">
        <f>SUM(J2870:J2874)</f>
        <v>0</v>
      </c>
      <c r="K2875" s="219">
        <f>SUM(K2870:K2874)</f>
        <v>0</v>
      </c>
    </row>
    <row r="2876" spans="1:11" x14ac:dyDescent="0.35">
      <c r="A2876" s="220" t="s">
        <v>305</v>
      </c>
      <c r="B2876" s="220">
        <f>+B2875+C2875+D2875+E2875</f>
        <v>7907</v>
      </c>
      <c r="C2876" s="220"/>
      <c r="D2876" s="220"/>
      <c r="E2876" s="220"/>
      <c r="G2876" s="220" t="s">
        <v>305</v>
      </c>
      <c r="H2876" s="220">
        <f>+H2875+I2875+J2875+K2875</f>
        <v>251</v>
      </c>
      <c r="I2876" s="220"/>
      <c r="J2876" s="220"/>
      <c r="K2876" s="220"/>
    </row>
    <row r="2877" spans="1:11" ht="15" thickBot="1" x14ac:dyDescent="0.4">
      <c r="A2877" s="315" t="s">
        <v>298</v>
      </c>
      <c r="B2877" s="315"/>
      <c r="C2877" s="315"/>
      <c r="D2877" s="315"/>
      <c r="E2877" s="315"/>
      <c r="G2877" s="315" t="s">
        <v>314</v>
      </c>
      <c r="H2877" s="315"/>
      <c r="I2877" s="315"/>
      <c r="J2877" s="315"/>
      <c r="K2877" s="315"/>
    </row>
    <row r="2878" spans="1:11" ht="15" thickTop="1" x14ac:dyDescent="0.35">
      <c r="A2878" s="313">
        <v>45576</v>
      </c>
      <c r="B2878" s="314"/>
      <c r="C2878" s="314"/>
      <c r="D2878" s="314"/>
      <c r="E2878" s="314"/>
      <c r="G2878" s="313">
        <v>45576</v>
      </c>
      <c r="H2878" s="314"/>
      <c r="I2878" s="314"/>
      <c r="J2878" s="314"/>
      <c r="K2878" s="314"/>
    </row>
    <row r="2879" spans="1:11" x14ac:dyDescent="0.35">
      <c r="A2879" s="261" t="s">
        <v>159</v>
      </c>
      <c r="B2879" s="262" t="s">
        <v>299</v>
      </c>
      <c r="C2879" s="262" t="s">
        <v>300</v>
      </c>
      <c r="D2879" s="262" t="s">
        <v>301</v>
      </c>
      <c r="E2879" s="263" t="s">
        <v>302</v>
      </c>
      <c r="G2879" s="264" t="s">
        <v>159</v>
      </c>
      <c r="H2879" s="265" t="s">
        <v>299</v>
      </c>
      <c r="I2879" s="265" t="s">
        <v>300</v>
      </c>
      <c r="J2879" s="265" t="s">
        <v>301</v>
      </c>
      <c r="K2879" s="266" t="s">
        <v>302</v>
      </c>
    </row>
    <row r="2880" spans="1:11" x14ac:dyDescent="0.35">
      <c r="A2880" s="221" t="s">
        <v>303</v>
      </c>
      <c r="B2880" s="222">
        <v>5315</v>
      </c>
      <c r="C2880" s="222"/>
      <c r="D2880" s="222"/>
      <c r="E2880" s="223">
        <v>250</v>
      </c>
      <c r="G2880" s="221" t="s">
        <v>303</v>
      </c>
      <c r="H2880" s="222">
        <v>2774</v>
      </c>
      <c r="I2880" s="222"/>
      <c r="J2880" s="222"/>
      <c r="K2880" s="223"/>
    </row>
    <row r="2881" spans="1:11" x14ac:dyDescent="0.35">
      <c r="A2881" s="225" t="s">
        <v>304</v>
      </c>
      <c r="B2881" s="226"/>
      <c r="C2881" s="226"/>
      <c r="D2881" s="226"/>
      <c r="E2881" s="227"/>
      <c r="G2881" s="225"/>
      <c r="H2881" s="226"/>
      <c r="I2881" s="226"/>
      <c r="J2881" s="226"/>
      <c r="K2881" s="227"/>
    </row>
    <row r="2882" spans="1:11" x14ac:dyDescent="0.35">
      <c r="A2882" s="225"/>
      <c r="B2882" s="226"/>
      <c r="C2882" s="226"/>
      <c r="D2882" s="226"/>
      <c r="E2882" s="227"/>
      <c r="G2882" s="225"/>
      <c r="H2882" s="226"/>
      <c r="I2882" s="226"/>
      <c r="J2882" s="226"/>
      <c r="K2882" s="227"/>
    </row>
    <row r="2883" spans="1:11" x14ac:dyDescent="0.35">
      <c r="A2883" s="221"/>
      <c r="B2883" s="222"/>
      <c r="C2883" s="222"/>
      <c r="D2883" s="222"/>
      <c r="E2883" s="223"/>
      <c r="G2883" s="221"/>
      <c r="H2883" s="222"/>
      <c r="I2883" s="222"/>
      <c r="J2883" s="222"/>
      <c r="K2883" s="223"/>
    </row>
    <row r="2884" spans="1:11" x14ac:dyDescent="0.35">
      <c r="A2884" s="225"/>
      <c r="B2884" s="226"/>
      <c r="C2884" s="226"/>
      <c r="D2884" s="226"/>
      <c r="E2884" s="227"/>
      <c r="G2884" s="225"/>
      <c r="H2884" s="226"/>
      <c r="I2884" s="226"/>
      <c r="J2884" s="226"/>
      <c r="K2884" s="227"/>
    </row>
    <row r="2885" spans="1:11" ht="15" thickBot="1" x14ac:dyDescent="0.4">
      <c r="A2885" s="218" t="s">
        <v>34</v>
      </c>
      <c r="B2885" s="219">
        <f>SUM(B2880:B2884)</f>
        <v>5315</v>
      </c>
      <c r="C2885" s="219">
        <f>SUM(C2880:C2884)</f>
        <v>0</v>
      </c>
      <c r="D2885" s="219">
        <f>SUM(D2880:D2884)</f>
        <v>0</v>
      </c>
      <c r="E2885" s="219">
        <f>SUM(E2880:E2884)</f>
        <v>250</v>
      </c>
      <c r="G2885" s="218" t="s">
        <v>34</v>
      </c>
      <c r="H2885" s="219">
        <f>SUM(H2880:H2884)</f>
        <v>2774</v>
      </c>
      <c r="I2885" s="219">
        <f>SUM(I2880:I2884)</f>
        <v>0</v>
      </c>
      <c r="J2885" s="219">
        <f>SUM(J2880:J2884)</f>
        <v>0</v>
      </c>
      <c r="K2885" s="219">
        <f>SUM(K2880:K2884)</f>
        <v>0</v>
      </c>
    </row>
    <row r="2886" spans="1:11" x14ac:dyDescent="0.35">
      <c r="A2886" s="220" t="s">
        <v>305</v>
      </c>
      <c r="B2886" s="220">
        <f>+B2885+C2885+D2885+E2885</f>
        <v>5565</v>
      </c>
      <c r="C2886" s="220"/>
      <c r="D2886" s="220"/>
      <c r="E2886" s="220"/>
      <c r="G2886" s="220" t="s">
        <v>305</v>
      </c>
      <c r="H2886" s="220">
        <f>+H2885+I2885+J2885+K2885</f>
        <v>2774</v>
      </c>
      <c r="I2886" s="220"/>
      <c r="J2886" s="220"/>
      <c r="K2886" s="220"/>
    </row>
    <row r="2887" spans="1:11" ht="15" thickBot="1" x14ac:dyDescent="0.4">
      <c r="A2887" s="315" t="s">
        <v>298</v>
      </c>
      <c r="B2887" s="315"/>
      <c r="C2887" s="315"/>
      <c r="D2887" s="315"/>
      <c r="E2887" s="315"/>
      <c r="G2887" s="315" t="s">
        <v>314</v>
      </c>
      <c r="H2887" s="315"/>
      <c r="I2887" s="315"/>
      <c r="J2887" s="315"/>
      <c r="K2887" s="315"/>
    </row>
    <row r="2888" spans="1:11" ht="15" thickTop="1" x14ac:dyDescent="0.35">
      <c r="A2888" s="313">
        <v>45577</v>
      </c>
      <c r="B2888" s="314"/>
      <c r="C2888" s="314"/>
      <c r="D2888" s="314"/>
      <c r="E2888" s="314"/>
      <c r="G2888" s="313">
        <v>45577</v>
      </c>
      <c r="H2888" s="314"/>
      <c r="I2888" s="314"/>
      <c r="J2888" s="314"/>
      <c r="K2888" s="314"/>
    </row>
    <row r="2889" spans="1:11" x14ac:dyDescent="0.35">
      <c r="A2889" s="261" t="s">
        <v>159</v>
      </c>
      <c r="B2889" s="262" t="s">
        <v>299</v>
      </c>
      <c r="C2889" s="262" t="s">
        <v>300</v>
      </c>
      <c r="D2889" s="262" t="s">
        <v>301</v>
      </c>
      <c r="E2889" s="263" t="s">
        <v>302</v>
      </c>
      <c r="G2889" s="264" t="s">
        <v>159</v>
      </c>
      <c r="H2889" s="265" t="s">
        <v>299</v>
      </c>
      <c r="I2889" s="265" t="s">
        <v>300</v>
      </c>
      <c r="J2889" s="265" t="s">
        <v>301</v>
      </c>
      <c r="K2889" s="266" t="s">
        <v>302</v>
      </c>
    </row>
    <row r="2890" spans="1:11" x14ac:dyDescent="0.35">
      <c r="A2890" s="221" t="s">
        <v>303</v>
      </c>
      <c r="B2890" s="222">
        <v>11196</v>
      </c>
      <c r="C2890" s="222"/>
      <c r="D2890" s="222"/>
      <c r="E2890" s="223">
        <v>2171</v>
      </c>
      <c r="G2890" s="221" t="s">
        <v>303</v>
      </c>
      <c r="H2890" s="222">
        <v>2995</v>
      </c>
      <c r="I2890" s="222"/>
      <c r="J2890" s="222">
        <v>872</v>
      </c>
      <c r="K2890" s="223"/>
    </row>
    <row r="2891" spans="1:11" x14ac:dyDescent="0.35">
      <c r="A2891" s="225" t="s">
        <v>304</v>
      </c>
      <c r="B2891" s="226"/>
      <c r="C2891" s="226"/>
      <c r="D2891" s="226"/>
      <c r="E2891" s="227">
        <v>1410</v>
      </c>
      <c r="G2891" s="225"/>
      <c r="H2891" s="226"/>
      <c r="I2891" s="226"/>
      <c r="J2891" s="226"/>
      <c r="K2891" s="227"/>
    </row>
    <row r="2892" spans="1:11" x14ac:dyDescent="0.35">
      <c r="A2892" s="225"/>
      <c r="B2892" s="226"/>
      <c r="C2892" s="226"/>
      <c r="D2892" s="226"/>
      <c r="E2892" s="227"/>
      <c r="G2892" s="225"/>
      <c r="H2892" s="226"/>
      <c r="I2892" s="226"/>
      <c r="J2892" s="226"/>
      <c r="K2892" s="227"/>
    </row>
    <row r="2893" spans="1:11" x14ac:dyDescent="0.35">
      <c r="A2893" s="221"/>
      <c r="B2893" s="222"/>
      <c r="C2893" s="222"/>
      <c r="D2893" s="222"/>
      <c r="E2893" s="223"/>
      <c r="G2893" s="221"/>
      <c r="H2893" s="222"/>
      <c r="I2893" s="222"/>
      <c r="J2893" s="222"/>
      <c r="K2893" s="223"/>
    </row>
    <row r="2894" spans="1:11" x14ac:dyDescent="0.35">
      <c r="A2894" s="225"/>
      <c r="B2894" s="226"/>
      <c r="C2894" s="226"/>
      <c r="D2894" s="226"/>
      <c r="E2894" s="227"/>
      <c r="G2894" s="225"/>
      <c r="H2894" s="226"/>
      <c r="I2894" s="226"/>
      <c r="J2894" s="226"/>
      <c r="K2894" s="227"/>
    </row>
    <row r="2895" spans="1:11" ht="15" thickBot="1" x14ac:dyDescent="0.4">
      <c r="A2895" s="218" t="s">
        <v>34</v>
      </c>
      <c r="B2895" s="219">
        <f>SUM(B2890:B2894)</f>
        <v>11196</v>
      </c>
      <c r="C2895" s="219">
        <f>SUM(C2890:C2894)</f>
        <v>0</v>
      </c>
      <c r="D2895" s="219">
        <f>SUM(D2890:D2894)</f>
        <v>0</v>
      </c>
      <c r="E2895" s="219">
        <f>SUM(E2890:E2894)</f>
        <v>3581</v>
      </c>
      <c r="G2895" s="218" t="s">
        <v>34</v>
      </c>
      <c r="H2895" s="219">
        <f>SUM(H2890:H2894)</f>
        <v>2995</v>
      </c>
      <c r="I2895" s="219">
        <f>SUM(I2890:I2894)</f>
        <v>0</v>
      </c>
      <c r="J2895" s="219">
        <f>SUM(J2890:J2894)</f>
        <v>872</v>
      </c>
      <c r="K2895" s="219">
        <f>SUM(K2890:K2894)</f>
        <v>0</v>
      </c>
    </row>
    <row r="2896" spans="1:11" x14ac:dyDescent="0.35">
      <c r="A2896" s="220" t="s">
        <v>305</v>
      </c>
      <c r="B2896" s="220">
        <f>+B2895+C2895+D2895+E2895</f>
        <v>14777</v>
      </c>
      <c r="C2896" s="220"/>
      <c r="D2896" s="220"/>
      <c r="E2896" s="220"/>
      <c r="G2896" s="220" t="s">
        <v>305</v>
      </c>
      <c r="H2896" s="220">
        <f>+H2895+I2895+J2895+K2895</f>
        <v>3867</v>
      </c>
      <c r="I2896" s="220"/>
      <c r="J2896" s="220"/>
      <c r="K2896" s="220"/>
    </row>
    <row r="2897" spans="1:11" ht="15" thickBot="1" x14ac:dyDescent="0.4">
      <c r="A2897" s="315" t="s">
        <v>298</v>
      </c>
      <c r="B2897" s="315"/>
      <c r="C2897" s="315"/>
      <c r="D2897" s="315"/>
      <c r="E2897" s="315"/>
      <c r="G2897" s="315" t="s">
        <v>314</v>
      </c>
      <c r="H2897" s="315"/>
      <c r="I2897" s="315"/>
      <c r="J2897" s="315"/>
      <c r="K2897" s="315"/>
    </row>
    <row r="2898" spans="1:11" ht="15" thickTop="1" x14ac:dyDescent="0.35">
      <c r="A2898" s="313">
        <v>45578</v>
      </c>
      <c r="B2898" s="314"/>
      <c r="C2898" s="314"/>
      <c r="D2898" s="314"/>
      <c r="E2898" s="314"/>
      <c r="G2898" s="313">
        <v>45578</v>
      </c>
      <c r="H2898" s="314"/>
      <c r="I2898" s="314"/>
      <c r="J2898" s="314"/>
      <c r="K2898" s="314"/>
    </row>
    <row r="2899" spans="1:11" x14ac:dyDescent="0.35">
      <c r="A2899" s="261" t="s">
        <v>159</v>
      </c>
      <c r="B2899" s="262" t="s">
        <v>299</v>
      </c>
      <c r="C2899" s="262" t="s">
        <v>300</v>
      </c>
      <c r="D2899" s="262" t="s">
        <v>301</v>
      </c>
      <c r="E2899" s="263" t="s">
        <v>302</v>
      </c>
      <c r="G2899" s="264" t="s">
        <v>159</v>
      </c>
      <c r="H2899" s="265" t="s">
        <v>299</v>
      </c>
      <c r="I2899" s="265" t="s">
        <v>300</v>
      </c>
      <c r="J2899" s="265" t="s">
        <v>301</v>
      </c>
      <c r="K2899" s="266" t="s">
        <v>302</v>
      </c>
    </row>
    <row r="2900" spans="1:11" x14ac:dyDescent="0.35">
      <c r="A2900" s="221" t="s">
        <v>303</v>
      </c>
      <c r="B2900" s="222">
        <v>24571</v>
      </c>
      <c r="C2900" s="222"/>
      <c r="D2900" s="222">
        <v>200</v>
      </c>
      <c r="E2900" s="223"/>
      <c r="G2900" s="221" t="s">
        <v>303</v>
      </c>
      <c r="H2900" s="222">
        <v>7825</v>
      </c>
      <c r="I2900" s="222"/>
      <c r="J2900" s="222">
        <v>534</v>
      </c>
      <c r="K2900" s="223"/>
    </row>
    <row r="2901" spans="1:11" x14ac:dyDescent="0.35">
      <c r="A2901" s="225" t="s">
        <v>304</v>
      </c>
      <c r="B2901" s="226"/>
      <c r="C2901" s="226"/>
      <c r="D2901" s="226"/>
      <c r="E2901" s="227"/>
      <c r="G2901" s="225"/>
      <c r="H2901" s="226"/>
      <c r="I2901" s="226"/>
      <c r="J2901" s="226"/>
      <c r="K2901" s="227"/>
    </row>
    <row r="2902" spans="1:11" x14ac:dyDescent="0.35">
      <c r="A2902" s="225"/>
      <c r="B2902" s="226"/>
      <c r="C2902" s="226"/>
      <c r="D2902" s="226"/>
      <c r="E2902" s="227"/>
      <c r="G2902" s="225"/>
      <c r="H2902" s="226"/>
      <c r="I2902" s="226"/>
      <c r="J2902" s="226"/>
      <c r="K2902" s="227"/>
    </row>
    <row r="2903" spans="1:11" x14ac:dyDescent="0.35">
      <c r="A2903" s="221"/>
      <c r="B2903" s="222"/>
      <c r="C2903" s="222"/>
      <c r="D2903" s="222"/>
      <c r="E2903" s="223"/>
      <c r="G2903" s="221"/>
      <c r="H2903" s="222"/>
      <c r="I2903" s="222"/>
      <c r="J2903" s="222"/>
      <c r="K2903" s="223"/>
    </row>
    <row r="2904" spans="1:11" x14ac:dyDescent="0.35">
      <c r="A2904" s="225"/>
      <c r="B2904" s="226"/>
      <c r="C2904" s="226"/>
      <c r="D2904" s="226"/>
      <c r="E2904" s="227"/>
      <c r="G2904" s="225"/>
      <c r="H2904" s="226"/>
      <c r="I2904" s="226"/>
      <c r="J2904" s="226"/>
      <c r="K2904" s="227"/>
    </row>
    <row r="2905" spans="1:11" ht="15" thickBot="1" x14ac:dyDescent="0.4">
      <c r="A2905" s="218" t="s">
        <v>34</v>
      </c>
      <c r="B2905" s="219">
        <f>SUM(B2900:B2904)</f>
        <v>24571</v>
      </c>
      <c r="C2905" s="219">
        <f>SUM(C2900:C2904)</f>
        <v>0</v>
      </c>
      <c r="D2905" s="219">
        <f>SUM(D2900:D2904)</f>
        <v>200</v>
      </c>
      <c r="E2905" s="219">
        <f>SUM(E2900:E2904)</f>
        <v>0</v>
      </c>
      <c r="G2905" s="218" t="s">
        <v>34</v>
      </c>
      <c r="H2905" s="219">
        <f>SUM(H2900:H2904)</f>
        <v>7825</v>
      </c>
      <c r="I2905" s="219">
        <f>SUM(I2900:I2904)</f>
        <v>0</v>
      </c>
      <c r="J2905" s="219">
        <f>SUM(J2900:J2904)</f>
        <v>534</v>
      </c>
      <c r="K2905" s="219">
        <f>SUM(K2900:K2904)</f>
        <v>0</v>
      </c>
    </row>
    <row r="2906" spans="1:11" x14ac:dyDescent="0.35">
      <c r="A2906" s="220" t="s">
        <v>305</v>
      </c>
      <c r="B2906" s="220">
        <f>+B2905+C2905+D2905+E2905</f>
        <v>24771</v>
      </c>
      <c r="C2906" s="220"/>
      <c r="D2906" s="220"/>
      <c r="E2906" s="220"/>
      <c r="G2906" s="220" t="s">
        <v>305</v>
      </c>
      <c r="H2906" s="220">
        <f>+H2905+I2905+J2905+K2905</f>
        <v>8359</v>
      </c>
      <c r="I2906" s="220"/>
      <c r="J2906" s="220"/>
      <c r="K2906" s="220"/>
    </row>
    <row r="2907" spans="1:11" ht="15" thickBot="1" x14ac:dyDescent="0.4">
      <c r="A2907" s="315" t="s">
        <v>298</v>
      </c>
      <c r="B2907" s="315"/>
      <c r="C2907" s="315"/>
      <c r="D2907" s="315"/>
      <c r="E2907" s="315"/>
      <c r="G2907" s="315" t="s">
        <v>314</v>
      </c>
      <c r="H2907" s="315"/>
      <c r="I2907" s="315"/>
      <c r="J2907" s="315"/>
      <c r="K2907" s="315"/>
    </row>
    <row r="2908" spans="1:11" ht="15" thickTop="1" x14ac:dyDescent="0.35">
      <c r="A2908" s="313">
        <v>45579</v>
      </c>
      <c r="B2908" s="314"/>
      <c r="C2908" s="314"/>
      <c r="D2908" s="314"/>
      <c r="E2908" s="314"/>
      <c r="G2908" s="313">
        <v>45579</v>
      </c>
      <c r="H2908" s="314"/>
      <c r="I2908" s="314"/>
      <c r="J2908" s="314"/>
      <c r="K2908" s="314"/>
    </row>
    <row r="2909" spans="1:11" x14ac:dyDescent="0.35">
      <c r="A2909" s="261" t="s">
        <v>159</v>
      </c>
      <c r="B2909" s="262" t="s">
        <v>299</v>
      </c>
      <c r="C2909" s="262" t="s">
        <v>300</v>
      </c>
      <c r="D2909" s="262" t="s">
        <v>301</v>
      </c>
      <c r="E2909" s="263" t="s">
        <v>302</v>
      </c>
      <c r="G2909" s="264" t="s">
        <v>159</v>
      </c>
      <c r="H2909" s="265" t="s">
        <v>299</v>
      </c>
      <c r="I2909" s="265" t="s">
        <v>300</v>
      </c>
      <c r="J2909" s="265" t="s">
        <v>301</v>
      </c>
      <c r="K2909" s="266" t="s">
        <v>302</v>
      </c>
    </row>
    <row r="2910" spans="1:11" x14ac:dyDescent="0.35">
      <c r="A2910" s="221" t="s">
        <v>303</v>
      </c>
      <c r="B2910" s="222">
        <v>7391</v>
      </c>
      <c r="C2910" s="222"/>
      <c r="D2910" s="222"/>
      <c r="E2910" s="223"/>
      <c r="G2910" s="221" t="s">
        <v>303</v>
      </c>
      <c r="H2910" s="222"/>
      <c r="I2910" s="222"/>
      <c r="J2910" s="222"/>
      <c r="K2910" s="223"/>
    </row>
    <row r="2911" spans="1:11" x14ac:dyDescent="0.35">
      <c r="A2911" s="225" t="s">
        <v>304</v>
      </c>
      <c r="B2911" s="226">
        <v>3230</v>
      </c>
      <c r="C2911" s="226"/>
      <c r="D2911" s="226"/>
      <c r="E2911" s="227"/>
      <c r="G2911" s="225"/>
      <c r="H2911" s="226"/>
      <c r="I2911" s="226"/>
      <c r="J2911" s="226"/>
      <c r="K2911" s="227"/>
    </row>
    <row r="2912" spans="1:11" x14ac:dyDescent="0.35">
      <c r="A2912" s="225"/>
      <c r="B2912" s="226"/>
      <c r="C2912" s="226"/>
      <c r="D2912" s="226"/>
      <c r="E2912" s="227"/>
      <c r="G2912" s="225"/>
      <c r="H2912" s="226"/>
      <c r="I2912" s="226"/>
      <c r="J2912" s="226"/>
      <c r="K2912" s="227"/>
    </row>
    <row r="2913" spans="1:12" x14ac:dyDescent="0.35">
      <c r="A2913" s="221"/>
      <c r="B2913" s="222"/>
      <c r="C2913" s="222"/>
      <c r="D2913" s="222"/>
      <c r="E2913" s="223"/>
      <c r="G2913" s="221"/>
      <c r="H2913" s="222"/>
      <c r="I2913" s="222"/>
      <c r="J2913" s="222"/>
      <c r="K2913" s="223"/>
    </row>
    <row r="2914" spans="1:12" x14ac:dyDescent="0.35">
      <c r="A2914" s="225"/>
      <c r="B2914" s="226"/>
      <c r="C2914" s="226"/>
      <c r="D2914" s="226"/>
      <c r="E2914" s="227"/>
      <c r="G2914" s="225"/>
      <c r="H2914" s="226"/>
      <c r="I2914" s="226"/>
      <c r="J2914" s="226"/>
      <c r="K2914" s="227"/>
    </row>
    <row r="2915" spans="1:12" ht="15" thickBot="1" x14ac:dyDescent="0.4">
      <c r="A2915" s="218" t="s">
        <v>34</v>
      </c>
      <c r="B2915" s="219">
        <f>SUM(B2910:B2914)</f>
        <v>10621</v>
      </c>
      <c r="C2915" s="219">
        <f>SUM(C2910:C2914)</f>
        <v>0</v>
      </c>
      <c r="D2915" s="219">
        <f>SUM(D2910:D2914)</f>
        <v>0</v>
      </c>
      <c r="E2915" s="219">
        <f>SUM(E2910:E2914)</f>
        <v>0</v>
      </c>
      <c r="G2915" s="218" t="s">
        <v>34</v>
      </c>
      <c r="H2915" s="219">
        <f>SUM(H2910:H2914)</f>
        <v>0</v>
      </c>
      <c r="I2915" s="219">
        <f>SUM(I2910:I2914)</f>
        <v>0</v>
      </c>
      <c r="J2915" s="219">
        <f>SUM(J2910:J2914)</f>
        <v>0</v>
      </c>
      <c r="K2915" s="219">
        <f>SUM(K2910:K2914)</f>
        <v>0</v>
      </c>
    </row>
    <row r="2916" spans="1:12" x14ac:dyDescent="0.35">
      <c r="A2916" s="220" t="s">
        <v>305</v>
      </c>
      <c r="B2916" s="220">
        <f>+B2915+C2915+D2915+E2915</f>
        <v>10621</v>
      </c>
      <c r="C2916" s="220"/>
      <c r="D2916" s="220"/>
      <c r="E2916" s="220"/>
      <c r="G2916" s="220" t="s">
        <v>305</v>
      </c>
      <c r="H2916" s="220">
        <f>+H2915+I2915+J2915+K2915</f>
        <v>0</v>
      </c>
      <c r="I2916" s="220"/>
      <c r="J2916" s="220"/>
      <c r="K2916" s="220"/>
    </row>
    <row r="2917" spans="1:12" ht="15" thickBot="1" x14ac:dyDescent="0.4">
      <c r="A2917" s="315" t="s">
        <v>298</v>
      </c>
      <c r="B2917" s="315"/>
      <c r="C2917" s="315"/>
      <c r="D2917" s="315"/>
      <c r="E2917" s="315"/>
      <c r="G2917" s="315" t="s">
        <v>314</v>
      </c>
      <c r="H2917" s="315"/>
      <c r="I2917" s="315"/>
      <c r="J2917" s="315"/>
      <c r="K2917" s="315"/>
    </row>
    <row r="2918" spans="1:12" ht="15" thickTop="1" x14ac:dyDescent="0.35">
      <c r="A2918" s="313">
        <v>45580</v>
      </c>
      <c r="B2918" s="314"/>
      <c r="C2918" s="314"/>
      <c r="D2918" s="314"/>
      <c r="E2918" s="314"/>
      <c r="G2918" s="313">
        <v>45580</v>
      </c>
      <c r="H2918" s="314"/>
      <c r="I2918" s="314"/>
      <c r="J2918" s="314"/>
      <c r="K2918" s="314"/>
    </row>
    <row r="2919" spans="1:12" x14ac:dyDescent="0.35">
      <c r="A2919" s="261" t="s">
        <v>159</v>
      </c>
      <c r="B2919" s="262" t="s">
        <v>299</v>
      </c>
      <c r="C2919" s="262" t="s">
        <v>300</v>
      </c>
      <c r="D2919" s="262" t="s">
        <v>301</v>
      </c>
      <c r="E2919" s="263" t="s">
        <v>302</v>
      </c>
      <c r="G2919" s="264" t="s">
        <v>159</v>
      </c>
      <c r="H2919" s="265" t="s">
        <v>299</v>
      </c>
      <c r="I2919" s="265" t="s">
        <v>300</v>
      </c>
      <c r="J2919" s="265" t="s">
        <v>301</v>
      </c>
      <c r="K2919" s="266" t="s">
        <v>302</v>
      </c>
    </row>
    <row r="2920" spans="1:12" x14ac:dyDescent="0.35">
      <c r="A2920" s="221" t="s">
        <v>303</v>
      </c>
      <c r="B2920" s="222"/>
      <c r="C2920" s="222"/>
      <c r="D2920" s="222"/>
      <c r="E2920" s="223"/>
      <c r="G2920" s="221" t="s">
        <v>303</v>
      </c>
      <c r="H2920" s="222">
        <v>1009</v>
      </c>
      <c r="I2920" s="222"/>
      <c r="J2920" s="222"/>
      <c r="K2920" s="223"/>
    </row>
    <row r="2921" spans="1:12" x14ac:dyDescent="0.35">
      <c r="A2921" s="225" t="s">
        <v>304</v>
      </c>
      <c r="B2921" s="226"/>
      <c r="C2921" s="226"/>
      <c r="D2921" s="226"/>
      <c r="E2921" s="227"/>
      <c r="G2921" s="225"/>
      <c r="H2921" s="226"/>
      <c r="I2921" s="226"/>
      <c r="J2921" s="226"/>
      <c r="K2921" s="227"/>
    </row>
    <row r="2922" spans="1:12" x14ac:dyDescent="0.35">
      <c r="A2922" s="225"/>
      <c r="B2922" s="226"/>
      <c r="C2922" s="226"/>
      <c r="D2922" s="226"/>
      <c r="E2922" s="227"/>
      <c r="G2922" s="225"/>
      <c r="H2922" s="226"/>
      <c r="I2922" s="226"/>
      <c r="J2922" s="226"/>
      <c r="K2922" s="227"/>
    </row>
    <row r="2923" spans="1:12" x14ac:dyDescent="0.35">
      <c r="A2923" s="221"/>
      <c r="B2923" s="222"/>
      <c r="C2923" s="222"/>
      <c r="D2923" s="222"/>
      <c r="E2923" s="223"/>
      <c r="G2923" s="221"/>
      <c r="H2923" s="222"/>
      <c r="I2923" s="222"/>
      <c r="J2923" s="222"/>
      <c r="K2923" s="223"/>
    </row>
    <row r="2924" spans="1:12" x14ac:dyDescent="0.35">
      <c r="A2924" s="225"/>
      <c r="B2924" s="226"/>
      <c r="C2924" s="226"/>
      <c r="D2924" s="226"/>
      <c r="E2924" s="227"/>
      <c r="G2924" s="225"/>
      <c r="H2924" s="226"/>
      <c r="I2924" s="226"/>
      <c r="J2924" s="226"/>
      <c r="K2924" s="227"/>
      <c r="L2924" t="s">
        <v>157</v>
      </c>
    </row>
    <row r="2925" spans="1:12" ht="15" thickBot="1" x14ac:dyDescent="0.4">
      <c r="A2925" s="218" t="s">
        <v>34</v>
      </c>
      <c r="B2925" s="219">
        <f>SUM(B2920:B2924)</f>
        <v>0</v>
      </c>
      <c r="C2925" s="219">
        <f>SUM(C2920:C2924)</f>
        <v>0</v>
      </c>
      <c r="D2925" s="219">
        <f>SUM(D2920:D2924)</f>
        <v>0</v>
      </c>
      <c r="E2925" s="219">
        <f>SUM(E2920:E2924)</f>
        <v>0</v>
      </c>
      <c r="G2925" s="218" t="s">
        <v>34</v>
      </c>
      <c r="H2925" s="219">
        <f>SUM(H2920:H2924)</f>
        <v>1009</v>
      </c>
      <c r="I2925" s="219">
        <f>SUM(I2920:I2924)</f>
        <v>0</v>
      </c>
      <c r="J2925" s="219">
        <f>SUM(J2920:J2924)</f>
        <v>0</v>
      </c>
      <c r="K2925" s="219">
        <f>SUM(K2920:K2924)</f>
        <v>0</v>
      </c>
    </row>
    <row r="2926" spans="1:12" x14ac:dyDescent="0.35">
      <c r="A2926" s="220" t="s">
        <v>305</v>
      </c>
      <c r="B2926" s="220">
        <f>+B2925+C2925+D2925+E2925</f>
        <v>0</v>
      </c>
      <c r="C2926" s="220"/>
      <c r="D2926" s="220"/>
      <c r="E2926" s="220"/>
      <c r="G2926" s="220" t="s">
        <v>305</v>
      </c>
      <c r="H2926" s="220">
        <f>+H2925+I2925+J2925+K2925</f>
        <v>1009</v>
      </c>
      <c r="I2926" s="220"/>
      <c r="J2926" s="220"/>
      <c r="K2926" s="220"/>
    </row>
    <row r="2927" spans="1:12" ht="15" thickBot="1" x14ac:dyDescent="0.4">
      <c r="A2927" s="315" t="s">
        <v>298</v>
      </c>
      <c r="B2927" s="315"/>
      <c r="C2927" s="315"/>
      <c r="D2927" s="315"/>
      <c r="E2927" s="315"/>
      <c r="G2927" s="315" t="s">
        <v>314</v>
      </c>
      <c r="H2927" s="315"/>
      <c r="I2927" s="315"/>
      <c r="J2927" s="315"/>
      <c r="K2927" s="315"/>
    </row>
    <row r="2928" spans="1:12" ht="15" thickTop="1" x14ac:dyDescent="0.35">
      <c r="A2928" s="313">
        <v>45581</v>
      </c>
      <c r="B2928" s="314"/>
      <c r="C2928" s="314"/>
      <c r="D2928" s="314"/>
      <c r="E2928" s="314"/>
      <c r="G2928" s="313">
        <v>45581</v>
      </c>
      <c r="H2928" s="314"/>
      <c r="I2928" s="314"/>
      <c r="J2928" s="314"/>
      <c r="K2928" s="314"/>
    </row>
    <row r="2929" spans="1:11" x14ac:dyDescent="0.35">
      <c r="A2929" s="261" t="s">
        <v>159</v>
      </c>
      <c r="B2929" s="262" t="s">
        <v>299</v>
      </c>
      <c r="C2929" s="262" t="s">
        <v>300</v>
      </c>
      <c r="D2929" s="262" t="s">
        <v>301</v>
      </c>
      <c r="E2929" s="263" t="s">
        <v>302</v>
      </c>
      <c r="G2929" s="264" t="s">
        <v>159</v>
      </c>
      <c r="H2929" s="265" t="s">
        <v>299</v>
      </c>
      <c r="I2929" s="265" t="s">
        <v>300</v>
      </c>
      <c r="J2929" s="265" t="s">
        <v>301</v>
      </c>
      <c r="K2929" s="266" t="s">
        <v>302</v>
      </c>
    </row>
    <row r="2930" spans="1:11" x14ac:dyDescent="0.35">
      <c r="A2930" s="221" t="s">
        <v>303</v>
      </c>
      <c r="B2930" s="222">
        <v>1367</v>
      </c>
      <c r="C2930" s="222"/>
      <c r="D2930" s="222"/>
      <c r="E2930" s="223">
        <v>738</v>
      </c>
      <c r="G2930" s="221" t="s">
        <v>303</v>
      </c>
      <c r="H2930" s="222"/>
      <c r="I2930" s="222"/>
      <c r="J2930" s="222"/>
      <c r="K2930" s="223"/>
    </row>
    <row r="2931" spans="1:11" x14ac:dyDescent="0.35">
      <c r="A2931" s="225" t="s">
        <v>304</v>
      </c>
      <c r="B2931" s="226"/>
      <c r="C2931" s="226"/>
      <c r="D2931" s="226"/>
      <c r="E2931" s="227"/>
      <c r="G2931" s="225"/>
      <c r="H2931" s="226"/>
      <c r="I2931" s="226"/>
      <c r="J2931" s="226"/>
      <c r="K2931" s="227"/>
    </row>
    <row r="2932" spans="1:11" x14ac:dyDescent="0.35">
      <c r="A2932" s="225"/>
      <c r="B2932" s="226"/>
      <c r="C2932" s="226"/>
      <c r="D2932" s="226"/>
      <c r="E2932" s="227"/>
      <c r="G2932" s="225"/>
      <c r="H2932" s="226"/>
      <c r="I2932" s="226"/>
      <c r="J2932" s="226"/>
      <c r="K2932" s="227"/>
    </row>
    <row r="2933" spans="1:11" x14ac:dyDescent="0.35">
      <c r="A2933" s="221"/>
      <c r="B2933" s="222"/>
      <c r="C2933" s="222"/>
      <c r="D2933" s="222"/>
      <c r="E2933" s="223"/>
      <c r="G2933" s="221"/>
      <c r="H2933" s="222"/>
      <c r="I2933" s="222"/>
      <c r="J2933" s="222"/>
      <c r="K2933" s="223"/>
    </row>
    <row r="2934" spans="1:11" x14ac:dyDescent="0.35">
      <c r="A2934" s="225"/>
      <c r="B2934" s="226"/>
      <c r="C2934" s="226"/>
      <c r="D2934" s="226"/>
      <c r="E2934" s="227"/>
      <c r="G2934" s="225"/>
      <c r="H2934" s="226"/>
      <c r="I2934" s="226"/>
      <c r="J2934" s="226"/>
      <c r="K2934" s="227"/>
    </row>
    <row r="2935" spans="1:11" ht="15" thickBot="1" x14ac:dyDescent="0.4">
      <c r="A2935" s="218" t="s">
        <v>34</v>
      </c>
      <c r="B2935" s="219">
        <f>SUM(B2930:B2934)</f>
        <v>1367</v>
      </c>
      <c r="C2935" s="219">
        <f>SUM(C2930:C2934)</f>
        <v>0</v>
      </c>
      <c r="D2935" s="219">
        <f>SUM(D2930:D2934)</f>
        <v>0</v>
      </c>
      <c r="E2935" s="219">
        <f>SUM(E2930:E2934)</f>
        <v>738</v>
      </c>
      <c r="G2935" s="218" t="s">
        <v>34</v>
      </c>
      <c r="H2935" s="219">
        <f>SUM(H2930:H2934)</f>
        <v>0</v>
      </c>
      <c r="I2935" s="219">
        <f>SUM(I2930:I2934)</f>
        <v>0</v>
      </c>
      <c r="J2935" s="219">
        <f>SUM(J2930:J2934)</f>
        <v>0</v>
      </c>
      <c r="K2935" s="219">
        <f>SUM(K2930:K2934)</f>
        <v>0</v>
      </c>
    </row>
    <row r="2936" spans="1:11" x14ac:dyDescent="0.35">
      <c r="A2936" s="220" t="s">
        <v>305</v>
      </c>
      <c r="B2936" s="220">
        <f>+B2935+C2935+D2935+E2935</f>
        <v>2105</v>
      </c>
      <c r="C2936" s="220"/>
      <c r="D2936" s="220"/>
      <c r="E2936" s="220"/>
      <c r="G2936" s="220" t="s">
        <v>305</v>
      </c>
      <c r="H2936" s="220">
        <f>+H2935+I2935+J2935+K2935</f>
        <v>0</v>
      </c>
      <c r="I2936" s="220"/>
      <c r="J2936" s="220"/>
      <c r="K2936" s="220"/>
    </row>
    <row r="2937" spans="1:11" ht="15" thickBot="1" x14ac:dyDescent="0.4">
      <c r="A2937" s="315" t="s">
        <v>298</v>
      </c>
      <c r="B2937" s="315"/>
      <c r="C2937" s="315"/>
      <c r="D2937" s="315"/>
      <c r="E2937" s="315"/>
      <c r="G2937" s="315" t="s">
        <v>314</v>
      </c>
      <c r="H2937" s="315"/>
      <c r="I2937" s="315"/>
      <c r="J2937" s="315"/>
      <c r="K2937" s="315"/>
    </row>
    <row r="2938" spans="1:11" ht="15" thickTop="1" x14ac:dyDescent="0.35">
      <c r="A2938" s="313">
        <v>45582</v>
      </c>
      <c r="B2938" s="314"/>
      <c r="C2938" s="314"/>
      <c r="D2938" s="314"/>
      <c r="E2938" s="314"/>
      <c r="G2938" s="313">
        <v>45582</v>
      </c>
      <c r="H2938" s="314"/>
      <c r="I2938" s="314"/>
      <c r="J2938" s="314"/>
      <c r="K2938" s="314"/>
    </row>
    <row r="2939" spans="1:11" x14ac:dyDescent="0.35">
      <c r="A2939" s="261" t="s">
        <v>159</v>
      </c>
      <c r="B2939" s="262" t="s">
        <v>299</v>
      </c>
      <c r="C2939" s="262" t="s">
        <v>300</v>
      </c>
      <c r="D2939" s="262" t="s">
        <v>301</v>
      </c>
      <c r="E2939" s="263" t="s">
        <v>302</v>
      </c>
      <c r="G2939" s="264" t="s">
        <v>159</v>
      </c>
      <c r="H2939" s="265" t="s">
        <v>299</v>
      </c>
      <c r="I2939" s="265" t="s">
        <v>300</v>
      </c>
      <c r="J2939" s="265" t="s">
        <v>301</v>
      </c>
      <c r="K2939" s="266" t="s">
        <v>302</v>
      </c>
    </row>
    <row r="2940" spans="1:11" x14ac:dyDescent="0.35">
      <c r="A2940" s="221" t="s">
        <v>303</v>
      </c>
      <c r="B2940" s="222">
        <v>7721</v>
      </c>
      <c r="C2940" s="222"/>
      <c r="D2940" s="222"/>
      <c r="E2940" s="223"/>
      <c r="G2940" s="221" t="s">
        <v>303</v>
      </c>
      <c r="H2940" s="222">
        <v>1173</v>
      </c>
      <c r="I2940" s="222"/>
      <c r="J2940" s="222"/>
      <c r="K2940" s="223">
        <v>87</v>
      </c>
    </row>
    <row r="2941" spans="1:11" x14ac:dyDescent="0.35">
      <c r="A2941" s="225" t="s">
        <v>304</v>
      </c>
      <c r="B2941" s="226">
        <v>170</v>
      </c>
      <c r="C2941" s="226"/>
      <c r="D2941" s="226"/>
      <c r="E2941" s="227"/>
      <c r="G2941" s="225"/>
      <c r="H2941" s="226"/>
      <c r="I2941" s="226"/>
      <c r="J2941" s="226"/>
      <c r="K2941" s="227"/>
    </row>
    <row r="2942" spans="1:11" x14ac:dyDescent="0.35">
      <c r="A2942" s="225"/>
      <c r="B2942" s="226"/>
      <c r="C2942" s="226"/>
      <c r="D2942" s="226"/>
      <c r="E2942" s="227"/>
      <c r="G2942" s="225"/>
      <c r="H2942" s="226"/>
      <c r="I2942" s="226"/>
      <c r="J2942" s="226"/>
      <c r="K2942" s="227"/>
    </row>
    <row r="2943" spans="1:11" x14ac:dyDescent="0.35">
      <c r="A2943" s="221"/>
      <c r="B2943" s="222"/>
      <c r="C2943" s="222"/>
      <c r="D2943" s="222"/>
      <c r="E2943" s="223"/>
      <c r="G2943" s="221"/>
      <c r="H2943" s="222"/>
      <c r="I2943" s="222"/>
      <c r="J2943" s="222"/>
      <c r="K2943" s="223"/>
    </row>
    <row r="2944" spans="1:11" x14ac:dyDescent="0.35">
      <c r="A2944" s="225"/>
      <c r="B2944" s="226"/>
      <c r="C2944" s="226"/>
      <c r="D2944" s="226"/>
      <c r="E2944" s="227"/>
      <c r="G2944" s="225"/>
      <c r="H2944" s="226"/>
      <c r="I2944" s="226"/>
      <c r="J2944" s="226"/>
      <c r="K2944" s="227"/>
    </row>
    <row r="2945" spans="1:11" ht="15" thickBot="1" x14ac:dyDescent="0.4">
      <c r="A2945" s="218" t="s">
        <v>34</v>
      </c>
      <c r="B2945" s="219">
        <f>SUM(B2940:B2944)</f>
        <v>7891</v>
      </c>
      <c r="C2945" s="219">
        <f>SUM(C2940:C2944)</f>
        <v>0</v>
      </c>
      <c r="D2945" s="219">
        <f>SUM(D2940:D2944)</f>
        <v>0</v>
      </c>
      <c r="E2945" s="219">
        <f>SUM(E2940:E2944)</f>
        <v>0</v>
      </c>
      <c r="G2945" s="218" t="s">
        <v>34</v>
      </c>
      <c r="H2945" s="219">
        <f>SUM(H2940:H2944)</f>
        <v>1173</v>
      </c>
      <c r="I2945" s="219">
        <f>SUM(I2940:I2944)</f>
        <v>0</v>
      </c>
      <c r="J2945" s="219">
        <f>SUM(J2940:J2944)</f>
        <v>0</v>
      </c>
      <c r="K2945" s="219">
        <f>SUM(K2940:K2944)</f>
        <v>87</v>
      </c>
    </row>
    <row r="2946" spans="1:11" x14ac:dyDescent="0.35">
      <c r="A2946" s="220" t="s">
        <v>305</v>
      </c>
      <c r="B2946" s="220">
        <f>+B2945+C2945+D2945+E2945</f>
        <v>7891</v>
      </c>
      <c r="C2946" s="220"/>
      <c r="D2946" s="220"/>
      <c r="E2946" s="220"/>
      <c r="G2946" s="220" t="s">
        <v>305</v>
      </c>
      <c r="H2946" s="220">
        <f>+H2945+I2945+J2945+K2945</f>
        <v>1260</v>
      </c>
      <c r="I2946" s="220"/>
      <c r="J2946" s="220"/>
      <c r="K2946" s="220"/>
    </row>
    <row r="2947" spans="1:11" ht="15" thickBot="1" x14ac:dyDescent="0.4">
      <c r="A2947" s="315" t="s">
        <v>298</v>
      </c>
      <c r="B2947" s="315"/>
      <c r="C2947" s="315"/>
      <c r="D2947" s="315"/>
      <c r="E2947" s="315"/>
      <c r="G2947" s="315" t="s">
        <v>314</v>
      </c>
      <c r="H2947" s="315"/>
      <c r="I2947" s="315"/>
      <c r="J2947" s="315"/>
      <c r="K2947" s="315"/>
    </row>
    <row r="2948" spans="1:11" ht="15" thickTop="1" x14ac:dyDescent="0.35">
      <c r="A2948" s="313">
        <v>45583</v>
      </c>
      <c r="B2948" s="314"/>
      <c r="C2948" s="314"/>
      <c r="D2948" s="314"/>
      <c r="E2948" s="314"/>
      <c r="G2948" s="313">
        <v>45583</v>
      </c>
      <c r="H2948" s="314"/>
      <c r="I2948" s="314"/>
      <c r="J2948" s="314"/>
      <c r="K2948" s="314"/>
    </row>
    <row r="2949" spans="1:11" x14ac:dyDescent="0.35">
      <c r="A2949" s="261" t="s">
        <v>159</v>
      </c>
      <c r="B2949" s="262" t="s">
        <v>299</v>
      </c>
      <c r="C2949" s="262" t="s">
        <v>300</v>
      </c>
      <c r="D2949" s="262" t="s">
        <v>301</v>
      </c>
      <c r="E2949" s="263" t="s">
        <v>302</v>
      </c>
      <c r="G2949" s="264" t="s">
        <v>159</v>
      </c>
      <c r="H2949" s="265" t="s">
        <v>299</v>
      </c>
      <c r="I2949" s="265" t="s">
        <v>300</v>
      </c>
      <c r="J2949" s="265" t="s">
        <v>301</v>
      </c>
      <c r="K2949" s="266" t="s">
        <v>302</v>
      </c>
    </row>
    <row r="2950" spans="1:11" x14ac:dyDescent="0.35">
      <c r="A2950" s="221" t="s">
        <v>303</v>
      </c>
      <c r="B2950" s="222">
        <v>3519</v>
      </c>
      <c r="C2950" s="222"/>
      <c r="D2950" s="222"/>
      <c r="E2950" s="223"/>
      <c r="G2950" s="221" t="s">
        <v>303</v>
      </c>
      <c r="H2950" s="222">
        <v>2041</v>
      </c>
      <c r="I2950" s="222"/>
      <c r="J2950" s="222"/>
      <c r="K2950" s="223"/>
    </row>
    <row r="2951" spans="1:11" x14ac:dyDescent="0.35">
      <c r="A2951" s="225" t="s">
        <v>304</v>
      </c>
      <c r="B2951" s="226">
        <v>11680</v>
      </c>
      <c r="C2951" s="226"/>
      <c r="D2951" s="226"/>
      <c r="E2951" s="227"/>
      <c r="G2951" s="225"/>
      <c r="H2951" s="226"/>
      <c r="I2951" s="226"/>
      <c r="J2951" s="226"/>
      <c r="K2951" s="227"/>
    </row>
    <row r="2952" spans="1:11" x14ac:dyDescent="0.35">
      <c r="A2952" s="225"/>
      <c r="B2952" s="226"/>
      <c r="C2952" s="226"/>
      <c r="D2952" s="226"/>
      <c r="E2952" s="227"/>
      <c r="G2952" s="225"/>
      <c r="H2952" s="226"/>
      <c r="I2952" s="226"/>
      <c r="J2952" s="226"/>
      <c r="K2952" s="227"/>
    </row>
    <row r="2953" spans="1:11" x14ac:dyDescent="0.35">
      <c r="A2953" s="221"/>
      <c r="B2953" s="222"/>
      <c r="C2953" s="222"/>
      <c r="D2953" s="222"/>
      <c r="E2953" s="223"/>
      <c r="G2953" s="221"/>
      <c r="H2953" s="222"/>
      <c r="I2953" s="222"/>
      <c r="J2953" s="222"/>
      <c r="K2953" s="223"/>
    </row>
    <row r="2954" spans="1:11" x14ac:dyDescent="0.35">
      <c r="A2954" s="225"/>
      <c r="B2954" s="226"/>
      <c r="C2954" s="226"/>
      <c r="D2954" s="226"/>
      <c r="E2954" s="227"/>
      <c r="G2954" s="225"/>
      <c r="H2954" s="226"/>
      <c r="I2954" s="226"/>
      <c r="J2954" s="226"/>
      <c r="K2954" s="227"/>
    </row>
    <row r="2955" spans="1:11" ht="15" thickBot="1" x14ac:dyDescent="0.4">
      <c r="A2955" s="218" t="s">
        <v>34</v>
      </c>
      <c r="B2955" s="219">
        <f>SUM(B2950:B2954)</f>
        <v>15199</v>
      </c>
      <c r="C2955" s="219">
        <f>SUM(C2950:C2954)</f>
        <v>0</v>
      </c>
      <c r="D2955" s="219">
        <f>SUM(D2950:D2954)</f>
        <v>0</v>
      </c>
      <c r="E2955" s="219">
        <f>SUM(E2950:E2954)</f>
        <v>0</v>
      </c>
      <c r="G2955" s="218" t="s">
        <v>34</v>
      </c>
      <c r="H2955" s="219">
        <f>SUM(H2950:H2954)</f>
        <v>2041</v>
      </c>
      <c r="I2955" s="219">
        <f>SUM(I2950:I2954)</f>
        <v>0</v>
      </c>
      <c r="J2955" s="219">
        <f>SUM(J2950:J2954)</f>
        <v>0</v>
      </c>
      <c r="K2955" s="219">
        <f>SUM(K2950:K2954)</f>
        <v>0</v>
      </c>
    </row>
    <row r="2956" spans="1:11" x14ac:dyDescent="0.35">
      <c r="A2956" s="220" t="s">
        <v>305</v>
      </c>
      <c r="B2956" s="220">
        <f>+B2955+C2955+D2955+E2955</f>
        <v>15199</v>
      </c>
      <c r="C2956" s="220"/>
      <c r="D2956" s="220"/>
      <c r="E2956" s="220"/>
      <c r="G2956" s="220" t="s">
        <v>305</v>
      </c>
      <c r="H2956" s="220">
        <f>+H2955+I2955+J2955+K2955</f>
        <v>2041</v>
      </c>
      <c r="I2956" s="220"/>
      <c r="J2956" s="220"/>
      <c r="K2956" s="220"/>
    </row>
    <row r="2957" spans="1:11" ht="15" thickBot="1" x14ac:dyDescent="0.4">
      <c r="A2957" s="315" t="s">
        <v>298</v>
      </c>
      <c r="B2957" s="315"/>
      <c r="C2957" s="315"/>
      <c r="D2957" s="315"/>
      <c r="E2957" s="315"/>
      <c r="G2957" s="315" t="s">
        <v>314</v>
      </c>
      <c r="H2957" s="315"/>
      <c r="I2957" s="315"/>
      <c r="J2957" s="315"/>
      <c r="K2957" s="315"/>
    </row>
    <row r="2958" spans="1:11" ht="15" thickTop="1" x14ac:dyDescent="0.35">
      <c r="A2958" s="313">
        <v>45584</v>
      </c>
      <c r="B2958" s="314"/>
      <c r="C2958" s="314"/>
      <c r="D2958" s="314"/>
      <c r="E2958" s="314"/>
      <c r="G2958" s="313">
        <v>45584</v>
      </c>
      <c r="H2958" s="314"/>
      <c r="I2958" s="314"/>
      <c r="J2958" s="314"/>
      <c r="K2958" s="314"/>
    </row>
    <row r="2959" spans="1:11" x14ac:dyDescent="0.35">
      <c r="A2959" s="261" t="s">
        <v>159</v>
      </c>
      <c r="B2959" s="262" t="s">
        <v>299</v>
      </c>
      <c r="C2959" s="262" t="s">
        <v>300</v>
      </c>
      <c r="D2959" s="262" t="s">
        <v>301</v>
      </c>
      <c r="E2959" s="263" t="s">
        <v>302</v>
      </c>
      <c r="G2959" s="264" t="s">
        <v>159</v>
      </c>
      <c r="H2959" s="265" t="s">
        <v>299</v>
      </c>
      <c r="I2959" s="265" t="s">
        <v>300</v>
      </c>
      <c r="J2959" s="265" t="s">
        <v>301</v>
      </c>
      <c r="K2959" s="266" t="s">
        <v>302</v>
      </c>
    </row>
    <row r="2960" spans="1:11" x14ac:dyDescent="0.35">
      <c r="A2960" s="221" t="s">
        <v>303</v>
      </c>
      <c r="B2960" s="222"/>
      <c r="C2960" s="222"/>
      <c r="D2960" s="222"/>
      <c r="E2960" s="223"/>
      <c r="G2960" s="221" t="s">
        <v>303</v>
      </c>
      <c r="H2960" s="222"/>
      <c r="I2960" s="222"/>
      <c r="J2960" s="222"/>
      <c r="K2960" s="223"/>
    </row>
    <row r="2961" spans="1:11" x14ac:dyDescent="0.35">
      <c r="A2961" s="225" t="s">
        <v>304</v>
      </c>
      <c r="B2961" s="226"/>
      <c r="C2961" s="226"/>
      <c r="D2961" s="226"/>
      <c r="E2961" s="227"/>
      <c r="G2961" s="225"/>
      <c r="H2961" s="226"/>
      <c r="I2961" s="226"/>
      <c r="J2961" s="226"/>
      <c r="K2961" s="227"/>
    </row>
    <row r="2962" spans="1:11" x14ac:dyDescent="0.35">
      <c r="A2962" s="225"/>
      <c r="B2962" s="226"/>
      <c r="C2962" s="226"/>
      <c r="D2962" s="226"/>
      <c r="E2962" s="227"/>
      <c r="G2962" s="225"/>
      <c r="H2962" s="226"/>
      <c r="I2962" s="226"/>
      <c r="J2962" s="226"/>
      <c r="K2962" s="227"/>
    </row>
    <row r="2963" spans="1:11" x14ac:dyDescent="0.35">
      <c r="A2963" s="221"/>
      <c r="B2963" s="222"/>
      <c r="C2963" s="222"/>
      <c r="D2963" s="222"/>
      <c r="E2963" s="223"/>
      <c r="G2963" s="221"/>
      <c r="H2963" s="222"/>
      <c r="I2963" s="222"/>
      <c r="J2963" s="222"/>
      <c r="K2963" s="223"/>
    </row>
    <row r="2964" spans="1:11" x14ac:dyDescent="0.35">
      <c r="A2964" s="225"/>
      <c r="B2964" s="226"/>
      <c r="C2964" s="226"/>
      <c r="D2964" s="226"/>
      <c r="E2964" s="227"/>
      <c r="G2964" s="225"/>
      <c r="H2964" s="226"/>
      <c r="I2964" s="226"/>
      <c r="J2964" s="226"/>
      <c r="K2964" s="227"/>
    </row>
    <row r="2965" spans="1:11" ht="15" thickBot="1" x14ac:dyDescent="0.4">
      <c r="A2965" s="218" t="s">
        <v>34</v>
      </c>
      <c r="B2965" s="219">
        <f>SUM(B2960:B2964)</f>
        <v>0</v>
      </c>
      <c r="C2965" s="219">
        <f>SUM(C2960:C2964)</f>
        <v>0</v>
      </c>
      <c r="D2965" s="219">
        <f>SUM(D2960:D2964)</f>
        <v>0</v>
      </c>
      <c r="E2965" s="219">
        <f>SUM(E2960:E2964)</f>
        <v>0</v>
      </c>
      <c r="G2965" s="218" t="s">
        <v>34</v>
      </c>
      <c r="H2965" s="219">
        <f>SUM(H2960:H2964)</f>
        <v>0</v>
      </c>
      <c r="I2965" s="219">
        <f>SUM(I2960:I2964)</f>
        <v>0</v>
      </c>
      <c r="J2965" s="219">
        <f>SUM(J2960:J2964)</f>
        <v>0</v>
      </c>
      <c r="K2965" s="219">
        <f>SUM(K2960:K2964)</f>
        <v>0</v>
      </c>
    </row>
    <row r="2966" spans="1:11" x14ac:dyDescent="0.35">
      <c r="A2966" s="220" t="s">
        <v>305</v>
      </c>
      <c r="B2966" s="220">
        <f>+B2965+C2965+D2965+E2965</f>
        <v>0</v>
      </c>
      <c r="C2966" s="220"/>
      <c r="D2966" s="220"/>
      <c r="E2966" s="220"/>
      <c r="G2966" s="220" t="s">
        <v>305</v>
      </c>
      <c r="H2966" s="220">
        <f>+H2965+I2965+J2965+K2965</f>
        <v>0</v>
      </c>
      <c r="I2966" s="220"/>
      <c r="J2966" s="220"/>
      <c r="K2966" s="220"/>
    </row>
    <row r="2967" spans="1:11" ht="15" thickBot="1" x14ac:dyDescent="0.4">
      <c r="A2967" s="315" t="s">
        <v>298</v>
      </c>
      <c r="B2967" s="315"/>
      <c r="C2967" s="315"/>
      <c r="D2967" s="315"/>
      <c r="E2967" s="315"/>
      <c r="G2967" s="315" t="s">
        <v>314</v>
      </c>
      <c r="H2967" s="315"/>
      <c r="I2967" s="315"/>
      <c r="J2967" s="315"/>
      <c r="K2967" s="315"/>
    </row>
    <row r="2968" spans="1:11" ht="15" thickTop="1" x14ac:dyDescent="0.35">
      <c r="A2968" s="313">
        <v>45585</v>
      </c>
      <c r="B2968" s="314"/>
      <c r="C2968" s="314"/>
      <c r="D2968" s="314"/>
      <c r="E2968" s="314"/>
      <c r="G2968" s="313">
        <v>45585</v>
      </c>
      <c r="H2968" s="314"/>
      <c r="I2968" s="314"/>
      <c r="J2968" s="314"/>
      <c r="K2968" s="314"/>
    </row>
    <row r="2969" spans="1:11" x14ac:dyDescent="0.35">
      <c r="A2969" s="261" t="s">
        <v>159</v>
      </c>
      <c r="B2969" s="262" t="s">
        <v>299</v>
      </c>
      <c r="C2969" s="262" t="s">
        <v>300</v>
      </c>
      <c r="D2969" s="262" t="s">
        <v>301</v>
      </c>
      <c r="E2969" s="263" t="s">
        <v>302</v>
      </c>
      <c r="G2969" s="264" t="s">
        <v>159</v>
      </c>
      <c r="H2969" s="265" t="s">
        <v>299</v>
      </c>
      <c r="I2969" s="265" t="s">
        <v>300</v>
      </c>
      <c r="J2969" s="265" t="s">
        <v>301</v>
      </c>
      <c r="K2969" s="266" t="s">
        <v>302</v>
      </c>
    </row>
    <row r="2970" spans="1:11" x14ac:dyDescent="0.35">
      <c r="A2970" s="221" t="s">
        <v>303</v>
      </c>
      <c r="B2970" s="222"/>
      <c r="C2970" s="222"/>
      <c r="D2970" s="222"/>
      <c r="E2970" s="223"/>
      <c r="G2970" s="221" t="s">
        <v>303</v>
      </c>
      <c r="H2970" s="222"/>
      <c r="I2970" s="222"/>
      <c r="J2970" s="222"/>
      <c r="K2970" s="223"/>
    </row>
    <row r="2971" spans="1:11" x14ac:dyDescent="0.35">
      <c r="A2971" s="225" t="s">
        <v>304</v>
      </c>
      <c r="B2971" s="226"/>
      <c r="C2971" s="226"/>
      <c r="D2971" s="226"/>
      <c r="E2971" s="227"/>
      <c r="G2971" s="225"/>
      <c r="H2971" s="226"/>
      <c r="I2971" s="226"/>
      <c r="J2971" s="226"/>
      <c r="K2971" s="227"/>
    </row>
    <row r="2972" spans="1:11" x14ac:dyDescent="0.35">
      <c r="A2972" s="225"/>
      <c r="B2972" s="226"/>
      <c r="C2972" s="226"/>
      <c r="D2972" s="226"/>
      <c r="E2972" s="227"/>
      <c r="G2972" s="225"/>
      <c r="H2972" s="226"/>
      <c r="I2972" s="226"/>
      <c r="J2972" s="226"/>
      <c r="K2972" s="227"/>
    </row>
    <row r="2973" spans="1:11" x14ac:dyDescent="0.35">
      <c r="A2973" s="221"/>
      <c r="B2973" s="222"/>
      <c r="C2973" s="222"/>
      <c r="D2973" s="222"/>
      <c r="E2973" s="223"/>
      <c r="G2973" s="221"/>
      <c r="H2973" s="222"/>
      <c r="I2973" s="222"/>
      <c r="J2973" s="222"/>
      <c r="K2973" s="223"/>
    </row>
    <row r="2974" spans="1:11" x14ac:dyDescent="0.35">
      <c r="A2974" s="225"/>
      <c r="B2974" s="226"/>
      <c r="C2974" s="226"/>
      <c r="D2974" s="226"/>
      <c r="E2974" s="227"/>
      <c r="G2974" s="225"/>
      <c r="H2974" s="226"/>
      <c r="I2974" s="226"/>
      <c r="J2974" s="226"/>
      <c r="K2974" s="227"/>
    </row>
    <row r="2975" spans="1:11" ht="15" thickBot="1" x14ac:dyDescent="0.4">
      <c r="A2975" s="218" t="s">
        <v>34</v>
      </c>
      <c r="B2975" s="219">
        <f>SUM(B2970:B2974)</f>
        <v>0</v>
      </c>
      <c r="C2975" s="219">
        <f>SUM(C2970:C2974)</f>
        <v>0</v>
      </c>
      <c r="D2975" s="219">
        <f>SUM(D2970:D2974)</f>
        <v>0</v>
      </c>
      <c r="E2975" s="219">
        <f>SUM(E2970:E2974)</f>
        <v>0</v>
      </c>
      <c r="G2975" s="218" t="s">
        <v>34</v>
      </c>
      <c r="H2975" s="219">
        <f>SUM(H2970:H2974)</f>
        <v>0</v>
      </c>
      <c r="I2975" s="219">
        <f>SUM(I2970:I2974)</f>
        <v>0</v>
      </c>
      <c r="J2975" s="219">
        <f>SUM(J2970:J2974)</f>
        <v>0</v>
      </c>
      <c r="K2975" s="219">
        <f>SUM(K2970:K2974)</f>
        <v>0</v>
      </c>
    </row>
    <row r="2976" spans="1:11" x14ac:dyDescent="0.35">
      <c r="A2976" s="220" t="s">
        <v>305</v>
      </c>
      <c r="B2976" s="220">
        <f>+B2975+C2975+D2975+E2975</f>
        <v>0</v>
      </c>
      <c r="C2976" s="220"/>
      <c r="D2976" s="220"/>
      <c r="E2976" s="220"/>
      <c r="G2976" s="220" t="s">
        <v>305</v>
      </c>
      <c r="H2976" s="220">
        <f>+H2975+I2975+J2975+K2975</f>
        <v>0</v>
      </c>
      <c r="I2976" s="220"/>
      <c r="J2976" s="220"/>
      <c r="K2976" s="220"/>
    </row>
    <row r="2977" spans="1:11" ht="15" thickBot="1" x14ac:dyDescent="0.4">
      <c r="A2977" s="315" t="s">
        <v>298</v>
      </c>
      <c r="B2977" s="315"/>
      <c r="C2977" s="315"/>
      <c r="D2977" s="315"/>
      <c r="E2977" s="315"/>
      <c r="G2977" s="315" t="s">
        <v>314</v>
      </c>
      <c r="H2977" s="315"/>
      <c r="I2977" s="315"/>
      <c r="J2977" s="315"/>
      <c r="K2977" s="315"/>
    </row>
    <row r="2978" spans="1:11" ht="15" thickTop="1" x14ac:dyDescent="0.35">
      <c r="A2978" s="313">
        <v>45586</v>
      </c>
      <c r="B2978" s="314"/>
      <c r="C2978" s="314"/>
      <c r="D2978" s="314"/>
      <c r="E2978" s="314"/>
      <c r="G2978" s="313">
        <v>45586</v>
      </c>
      <c r="H2978" s="314"/>
      <c r="I2978" s="314"/>
      <c r="J2978" s="314"/>
      <c r="K2978" s="314"/>
    </row>
    <row r="2979" spans="1:11" x14ac:dyDescent="0.35">
      <c r="A2979" s="261" t="s">
        <v>159</v>
      </c>
      <c r="B2979" s="262" t="s">
        <v>299</v>
      </c>
      <c r="C2979" s="262" t="s">
        <v>300</v>
      </c>
      <c r="D2979" s="262" t="s">
        <v>301</v>
      </c>
      <c r="E2979" s="263" t="s">
        <v>302</v>
      </c>
      <c r="G2979" s="264" t="s">
        <v>159</v>
      </c>
      <c r="H2979" s="265" t="s">
        <v>299</v>
      </c>
      <c r="I2979" s="265" t="s">
        <v>300</v>
      </c>
      <c r="J2979" s="265" t="s">
        <v>301</v>
      </c>
      <c r="K2979" s="266" t="s">
        <v>302</v>
      </c>
    </row>
    <row r="2980" spans="1:11" x14ac:dyDescent="0.35">
      <c r="A2980" s="221" t="s">
        <v>303</v>
      </c>
      <c r="B2980" s="222"/>
      <c r="C2980" s="222"/>
      <c r="D2980" s="222"/>
      <c r="E2980" s="223"/>
      <c r="G2980" s="221" t="s">
        <v>303</v>
      </c>
      <c r="H2980" s="222"/>
      <c r="I2980" s="222"/>
      <c r="J2980" s="222"/>
      <c r="K2980" s="223"/>
    </row>
    <row r="2981" spans="1:11" x14ac:dyDescent="0.35">
      <c r="A2981" s="225" t="s">
        <v>304</v>
      </c>
      <c r="B2981" s="226"/>
      <c r="C2981" s="226"/>
      <c r="D2981" s="226"/>
      <c r="E2981" s="227"/>
      <c r="G2981" s="225"/>
      <c r="H2981" s="226"/>
      <c r="I2981" s="226"/>
      <c r="J2981" s="226"/>
      <c r="K2981" s="227"/>
    </row>
    <row r="2982" spans="1:11" x14ac:dyDescent="0.35">
      <c r="A2982" s="225"/>
      <c r="B2982" s="226"/>
      <c r="C2982" s="226"/>
      <c r="D2982" s="226"/>
      <c r="E2982" s="227"/>
      <c r="G2982" s="225"/>
      <c r="H2982" s="226"/>
      <c r="I2982" s="226"/>
      <c r="J2982" s="226"/>
      <c r="K2982" s="227"/>
    </row>
    <row r="2983" spans="1:11" x14ac:dyDescent="0.35">
      <c r="A2983" s="221"/>
      <c r="B2983" s="222"/>
      <c r="C2983" s="222"/>
      <c r="D2983" s="222"/>
      <c r="E2983" s="223"/>
      <c r="G2983" s="221"/>
      <c r="H2983" s="222"/>
      <c r="I2983" s="222"/>
      <c r="J2983" s="222"/>
      <c r="K2983" s="223"/>
    </row>
    <row r="2984" spans="1:11" x14ac:dyDescent="0.35">
      <c r="A2984" s="225"/>
      <c r="B2984" s="226"/>
      <c r="C2984" s="226"/>
      <c r="D2984" s="226"/>
      <c r="E2984" s="227"/>
      <c r="G2984" s="225"/>
      <c r="H2984" s="226"/>
      <c r="I2984" s="226"/>
      <c r="J2984" s="226"/>
      <c r="K2984" s="227"/>
    </row>
    <row r="2985" spans="1:11" ht="15" thickBot="1" x14ac:dyDescent="0.4">
      <c r="A2985" s="218" t="s">
        <v>34</v>
      </c>
      <c r="B2985" s="219">
        <f>SUM(B2980:B2984)</f>
        <v>0</v>
      </c>
      <c r="C2985" s="219">
        <f>SUM(C2980:C2984)</f>
        <v>0</v>
      </c>
      <c r="D2985" s="219">
        <f>SUM(D2980:D2984)</f>
        <v>0</v>
      </c>
      <c r="E2985" s="219">
        <f>SUM(E2980:E2984)</f>
        <v>0</v>
      </c>
      <c r="G2985" s="218" t="s">
        <v>34</v>
      </c>
      <c r="H2985" s="219">
        <f>SUM(H2980:H2984)</f>
        <v>0</v>
      </c>
      <c r="I2985" s="219">
        <f>SUM(I2980:I2984)</f>
        <v>0</v>
      </c>
      <c r="J2985" s="219">
        <f>SUM(J2980:J2984)</f>
        <v>0</v>
      </c>
      <c r="K2985" s="219">
        <f>SUM(K2980:K2984)</f>
        <v>0</v>
      </c>
    </row>
    <row r="2986" spans="1:11" x14ac:dyDescent="0.35">
      <c r="A2986" s="220" t="s">
        <v>305</v>
      </c>
      <c r="B2986" s="220">
        <f>+B2985+C2985+D2985+E2985</f>
        <v>0</v>
      </c>
      <c r="C2986" s="220"/>
      <c r="D2986" s="220"/>
      <c r="E2986" s="220"/>
      <c r="G2986" s="220" t="s">
        <v>305</v>
      </c>
      <c r="H2986" s="220">
        <f>+H2985+I2985+J2985+K2985</f>
        <v>0</v>
      </c>
      <c r="I2986" s="220"/>
      <c r="J2986" s="220"/>
      <c r="K2986" s="220"/>
    </row>
    <row r="2987" spans="1:11" ht="15" thickBot="1" x14ac:dyDescent="0.4">
      <c r="A2987" s="315" t="s">
        <v>298</v>
      </c>
      <c r="B2987" s="315"/>
      <c r="C2987" s="315"/>
      <c r="D2987" s="315"/>
      <c r="E2987" s="315"/>
      <c r="G2987" s="315" t="s">
        <v>314</v>
      </c>
      <c r="H2987" s="315"/>
      <c r="I2987" s="315"/>
      <c r="J2987" s="315"/>
      <c r="K2987" s="315"/>
    </row>
    <row r="2988" spans="1:11" ht="15" thickTop="1" x14ac:dyDescent="0.35">
      <c r="A2988" s="313">
        <v>45587</v>
      </c>
      <c r="B2988" s="314"/>
      <c r="C2988" s="314"/>
      <c r="D2988" s="314"/>
      <c r="E2988" s="314"/>
      <c r="G2988" s="313">
        <v>45587</v>
      </c>
      <c r="H2988" s="314"/>
      <c r="I2988" s="314"/>
      <c r="J2988" s="314"/>
      <c r="K2988" s="314"/>
    </row>
    <row r="2989" spans="1:11" x14ac:dyDescent="0.35">
      <c r="A2989" s="261" t="s">
        <v>159</v>
      </c>
      <c r="B2989" s="262" t="s">
        <v>299</v>
      </c>
      <c r="C2989" s="262" t="s">
        <v>300</v>
      </c>
      <c r="D2989" s="262" t="s">
        <v>301</v>
      </c>
      <c r="E2989" s="263" t="s">
        <v>302</v>
      </c>
      <c r="G2989" s="264" t="s">
        <v>159</v>
      </c>
      <c r="H2989" s="265" t="s">
        <v>299</v>
      </c>
      <c r="I2989" s="265" t="s">
        <v>300</v>
      </c>
      <c r="J2989" s="265" t="s">
        <v>301</v>
      </c>
      <c r="K2989" s="266" t="s">
        <v>302</v>
      </c>
    </row>
    <row r="2990" spans="1:11" x14ac:dyDescent="0.35">
      <c r="A2990" s="221" t="s">
        <v>303</v>
      </c>
      <c r="B2990" s="222"/>
      <c r="C2990" s="222"/>
      <c r="D2990" s="222"/>
      <c r="E2990" s="223"/>
      <c r="G2990" s="221" t="s">
        <v>303</v>
      </c>
      <c r="H2990" s="222"/>
      <c r="I2990" s="222"/>
      <c r="J2990" s="222"/>
      <c r="K2990" s="223"/>
    </row>
    <row r="2991" spans="1:11" x14ac:dyDescent="0.35">
      <c r="A2991" s="225" t="s">
        <v>304</v>
      </c>
      <c r="B2991" s="226"/>
      <c r="C2991" s="226"/>
      <c r="D2991" s="226"/>
      <c r="E2991" s="227"/>
      <c r="G2991" s="225"/>
      <c r="H2991" s="226"/>
      <c r="I2991" s="226"/>
      <c r="J2991" s="226"/>
      <c r="K2991" s="227"/>
    </row>
    <row r="2992" spans="1:11" x14ac:dyDescent="0.35">
      <c r="A2992" s="225"/>
      <c r="B2992" s="226"/>
      <c r="C2992" s="226"/>
      <c r="D2992" s="226"/>
      <c r="E2992" s="227"/>
      <c r="G2992" s="225"/>
      <c r="H2992" s="226"/>
      <c r="I2992" s="226"/>
      <c r="J2992" s="226"/>
      <c r="K2992" s="227"/>
    </row>
    <row r="2993" spans="1:11" x14ac:dyDescent="0.35">
      <c r="A2993" s="221"/>
      <c r="B2993" s="222"/>
      <c r="C2993" s="222"/>
      <c r="D2993" s="222"/>
      <c r="E2993" s="223"/>
      <c r="G2993" s="221"/>
      <c r="H2993" s="222"/>
      <c r="I2993" s="222"/>
      <c r="J2993" s="222"/>
      <c r="K2993" s="223"/>
    </row>
    <row r="2994" spans="1:11" x14ac:dyDescent="0.35">
      <c r="A2994" s="225"/>
      <c r="B2994" s="226"/>
      <c r="C2994" s="226"/>
      <c r="D2994" s="226"/>
      <c r="E2994" s="227"/>
      <c r="G2994" s="225"/>
      <c r="H2994" s="226"/>
      <c r="I2994" s="226"/>
      <c r="J2994" s="226"/>
      <c r="K2994" s="227"/>
    </row>
    <row r="2995" spans="1:11" ht="15" thickBot="1" x14ac:dyDescent="0.4">
      <c r="A2995" s="218" t="s">
        <v>34</v>
      </c>
      <c r="B2995" s="219">
        <f>SUM(B2990:B2994)</f>
        <v>0</v>
      </c>
      <c r="C2995" s="219">
        <f>SUM(C2990:C2994)</f>
        <v>0</v>
      </c>
      <c r="D2995" s="219">
        <f>SUM(D2990:D2994)</f>
        <v>0</v>
      </c>
      <c r="E2995" s="219">
        <f>SUM(E2990:E2994)</f>
        <v>0</v>
      </c>
      <c r="G2995" s="218" t="s">
        <v>34</v>
      </c>
      <c r="H2995" s="219">
        <f>SUM(H2990:H2994)</f>
        <v>0</v>
      </c>
      <c r="I2995" s="219">
        <f>SUM(I2990:I2994)</f>
        <v>0</v>
      </c>
      <c r="J2995" s="219">
        <f>SUM(J2990:J2994)</f>
        <v>0</v>
      </c>
      <c r="K2995" s="219">
        <f>SUM(K2990:K2994)</f>
        <v>0</v>
      </c>
    </row>
    <row r="2996" spans="1:11" x14ac:dyDescent="0.35">
      <c r="A2996" s="220" t="s">
        <v>305</v>
      </c>
      <c r="B2996" s="220">
        <f>+B2995+C2995+D2995+E2995</f>
        <v>0</v>
      </c>
      <c r="C2996" s="220"/>
      <c r="D2996" s="220"/>
      <c r="E2996" s="220"/>
      <c r="G2996" s="220" t="s">
        <v>305</v>
      </c>
      <c r="H2996" s="220">
        <f>+H2995+I2995+J2995+K2995</f>
        <v>0</v>
      </c>
      <c r="I2996" s="220"/>
      <c r="J2996" s="220"/>
      <c r="K2996" s="220"/>
    </row>
    <row r="2997" spans="1:11" ht="15" thickBot="1" x14ac:dyDescent="0.4">
      <c r="A2997" s="315" t="s">
        <v>298</v>
      </c>
      <c r="B2997" s="315"/>
      <c r="C2997" s="315"/>
      <c r="D2997" s="315"/>
      <c r="E2997" s="315"/>
      <c r="G2997" s="315" t="s">
        <v>314</v>
      </c>
      <c r="H2997" s="315"/>
      <c r="I2997" s="315"/>
      <c r="J2997" s="315"/>
      <c r="K2997" s="315"/>
    </row>
    <row r="2998" spans="1:11" ht="15" thickTop="1" x14ac:dyDescent="0.35">
      <c r="A2998" s="313">
        <v>45588</v>
      </c>
      <c r="B2998" s="314"/>
      <c r="C2998" s="314"/>
      <c r="D2998" s="314"/>
      <c r="E2998" s="314"/>
      <c r="G2998" s="313">
        <v>45588</v>
      </c>
      <c r="H2998" s="314"/>
      <c r="I2998" s="314"/>
      <c r="J2998" s="314"/>
      <c r="K2998" s="314"/>
    </row>
    <row r="2999" spans="1:11" x14ac:dyDescent="0.35">
      <c r="A2999" s="261" t="s">
        <v>159</v>
      </c>
      <c r="B2999" s="262" t="s">
        <v>299</v>
      </c>
      <c r="C2999" s="262" t="s">
        <v>300</v>
      </c>
      <c r="D2999" s="262" t="s">
        <v>301</v>
      </c>
      <c r="E2999" s="263" t="s">
        <v>302</v>
      </c>
      <c r="G2999" s="264" t="s">
        <v>159</v>
      </c>
      <c r="H2999" s="265" t="s">
        <v>299</v>
      </c>
      <c r="I2999" s="265" t="s">
        <v>300</v>
      </c>
      <c r="J2999" s="265" t="s">
        <v>301</v>
      </c>
      <c r="K2999" s="266" t="s">
        <v>302</v>
      </c>
    </row>
    <row r="3000" spans="1:11" x14ac:dyDescent="0.35">
      <c r="A3000" s="221" t="s">
        <v>303</v>
      </c>
      <c r="B3000" s="222"/>
      <c r="C3000" s="222"/>
      <c r="D3000" s="222"/>
      <c r="E3000" s="223"/>
      <c r="G3000" s="221" t="s">
        <v>303</v>
      </c>
      <c r="H3000" s="222"/>
      <c r="I3000" s="222"/>
      <c r="J3000" s="222"/>
      <c r="K3000" s="223"/>
    </row>
    <row r="3001" spans="1:11" x14ac:dyDescent="0.35">
      <c r="A3001" s="225" t="s">
        <v>304</v>
      </c>
      <c r="B3001" s="226"/>
      <c r="C3001" s="226"/>
      <c r="D3001" s="226"/>
      <c r="E3001" s="227"/>
      <c r="G3001" s="225"/>
      <c r="H3001" s="226"/>
      <c r="I3001" s="226"/>
      <c r="J3001" s="226"/>
      <c r="K3001" s="227"/>
    </row>
    <row r="3002" spans="1:11" x14ac:dyDescent="0.35">
      <c r="A3002" s="225"/>
      <c r="B3002" s="226"/>
      <c r="C3002" s="226"/>
      <c r="D3002" s="226"/>
      <c r="E3002" s="227"/>
      <c r="G3002" s="225"/>
      <c r="H3002" s="226"/>
      <c r="I3002" s="226"/>
      <c r="J3002" s="226"/>
      <c r="K3002" s="227"/>
    </row>
    <row r="3003" spans="1:11" x14ac:dyDescent="0.35">
      <c r="A3003" s="221"/>
      <c r="B3003" s="222"/>
      <c r="C3003" s="222"/>
      <c r="D3003" s="222"/>
      <c r="E3003" s="223"/>
      <c r="G3003" s="221"/>
      <c r="H3003" s="222"/>
      <c r="I3003" s="222"/>
      <c r="J3003" s="222"/>
      <c r="K3003" s="223"/>
    </row>
    <row r="3004" spans="1:11" x14ac:dyDescent="0.35">
      <c r="A3004" s="225"/>
      <c r="B3004" s="226"/>
      <c r="C3004" s="226"/>
      <c r="D3004" s="226"/>
      <c r="E3004" s="227"/>
      <c r="G3004" s="225"/>
      <c r="H3004" s="226"/>
      <c r="I3004" s="226"/>
      <c r="J3004" s="226"/>
      <c r="K3004" s="227"/>
    </row>
    <row r="3005" spans="1:11" ht="15" thickBot="1" x14ac:dyDescent="0.4">
      <c r="A3005" s="218" t="s">
        <v>34</v>
      </c>
      <c r="B3005" s="219">
        <f>SUM(B3000:B3004)</f>
        <v>0</v>
      </c>
      <c r="C3005" s="219">
        <f>SUM(C3000:C3004)</f>
        <v>0</v>
      </c>
      <c r="D3005" s="219">
        <f>SUM(D3000:D3004)</f>
        <v>0</v>
      </c>
      <c r="E3005" s="219">
        <f>SUM(E3000:E3004)</f>
        <v>0</v>
      </c>
      <c r="G3005" s="218" t="s">
        <v>34</v>
      </c>
      <c r="H3005" s="219">
        <f>SUM(H3000:H3004)</f>
        <v>0</v>
      </c>
      <c r="I3005" s="219">
        <f>SUM(I3000:I3004)</f>
        <v>0</v>
      </c>
      <c r="J3005" s="219">
        <f>SUM(J3000:J3004)</f>
        <v>0</v>
      </c>
      <c r="K3005" s="219">
        <f>SUM(K3000:K3004)</f>
        <v>0</v>
      </c>
    </row>
    <row r="3006" spans="1:11" x14ac:dyDescent="0.35">
      <c r="A3006" s="220" t="s">
        <v>305</v>
      </c>
      <c r="B3006" s="220">
        <f>+B3005+C3005+D3005+E3005</f>
        <v>0</v>
      </c>
      <c r="C3006" s="220"/>
      <c r="D3006" s="220"/>
      <c r="E3006" s="220"/>
      <c r="G3006" s="220" t="s">
        <v>305</v>
      </c>
      <c r="H3006" s="220">
        <f>+H3005+I3005+J3005+K3005</f>
        <v>0</v>
      </c>
      <c r="I3006" s="220"/>
      <c r="J3006" s="220"/>
      <c r="K3006" s="220"/>
    </row>
    <row r="3007" spans="1:11" ht="15" thickBot="1" x14ac:dyDescent="0.4">
      <c r="A3007" s="315" t="s">
        <v>298</v>
      </c>
      <c r="B3007" s="315"/>
      <c r="C3007" s="315"/>
      <c r="D3007" s="315"/>
      <c r="E3007" s="315"/>
      <c r="G3007" s="315" t="s">
        <v>314</v>
      </c>
      <c r="H3007" s="315"/>
      <c r="I3007" s="315"/>
      <c r="J3007" s="315"/>
      <c r="K3007" s="315"/>
    </row>
    <row r="3008" spans="1:11" ht="15" thickTop="1" x14ac:dyDescent="0.35">
      <c r="A3008" s="313">
        <v>45589</v>
      </c>
      <c r="B3008" s="314"/>
      <c r="C3008" s="314"/>
      <c r="D3008" s="314"/>
      <c r="E3008" s="314"/>
      <c r="G3008" s="313">
        <v>45589</v>
      </c>
      <c r="H3008" s="314"/>
      <c r="I3008" s="314"/>
      <c r="J3008" s="314"/>
      <c r="K3008" s="314"/>
    </row>
    <row r="3009" spans="1:11" x14ac:dyDescent="0.35">
      <c r="A3009" s="261" t="s">
        <v>159</v>
      </c>
      <c r="B3009" s="262" t="s">
        <v>299</v>
      </c>
      <c r="C3009" s="262" t="s">
        <v>300</v>
      </c>
      <c r="D3009" s="262" t="s">
        <v>301</v>
      </c>
      <c r="E3009" s="263" t="s">
        <v>302</v>
      </c>
      <c r="G3009" s="264" t="s">
        <v>159</v>
      </c>
      <c r="H3009" s="265" t="s">
        <v>299</v>
      </c>
      <c r="I3009" s="265" t="s">
        <v>300</v>
      </c>
      <c r="J3009" s="265" t="s">
        <v>301</v>
      </c>
      <c r="K3009" s="266" t="s">
        <v>302</v>
      </c>
    </row>
    <row r="3010" spans="1:11" x14ac:dyDescent="0.35">
      <c r="A3010" s="221" t="s">
        <v>303</v>
      </c>
      <c r="B3010" s="222"/>
      <c r="C3010" s="222"/>
      <c r="D3010" s="222"/>
      <c r="E3010" s="223"/>
      <c r="G3010" s="221" t="s">
        <v>303</v>
      </c>
      <c r="H3010" s="222"/>
      <c r="I3010" s="222"/>
      <c r="J3010" s="222"/>
      <c r="K3010" s="223"/>
    </row>
    <row r="3011" spans="1:11" x14ac:dyDescent="0.35">
      <c r="A3011" s="225" t="s">
        <v>304</v>
      </c>
      <c r="B3011" s="226"/>
      <c r="C3011" s="226"/>
      <c r="D3011" s="226"/>
      <c r="E3011" s="227"/>
      <c r="G3011" s="225"/>
      <c r="H3011" s="226"/>
      <c r="I3011" s="226"/>
      <c r="J3011" s="226"/>
      <c r="K3011" s="227"/>
    </row>
    <row r="3012" spans="1:11" x14ac:dyDescent="0.35">
      <c r="A3012" s="225"/>
      <c r="B3012" s="226"/>
      <c r="C3012" s="226"/>
      <c r="D3012" s="226"/>
      <c r="E3012" s="227"/>
      <c r="G3012" s="225"/>
      <c r="H3012" s="226"/>
      <c r="I3012" s="226"/>
      <c r="J3012" s="226"/>
      <c r="K3012" s="227"/>
    </row>
    <row r="3013" spans="1:11" x14ac:dyDescent="0.35">
      <c r="A3013" s="221"/>
      <c r="B3013" s="222"/>
      <c r="C3013" s="222"/>
      <c r="D3013" s="222"/>
      <c r="E3013" s="223"/>
      <c r="G3013" s="221"/>
      <c r="H3013" s="222"/>
      <c r="I3013" s="222"/>
      <c r="J3013" s="222"/>
      <c r="K3013" s="223"/>
    </row>
    <row r="3014" spans="1:11" x14ac:dyDescent="0.35">
      <c r="A3014" s="225"/>
      <c r="B3014" s="226"/>
      <c r="C3014" s="226"/>
      <c r="D3014" s="226"/>
      <c r="E3014" s="227"/>
      <c r="G3014" s="225"/>
      <c r="H3014" s="226"/>
      <c r="I3014" s="226"/>
      <c r="J3014" s="226"/>
      <c r="K3014" s="227"/>
    </row>
    <row r="3015" spans="1:11" ht="15" thickBot="1" x14ac:dyDescent="0.4">
      <c r="A3015" s="218" t="s">
        <v>34</v>
      </c>
      <c r="B3015" s="219">
        <f>SUM(B3010:B3014)</f>
        <v>0</v>
      </c>
      <c r="C3015" s="219">
        <f>SUM(C3010:C3014)</f>
        <v>0</v>
      </c>
      <c r="D3015" s="219">
        <f>SUM(D3010:D3014)</f>
        <v>0</v>
      </c>
      <c r="E3015" s="219">
        <f>SUM(E3010:E3014)</f>
        <v>0</v>
      </c>
      <c r="G3015" s="218" t="s">
        <v>34</v>
      </c>
      <c r="H3015" s="219">
        <f>SUM(H3010:H3014)</f>
        <v>0</v>
      </c>
      <c r="I3015" s="219">
        <f>SUM(I3010:I3014)</f>
        <v>0</v>
      </c>
      <c r="J3015" s="219">
        <f>SUM(J3010:J3014)</f>
        <v>0</v>
      </c>
      <c r="K3015" s="219">
        <f>SUM(K3010:K3014)</f>
        <v>0</v>
      </c>
    </row>
    <row r="3016" spans="1:11" x14ac:dyDescent="0.35">
      <c r="A3016" s="220" t="s">
        <v>305</v>
      </c>
      <c r="B3016" s="220">
        <f>+B3015+C3015+D3015+E3015</f>
        <v>0</v>
      </c>
      <c r="C3016" s="220"/>
      <c r="D3016" s="220"/>
      <c r="E3016" s="220"/>
      <c r="G3016" s="220" t="s">
        <v>305</v>
      </c>
      <c r="H3016" s="220">
        <f>+H3015+I3015+J3015+K3015</f>
        <v>0</v>
      </c>
      <c r="I3016" s="220"/>
      <c r="J3016" s="220"/>
      <c r="K3016" s="220"/>
    </row>
    <row r="3017" spans="1:11" ht="15" thickBot="1" x14ac:dyDescent="0.4">
      <c r="A3017" s="315" t="s">
        <v>298</v>
      </c>
      <c r="B3017" s="315"/>
      <c r="C3017" s="315"/>
      <c r="D3017" s="315"/>
      <c r="E3017" s="315"/>
      <c r="G3017" s="315" t="s">
        <v>314</v>
      </c>
      <c r="H3017" s="315"/>
      <c r="I3017" s="315"/>
      <c r="J3017" s="315"/>
      <c r="K3017" s="315"/>
    </row>
    <row r="3018" spans="1:11" ht="15" thickTop="1" x14ac:dyDescent="0.35">
      <c r="A3018" s="313">
        <v>45590</v>
      </c>
      <c r="B3018" s="314"/>
      <c r="C3018" s="314"/>
      <c r="D3018" s="314"/>
      <c r="E3018" s="314"/>
      <c r="G3018" s="313">
        <v>45590</v>
      </c>
      <c r="H3018" s="314"/>
      <c r="I3018" s="314"/>
      <c r="J3018" s="314"/>
      <c r="K3018" s="314"/>
    </row>
    <row r="3019" spans="1:11" x14ac:dyDescent="0.35">
      <c r="A3019" s="261" t="s">
        <v>159</v>
      </c>
      <c r="B3019" s="262" t="s">
        <v>299</v>
      </c>
      <c r="C3019" s="262" t="s">
        <v>300</v>
      </c>
      <c r="D3019" s="262" t="s">
        <v>301</v>
      </c>
      <c r="E3019" s="263" t="s">
        <v>302</v>
      </c>
      <c r="G3019" s="264" t="s">
        <v>159</v>
      </c>
      <c r="H3019" s="265" t="s">
        <v>299</v>
      </c>
      <c r="I3019" s="265" t="s">
        <v>300</v>
      </c>
      <c r="J3019" s="265" t="s">
        <v>301</v>
      </c>
      <c r="K3019" s="266" t="s">
        <v>302</v>
      </c>
    </row>
    <row r="3020" spans="1:11" x14ac:dyDescent="0.35">
      <c r="A3020" s="221" t="s">
        <v>303</v>
      </c>
      <c r="B3020" s="222"/>
      <c r="C3020" s="222"/>
      <c r="D3020" s="222"/>
      <c r="E3020" s="223"/>
      <c r="G3020" s="221" t="s">
        <v>303</v>
      </c>
      <c r="H3020" s="222"/>
      <c r="I3020" s="222"/>
      <c r="J3020" s="222"/>
      <c r="K3020" s="223"/>
    </row>
    <row r="3021" spans="1:11" x14ac:dyDescent="0.35">
      <c r="A3021" s="225" t="s">
        <v>304</v>
      </c>
      <c r="B3021" s="226"/>
      <c r="C3021" s="226"/>
      <c r="D3021" s="226"/>
      <c r="E3021" s="227"/>
      <c r="G3021" s="225"/>
      <c r="H3021" s="226"/>
      <c r="I3021" s="226"/>
      <c r="J3021" s="226"/>
      <c r="K3021" s="227"/>
    </row>
    <row r="3022" spans="1:11" x14ac:dyDescent="0.35">
      <c r="A3022" s="225"/>
      <c r="B3022" s="226"/>
      <c r="C3022" s="226"/>
      <c r="D3022" s="226"/>
      <c r="E3022" s="227"/>
      <c r="G3022" s="225"/>
      <c r="H3022" s="226"/>
      <c r="I3022" s="226"/>
      <c r="J3022" s="226"/>
      <c r="K3022" s="227"/>
    </row>
    <row r="3023" spans="1:11" x14ac:dyDescent="0.35">
      <c r="A3023" s="221"/>
      <c r="B3023" s="222"/>
      <c r="C3023" s="222"/>
      <c r="D3023" s="222"/>
      <c r="E3023" s="223"/>
      <c r="G3023" s="221"/>
      <c r="H3023" s="222"/>
      <c r="I3023" s="222"/>
      <c r="J3023" s="222"/>
      <c r="K3023" s="223"/>
    </row>
    <row r="3024" spans="1:11" x14ac:dyDescent="0.35">
      <c r="A3024" s="225"/>
      <c r="B3024" s="226"/>
      <c r="C3024" s="226"/>
      <c r="D3024" s="226"/>
      <c r="E3024" s="227"/>
      <c r="G3024" s="225"/>
      <c r="H3024" s="226"/>
      <c r="I3024" s="226"/>
      <c r="J3024" s="226"/>
      <c r="K3024" s="227"/>
    </row>
    <row r="3025" spans="1:11" ht="15" thickBot="1" x14ac:dyDescent="0.4">
      <c r="A3025" s="218" t="s">
        <v>34</v>
      </c>
      <c r="B3025" s="219">
        <f>SUM(B3020:B3024)</f>
        <v>0</v>
      </c>
      <c r="C3025" s="219">
        <f>SUM(C3020:C3024)</f>
        <v>0</v>
      </c>
      <c r="D3025" s="219">
        <f>SUM(D3020:D3024)</f>
        <v>0</v>
      </c>
      <c r="E3025" s="219">
        <f>SUM(E3020:E3024)</f>
        <v>0</v>
      </c>
      <c r="G3025" s="218" t="s">
        <v>34</v>
      </c>
      <c r="H3025" s="219">
        <f>SUM(H3020:H3024)</f>
        <v>0</v>
      </c>
      <c r="I3025" s="219">
        <f>SUM(I3020:I3024)</f>
        <v>0</v>
      </c>
      <c r="J3025" s="219">
        <f>SUM(J3020:J3024)</f>
        <v>0</v>
      </c>
      <c r="K3025" s="219">
        <f>SUM(K3020:K3024)</f>
        <v>0</v>
      </c>
    </row>
    <row r="3026" spans="1:11" x14ac:dyDescent="0.35">
      <c r="A3026" s="220" t="s">
        <v>305</v>
      </c>
      <c r="B3026" s="220">
        <f>+B3025+C3025+D3025+E3025</f>
        <v>0</v>
      </c>
      <c r="C3026" s="220"/>
      <c r="D3026" s="220"/>
      <c r="E3026" s="220"/>
      <c r="G3026" s="220" t="s">
        <v>305</v>
      </c>
      <c r="H3026" s="220">
        <f>+H3025+I3025+J3025+K3025</f>
        <v>0</v>
      </c>
      <c r="I3026" s="220"/>
      <c r="J3026" s="220"/>
      <c r="K3026" s="220"/>
    </row>
    <row r="3027" spans="1:11" ht="15" thickBot="1" x14ac:dyDescent="0.4">
      <c r="A3027" s="315" t="s">
        <v>298</v>
      </c>
      <c r="B3027" s="315"/>
      <c r="C3027" s="315"/>
      <c r="D3027" s="315"/>
      <c r="E3027" s="315"/>
      <c r="G3027" s="315" t="s">
        <v>314</v>
      </c>
      <c r="H3027" s="315"/>
      <c r="I3027" s="315"/>
      <c r="J3027" s="315"/>
      <c r="K3027" s="315"/>
    </row>
    <row r="3028" spans="1:11" ht="15" thickTop="1" x14ac:dyDescent="0.35">
      <c r="A3028" s="313">
        <v>45591</v>
      </c>
      <c r="B3028" s="314"/>
      <c r="C3028" s="314"/>
      <c r="D3028" s="314"/>
      <c r="E3028" s="314"/>
      <c r="G3028" s="313">
        <v>45591</v>
      </c>
      <c r="H3028" s="314"/>
      <c r="I3028" s="314"/>
      <c r="J3028" s="314"/>
      <c r="K3028" s="314"/>
    </row>
    <row r="3029" spans="1:11" x14ac:dyDescent="0.35">
      <c r="A3029" s="261" t="s">
        <v>159</v>
      </c>
      <c r="B3029" s="262" t="s">
        <v>299</v>
      </c>
      <c r="C3029" s="262" t="s">
        <v>300</v>
      </c>
      <c r="D3029" s="262" t="s">
        <v>301</v>
      </c>
      <c r="E3029" s="263" t="s">
        <v>302</v>
      </c>
      <c r="G3029" s="264" t="s">
        <v>159</v>
      </c>
      <c r="H3029" s="265" t="s">
        <v>299</v>
      </c>
      <c r="I3029" s="265" t="s">
        <v>300</v>
      </c>
      <c r="J3029" s="265" t="s">
        <v>301</v>
      </c>
      <c r="K3029" s="266" t="s">
        <v>302</v>
      </c>
    </row>
    <row r="3030" spans="1:11" x14ac:dyDescent="0.35">
      <c r="A3030" s="221" t="s">
        <v>303</v>
      </c>
      <c r="B3030" s="222"/>
      <c r="C3030" s="222"/>
      <c r="D3030" s="222"/>
      <c r="E3030" s="223"/>
      <c r="G3030" s="221" t="s">
        <v>303</v>
      </c>
      <c r="H3030" s="222"/>
      <c r="I3030" s="222"/>
      <c r="J3030" s="222"/>
      <c r="K3030" s="223"/>
    </row>
    <row r="3031" spans="1:11" x14ac:dyDescent="0.35">
      <c r="A3031" s="225" t="s">
        <v>304</v>
      </c>
      <c r="B3031" s="226"/>
      <c r="C3031" s="226"/>
      <c r="D3031" s="226"/>
      <c r="E3031" s="227"/>
      <c r="G3031" s="225"/>
      <c r="H3031" s="226"/>
      <c r="I3031" s="226"/>
      <c r="J3031" s="226"/>
      <c r="K3031" s="227"/>
    </row>
    <row r="3032" spans="1:11" x14ac:dyDescent="0.35">
      <c r="A3032" s="225"/>
      <c r="B3032" s="226"/>
      <c r="C3032" s="226"/>
      <c r="D3032" s="226"/>
      <c r="E3032" s="227"/>
      <c r="G3032" s="225"/>
      <c r="H3032" s="226"/>
      <c r="I3032" s="226"/>
      <c r="J3032" s="226"/>
      <c r="K3032" s="227"/>
    </row>
    <row r="3033" spans="1:11" x14ac:dyDescent="0.35">
      <c r="A3033" s="221"/>
      <c r="B3033" s="222"/>
      <c r="C3033" s="222"/>
      <c r="D3033" s="222"/>
      <c r="E3033" s="223"/>
      <c r="G3033" s="221"/>
      <c r="H3033" s="222"/>
      <c r="I3033" s="222"/>
      <c r="J3033" s="222"/>
      <c r="K3033" s="223"/>
    </row>
    <row r="3034" spans="1:11" x14ac:dyDescent="0.35">
      <c r="A3034" s="225"/>
      <c r="B3034" s="226"/>
      <c r="C3034" s="226"/>
      <c r="D3034" s="226"/>
      <c r="E3034" s="227"/>
      <c r="G3034" s="225"/>
      <c r="H3034" s="226"/>
      <c r="I3034" s="226"/>
      <c r="J3034" s="226"/>
      <c r="K3034" s="227"/>
    </row>
    <row r="3035" spans="1:11" ht="15" thickBot="1" x14ac:dyDescent="0.4">
      <c r="A3035" s="218" t="s">
        <v>34</v>
      </c>
      <c r="B3035" s="219">
        <f>SUM(B3030:B3034)</f>
        <v>0</v>
      </c>
      <c r="C3035" s="219">
        <f>SUM(C3030:C3034)</f>
        <v>0</v>
      </c>
      <c r="D3035" s="219">
        <f>SUM(D3030:D3034)</f>
        <v>0</v>
      </c>
      <c r="E3035" s="219">
        <f>SUM(E3030:E3034)</f>
        <v>0</v>
      </c>
      <c r="G3035" s="218" t="s">
        <v>34</v>
      </c>
      <c r="H3035" s="219">
        <f>SUM(H3030:H3034)</f>
        <v>0</v>
      </c>
      <c r="I3035" s="219">
        <f>SUM(I3030:I3034)</f>
        <v>0</v>
      </c>
      <c r="J3035" s="219">
        <f>SUM(J3030:J3034)</f>
        <v>0</v>
      </c>
      <c r="K3035" s="219">
        <f>SUM(K3030:K3034)</f>
        <v>0</v>
      </c>
    </row>
    <row r="3036" spans="1:11" x14ac:dyDescent="0.35">
      <c r="A3036" s="220" t="s">
        <v>305</v>
      </c>
      <c r="B3036" s="220">
        <f>+B3035+C3035+D3035+E3035</f>
        <v>0</v>
      </c>
      <c r="C3036" s="220"/>
      <c r="D3036" s="220"/>
      <c r="E3036" s="220"/>
      <c r="G3036" s="220" t="s">
        <v>305</v>
      </c>
      <c r="H3036" s="220">
        <f>+H3035+I3035+J3035+K3035</f>
        <v>0</v>
      </c>
      <c r="I3036" s="220"/>
      <c r="J3036" s="220"/>
      <c r="K3036" s="220"/>
    </row>
    <row r="3037" spans="1:11" ht="15" thickBot="1" x14ac:dyDescent="0.4">
      <c r="A3037" s="315" t="s">
        <v>298</v>
      </c>
      <c r="B3037" s="315"/>
      <c r="C3037" s="315"/>
      <c r="D3037" s="315"/>
      <c r="E3037" s="315"/>
      <c r="G3037" s="315" t="s">
        <v>314</v>
      </c>
      <c r="H3037" s="315"/>
      <c r="I3037" s="315"/>
      <c r="J3037" s="315"/>
      <c r="K3037" s="315"/>
    </row>
    <row r="3038" spans="1:11" ht="15" thickTop="1" x14ac:dyDescent="0.35">
      <c r="A3038" s="313">
        <v>45592</v>
      </c>
      <c r="B3038" s="314"/>
      <c r="C3038" s="314"/>
      <c r="D3038" s="314"/>
      <c r="E3038" s="314"/>
      <c r="G3038" s="313">
        <v>45592</v>
      </c>
      <c r="H3038" s="314"/>
      <c r="I3038" s="314"/>
      <c r="J3038" s="314"/>
      <c r="K3038" s="314"/>
    </row>
    <row r="3039" spans="1:11" x14ac:dyDescent="0.35">
      <c r="A3039" s="261" t="s">
        <v>159</v>
      </c>
      <c r="B3039" s="262" t="s">
        <v>299</v>
      </c>
      <c r="C3039" s="262" t="s">
        <v>300</v>
      </c>
      <c r="D3039" s="262" t="s">
        <v>301</v>
      </c>
      <c r="E3039" s="263" t="s">
        <v>302</v>
      </c>
      <c r="G3039" s="264" t="s">
        <v>159</v>
      </c>
      <c r="H3039" s="265" t="s">
        <v>299</v>
      </c>
      <c r="I3039" s="265" t="s">
        <v>300</v>
      </c>
      <c r="J3039" s="265" t="s">
        <v>301</v>
      </c>
      <c r="K3039" s="266" t="s">
        <v>302</v>
      </c>
    </row>
    <row r="3040" spans="1:11" x14ac:dyDescent="0.35">
      <c r="A3040" s="221" t="s">
        <v>303</v>
      </c>
      <c r="B3040" s="222"/>
      <c r="C3040" s="222"/>
      <c r="D3040" s="222"/>
      <c r="E3040" s="223"/>
      <c r="G3040" s="221" t="s">
        <v>303</v>
      </c>
      <c r="H3040" s="222"/>
      <c r="I3040" s="222"/>
      <c r="J3040" s="222"/>
      <c r="K3040" s="223"/>
    </row>
    <row r="3041" spans="1:11" x14ac:dyDescent="0.35">
      <c r="A3041" s="225" t="s">
        <v>304</v>
      </c>
      <c r="B3041" s="226"/>
      <c r="C3041" s="226"/>
      <c r="D3041" s="226"/>
      <c r="E3041" s="227"/>
      <c r="G3041" s="225"/>
      <c r="H3041" s="226"/>
      <c r="I3041" s="226"/>
      <c r="J3041" s="226"/>
      <c r="K3041" s="227"/>
    </row>
    <row r="3042" spans="1:11" x14ac:dyDescent="0.35">
      <c r="A3042" s="225"/>
      <c r="B3042" s="226"/>
      <c r="C3042" s="226"/>
      <c r="D3042" s="226"/>
      <c r="E3042" s="227"/>
      <c r="G3042" s="225"/>
      <c r="H3042" s="226"/>
      <c r="I3042" s="226"/>
      <c r="J3042" s="226"/>
      <c r="K3042" s="227"/>
    </row>
    <row r="3043" spans="1:11" x14ac:dyDescent="0.35">
      <c r="A3043" s="221"/>
      <c r="B3043" s="222"/>
      <c r="C3043" s="222"/>
      <c r="D3043" s="222"/>
      <c r="E3043" s="223"/>
      <c r="G3043" s="221"/>
      <c r="H3043" s="222"/>
      <c r="I3043" s="222"/>
      <c r="J3043" s="222"/>
      <c r="K3043" s="223"/>
    </row>
    <row r="3044" spans="1:11" x14ac:dyDescent="0.35">
      <c r="A3044" s="225"/>
      <c r="B3044" s="226"/>
      <c r="C3044" s="226"/>
      <c r="D3044" s="226"/>
      <c r="E3044" s="227"/>
      <c r="G3044" s="225"/>
      <c r="H3044" s="226"/>
      <c r="I3044" s="226"/>
      <c r="J3044" s="226"/>
      <c r="K3044" s="227"/>
    </row>
    <row r="3045" spans="1:11" ht="15" thickBot="1" x14ac:dyDescent="0.4">
      <c r="A3045" s="218" t="s">
        <v>34</v>
      </c>
      <c r="B3045" s="219">
        <f>SUM(B3040:B3044)</f>
        <v>0</v>
      </c>
      <c r="C3045" s="219">
        <f>SUM(C3040:C3044)</f>
        <v>0</v>
      </c>
      <c r="D3045" s="219">
        <f>SUM(D3040:D3044)</f>
        <v>0</v>
      </c>
      <c r="E3045" s="219">
        <f>SUM(E3040:E3044)</f>
        <v>0</v>
      </c>
      <c r="G3045" s="218" t="s">
        <v>34</v>
      </c>
      <c r="H3045" s="219">
        <f>SUM(H3040:H3044)</f>
        <v>0</v>
      </c>
      <c r="I3045" s="219">
        <f>SUM(I3040:I3044)</f>
        <v>0</v>
      </c>
      <c r="J3045" s="219">
        <f>SUM(J3040:J3044)</f>
        <v>0</v>
      </c>
      <c r="K3045" s="219">
        <f>SUM(K3040:K3044)</f>
        <v>0</v>
      </c>
    </row>
    <row r="3046" spans="1:11" x14ac:dyDescent="0.35">
      <c r="A3046" s="220" t="s">
        <v>305</v>
      </c>
      <c r="B3046" s="220">
        <f>+B3045+C3045+D3045+E3045</f>
        <v>0</v>
      </c>
      <c r="C3046" s="220"/>
      <c r="D3046" s="220"/>
      <c r="E3046" s="220"/>
      <c r="G3046" s="220" t="s">
        <v>305</v>
      </c>
      <c r="H3046" s="220">
        <f>+H3045+I3045+J3045+K3045</f>
        <v>0</v>
      </c>
      <c r="I3046" s="220"/>
      <c r="J3046" s="220"/>
      <c r="K3046" s="220"/>
    </row>
    <row r="3047" spans="1:11" ht="15" thickBot="1" x14ac:dyDescent="0.4">
      <c r="A3047" s="315" t="s">
        <v>298</v>
      </c>
      <c r="B3047" s="315"/>
      <c r="C3047" s="315"/>
      <c r="D3047" s="315"/>
      <c r="E3047" s="315"/>
      <c r="G3047" s="315" t="s">
        <v>314</v>
      </c>
      <c r="H3047" s="315"/>
      <c r="I3047" s="315"/>
      <c r="J3047" s="315"/>
      <c r="K3047" s="315"/>
    </row>
    <row r="3048" spans="1:11" ht="15" thickTop="1" x14ac:dyDescent="0.35">
      <c r="A3048" s="313">
        <v>45593</v>
      </c>
      <c r="B3048" s="314"/>
      <c r="C3048" s="314"/>
      <c r="D3048" s="314"/>
      <c r="E3048" s="314"/>
      <c r="G3048" s="313">
        <v>45593</v>
      </c>
      <c r="H3048" s="314"/>
      <c r="I3048" s="314"/>
      <c r="J3048" s="314"/>
      <c r="K3048" s="314"/>
    </row>
    <row r="3049" spans="1:11" x14ac:dyDescent="0.35">
      <c r="A3049" s="261" t="s">
        <v>159</v>
      </c>
      <c r="B3049" s="262" t="s">
        <v>299</v>
      </c>
      <c r="C3049" s="262" t="s">
        <v>300</v>
      </c>
      <c r="D3049" s="262" t="s">
        <v>301</v>
      </c>
      <c r="E3049" s="263" t="s">
        <v>302</v>
      </c>
      <c r="G3049" s="264" t="s">
        <v>159</v>
      </c>
      <c r="H3049" s="265" t="s">
        <v>299</v>
      </c>
      <c r="I3049" s="265" t="s">
        <v>300</v>
      </c>
      <c r="J3049" s="265" t="s">
        <v>301</v>
      </c>
      <c r="K3049" s="266" t="s">
        <v>302</v>
      </c>
    </row>
    <row r="3050" spans="1:11" x14ac:dyDescent="0.35">
      <c r="A3050" s="221" t="s">
        <v>303</v>
      </c>
      <c r="B3050" s="222"/>
      <c r="C3050" s="222"/>
      <c r="D3050" s="222"/>
      <c r="E3050" s="223"/>
      <c r="G3050" s="221" t="s">
        <v>303</v>
      </c>
      <c r="H3050" s="222"/>
      <c r="I3050" s="222"/>
      <c r="J3050" s="222"/>
      <c r="K3050" s="223"/>
    </row>
    <row r="3051" spans="1:11" x14ac:dyDescent="0.35">
      <c r="A3051" s="225" t="s">
        <v>304</v>
      </c>
      <c r="B3051" s="226"/>
      <c r="C3051" s="226"/>
      <c r="D3051" s="226"/>
      <c r="E3051" s="227"/>
      <c r="G3051" s="225"/>
      <c r="H3051" s="226"/>
      <c r="I3051" s="226"/>
      <c r="J3051" s="226"/>
      <c r="K3051" s="227"/>
    </row>
    <row r="3052" spans="1:11" x14ac:dyDescent="0.35">
      <c r="A3052" s="225"/>
      <c r="B3052" s="226"/>
      <c r="C3052" s="226"/>
      <c r="D3052" s="226"/>
      <c r="E3052" s="227"/>
      <c r="G3052" s="225"/>
      <c r="H3052" s="226"/>
      <c r="I3052" s="226"/>
      <c r="J3052" s="226"/>
      <c r="K3052" s="227"/>
    </row>
    <row r="3053" spans="1:11" x14ac:dyDescent="0.35">
      <c r="A3053" s="221"/>
      <c r="B3053" s="222"/>
      <c r="C3053" s="222"/>
      <c r="D3053" s="222"/>
      <c r="E3053" s="223"/>
      <c r="G3053" s="221"/>
      <c r="H3053" s="222"/>
      <c r="I3053" s="222"/>
      <c r="J3053" s="222"/>
      <c r="K3053" s="223"/>
    </row>
    <row r="3054" spans="1:11" x14ac:dyDescent="0.35">
      <c r="A3054" s="225"/>
      <c r="B3054" s="226"/>
      <c r="C3054" s="226"/>
      <c r="D3054" s="226"/>
      <c r="E3054" s="227"/>
      <c r="G3054" s="225"/>
      <c r="H3054" s="226"/>
      <c r="I3054" s="226"/>
      <c r="J3054" s="226"/>
      <c r="K3054" s="227"/>
    </row>
    <row r="3055" spans="1:11" ht="15" thickBot="1" x14ac:dyDescent="0.4">
      <c r="A3055" s="218" t="s">
        <v>34</v>
      </c>
      <c r="B3055" s="219">
        <f>SUM(B3050:B3054)</f>
        <v>0</v>
      </c>
      <c r="C3055" s="219">
        <f>SUM(C3050:C3054)</f>
        <v>0</v>
      </c>
      <c r="D3055" s="219">
        <f>SUM(D3050:D3054)</f>
        <v>0</v>
      </c>
      <c r="E3055" s="219">
        <f>SUM(E3050:E3054)</f>
        <v>0</v>
      </c>
      <c r="G3055" s="218" t="s">
        <v>34</v>
      </c>
      <c r="H3055" s="219">
        <f>SUM(H3050:H3054)</f>
        <v>0</v>
      </c>
      <c r="I3055" s="219">
        <f>SUM(I3050:I3054)</f>
        <v>0</v>
      </c>
      <c r="J3055" s="219">
        <f>SUM(J3050:J3054)</f>
        <v>0</v>
      </c>
      <c r="K3055" s="219">
        <f>SUM(K3050:K3054)</f>
        <v>0</v>
      </c>
    </row>
    <row r="3056" spans="1:11" x14ac:dyDescent="0.35">
      <c r="A3056" s="220" t="s">
        <v>305</v>
      </c>
      <c r="B3056" s="220">
        <f>+B3055+C3055+D3055+E3055</f>
        <v>0</v>
      </c>
      <c r="C3056" s="220"/>
      <c r="D3056" s="220"/>
      <c r="E3056" s="220"/>
      <c r="G3056" s="220" t="s">
        <v>305</v>
      </c>
      <c r="H3056" s="220">
        <f>+H3055+I3055+J3055+K3055</f>
        <v>0</v>
      </c>
      <c r="I3056" s="220"/>
      <c r="J3056" s="220"/>
      <c r="K3056" s="220"/>
    </row>
    <row r="3057" spans="1:11" ht="15" thickBot="1" x14ac:dyDescent="0.4">
      <c r="A3057" s="315" t="s">
        <v>298</v>
      </c>
      <c r="B3057" s="315"/>
      <c r="C3057" s="315"/>
      <c r="D3057" s="315"/>
      <c r="E3057" s="315"/>
      <c r="G3057" s="315" t="s">
        <v>314</v>
      </c>
      <c r="H3057" s="315"/>
      <c r="I3057" s="315"/>
      <c r="J3057" s="315"/>
      <c r="K3057" s="315"/>
    </row>
    <row r="3058" spans="1:11" ht="15" thickTop="1" x14ac:dyDescent="0.35">
      <c r="A3058" s="313">
        <v>45594</v>
      </c>
      <c r="B3058" s="314"/>
      <c r="C3058" s="314"/>
      <c r="D3058" s="314"/>
      <c r="E3058" s="314"/>
      <c r="G3058" s="313">
        <v>45594</v>
      </c>
      <c r="H3058" s="314"/>
      <c r="I3058" s="314"/>
      <c r="J3058" s="314"/>
      <c r="K3058" s="314"/>
    </row>
    <row r="3059" spans="1:11" x14ac:dyDescent="0.35">
      <c r="A3059" s="261" t="s">
        <v>159</v>
      </c>
      <c r="B3059" s="262" t="s">
        <v>299</v>
      </c>
      <c r="C3059" s="262" t="s">
        <v>300</v>
      </c>
      <c r="D3059" s="262" t="s">
        <v>301</v>
      </c>
      <c r="E3059" s="263" t="s">
        <v>302</v>
      </c>
      <c r="G3059" s="264" t="s">
        <v>159</v>
      </c>
      <c r="H3059" s="265" t="s">
        <v>299</v>
      </c>
      <c r="I3059" s="265" t="s">
        <v>300</v>
      </c>
      <c r="J3059" s="265" t="s">
        <v>301</v>
      </c>
      <c r="K3059" s="266" t="s">
        <v>302</v>
      </c>
    </row>
    <row r="3060" spans="1:11" x14ac:dyDescent="0.35">
      <c r="A3060" s="221" t="s">
        <v>303</v>
      </c>
      <c r="B3060" s="222"/>
      <c r="C3060" s="222"/>
      <c r="D3060" s="222"/>
      <c r="E3060" s="223"/>
      <c r="G3060" s="221" t="s">
        <v>303</v>
      </c>
      <c r="H3060" s="222"/>
      <c r="I3060" s="222"/>
      <c r="J3060" s="222"/>
      <c r="K3060" s="223"/>
    </row>
    <row r="3061" spans="1:11" x14ac:dyDescent="0.35">
      <c r="A3061" s="225" t="s">
        <v>304</v>
      </c>
      <c r="B3061" s="226"/>
      <c r="C3061" s="226"/>
      <c r="D3061" s="226"/>
      <c r="E3061" s="227"/>
      <c r="G3061" s="225"/>
      <c r="H3061" s="226"/>
      <c r="I3061" s="226"/>
      <c r="J3061" s="226"/>
      <c r="K3061" s="227"/>
    </row>
    <row r="3062" spans="1:11" x14ac:dyDescent="0.35">
      <c r="A3062" s="225"/>
      <c r="B3062" s="226"/>
      <c r="C3062" s="226"/>
      <c r="D3062" s="226"/>
      <c r="E3062" s="227"/>
      <c r="G3062" s="225"/>
      <c r="H3062" s="226"/>
      <c r="I3062" s="226"/>
      <c r="J3062" s="226"/>
      <c r="K3062" s="227"/>
    </row>
    <row r="3063" spans="1:11" x14ac:dyDescent="0.35">
      <c r="A3063" s="221"/>
      <c r="B3063" s="222"/>
      <c r="C3063" s="222"/>
      <c r="D3063" s="222"/>
      <c r="E3063" s="223"/>
      <c r="G3063" s="221"/>
      <c r="H3063" s="222"/>
      <c r="I3063" s="222"/>
      <c r="J3063" s="222"/>
      <c r="K3063" s="223"/>
    </row>
    <row r="3064" spans="1:11" x14ac:dyDescent="0.35">
      <c r="A3064" s="225"/>
      <c r="B3064" s="226"/>
      <c r="C3064" s="226"/>
      <c r="D3064" s="226"/>
      <c r="E3064" s="227"/>
      <c r="G3064" s="225"/>
      <c r="H3064" s="226"/>
      <c r="I3064" s="226"/>
      <c r="J3064" s="226"/>
      <c r="K3064" s="227"/>
    </row>
    <row r="3065" spans="1:11" ht="15" thickBot="1" x14ac:dyDescent="0.4">
      <c r="A3065" s="218" t="s">
        <v>34</v>
      </c>
      <c r="B3065" s="219">
        <f>SUM(B3060:B3064)</f>
        <v>0</v>
      </c>
      <c r="C3065" s="219">
        <f>SUM(C3060:C3064)</f>
        <v>0</v>
      </c>
      <c r="D3065" s="219">
        <f>SUM(D3060:D3064)</f>
        <v>0</v>
      </c>
      <c r="E3065" s="219">
        <f>SUM(E3060:E3064)</f>
        <v>0</v>
      </c>
      <c r="G3065" s="218" t="s">
        <v>34</v>
      </c>
      <c r="H3065" s="219">
        <f>SUM(H3060:H3064)</f>
        <v>0</v>
      </c>
      <c r="I3065" s="219">
        <f>SUM(I3060:I3064)</f>
        <v>0</v>
      </c>
      <c r="J3065" s="219">
        <f>SUM(J3060:J3064)</f>
        <v>0</v>
      </c>
      <c r="K3065" s="219">
        <f>SUM(K3060:K3064)</f>
        <v>0</v>
      </c>
    </row>
    <row r="3066" spans="1:11" x14ac:dyDescent="0.35">
      <c r="A3066" s="220" t="s">
        <v>305</v>
      </c>
      <c r="B3066" s="220">
        <f>+B3065+C3065+D3065+E3065</f>
        <v>0</v>
      </c>
      <c r="C3066" s="220"/>
      <c r="D3066" s="220"/>
      <c r="E3066" s="220"/>
      <c r="G3066" s="220" t="s">
        <v>305</v>
      </c>
      <c r="H3066" s="220">
        <f>+H3065+I3065+J3065+K3065</f>
        <v>0</v>
      </c>
      <c r="I3066" s="220"/>
      <c r="J3066" s="220"/>
      <c r="K3066" s="220"/>
    </row>
    <row r="3067" spans="1:11" ht="15" thickBot="1" x14ac:dyDescent="0.4">
      <c r="A3067" s="315" t="s">
        <v>298</v>
      </c>
      <c r="B3067" s="315"/>
      <c r="C3067" s="315"/>
      <c r="D3067" s="315"/>
      <c r="E3067" s="315"/>
      <c r="G3067" s="315" t="s">
        <v>314</v>
      </c>
      <c r="H3067" s="315"/>
      <c r="I3067" s="315"/>
      <c r="J3067" s="315"/>
      <c r="K3067" s="315"/>
    </row>
    <row r="3068" spans="1:11" ht="15" thickTop="1" x14ac:dyDescent="0.35">
      <c r="A3068" s="313">
        <v>45595</v>
      </c>
      <c r="B3068" s="314"/>
      <c r="C3068" s="314"/>
      <c r="D3068" s="314"/>
      <c r="E3068" s="314"/>
      <c r="G3068" s="313">
        <v>45595</v>
      </c>
      <c r="H3068" s="314"/>
      <c r="I3068" s="314"/>
      <c r="J3068" s="314"/>
      <c r="K3068" s="314"/>
    </row>
    <row r="3069" spans="1:11" x14ac:dyDescent="0.35">
      <c r="A3069" s="261" t="s">
        <v>159</v>
      </c>
      <c r="B3069" s="262" t="s">
        <v>299</v>
      </c>
      <c r="C3069" s="262" t="s">
        <v>300</v>
      </c>
      <c r="D3069" s="262" t="s">
        <v>301</v>
      </c>
      <c r="E3069" s="263" t="s">
        <v>302</v>
      </c>
      <c r="G3069" s="264" t="s">
        <v>159</v>
      </c>
      <c r="H3069" s="265" t="s">
        <v>299</v>
      </c>
      <c r="I3069" s="265" t="s">
        <v>300</v>
      </c>
      <c r="J3069" s="265" t="s">
        <v>301</v>
      </c>
      <c r="K3069" s="266" t="s">
        <v>302</v>
      </c>
    </row>
    <row r="3070" spans="1:11" x14ac:dyDescent="0.35">
      <c r="A3070" s="221" t="s">
        <v>303</v>
      </c>
      <c r="B3070" s="222"/>
      <c r="C3070" s="222"/>
      <c r="D3070" s="222"/>
      <c r="E3070" s="223"/>
      <c r="G3070" s="221" t="s">
        <v>303</v>
      </c>
      <c r="H3070" s="222"/>
      <c r="I3070" s="222"/>
      <c r="J3070" s="222"/>
      <c r="K3070" s="223"/>
    </row>
    <row r="3071" spans="1:11" x14ac:dyDescent="0.35">
      <c r="A3071" s="225" t="s">
        <v>304</v>
      </c>
      <c r="B3071" s="226"/>
      <c r="C3071" s="226"/>
      <c r="D3071" s="226"/>
      <c r="E3071" s="227"/>
      <c r="G3071" s="225"/>
      <c r="H3071" s="226"/>
      <c r="I3071" s="226"/>
      <c r="J3071" s="226"/>
      <c r="K3071" s="227"/>
    </row>
    <row r="3072" spans="1:11" x14ac:dyDescent="0.35">
      <c r="A3072" s="225"/>
      <c r="B3072" s="226"/>
      <c r="C3072" s="226"/>
      <c r="D3072" s="226"/>
      <c r="E3072" s="227"/>
      <c r="G3072" s="225"/>
      <c r="H3072" s="226"/>
      <c r="I3072" s="226"/>
      <c r="J3072" s="226"/>
      <c r="K3072" s="227"/>
    </row>
    <row r="3073" spans="1:13" x14ac:dyDescent="0.35">
      <c r="A3073" s="221"/>
      <c r="B3073" s="222"/>
      <c r="C3073" s="222"/>
      <c r="D3073" s="222"/>
      <c r="E3073" s="223"/>
      <c r="G3073" s="221"/>
      <c r="H3073" s="222"/>
      <c r="I3073" s="222"/>
      <c r="J3073" s="222"/>
      <c r="K3073" s="223"/>
    </row>
    <row r="3074" spans="1:13" x14ac:dyDescent="0.35">
      <c r="A3074" s="225"/>
      <c r="B3074" s="226"/>
      <c r="C3074" s="226"/>
      <c r="D3074" s="226"/>
      <c r="E3074" s="227"/>
      <c r="G3074" s="225"/>
      <c r="H3074" s="226"/>
      <c r="I3074" s="226"/>
      <c r="J3074" s="226"/>
      <c r="K3074" s="227"/>
    </row>
    <row r="3075" spans="1:13" ht="15" thickBot="1" x14ac:dyDescent="0.4">
      <c r="A3075" s="218" t="s">
        <v>34</v>
      </c>
      <c r="B3075" s="219">
        <f>SUM(B3070:B3074)</f>
        <v>0</v>
      </c>
      <c r="C3075" s="219">
        <f>SUM(C3070:C3074)</f>
        <v>0</v>
      </c>
      <c r="D3075" s="219">
        <f>SUM(D3070:D3074)</f>
        <v>0</v>
      </c>
      <c r="E3075" s="219">
        <f>SUM(E3070:E3074)</f>
        <v>0</v>
      </c>
      <c r="G3075" s="218" t="s">
        <v>34</v>
      </c>
      <c r="H3075" s="219">
        <f>SUM(H3070:H3074)</f>
        <v>0</v>
      </c>
      <c r="I3075" s="219">
        <f>SUM(I3070:I3074)</f>
        <v>0</v>
      </c>
      <c r="J3075" s="219">
        <f>SUM(J3070:J3074)</f>
        <v>0</v>
      </c>
      <c r="K3075" s="219">
        <f>SUM(K3070:K3074)</f>
        <v>0</v>
      </c>
    </row>
    <row r="3076" spans="1:13" x14ac:dyDescent="0.35">
      <c r="A3076" s="220" t="s">
        <v>305</v>
      </c>
      <c r="B3076" s="220">
        <f>+B3075+C3075+D3075+E3075</f>
        <v>0</v>
      </c>
      <c r="C3076" s="220"/>
      <c r="D3076" s="220"/>
      <c r="E3076" s="220"/>
      <c r="G3076" s="220" t="s">
        <v>305</v>
      </c>
      <c r="H3076" s="220">
        <f>+H3075+I3075+J3075+K3075</f>
        <v>0</v>
      </c>
      <c r="I3076" s="220"/>
      <c r="J3076" s="220"/>
      <c r="K3076" s="220"/>
    </row>
    <row r="3077" spans="1:13" ht="15" thickBot="1" x14ac:dyDescent="0.4">
      <c r="A3077" s="315" t="s">
        <v>298</v>
      </c>
      <c r="B3077" s="315"/>
      <c r="C3077" s="315"/>
      <c r="D3077" s="315"/>
      <c r="E3077" s="315"/>
      <c r="G3077" s="315" t="s">
        <v>314</v>
      </c>
      <c r="H3077" s="315"/>
      <c r="I3077" s="315"/>
      <c r="J3077" s="315"/>
      <c r="K3077" s="315"/>
    </row>
    <row r="3078" spans="1:13" ht="15" thickTop="1" x14ac:dyDescent="0.35">
      <c r="A3078" s="313">
        <v>45596</v>
      </c>
      <c r="B3078" s="314"/>
      <c r="C3078" s="314"/>
      <c r="D3078" s="314"/>
      <c r="E3078" s="314"/>
      <c r="G3078" s="313">
        <v>45596</v>
      </c>
      <c r="H3078" s="314"/>
      <c r="I3078" s="314"/>
      <c r="J3078" s="314"/>
      <c r="K3078" s="314"/>
    </row>
    <row r="3079" spans="1:13" x14ac:dyDescent="0.35">
      <c r="A3079" s="261" t="s">
        <v>159</v>
      </c>
      <c r="B3079" s="262" t="s">
        <v>299</v>
      </c>
      <c r="C3079" s="262" t="s">
        <v>300</v>
      </c>
      <c r="D3079" s="262" t="s">
        <v>301</v>
      </c>
      <c r="E3079" s="263" t="s">
        <v>302</v>
      </c>
      <c r="G3079" s="264" t="s">
        <v>159</v>
      </c>
      <c r="H3079" s="265" t="s">
        <v>299</v>
      </c>
      <c r="I3079" s="265" t="s">
        <v>300</v>
      </c>
      <c r="J3079" s="265" t="s">
        <v>301</v>
      </c>
      <c r="K3079" s="266" t="s">
        <v>302</v>
      </c>
    </row>
    <row r="3080" spans="1:13" x14ac:dyDescent="0.35">
      <c r="A3080" s="221" t="s">
        <v>303</v>
      </c>
      <c r="B3080" s="222"/>
      <c r="C3080" s="222"/>
      <c r="D3080" s="222"/>
      <c r="E3080" s="223"/>
      <c r="G3080" s="221" t="s">
        <v>303</v>
      </c>
      <c r="H3080" s="222"/>
      <c r="I3080" s="222"/>
      <c r="J3080" s="222"/>
      <c r="K3080" s="223"/>
    </row>
    <row r="3081" spans="1:13" x14ac:dyDescent="0.35">
      <c r="A3081" s="225" t="s">
        <v>304</v>
      </c>
      <c r="B3081" s="226"/>
      <c r="C3081" s="226"/>
      <c r="D3081" s="226"/>
      <c r="E3081" s="227"/>
      <c r="G3081" s="225"/>
      <c r="H3081" s="226"/>
      <c r="I3081" s="226"/>
      <c r="J3081" s="226"/>
      <c r="K3081" s="227"/>
    </row>
    <row r="3082" spans="1:13" x14ac:dyDescent="0.35">
      <c r="A3082" s="225"/>
      <c r="B3082" s="226"/>
      <c r="C3082" s="226"/>
      <c r="D3082" s="226"/>
      <c r="E3082" s="227"/>
      <c r="G3082" s="225"/>
      <c r="H3082" s="226"/>
      <c r="I3082" s="226"/>
      <c r="J3082" s="226"/>
      <c r="K3082" s="227"/>
    </row>
    <row r="3083" spans="1:13" x14ac:dyDescent="0.35">
      <c r="A3083" s="221"/>
      <c r="B3083" s="222"/>
      <c r="C3083" s="222"/>
      <c r="D3083" s="222"/>
      <c r="E3083" s="223"/>
      <c r="G3083" s="221"/>
      <c r="H3083" s="222"/>
      <c r="I3083" s="222"/>
      <c r="J3083" s="222"/>
      <c r="K3083" s="223"/>
    </row>
    <row r="3084" spans="1:13" x14ac:dyDescent="0.35">
      <c r="A3084" s="225"/>
      <c r="B3084" s="226"/>
      <c r="C3084" s="226"/>
      <c r="D3084" s="226"/>
      <c r="E3084" s="227"/>
      <c r="G3084" s="225"/>
      <c r="H3084" s="226"/>
      <c r="I3084" s="226"/>
      <c r="J3084" s="226"/>
      <c r="K3084" s="227"/>
    </row>
    <row r="3085" spans="1:13" ht="15" thickBot="1" x14ac:dyDescent="0.4">
      <c r="A3085" s="218" t="s">
        <v>34</v>
      </c>
      <c r="B3085" s="219">
        <f>SUM(B3080:B3084)</f>
        <v>0</v>
      </c>
      <c r="C3085" s="219">
        <f>SUM(C3080:C3084)</f>
        <v>0</v>
      </c>
      <c r="D3085" s="219">
        <f>SUM(D3080:D3084)</f>
        <v>0</v>
      </c>
      <c r="E3085" s="219">
        <f>SUM(E3080:E3084)</f>
        <v>0</v>
      </c>
      <c r="G3085" s="218" t="s">
        <v>34</v>
      </c>
      <c r="H3085" s="219">
        <f>SUM(H3080:H3084)</f>
        <v>0</v>
      </c>
      <c r="I3085" s="219">
        <f>SUM(I3080:I3084)</f>
        <v>0</v>
      </c>
      <c r="J3085" s="219">
        <f>SUM(J3080:J3084)</f>
        <v>0</v>
      </c>
      <c r="K3085" s="219">
        <f>SUM(K3080:K3084)</f>
        <v>0</v>
      </c>
    </row>
    <row r="3086" spans="1:13" x14ac:dyDescent="0.35">
      <c r="A3086" s="220" t="s">
        <v>305</v>
      </c>
      <c r="B3086" s="220">
        <f>+B3085+C3085+D3085+E3085</f>
        <v>0</v>
      </c>
      <c r="C3086" s="220"/>
      <c r="D3086" s="220"/>
      <c r="E3086" s="220"/>
      <c r="G3086" s="220" t="s">
        <v>305</v>
      </c>
      <c r="H3086" s="220">
        <f>+H3085+I3085+J3085+K3085</f>
        <v>0</v>
      </c>
      <c r="I3086" s="220"/>
      <c r="J3086" s="220"/>
      <c r="K3086" s="220"/>
    </row>
    <row r="3087" spans="1:13" ht="15" thickBot="1" x14ac:dyDescent="0.4"/>
    <row r="3088" spans="1:13" ht="34.5" customHeight="1" thickBot="1" x14ac:dyDescent="0.4">
      <c r="A3088" s="316" t="s">
        <v>338</v>
      </c>
      <c r="B3088" s="317"/>
      <c r="C3088" s="317"/>
      <c r="D3088" s="317"/>
      <c r="E3088" s="317"/>
      <c r="F3088" s="318"/>
      <c r="G3088" s="324">
        <f>SUMIF($A$2781:M3087,"*"&amp;K3088&amp;"*",$B$2781:N3087)</f>
        <v>221078</v>
      </c>
      <c r="H3088" s="319"/>
      <c r="I3088" s="319"/>
      <c r="J3088" s="325"/>
      <c r="K3088" s="322" t="s">
        <v>305</v>
      </c>
      <c r="L3088" s="323"/>
      <c r="M3088" s="228">
        <f>+G3088</f>
        <v>221078</v>
      </c>
    </row>
    <row r="3090" spans="1:11" ht="15" thickBot="1" x14ac:dyDescent="0.4">
      <c r="A3090" s="315" t="s">
        <v>298</v>
      </c>
      <c r="B3090" s="315"/>
      <c r="C3090" s="315"/>
      <c r="D3090" s="315"/>
      <c r="E3090" s="315"/>
      <c r="G3090" s="315" t="s">
        <v>314</v>
      </c>
      <c r="H3090" s="315"/>
      <c r="I3090" s="315"/>
      <c r="J3090" s="315"/>
      <c r="K3090" s="315"/>
    </row>
    <row r="3091" spans="1:11" ht="15" thickTop="1" x14ac:dyDescent="0.35">
      <c r="A3091" s="313">
        <v>45597</v>
      </c>
      <c r="B3091" s="314"/>
      <c r="C3091" s="314"/>
      <c r="D3091" s="314"/>
      <c r="E3091" s="314"/>
      <c r="G3091" s="313">
        <v>45597</v>
      </c>
      <c r="H3091" s="314"/>
      <c r="I3091" s="314"/>
      <c r="J3091" s="314"/>
      <c r="K3091" s="314"/>
    </row>
    <row r="3092" spans="1:11" x14ac:dyDescent="0.35">
      <c r="A3092" s="261" t="s">
        <v>159</v>
      </c>
      <c r="B3092" s="262" t="s">
        <v>299</v>
      </c>
      <c r="C3092" s="262" t="s">
        <v>300</v>
      </c>
      <c r="D3092" s="262" t="s">
        <v>301</v>
      </c>
      <c r="E3092" s="263" t="s">
        <v>302</v>
      </c>
      <c r="G3092" s="264" t="s">
        <v>159</v>
      </c>
      <c r="H3092" s="265" t="s">
        <v>299</v>
      </c>
      <c r="I3092" s="265" t="s">
        <v>300</v>
      </c>
      <c r="J3092" s="265" t="s">
        <v>301</v>
      </c>
      <c r="K3092" s="266" t="s">
        <v>302</v>
      </c>
    </row>
    <row r="3093" spans="1:11" x14ac:dyDescent="0.35">
      <c r="A3093" s="221" t="s">
        <v>303</v>
      </c>
      <c r="B3093" s="222"/>
      <c r="C3093" s="222"/>
      <c r="D3093" s="222"/>
      <c r="E3093" s="223"/>
      <c r="G3093" s="221" t="s">
        <v>303</v>
      </c>
      <c r="H3093" s="222"/>
      <c r="I3093" s="222"/>
      <c r="J3093" s="222"/>
      <c r="K3093" s="223"/>
    </row>
    <row r="3094" spans="1:11" x14ac:dyDescent="0.35">
      <c r="A3094" s="225" t="s">
        <v>304</v>
      </c>
      <c r="B3094" s="226"/>
      <c r="C3094" s="226"/>
      <c r="D3094" s="226"/>
      <c r="E3094" s="227"/>
      <c r="G3094" s="225"/>
      <c r="H3094" s="226"/>
      <c r="I3094" s="226"/>
      <c r="J3094" s="226"/>
      <c r="K3094" s="227"/>
    </row>
    <row r="3095" spans="1:11" x14ac:dyDescent="0.35">
      <c r="A3095" s="225"/>
      <c r="B3095" s="226"/>
      <c r="C3095" s="226"/>
      <c r="D3095" s="226"/>
      <c r="E3095" s="227"/>
      <c r="G3095" s="225"/>
      <c r="H3095" s="226"/>
      <c r="I3095" s="226"/>
      <c r="J3095" s="226"/>
      <c r="K3095" s="227"/>
    </row>
    <row r="3096" spans="1:11" x14ac:dyDescent="0.35">
      <c r="A3096" s="221"/>
      <c r="B3096" s="222"/>
      <c r="C3096" s="222"/>
      <c r="D3096" s="222"/>
      <c r="E3096" s="223"/>
      <c r="G3096" s="221"/>
      <c r="H3096" s="222"/>
      <c r="I3096" s="222"/>
      <c r="J3096" s="222"/>
      <c r="K3096" s="223"/>
    </row>
    <row r="3097" spans="1:11" x14ac:dyDescent="0.35">
      <c r="A3097" s="225"/>
      <c r="B3097" s="226"/>
      <c r="C3097" s="226"/>
      <c r="D3097" s="226"/>
      <c r="E3097" s="227"/>
      <c r="G3097" s="225"/>
      <c r="H3097" s="226"/>
      <c r="I3097" s="226"/>
      <c r="J3097" s="226"/>
      <c r="K3097" s="227"/>
    </row>
    <row r="3098" spans="1:11" ht="15" thickBot="1" x14ac:dyDescent="0.4">
      <c r="A3098" s="218" t="s">
        <v>34</v>
      </c>
      <c r="B3098" s="219">
        <f>SUM(B3093:B3097)</f>
        <v>0</v>
      </c>
      <c r="C3098" s="219">
        <f>SUM(C3093:C3097)</f>
        <v>0</v>
      </c>
      <c r="D3098" s="219">
        <f>SUM(D3093:D3097)</f>
        <v>0</v>
      </c>
      <c r="E3098" s="219">
        <f>SUM(E3093:E3097)</f>
        <v>0</v>
      </c>
      <c r="G3098" s="218" t="s">
        <v>34</v>
      </c>
      <c r="H3098" s="219">
        <f>SUM(H3093:H3097)</f>
        <v>0</v>
      </c>
      <c r="I3098" s="219">
        <f>SUM(I3093:I3097)</f>
        <v>0</v>
      </c>
      <c r="J3098" s="219">
        <f>SUM(J3093:J3097)</f>
        <v>0</v>
      </c>
      <c r="K3098" s="219">
        <f>SUM(K3093:K3097)</f>
        <v>0</v>
      </c>
    </row>
    <row r="3099" spans="1:11" x14ac:dyDescent="0.35">
      <c r="A3099" s="220" t="s">
        <v>305</v>
      </c>
      <c r="B3099" s="220">
        <f>+B3098+C3098+D3098+E3098</f>
        <v>0</v>
      </c>
      <c r="C3099" s="220"/>
      <c r="D3099" s="220"/>
      <c r="E3099" s="220"/>
      <c r="G3099" s="220" t="s">
        <v>305</v>
      </c>
      <c r="H3099" s="220">
        <f>+H3098+I3098+J3098+K3098</f>
        <v>0</v>
      </c>
      <c r="I3099" s="220"/>
      <c r="J3099" s="220"/>
      <c r="K3099" s="220"/>
    </row>
    <row r="3100" spans="1:11" ht="15" thickBot="1" x14ac:dyDescent="0.4">
      <c r="A3100" s="315" t="s">
        <v>298</v>
      </c>
      <c r="B3100" s="315"/>
      <c r="C3100" s="315"/>
      <c r="D3100" s="315"/>
      <c r="E3100" s="315"/>
      <c r="G3100" s="315" t="s">
        <v>314</v>
      </c>
      <c r="H3100" s="315"/>
      <c r="I3100" s="315"/>
      <c r="J3100" s="315"/>
      <c r="K3100" s="315"/>
    </row>
    <row r="3101" spans="1:11" ht="15" thickTop="1" x14ac:dyDescent="0.35">
      <c r="A3101" s="313">
        <v>45598</v>
      </c>
      <c r="B3101" s="314"/>
      <c r="C3101" s="314"/>
      <c r="D3101" s="314"/>
      <c r="E3101" s="314"/>
      <c r="G3101" s="313">
        <v>45598</v>
      </c>
      <c r="H3101" s="314"/>
      <c r="I3101" s="314"/>
      <c r="J3101" s="314"/>
      <c r="K3101" s="314"/>
    </row>
    <row r="3102" spans="1:11" x14ac:dyDescent="0.35">
      <c r="A3102" s="261" t="s">
        <v>159</v>
      </c>
      <c r="B3102" s="262" t="s">
        <v>299</v>
      </c>
      <c r="C3102" s="262" t="s">
        <v>300</v>
      </c>
      <c r="D3102" s="262" t="s">
        <v>301</v>
      </c>
      <c r="E3102" s="263" t="s">
        <v>302</v>
      </c>
      <c r="G3102" s="264" t="s">
        <v>159</v>
      </c>
      <c r="H3102" s="265" t="s">
        <v>299</v>
      </c>
      <c r="I3102" s="265" t="s">
        <v>300</v>
      </c>
      <c r="J3102" s="265" t="s">
        <v>301</v>
      </c>
      <c r="K3102" s="266" t="s">
        <v>302</v>
      </c>
    </row>
    <row r="3103" spans="1:11" x14ac:dyDescent="0.35">
      <c r="A3103" s="221" t="s">
        <v>303</v>
      </c>
      <c r="B3103" s="222"/>
      <c r="C3103" s="222"/>
      <c r="D3103" s="222"/>
      <c r="E3103" s="223"/>
      <c r="G3103" s="221" t="s">
        <v>303</v>
      </c>
      <c r="H3103" s="222"/>
      <c r="I3103" s="222"/>
      <c r="J3103" s="222"/>
      <c r="K3103" s="223"/>
    </row>
    <row r="3104" spans="1:11" x14ac:dyDescent="0.35">
      <c r="A3104" s="225" t="s">
        <v>304</v>
      </c>
      <c r="B3104" s="226"/>
      <c r="C3104" s="226"/>
      <c r="D3104" s="226"/>
      <c r="E3104" s="227"/>
      <c r="G3104" s="225"/>
      <c r="H3104" s="226"/>
      <c r="I3104" s="226"/>
      <c r="J3104" s="226"/>
      <c r="K3104" s="227"/>
    </row>
    <row r="3105" spans="1:11" x14ac:dyDescent="0.35">
      <c r="A3105" s="225"/>
      <c r="B3105" s="226"/>
      <c r="C3105" s="226"/>
      <c r="D3105" s="226"/>
      <c r="E3105" s="227"/>
      <c r="G3105" s="225"/>
      <c r="H3105" s="226"/>
      <c r="I3105" s="226"/>
      <c r="J3105" s="226"/>
      <c r="K3105" s="227"/>
    </row>
    <row r="3106" spans="1:11" x14ac:dyDescent="0.35">
      <c r="A3106" s="221"/>
      <c r="B3106" s="222"/>
      <c r="C3106" s="222"/>
      <c r="D3106" s="222"/>
      <c r="E3106" s="223"/>
      <c r="G3106" s="221"/>
      <c r="H3106" s="222"/>
      <c r="I3106" s="222"/>
      <c r="J3106" s="222"/>
      <c r="K3106" s="223"/>
    </row>
    <row r="3107" spans="1:11" x14ac:dyDescent="0.35">
      <c r="A3107" s="225"/>
      <c r="B3107" s="226"/>
      <c r="C3107" s="226"/>
      <c r="D3107" s="226"/>
      <c r="E3107" s="227"/>
      <c r="G3107" s="225"/>
      <c r="H3107" s="226"/>
      <c r="I3107" s="226"/>
      <c r="J3107" s="226"/>
      <c r="K3107" s="227"/>
    </row>
    <row r="3108" spans="1:11" ht="15" thickBot="1" x14ac:dyDescent="0.4">
      <c r="A3108" s="218" t="s">
        <v>34</v>
      </c>
      <c r="B3108" s="219">
        <f>SUM(B3103:B3107)</f>
        <v>0</v>
      </c>
      <c r="C3108" s="219">
        <f>SUM(C3103:C3107)</f>
        <v>0</v>
      </c>
      <c r="D3108" s="219">
        <f>SUM(D3103:D3107)</f>
        <v>0</v>
      </c>
      <c r="E3108" s="219">
        <f>SUM(E3103:E3107)</f>
        <v>0</v>
      </c>
      <c r="G3108" s="218" t="s">
        <v>34</v>
      </c>
      <c r="H3108" s="219">
        <f>SUM(H3103:H3107)</f>
        <v>0</v>
      </c>
      <c r="I3108" s="219">
        <f>SUM(I3103:I3107)</f>
        <v>0</v>
      </c>
      <c r="J3108" s="219">
        <f>SUM(J3103:J3107)</f>
        <v>0</v>
      </c>
      <c r="K3108" s="219">
        <f>SUM(K3103:K3107)</f>
        <v>0</v>
      </c>
    </row>
    <row r="3109" spans="1:11" x14ac:dyDescent="0.35">
      <c r="A3109" s="220" t="s">
        <v>305</v>
      </c>
      <c r="B3109" s="220">
        <f>+B3108+C3108+D3108+E3108</f>
        <v>0</v>
      </c>
      <c r="C3109" s="220"/>
      <c r="D3109" s="220"/>
      <c r="E3109" s="220"/>
      <c r="G3109" s="220" t="s">
        <v>305</v>
      </c>
      <c r="H3109" s="220">
        <f>+H3108+I3108+J3108+K3108</f>
        <v>0</v>
      </c>
      <c r="I3109" s="220"/>
      <c r="J3109" s="220"/>
      <c r="K3109" s="220"/>
    </row>
    <row r="3110" spans="1:11" ht="15" thickBot="1" x14ac:dyDescent="0.4">
      <c r="A3110" s="315" t="s">
        <v>298</v>
      </c>
      <c r="B3110" s="315"/>
      <c r="C3110" s="315"/>
      <c r="D3110" s="315"/>
      <c r="E3110" s="315"/>
      <c r="G3110" s="315" t="s">
        <v>314</v>
      </c>
      <c r="H3110" s="315"/>
      <c r="I3110" s="315"/>
      <c r="J3110" s="315"/>
      <c r="K3110" s="315"/>
    </row>
    <row r="3111" spans="1:11" ht="15" thickTop="1" x14ac:dyDescent="0.35">
      <c r="A3111" s="313">
        <v>45599</v>
      </c>
      <c r="B3111" s="314"/>
      <c r="C3111" s="314"/>
      <c r="D3111" s="314"/>
      <c r="E3111" s="314"/>
      <c r="G3111" s="313">
        <v>45599</v>
      </c>
      <c r="H3111" s="314"/>
      <c r="I3111" s="314"/>
      <c r="J3111" s="314"/>
      <c r="K3111" s="314"/>
    </row>
    <row r="3112" spans="1:11" x14ac:dyDescent="0.35">
      <c r="A3112" s="261" t="s">
        <v>159</v>
      </c>
      <c r="B3112" s="262" t="s">
        <v>299</v>
      </c>
      <c r="C3112" s="262" t="s">
        <v>300</v>
      </c>
      <c r="D3112" s="262" t="s">
        <v>301</v>
      </c>
      <c r="E3112" s="263" t="s">
        <v>302</v>
      </c>
      <c r="G3112" s="264" t="s">
        <v>159</v>
      </c>
      <c r="H3112" s="265" t="s">
        <v>299</v>
      </c>
      <c r="I3112" s="265" t="s">
        <v>300</v>
      </c>
      <c r="J3112" s="265" t="s">
        <v>301</v>
      </c>
      <c r="K3112" s="266" t="s">
        <v>302</v>
      </c>
    </row>
    <row r="3113" spans="1:11" x14ac:dyDescent="0.35">
      <c r="A3113" s="221" t="s">
        <v>303</v>
      </c>
      <c r="B3113" s="222"/>
      <c r="C3113" s="222"/>
      <c r="D3113" s="222"/>
      <c r="E3113" s="223"/>
      <c r="G3113" s="221" t="s">
        <v>303</v>
      </c>
      <c r="H3113" s="222"/>
      <c r="I3113" s="222"/>
      <c r="J3113" s="222"/>
      <c r="K3113" s="223"/>
    </row>
    <row r="3114" spans="1:11" x14ac:dyDescent="0.35">
      <c r="A3114" s="225" t="s">
        <v>304</v>
      </c>
      <c r="B3114" s="226"/>
      <c r="C3114" s="226"/>
      <c r="D3114" s="226"/>
      <c r="E3114" s="227"/>
      <c r="G3114" s="225"/>
      <c r="H3114" s="226"/>
      <c r="I3114" s="226"/>
      <c r="J3114" s="226"/>
      <c r="K3114" s="227"/>
    </row>
    <row r="3115" spans="1:11" x14ac:dyDescent="0.35">
      <c r="A3115" s="225"/>
      <c r="B3115" s="226"/>
      <c r="C3115" s="226"/>
      <c r="D3115" s="226"/>
      <c r="E3115" s="227"/>
      <c r="G3115" s="225"/>
      <c r="H3115" s="226"/>
      <c r="I3115" s="226"/>
      <c r="J3115" s="226"/>
      <c r="K3115" s="227"/>
    </row>
    <row r="3116" spans="1:11" x14ac:dyDescent="0.35">
      <c r="A3116" s="221"/>
      <c r="B3116" s="222"/>
      <c r="C3116" s="222"/>
      <c r="D3116" s="222"/>
      <c r="E3116" s="223"/>
      <c r="G3116" s="221"/>
      <c r="H3116" s="222"/>
      <c r="I3116" s="222"/>
      <c r="J3116" s="222"/>
      <c r="K3116" s="223"/>
    </row>
    <row r="3117" spans="1:11" x14ac:dyDescent="0.35">
      <c r="A3117" s="225"/>
      <c r="B3117" s="226"/>
      <c r="C3117" s="226"/>
      <c r="D3117" s="226"/>
      <c r="E3117" s="227"/>
      <c r="G3117" s="225"/>
      <c r="H3117" s="226"/>
      <c r="I3117" s="226"/>
      <c r="J3117" s="226"/>
      <c r="K3117" s="227"/>
    </row>
    <row r="3118" spans="1:11" ht="15" thickBot="1" x14ac:dyDescent="0.4">
      <c r="A3118" s="218" t="s">
        <v>34</v>
      </c>
      <c r="B3118" s="219">
        <f>SUM(B3113:B3117)</f>
        <v>0</v>
      </c>
      <c r="C3118" s="219">
        <f>SUM(C3113:C3117)</f>
        <v>0</v>
      </c>
      <c r="D3118" s="219">
        <f>SUM(D3113:D3117)</f>
        <v>0</v>
      </c>
      <c r="E3118" s="219">
        <f>SUM(E3113:E3117)</f>
        <v>0</v>
      </c>
      <c r="G3118" s="218" t="s">
        <v>34</v>
      </c>
      <c r="H3118" s="219">
        <f>SUM(H3113:H3117)</f>
        <v>0</v>
      </c>
      <c r="I3118" s="219">
        <f>SUM(I3113:I3117)</f>
        <v>0</v>
      </c>
      <c r="J3118" s="219">
        <f>SUM(J3113:J3117)</f>
        <v>0</v>
      </c>
      <c r="K3118" s="219">
        <f>SUM(K3113:K3117)</f>
        <v>0</v>
      </c>
    </row>
    <row r="3119" spans="1:11" x14ac:dyDescent="0.35">
      <c r="A3119" s="220" t="s">
        <v>305</v>
      </c>
      <c r="B3119" s="220">
        <f>+B3118+C3118+D3118+E3118</f>
        <v>0</v>
      </c>
      <c r="C3119" s="220"/>
      <c r="D3119" s="220"/>
      <c r="E3119" s="220"/>
      <c r="G3119" s="220" t="s">
        <v>305</v>
      </c>
      <c r="H3119" s="220">
        <f>+H3118+I3118+J3118+K3118</f>
        <v>0</v>
      </c>
      <c r="I3119" s="220"/>
      <c r="J3119" s="220"/>
      <c r="K3119" s="220"/>
    </row>
    <row r="3120" spans="1:11" ht="15" thickBot="1" x14ac:dyDescent="0.4">
      <c r="A3120" s="315" t="s">
        <v>298</v>
      </c>
      <c r="B3120" s="315"/>
      <c r="C3120" s="315"/>
      <c r="D3120" s="315"/>
      <c r="E3120" s="315"/>
      <c r="G3120" s="315" t="s">
        <v>314</v>
      </c>
      <c r="H3120" s="315"/>
      <c r="I3120" s="315"/>
      <c r="J3120" s="315"/>
      <c r="K3120" s="315"/>
    </row>
    <row r="3121" spans="1:11" ht="15" thickTop="1" x14ac:dyDescent="0.35">
      <c r="A3121" s="313">
        <v>45600</v>
      </c>
      <c r="B3121" s="314"/>
      <c r="C3121" s="314"/>
      <c r="D3121" s="314"/>
      <c r="E3121" s="314"/>
      <c r="G3121" s="313">
        <v>45600</v>
      </c>
      <c r="H3121" s="314"/>
      <c r="I3121" s="314"/>
      <c r="J3121" s="314"/>
      <c r="K3121" s="314"/>
    </row>
    <row r="3122" spans="1:11" x14ac:dyDescent="0.35">
      <c r="A3122" s="261" t="s">
        <v>159</v>
      </c>
      <c r="B3122" s="262" t="s">
        <v>299</v>
      </c>
      <c r="C3122" s="262" t="s">
        <v>300</v>
      </c>
      <c r="D3122" s="262" t="s">
        <v>301</v>
      </c>
      <c r="E3122" s="263" t="s">
        <v>302</v>
      </c>
      <c r="G3122" s="264" t="s">
        <v>159</v>
      </c>
      <c r="H3122" s="265" t="s">
        <v>299</v>
      </c>
      <c r="I3122" s="265" t="s">
        <v>300</v>
      </c>
      <c r="J3122" s="265" t="s">
        <v>301</v>
      </c>
      <c r="K3122" s="266" t="s">
        <v>302</v>
      </c>
    </row>
    <row r="3123" spans="1:11" x14ac:dyDescent="0.35">
      <c r="A3123" s="221" t="s">
        <v>303</v>
      </c>
      <c r="B3123" s="222"/>
      <c r="C3123" s="222"/>
      <c r="D3123" s="222"/>
      <c r="E3123" s="223"/>
      <c r="G3123" s="221" t="s">
        <v>303</v>
      </c>
      <c r="H3123" s="222"/>
      <c r="I3123" s="222"/>
      <c r="J3123" s="222"/>
      <c r="K3123" s="223"/>
    </row>
    <row r="3124" spans="1:11" x14ac:dyDescent="0.35">
      <c r="A3124" s="225" t="s">
        <v>304</v>
      </c>
      <c r="B3124" s="226"/>
      <c r="C3124" s="226"/>
      <c r="D3124" s="226"/>
      <c r="E3124" s="227"/>
      <c r="G3124" s="225"/>
      <c r="H3124" s="226"/>
      <c r="I3124" s="226"/>
      <c r="J3124" s="226"/>
      <c r="K3124" s="227"/>
    </row>
    <row r="3125" spans="1:11" x14ac:dyDescent="0.35">
      <c r="A3125" s="225"/>
      <c r="B3125" s="226"/>
      <c r="C3125" s="226"/>
      <c r="D3125" s="226"/>
      <c r="E3125" s="227"/>
      <c r="G3125" s="225"/>
      <c r="H3125" s="226"/>
      <c r="I3125" s="226"/>
      <c r="J3125" s="226"/>
      <c r="K3125" s="227"/>
    </row>
    <row r="3126" spans="1:11" x14ac:dyDescent="0.35">
      <c r="A3126" s="221"/>
      <c r="B3126" s="222"/>
      <c r="C3126" s="222"/>
      <c r="D3126" s="222"/>
      <c r="E3126" s="223"/>
      <c r="G3126" s="221"/>
      <c r="H3126" s="222"/>
      <c r="I3126" s="222"/>
      <c r="J3126" s="222"/>
      <c r="K3126" s="223"/>
    </row>
    <row r="3127" spans="1:11" x14ac:dyDescent="0.35">
      <c r="A3127" s="225"/>
      <c r="B3127" s="226"/>
      <c r="C3127" s="226"/>
      <c r="D3127" s="226"/>
      <c r="E3127" s="227"/>
      <c r="G3127" s="225"/>
      <c r="H3127" s="226"/>
      <c r="I3127" s="226"/>
      <c r="J3127" s="226"/>
      <c r="K3127" s="227"/>
    </row>
    <row r="3128" spans="1:11" ht="15" thickBot="1" x14ac:dyDescent="0.4">
      <c r="A3128" s="218" t="s">
        <v>34</v>
      </c>
      <c r="B3128" s="219">
        <f>SUM(B3123:B3127)</f>
        <v>0</v>
      </c>
      <c r="C3128" s="219">
        <f>SUM(C3123:C3127)</f>
        <v>0</v>
      </c>
      <c r="D3128" s="219">
        <f>SUM(D3123:D3127)</f>
        <v>0</v>
      </c>
      <c r="E3128" s="219">
        <f>SUM(E3123:E3127)</f>
        <v>0</v>
      </c>
      <c r="G3128" s="218" t="s">
        <v>34</v>
      </c>
      <c r="H3128" s="219">
        <f>SUM(H3123:H3127)</f>
        <v>0</v>
      </c>
      <c r="I3128" s="219">
        <f>SUM(I3123:I3127)</f>
        <v>0</v>
      </c>
      <c r="J3128" s="219">
        <f>SUM(J3123:J3127)</f>
        <v>0</v>
      </c>
      <c r="K3128" s="219">
        <f>SUM(K3123:K3127)</f>
        <v>0</v>
      </c>
    </row>
    <row r="3129" spans="1:11" x14ac:dyDescent="0.35">
      <c r="A3129" s="220" t="s">
        <v>305</v>
      </c>
      <c r="B3129" s="220">
        <f>+B3128+C3128+D3128+E3128</f>
        <v>0</v>
      </c>
      <c r="C3129" s="220"/>
      <c r="D3129" s="220"/>
      <c r="E3129" s="220"/>
      <c r="G3129" s="220" t="s">
        <v>305</v>
      </c>
      <c r="H3129" s="220">
        <f>+H3128+I3128+J3128+K3128</f>
        <v>0</v>
      </c>
      <c r="I3129" s="220"/>
      <c r="J3129" s="220"/>
      <c r="K3129" s="220"/>
    </row>
    <row r="3130" spans="1:11" ht="15" thickBot="1" x14ac:dyDescent="0.4">
      <c r="A3130" s="315" t="s">
        <v>298</v>
      </c>
      <c r="B3130" s="315"/>
      <c r="C3130" s="315"/>
      <c r="D3130" s="315"/>
      <c r="E3130" s="315"/>
      <c r="G3130" s="315" t="s">
        <v>314</v>
      </c>
      <c r="H3130" s="315"/>
      <c r="I3130" s="315"/>
      <c r="J3130" s="315"/>
      <c r="K3130" s="315"/>
    </row>
    <row r="3131" spans="1:11" ht="15" thickTop="1" x14ac:dyDescent="0.35">
      <c r="A3131" s="313">
        <v>45601</v>
      </c>
      <c r="B3131" s="314"/>
      <c r="C3131" s="314"/>
      <c r="D3131" s="314"/>
      <c r="E3131" s="314"/>
      <c r="G3131" s="313">
        <v>45601</v>
      </c>
      <c r="H3131" s="314"/>
      <c r="I3131" s="314"/>
      <c r="J3131" s="314"/>
      <c r="K3131" s="314"/>
    </row>
    <row r="3132" spans="1:11" x14ac:dyDescent="0.35">
      <c r="A3132" s="261" t="s">
        <v>159</v>
      </c>
      <c r="B3132" s="262" t="s">
        <v>299</v>
      </c>
      <c r="C3132" s="262" t="s">
        <v>300</v>
      </c>
      <c r="D3132" s="262" t="s">
        <v>301</v>
      </c>
      <c r="E3132" s="263" t="s">
        <v>302</v>
      </c>
      <c r="G3132" s="264" t="s">
        <v>159</v>
      </c>
      <c r="H3132" s="265" t="s">
        <v>299</v>
      </c>
      <c r="I3132" s="265" t="s">
        <v>300</v>
      </c>
      <c r="J3132" s="265" t="s">
        <v>301</v>
      </c>
      <c r="K3132" s="266" t="s">
        <v>302</v>
      </c>
    </row>
    <row r="3133" spans="1:11" x14ac:dyDescent="0.35">
      <c r="A3133" s="221" t="s">
        <v>303</v>
      </c>
      <c r="B3133" s="222"/>
      <c r="C3133" s="222"/>
      <c r="D3133" s="222"/>
      <c r="E3133" s="223"/>
      <c r="G3133" s="221" t="s">
        <v>303</v>
      </c>
      <c r="H3133" s="222"/>
      <c r="I3133" s="222"/>
      <c r="J3133" s="222"/>
      <c r="K3133" s="223"/>
    </row>
    <row r="3134" spans="1:11" x14ac:dyDescent="0.35">
      <c r="A3134" s="225" t="s">
        <v>304</v>
      </c>
      <c r="B3134" s="226"/>
      <c r="C3134" s="226"/>
      <c r="D3134" s="226"/>
      <c r="E3134" s="227"/>
      <c r="G3134" s="225"/>
      <c r="H3134" s="226"/>
      <c r="I3134" s="226"/>
      <c r="J3134" s="226"/>
      <c r="K3134" s="227"/>
    </row>
    <row r="3135" spans="1:11" x14ac:dyDescent="0.35">
      <c r="A3135" s="225"/>
      <c r="B3135" s="226"/>
      <c r="C3135" s="226"/>
      <c r="D3135" s="226"/>
      <c r="E3135" s="227"/>
      <c r="G3135" s="225"/>
      <c r="H3135" s="226"/>
      <c r="I3135" s="226"/>
      <c r="J3135" s="226"/>
      <c r="K3135" s="227"/>
    </row>
    <row r="3136" spans="1:11" x14ac:dyDescent="0.35">
      <c r="A3136" s="221"/>
      <c r="B3136" s="222"/>
      <c r="C3136" s="222"/>
      <c r="D3136" s="222"/>
      <c r="E3136" s="223"/>
      <c r="G3136" s="221"/>
      <c r="H3136" s="222"/>
      <c r="I3136" s="222"/>
      <c r="J3136" s="222"/>
      <c r="K3136" s="223"/>
    </row>
    <row r="3137" spans="1:11" x14ac:dyDescent="0.35">
      <c r="A3137" s="225"/>
      <c r="B3137" s="226"/>
      <c r="C3137" s="226"/>
      <c r="D3137" s="226"/>
      <c r="E3137" s="227"/>
      <c r="G3137" s="225"/>
      <c r="H3137" s="226"/>
      <c r="I3137" s="226"/>
      <c r="J3137" s="226"/>
      <c r="K3137" s="227"/>
    </row>
    <row r="3138" spans="1:11" ht="15" thickBot="1" x14ac:dyDescent="0.4">
      <c r="A3138" s="218" t="s">
        <v>34</v>
      </c>
      <c r="B3138" s="219">
        <f>SUM(B3133:B3137)</f>
        <v>0</v>
      </c>
      <c r="C3138" s="219">
        <f>SUM(C3133:C3137)</f>
        <v>0</v>
      </c>
      <c r="D3138" s="219">
        <f>SUM(D3133:D3137)</f>
        <v>0</v>
      </c>
      <c r="E3138" s="219">
        <f>SUM(E3133:E3137)</f>
        <v>0</v>
      </c>
      <c r="G3138" s="218" t="s">
        <v>34</v>
      </c>
      <c r="H3138" s="219">
        <f>SUM(H3133:H3137)</f>
        <v>0</v>
      </c>
      <c r="I3138" s="219">
        <f>SUM(I3133:I3137)</f>
        <v>0</v>
      </c>
      <c r="J3138" s="219">
        <f>SUM(J3133:J3137)</f>
        <v>0</v>
      </c>
      <c r="K3138" s="219">
        <f>SUM(K3133:K3137)</f>
        <v>0</v>
      </c>
    </row>
    <row r="3139" spans="1:11" x14ac:dyDescent="0.35">
      <c r="A3139" s="220" t="s">
        <v>305</v>
      </c>
      <c r="B3139" s="220">
        <f>+B3138+C3138+D3138+E3138</f>
        <v>0</v>
      </c>
      <c r="C3139" s="220"/>
      <c r="D3139" s="220"/>
      <c r="E3139" s="220"/>
      <c r="G3139" s="220" t="s">
        <v>305</v>
      </c>
      <c r="H3139" s="220">
        <f>+H3138+I3138+J3138+K3138</f>
        <v>0</v>
      </c>
      <c r="I3139" s="220"/>
      <c r="J3139" s="220"/>
      <c r="K3139" s="220"/>
    </row>
    <row r="3140" spans="1:11" ht="15" thickBot="1" x14ac:dyDescent="0.4">
      <c r="A3140" s="315" t="s">
        <v>298</v>
      </c>
      <c r="B3140" s="315"/>
      <c r="C3140" s="315"/>
      <c r="D3140" s="315"/>
      <c r="E3140" s="315"/>
      <c r="G3140" s="315" t="s">
        <v>314</v>
      </c>
      <c r="H3140" s="315"/>
      <c r="I3140" s="315"/>
      <c r="J3140" s="315"/>
      <c r="K3140" s="315"/>
    </row>
    <row r="3141" spans="1:11" ht="15" thickTop="1" x14ac:dyDescent="0.35">
      <c r="A3141" s="313">
        <v>45602</v>
      </c>
      <c r="B3141" s="314"/>
      <c r="C3141" s="314"/>
      <c r="D3141" s="314"/>
      <c r="E3141" s="314"/>
      <c r="G3141" s="313">
        <v>45602</v>
      </c>
      <c r="H3141" s="314"/>
      <c r="I3141" s="314"/>
      <c r="J3141" s="314"/>
      <c r="K3141" s="314"/>
    </row>
    <row r="3142" spans="1:11" x14ac:dyDescent="0.35">
      <c r="A3142" s="261" t="s">
        <v>159</v>
      </c>
      <c r="B3142" s="262" t="s">
        <v>299</v>
      </c>
      <c r="C3142" s="262" t="s">
        <v>300</v>
      </c>
      <c r="D3142" s="262" t="s">
        <v>301</v>
      </c>
      <c r="E3142" s="263" t="s">
        <v>302</v>
      </c>
      <c r="G3142" s="264" t="s">
        <v>159</v>
      </c>
      <c r="H3142" s="265" t="s">
        <v>299</v>
      </c>
      <c r="I3142" s="265" t="s">
        <v>300</v>
      </c>
      <c r="J3142" s="265" t="s">
        <v>301</v>
      </c>
      <c r="K3142" s="266" t="s">
        <v>302</v>
      </c>
    </row>
    <row r="3143" spans="1:11" x14ac:dyDescent="0.35">
      <c r="A3143" s="221" t="s">
        <v>303</v>
      </c>
      <c r="B3143" s="222"/>
      <c r="C3143" s="222"/>
      <c r="D3143" s="222"/>
      <c r="E3143" s="223"/>
      <c r="G3143" s="221" t="s">
        <v>303</v>
      </c>
      <c r="H3143" s="222"/>
      <c r="I3143" s="222"/>
      <c r="J3143" s="222"/>
      <c r="K3143" s="223"/>
    </row>
    <row r="3144" spans="1:11" x14ac:dyDescent="0.35">
      <c r="A3144" s="225" t="s">
        <v>304</v>
      </c>
      <c r="B3144" s="226"/>
      <c r="C3144" s="226"/>
      <c r="D3144" s="226"/>
      <c r="E3144" s="227"/>
      <c r="G3144" s="225"/>
      <c r="H3144" s="226"/>
      <c r="I3144" s="226"/>
      <c r="J3144" s="226"/>
      <c r="K3144" s="227"/>
    </row>
    <row r="3145" spans="1:11" x14ac:dyDescent="0.35">
      <c r="A3145" s="225"/>
      <c r="B3145" s="226"/>
      <c r="C3145" s="226"/>
      <c r="D3145" s="226"/>
      <c r="E3145" s="227"/>
      <c r="G3145" s="225"/>
      <c r="H3145" s="226"/>
      <c r="I3145" s="226"/>
      <c r="J3145" s="226"/>
      <c r="K3145" s="227"/>
    </row>
    <row r="3146" spans="1:11" x14ac:dyDescent="0.35">
      <c r="A3146" s="221"/>
      <c r="B3146" s="222"/>
      <c r="C3146" s="222"/>
      <c r="D3146" s="222"/>
      <c r="E3146" s="223"/>
      <c r="G3146" s="221"/>
      <c r="H3146" s="222"/>
      <c r="I3146" s="222"/>
      <c r="J3146" s="222"/>
      <c r="K3146" s="223"/>
    </row>
    <row r="3147" spans="1:11" x14ac:dyDescent="0.35">
      <c r="A3147" s="225"/>
      <c r="B3147" s="226"/>
      <c r="C3147" s="226"/>
      <c r="D3147" s="226"/>
      <c r="E3147" s="227"/>
      <c r="G3147" s="225"/>
      <c r="H3147" s="226"/>
      <c r="I3147" s="226"/>
      <c r="J3147" s="226"/>
      <c r="K3147" s="227"/>
    </row>
    <row r="3148" spans="1:11" ht="15" thickBot="1" x14ac:dyDescent="0.4">
      <c r="A3148" s="218" t="s">
        <v>34</v>
      </c>
      <c r="B3148" s="219">
        <f>SUM(B3143:B3147)</f>
        <v>0</v>
      </c>
      <c r="C3148" s="219">
        <f>SUM(C3143:C3147)</f>
        <v>0</v>
      </c>
      <c r="D3148" s="219">
        <f>SUM(D3143:D3147)</f>
        <v>0</v>
      </c>
      <c r="E3148" s="219">
        <f>SUM(E3143:E3147)</f>
        <v>0</v>
      </c>
      <c r="G3148" s="218" t="s">
        <v>34</v>
      </c>
      <c r="H3148" s="219">
        <f>SUM(H3143:H3147)</f>
        <v>0</v>
      </c>
      <c r="I3148" s="219">
        <f>SUM(I3143:I3147)</f>
        <v>0</v>
      </c>
      <c r="J3148" s="219">
        <f>SUM(J3143:J3147)</f>
        <v>0</v>
      </c>
      <c r="K3148" s="219">
        <f>SUM(K3143:K3147)</f>
        <v>0</v>
      </c>
    </row>
    <row r="3149" spans="1:11" x14ac:dyDescent="0.35">
      <c r="A3149" s="220" t="s">
        <v>305</v>
      </c>
      <c r="B3149" s="220">
        <f>+B3148+C3148+D3148+E3148</f>
        <v>0</v>
      </c>
      <c r="C3149" s="220"/>
      <c r="D3149" s="220"/>
      <c r="E3149" s="220"/>
      <c r="G3149" s="220" t="s">
        <v>305</v>
      </c>
      <c r="H3149" s="220">
        <f>+H3148+I3148+J3148+K3148</f>
        <v>0</v>
      </c>
      <c r="I3149" s="220"/>
      <c r="J3149" s="220"/>
      <c r="K3149" s="220"/>
    </row>
    <row r="3150" spans="1:11" ht="15" thickBot="1" x14ac:dyDescent="0.4">
      <c r="A3150" s="315" t="s">
        <v>298</v>
      </c>
      <c r="B3150" s="315"/>
      <c r="C3150" s="315"/>
      <c r="D3150" s="315"/>
      <c r="E3150" s="315"/>
      <c r="G3150" s="315" t="s">
        <v>314</v>
      </c>
      <c r="H3150" s="315"/>
      <c r="I3150" s="315"/>
      <c r="J3150" s="315"/>
      <c r="K3150" s="315"/>
    </row>
    <row r="3151" spans="1:11" ht="15" thickTop="1" x14ac:dyDescent="0.35">
      <c r="A3151" s="313">
        <v>45603</v>
      </c>
      <c r="B3151" s="314"/>
      <c r="C3151" s="314"/>
      <c r="D3151" s="314"/>
      <c r="E3151" s="314"/>
      <c r="G3151" s="313">
        <v>45603</v>
      </c>
      <c r="H3151" s="314"/>
      <c r="I3151" s="314"/>
      <c r="J3151" s="314"/>
      <c r="K3151" s="314"/>
    </row>
    <row r="3152" spans="1:11" x14ac:dyDescent="0.35">
      <c r="A3152" s="261" t="s">
        <v>159</v>
      </c>
      <c r="B3152" s="262" t="s">
        <v>299</v>
      </c>
      <c r="C3152" s="262" t="s">
        <v>300</v>
      </c>
      <c r="D3152" s="262" t="s">
        <v>301</v>
      </c>
      <c r="E3152" s="263" t="s">
        <v>302</v>
      </c>
      <c r="G3152" s="264" t="s">
        <v>159</v>
      </c>
      <c r="H3152" s="265" t="s">
        <v>299</v>
      </c>
      <c r="I3152" s="265" t="s">
        <v>300</v>
      </c>
      <c r="J3152" s="265" t="s">
        <v>301</v>
      </c>
      <c r="K3152" s="266" t="s">
        <v>302</v>
      </c>
    </row>
    <row r="3153" spans="1:11" x14ac:dyDescent="0.35">
      <c r="A3153" s="221" t="s">
        <v>303</v>
      </c>
      <c r="B3153" s="222"/>
      <c r="C3153" s="222"/>
      <c r="D3153" s="222"/>
      <c r="E3153" s="223"/>
      <c r="G3153" s="221" t="s">
        <v>303</v>
      </c>
      <c r="H3153" s="222"/>
      <c r="I3153" s="222"/>
      <c r="J3153" s="222"/>
      <c r="K3153" s="223"/>
    </row>
    <row r="3154" spans="1:11" x14ac:dyDescent="0.35">
      <c r="A3154" s="225" t="s">
        <v>304</v>
      </c>
      <c r="B3154" s="226"/>
      <c r="C3154" s="226"/>
      <c r="D3154" s="226"/>
      <c r="E3154" s="227"/>
      <c r="G3154" s="225"/>
      <c r="H3154" s="226"/>
      <c r="I3154" s="226"/>
      <c r="J3154" s="226"/>
      <c r="K3154" s="227"/>
    </row>
    <row r="3155" spans="1:11" x14ac:dyDescent="0.35">
      <c r="A3155" s="225"/>
      <c r="B3155" s="226"/>
      <c r="C3155" s="226"/>
      <c r="D3155" s="226"/>
      <c r="E3155" s="227"/>
      <c r="G3155" s="225"/>
      <c r="H3155" s="226"/>
      <c r="I3155" s="226"/>
      <c r="J3155" s="226"/>
      <c r="K3155" s="227"/>
    </row>
    <row r="3156" spans="1:11" x14ac:dyDescent="0.35">
      <c r="A3156" s="221"/>
      <c r="B3156" s="222"/>
      <c r="C3156" s="222"/>
      <c r="D3156" s="222"/>
      <c r="E3156" s="223"/>
      <c r="G3156" s="221"/>
      <c r="H3156" s="222"/>
      <c r="I3156" s="222"/>
      <c r="J3156" s="222"/>
      <c r="K3156" s="223"/>
    </row>
    <row r="3157" spans="1:11" x14ac:dyDescent="0.35">
      <c r="A3157" s="225"/>
      <c r="B3157" s="226"/>
      <c r="C3157" s="226"/>
      <c r="D3157" s="226"/>
      <c r="E3157" s="227"/>
      <c r="G3157" s="225"/>
      <c r="H3157" s="226"/>
      <c r="I3157" s="226"/>
      <c r="J3157" s="226"/>
      <c r="K3157" s="227"/>
    </row>
    <row r="3158" spans="1:11" ht="15" thickBot="1" x14ac:dyDescent="0.4">
      <c r="A3158" s="218" t="s">
        <v>34</v>
      </c>
      <c r="B3158" s="219">
        <f>SUM(B3153:B3157)</f>
        <v>0</v>
      </c>
      <c r="C3158" s="219">
        <f>SUM(C3153:C3157)</f>
        <v>0</v>
      </c>
      <c r="D3158" s="219">
        <f>SUM(D3153:D3157)</f>
        <v>0</v>
      </c>
      <c r="E3158" s="219">
        <f>SUM(E3153:E3157)</f>
        <v>0</v>
      </c>
      <c r="G3158" s="218" t="s">
        <v>34</v>
      </c>
      <c r="H3158" s="219">
        <f>SUM(H3153:H3157)</f>
        <v>0</v>
      </c>
      <c r="I3158" s="219">
        <f>SUM(I3153:I3157)</f>
        <v>0</v>
      </c>
      <c r="J3158" s="219">
        <f>SUM(J3153:J3157)</f>
        <v>0</v>
      </c>
      <c r="K3158" s="219">
        <f>SUM(K3153:K3157)</f>
        <v>0</v>
      </c>
    </row>
    <row r="3159" spans="1:11" x14ac:dyDescent="0.35">
      <c r="A3159" s="220" t="s">
        <v>305</v>
      </c>
      <c r="B3159" s="220">
        <f>+B3158+C3158+D3158+E3158</f>
        <v>0</v>
      </c>
      <c r="C3159" s="220"/>
      <c r="D3159" s="220"/>
      <c r="E3159" s="220"/>
      <c r="G3159" s="220" t="s">
        <v>305</v>
      </c>
      <c r="H3159" s="220">
        <f>+H3158+I3158+J3158+K3158</f>
        <v>0</v>
      </c>
      <c r="I3159" s="220"/>
      <c r="J3159" s="220"/>
      <c r="K3159" s="220"/>
    </row>
    <row r="3160" spans="1:11" ht="15" thickBot="1" x14ac:dyDescent="0.4">
      <c r="A3160" s="315" t="s">
        <v>298</v>
      </c>
      <c r="B3160" s="315"/>
      <c r="C3160" s="315"/>
      <c r="D3160" s="315"/>
      <c r="E3160" s="315"/>
      <c r="G3160" s="315" t="s">
        <v>314</v>
      </c>
      <c r="H3160" s="315"/>
      <c r="I3160" s="315"/>
      <c r="J3160" s="315"/>
      <c r="K3160" s="315"/>
    </row>
    <row r="3161" spans="1:11" ht="15" thickTop="1" x14ac:dyDescent="0.35">
      <c r="A3161" s="313">
        <v>45604</v>
      </c>
      <c r="B3161" s="314"/>
      <c r="C3161" s="314"/>
      <c r="D3161" s="314"/>
      <c r="E3161" s="314"/>
      <c r="G3161" s="313">
        <v>45604</v>
      </c>
      <c r="H3161" s="314"/>
      <c r="I3161" s="314"/>
      <c r="J3161" s="314"/>
      <c r="K3161" s="314"/>
    </row>
    <row r="3162" spans="1:11" x14ac:dyDescent="0.35">
      <c r="A3162" s="261" t="s">
        <v>159</v>
      </c>
      <c r="B3162" s="262" t="s">
        <v>299</v>
      </c>
      <c r="C3162" s="262" t="s">
        <v>300</v>
      </c>
      <c r="D3162" s="262" t="s">
        <v>301</v>
      </c>
      <c r="E3162" s="263" t="s">
        <v>302</v>
      </c>
      <c r="G3162" s="264" t="s">
        <v>159</v>
      </c>
      <c r="H3162" s="265" t="s">
        <v>299</v>
      </c>
      <c r="I3162" s="265" t="s">
        <v>300</v>
      </c>
      <c r="J3162" s="265" t="s">
        <v>301</v>
      </c>
      <c r="K3162" s="266" t="s">
        <v>302</v>
      </c>
    </row>
    <row r="3163" spans="1:11" x14ac:dyDescent="0.35">
      <c r="A3163" s="221" t="s">
        <v>303</v>
      </c>
      <c r="B3163" s="222"/>
      <c r="C3163" s="222"/>
      <c r="D3163" s="222"/>
      <c r="E3163" s="223"/>
      <c r="G3163" s="221" t="s">
        <v>303</v>
      </c>
      <c r="H3163" s="222"/>
      <c r="I3163" s="222"/>
      <c r="J3163" s="222"/>
      <c r="K3163" s="223"/>
    </row>
    <row r="3164" spans="1:11" x14ac:dyDescent="0.35">
      <c r="A3164" s="225" t="s">
        <v>304</v>
      </c>
      <c r="B3164" s="226"/>
      <c r="C3164" s="226"/>
      <c r="D3164" s="226"/>
      <c r="E3164" s="227"/>
      <c r="G3164" s="225"/>
      <c r="H3164" s="226"/>
      <c r="I3164" s="226"/>
      <c r="J3164" s="226"/>
      <c r="K3164" s="227"/>
    </row>
    <row r="3165" spans="1:11" x14ac:dyDescent="0.35">
      <c r="A3165" s="225"/>
      <c r="B3165" s="226"/>
      <c r="C3165" s="226"/>
      <c r="D3165" s="226"/>
      <c r="E3165" s="227"/>
      <c r="G3165" s="225"/>
      <c r="H3165" s="226"/>
      <c r="I3165" s="226"/>
      <c r="J3165" s="226"/>
      <c r="K3165" s="227"/>
    </row>
    <row r="3166" spans="1:11" x14ac:dyDescent="0.35">
      <c r="A3166" s="221"/>
      <c r="B3166" s="222"/>
      <c r="C3166" s="222"/>
      <c r="D3166" s="222"/>
      <c r="E3166" s="223"/>
      <c r="G3166" s="221"/>
      <c r="H3166" s="222"/>
      <c r="I3166" s="222"/>
      <c r="J3166" s="222"/>
      <c r="K3166" s="223"/>
    </row>
    <row r="3167" spans="1:11" x14ac:dyDescent="0.35">
      <c r="A3167" s="225"/>
      <c r="B3167" s="226"/>
      <c r="C3167" s="226"/>
      <c r="D3167" s="226"/>
      <c r="E3167" s="227"/>
      <c r="G3167" s="225"/>
      <c r="H3167" s="226"/>
      <c r="I3167" s="226"/>
      <c r="J3167" s="226"/>
      <c r="K3167" s="227"/>
    </row>
    <row r="3168" spans="1:11" ht="15" thickBot="1" x14ac:dyDescent="0.4">
      <c r="A3168" s="218" t="s">
        <v>34</v>
      </c>
      <c r="B3168" s="219">
        <f>SUM(B3163:B3167)</f>
        <v>0</v>
      </c>
      <c r="C3168" s="219">
        <f>SUM(C3163:C3167)</f>
        <v>0</v>
      </c>
      <c r="D3168" s="219">
        <f>SUM(D3163:D3167)</f>
        <v>0</v>
      </c>
      <c r="E3168" s="219">
        <f>SUM(E3163:E3167)</f>
        <v>0</v>
      </c>
      <c r="G3168" s="218" t="s">
        <v>34</v>
      </c>
      <c r="H3168" s="219">
        <f>SUM(H3163:H3167)</f>
        <v>0</v>
      </c>
      <c r="I3168" s="219">
        <f>SUM(I3163:I3167)</f>
        <v>0</v>
      </c>
      <c r="J3168" s="219">
        <f>SUM(J3163:J3167)</f>
        <v>0</v>
      </c>
      <c r="K3168" s="219">
        <f>SUM(K3163:K3167)</f>
        <v>0</v>
      </c>
    </row>
    <row r="3169" spans="1:11" x14ac:dyDescent="0.35">
      <c r="A3169" s="220" t="s">
        <v>305</v>
      </c>
      <c r="B3169" s="220">
        <f>+B3168+C3168+D3168+E3168</f>
        <v>0</v>
      </c>
      <c r="C3169" s="220"/>
      <c r="D3169" s="220"/>
      <c r="E3169" s="220"/>
      <c r="G3169" s="220" t="s">
        <v>305</v>
      </c>
      <c r="H3169" s="220">
        <f>+H3168+I3168+J3168+K3168</f>
        <v>0</v>
      </c>
      <c r="I3169" s="220"/>
      <c r="J3169" s="220"/>
      <c r="K3169" s="220"/>
    </row>
    <row r="3170" spans="1:11" ht="15" thickBot="1" x14ac:dyDescent="0.4">
      <c r="A3170" s="315" t="s">
        <v>298</v>
      </c>
      <c r="B3170" s="315"/>
      <c r="C3170" s="315"/>
      <c r="D3170" s="315"/>
      <c r="E3170" s="315"/>
      <c r="G3170" s="315" t="s">
        <v>314</v>
      </c>
      <c r="H3170" s="315"/>
      <c r="I3170" s="315"/>
      <c r="J3170" s="315"/>
      <c r="K3170" s="315"/>
    </row>
    <row r="3171" spans="1:11" ht="15" thickTop="1" x14ac:dyDescent="0.35">
      <c r="A3171" s="313">
        <v>45605</v>
      </c>
      <c r="B3171" s="314"/>
      <c r="C3171" s="314"/>
      <c r="D3171" s="314"/>
      <c r="E3171" s="314"/>
      <c r="G3171" s="313">
        <v>45605</v>
      </c>
      <c r="H3171" s="314"/>
      <c r="I3171" s="314"/>
      <c r="J3171" s="314"/>
      <c r="K3171" s="314"/>
    </row>
    <row r="3172" spans="1:11" x14ac:dyDescent="0.35">
      <c r="A3172" s="261" t="s">
        <v>159</v>
      </c>
      <c r="B3172" s="262" t="s">
        <v>299</v>
      </c>
      <c r="C3172" s="262" t="s">
        <v>300</v>
      </c>
      <c r="D3172" s="262" t="s">
        <v>301</v>
      </c>
      <c r="E3172" s="263" t="s">
        <v>302</v>
      </c>
      <c r="G3172" s="264" t="s">
        <v>159</v>
      </c>
      <c r="H3172" s="265" t="s">
        <v>299</v>
      </c>
      <c r="I3172" s="265" t="s">
        <v>300</v>
      </c>
      <c r="J3172" s="265" t="s">
        <v>301</v>
      </c>
      <c r="K3172" s="266" t="s">
        <v>302</v>
      </c>
    </row>
    <row r="3173" spans="1:11" x14ac:dyDescent="0.35">
      <c r="A3173" s="221" t="s">
        <v>303</v>
      </c>
      <c r="B3173" s="222"/>
      <c r="C3173" s="222"/>
      <c r="D3173" s="222"/>
      <c r="E3173" s="223"/>
      <c r="G3173" s="221" t="s">
        <v>303</v>
      </c>
      <c r="H3173" s="222"/>
      <c r="I3173" s="222"/>
      <c r="J3173" s="222"/>
      <c r="K3173" s="223"/>
    </row>
    <row r="3174" spans="1:11" x14ac:dyDescent="0.35">
      <c r="A3174" s="225" t="s">
        <v>304</v>
      </c>
      <c r="B3174" s="226"/>
      <c r="C3174" s="226"/>
      <c r="D3174" s="226"/>
      <c r="E3174" s="227"/>
      <c r="G3174" s="225"/>
      <c r="H3174" s="226"/>
      <c r="I3174" s="226"/>
      <c r="J3174" s="226"/>
      <c r="K3174" s="227"/>
    </row>
    <row r="3175" spans="1:11" x14ac:dyDescent="0.35">
      <c r="A3175" s="225"/>
      <c r="B3175" s="226"/>
      <c r="C3175" s="226"/>
      <c r="D3175" s="226"/>
      <c r="E3175" s="227"/>
      <c r="G3175" s="225"/>
      <c r="H3175" s="226"/>
      <c r="I3175" s="226"/>
      <c r="J3175" s="226"/>
      <c r="K3175" s="227"/>
    </row>
    <row r="3176" spans="1:11" x14ac:dyDescent="0.35">
      <c r="A3176" s="221"/>
      <c r="B3176" s="222"/>
      <c r="C3176" s="222"/>
      <c r="D3176" s="222"/>
      <c r="E3176" s="223"/>
      <c r="G3176" s="221"/>
      <c r="H3176" s="222"/>
      <c r="I3176" s="222"/>
      <c r="J3176" s="222"/>
      <c r="K3176" s="223"/>
    </row>
    <row r="3177" spans="1:11" x14ac:dyDescent="0.35">
      <c r="A3177" s="225"/>
      <c r="B3177" s="226"/>
      <c r="C3177" s="226"/>
      <c r="D3177" s="226"/>
      <c r="E3177" s="227"/>
      <c r="G3177" s="225"/>
      <c r="H3177" s="226"/>
      <c r="I3177" s="226"/>
      <c r="J3177" s="226"/>
      <c r="K3177" s="227"/>
    </row>
    <row r="3178" spans="1:11" ht="15" thickBot="1" x14ac:dyDescent="0.4">
      <c r="A3178" s="218" t="s">
        <v>34</v>
      </c>
      <c r="B3178" s="219">
        <f>SUM(B3173:B3177)</f>
        <v>0</v>
      </c>
      <c r="C3178" s="219">
        <f>SUM(C3173:C3177)</f>
        <v>0</v>
      </c>
      <c r="D3178" s="219">
        <f>SUM(D3173:D3177)</f>
        <v>0</v>
      </c>
      <c r="E3178" s="219">
        <f>SUM(E3173:E3177)</f>
        <v>0</v>
      </c>
      <c r="G3178" s="218" t="s">
        <v>34</v>
      </c>
      <c r="H3178" s="219">
        <f>SUM(H3173:H3177)</f>
        <v>0</v>
      </c>
      <c r="I3178" s="219">
        <f>SUM(I3173:I3177)</f>
        <v>0</v>
      </c>
      <c r="J3178" s="219">
        <f>SUM(J3173:J3177)</f>
        <v>0</v>
      </c>
      <c r="K3178" s="219">
        <f>SUM(K3173:K3177)</f>
        <v>0</v>
      </c>
    </row>
    <row r="3179" spans="1:11" x14ac:dyDescent="0.35">
      <c r="A3179" s="220" t="s">
        <v>305</v>
      </c>
      <c r="B3179" s="220">
        <f>+B3178+C3178+D3178+E3178</f>
        <v>0</v>
      </c>
      <c r="C3179" s="220"/>
      <c r="D3179" s="220"/>
      <c r="E3179" s="220"/>
      <c r="G3179" s="220" t="s">
        <v>305</v>
      </c>
      <c r="H3179" s="220">
        <f>+H3178+I3178+J3178+K3178</f>
        <v>0</v>
      </c>
      <c r="I3179" s="220"/>
      <c r="J3179" s="220"/>
      <c r="K3179" s="220"/>
    </row>
    <row r="3180" spans="1:11" ht="15" thickBot="1" x14ac:dyDescent="0.4">
      <c r="A3180" s="315" t="s">
        <v>298</v>
      </c>
      <c r="B3180" s="315"/>
      <c r="C3180" s="315"/>
      <c r="D3180" s="315"/>
      <c r="E3180" s="315"/>
      <c r="G3180" s="315" t="s">
        <v>314</v>
      </c>
      <c r="H3180" s="315"/>
      <c r="I3180" s="315"/>
      <c r="J3180" s="315"/>
      <c r="K3180" s="315"/>
    </row>
    <row r="3181" spans="1:11" ht="15" thickTop="1" x14ac:dyDescent="0.35">
      <c r="A3181" s="313">
        <v>45606</v>
      </c>
      <c r="B3181" s="314"/>
      <c r="C3181" s="314"/>
      <c r="D3181" s="314"/>
      <c r="E3181" s="314"/>
      <c r="G3181" s="313">
        <v>45606</v>
      </c>
      <c r="H3181" s="314"/>
      <c r="I3181" s="314"/>
      <c r="J3181" s="314"/>
      <c r="K3181" s="314"/>
    </row>
    <row r="3182" spans="1:11" x14ac:dyDescent="0.35">
      <c r="A3182" s="261" t="s">
        <v>159</v>
      </c>
      <c r="B3182" s="262" t="s">
        <v>299</v>
      </c>
      <c r="C3182" s="262" t="s">
        <v>300</v>
      </c>
      <c r="D3182" s="262" t="s">
        <v>301</v>
      </c>
      <c r="E3182" s="263" t="s">
        <v>302</v>
      </c>
      <c r="G3182" s="264" t="s">
        <v>159</v>
      </c>
      <c r="H3182" s="265" t="s">
        <v>299</v>
      </c>
      <c r="I3182" s="265" t="s">
        <v>300</v>
      </c>
      <c r="J3182" s="265" t="s">
        <v>301</v>
      </c>
      <c r="K3182" s="266" t="s">
        <v>302</v>
      </c>
    </row>
    <row r="3183" spans="1:11" x14ac:dyDescent="0.35">
      <c r="A3183" s="221" t="s">
        <v>303</v>
      </c>
      <c r="B3183" s="222"/>
      <c r="C3183" s="222"/>
      <c r="D3183" s="222"/>
      <c r="E3183" s="223"/>
      <c r="G3183" s="221" t="s">
        <v>303</v>
      </c>
      <c r="H3183" s="222"/>
      <c r="I3183" s="222"/>
      <c r="J3183" s="222"/>
      <c r="K3183" s="223"/>
    </row>
    <row r="3184" spans="1:11" x14ac:dyDescent="0.35">
      <c r="A3184" s="225" t="s">
        <v>304</v>
      </c>
      <c r="B3184" s="226"/>
      <c r="C3184" s="226"/>
      <c r="D3184" s="226"/>
      <c r="E3184" s="227"/>
      <c r="G3184" s="225"/>
      <c r="H3184" s="226"/>
      <c r="I3184" s="226"/>
      <c r="J3184" s="226"/>
      <c r="K3184" s="227"/>
    </row>
    <row r="3185" spans="1:11" x14ac:dyDescent="0.35">
      <c r="A3185" s="225"/>
      <c r="B3185" s="226"/>
      <c r="C3185" s="226"/>
      <c r="D3185" s="226"/>
      <c r="E3185" s="227"/>
      <c r="G3185" s="225"/>
      <c r="H3185" s="226"/>
      <c r="I3185" s="226"/>
      <c r="J3185" s="226"/>
      <c r="K3185" s="227"/>
    </row>
    <row r="3186" spans="1:11" x14ac:dyDescent="0.35">
      <c r="A3186" s="221"/>
      <c r="B3186" s="222"/>
      <c r="C3186" s="222"/>
      <c r="D3186" s="222"/>
      <c r="E3186" s="223"/>
      <c r="G3186" s="221"/>
      <c r="H3186" s="222"/>
      <c r="I3186" s="222"/>
      <c r="J3186" s="222"/>
      <c r="K3186" s="223"/>
    </row>
    <row r="3187" spans="1:11" x14ac:dyDescent="0.35">
      <c r="A3187" s="225"/>
      <c r="B3187" s="226"/>
      <c r="C3187" s="226"/>
      <c r="D3187" s="226"/>
      <c r="E3187" s="227"/>
      <c r="G3187" s="225"/>
      <c r="H3187" s="226"/>
      <c r="I3187" s="226"/>
      <c r="J3187" s="226"/>
      <c r="K3187" s="227"/>
    </row>
    <row r="3188" spans="1:11" ht="15" thickBot="1" x14ac:dyDescent="0.4">
      <c r="A3188" s="218" t="s">
        <v>34</v>
      </c>
      <c r="B3188" s="219">
        <f>SUM(B3183:B3187)</f>
        <v>0</v>
      </c>
      <c r="C3188" s="219">
        <f>SUM(C3183:C3187)</f>
        <v>0</v>
      </c>
      <c r="D3188" s="219">
        <f>SUM(D3183:D3187)</f>
        <v>0</v>
      </c>
      <c r="E3188" s="219">
        <f>SUM(E3183:E3187)</f>
        <v>0</v>
      </c>
      <c r="G3188" s="218" t="s">
        <v>34</v>
      </c>
      <c r="H3188" s="219">
        <f>SUM(H3183:H3187)</f>
        <v>0</v>
      </c>
      <c r="I3188" s="219">
        <f>SUM(I3183:I3187)</f>
        <v>0</v>
      </c>
      <c r="J3188" s="219">
        <f>SUM(J3183:J3187)</f>
        <v>0</v>
      </c>
      <c r="K3188" s="219">
        <f>SUM(K3183:K3187)</f>
        <v>0</v>
      </c>
    </row>
    <row r="3189" spans="1:11" x14ac:dyDescent="0.35">
      <c r="A3189" s="220" t="s">
        <v>305</v>
      </c>
      <c r="B3189" s="220">
        <f>+B3188+C3188+D3188+E3188</f>
        <v>0</v>
      </c>
      <c r="C3189" s="220"/>
      <c r="D3189" s="220"/>
      <c r="E3189" s="220"/>
      <c r="G3189" s="220" t="s">
        <v>305</v>
      </c>
      <c r="H3189" s="220">
        <f>+H3188+I3188+J3188+K3188</f>
        <v>0</v>
      </c>
      <c r="I3189" s="220"/>
      <c r="J3189" s="220"/>
      <c r="K3189" s="220"/>
    </row>
    <row r="3190" spans="1:11" ht="15" thickBot="1" x14ac:dyDescent="0.4">
      <c r="A3190" s="315" t="s">
        <v>298</v>
      </c>
      <c r="B3190" s="315"/>
      <c r="C3190" s="315"/>
      <c r="D3190" s="315"/>
      <c r="E3190" s="315"/>
      <c r="G3190" s="315" t="s">
        <v>314</v>
      </c>
      <c r="H3190" s="315"/>
      <c r="I3190" s="315"/>
      <c r="J3190" s="315"/>
      <c r="K3190" s="315"/>
    </row>
    <row r="3191" spans="1:11" ht="15" thickTop="1" x14ac:dyDescent="0.35">
      <c r="A3191" s="313">
        <v>45607</v>
      </c>
      <c r="B3191" s="314"/>
      <c r="C3191" s="314"/>
      <c r="D3191" s="314"/>
      <c r="E3191" s="314"/>
      <c r="G3191" s="313">
        <v>45607</v>
      </c>
      <c r="H3191" s="314"/>
      <c r="I3191" s="314"/>
      <c r="J3191" s="314"/>
      <c r="K3191" s="314"/>
    </row>
    <row r="3192" spans="1:11" x14ac:dyDescent="0.35">
      <c r="A3192" s="261" t="s">
        <v>159</v>
      </c>
      <c r="B3192" s="262" t="s">
        <v>299</v>
      </c>
      <c r="C3192" s="262" t="s">
        <v>300</v>
      </c>
      <c r="D3192" s="262" t="s">
        <v>301</v>
      </c>
      <c r="E3192" s="263" t="s">
        <v>302</v>
      </c>
      <c r="G3192" s="264" t="s">
        <v>159</v>
      </c>
      <c r="H3192" s="265" t="s">
        <v>299</v>
      </c>
      <c r="I3192" s="265" t="s">
        <v>300</v>
      </c>
      <c r="J3192" s="265" t="s">
        <v>301</v>
      </c>
      <c r="K3192" s="266" t="s">
        <v>302</v>
      </c>
    </row>
    <row r="3193" spans="1:11" x14ac:dyDescent="0.35">
      <c r="A3193" s="221" t="s">
        <v>303</v>
      </c>
      <c r="B3193" s="222"/>
      <c r="C3193" s="222"/>
      <c r="D3193" s="222"/>
      <c r="E3193" s="223"/>
      <c r="G3193" s="221" t="s">
        <v>303</v>
      </c>
      <c r="H3193" s="222"/>
      <c r="I3193" s="222"/>
      <c r="J3193" s="222"/>
      <c r="K3193" s="223"/>
    </row>
    <row r="3194" spans="1:11" x14ac:dyDescent="0.35">
      <c r="A3194" s="225" t="s">
        <v>304</v>
      </c>
      <c r="B3194" s="226"/>
      <c r="C3194" s="226"/>
      <c r="D3194" s="226"/>
      <c r="E3194" s="227"/>
      <c r="G3194" s="225"/>
      <c r="H3194" s="226"/>
      <c r="I3194" s="226"/>
      <c r="J3194" s="226"/>
      <c r="K3194" s="227"/>
    </row>
    <row r="3195" spans="1:11" x14ac:dyDescent="0.35">
      <c r="A3195" s="225"/>
      <c r="B3195" s="226"/>
      <c r="C3195" s="226"/>
      <c r="D3195" s="226"/>
      <c r="E3195" s="227"/>
      <c r="G3195" s="225"/>
      <c r="H3195" s="226"/>
      <c r="I3195" s="226"/>
      <c r="J3195" s="226"/>
      <c r="K3195" s="227"/>
    </row>
    <row r="3196" spans="1:11" x14ac:dyDescent="0.35">
      <c r="A3196" s="221"/>
      <c r="B3196" s="222"/>
      <c r="C3196" s="222"/>
      <c r="D3196" s="222"/>
      <c r="E3196" s="223"/>
      <c r="G3196" s="221"/>
      <c r="H3196" s="222"/>
      <c r="I3196" s="222"/>
      <c r="J3196" s="222"/>
      <c r="K3196" s="223"/>
    </row>
    <row r="3197" spans="1:11" x14ac:dyDescent="0.35">
      <c r="A3197" s="225"/>
      <c r="B3197" s="226"/>
      <c r="C3197" s="226"/>
      <c r="D3197" s="226"/>
      <c r="E3197" s="227"/>
      <c r="G3197" s="225"/>
      <c r="H3197" s="226"/>
      <c r="I3197" s="226"/>
      <c r="J3197" s="226"/>
      <c r="K3197" s="227"/>
    </row>
    <row r="3198" spans="1:11" ht="15" thickBot="1" x14ac:dyDescent="0.4">
      <c r="A3198" s="218" t="s">
        <v>34</v>
      </c>
      <c r="B3198" s="219">
        <f>SUM(B3193:B3197)</f>
        <v>0</v>
      </c>
      <c r="C3198" s="219">
        <f>SUM(C3193:C3197)</f>
        <v>0</v>
      </c>
      <c r="D3198" s="219">
        <f>SUM(D3193:D3197)</f>
        <v>0</v>
      </c>
      <c r="E3198" s="219">
        <f>SUM(E3193:E3197)</f>
        <v>0</v>
      </c>
      <c r="G3198" s="218" t="s">
        <v>34</v>
      </c>
      <c r="H3198" s="219">
        <f>SUM(H3193:H3197)</f>
        <v>0</v>
      </c>
      <c r="I3198" s="219">
        <f>SUM(I3193:I3197)</f>
        <v>0</v>
      </c>
      <c r="J3198" s="219">
        <f>SUM(J3193:J3197)</f>
        <v>0</v>
      </c>
      <c r="K3198" s="219">
        <f>SUM(K3193:K3197)</f>
        <v>0</v>
      </c>
    </row>
    <row r="3199" spans="1:11" x14ac:dyDescent="0.35">
      <c r="A3199" s="220" t="s">
        <v>305</v>
      </c>
      <c r="B3199" s="220">
        <f>+B3198+C3198+D3198+E3198</f>
        <v>0</v>
      </c>
      <c r="C3199" s="220"/>
      <c r="D3199" s="220"/>
      <c r="E3199" s="220"/>
      <c r="G3199" s="220" t="s">
        <v>305</v>
      </c>
      <c r="H3199" s="220">
        <f>+H3198+I3198+J3198+K3198</f>
        <v>0</v>
      </c>
      <c r="I3199" s="220"/>
      <c r="J3199" s="220"/>
      <c r="K3199" s="220"/>
    </row>
    <row r="3200" spans="1:11" ht="15" thickBot="1" x14ac:dyDescent="0.4">
      <c r="A3200" s="315" t="s">
        <v>298</v>
      </c>
      <c r="B3200" s="315"/>
      <c r="C3200" s="315"/>
      <c r="D3200" s="315"/>
      <c r="E3200" s="315"/>
      <c r="G3200" s="315" t="s">
        <v>314</v>
      </c>
      <c r="H3200" s="315"/>
      <c r="I3200" s="315"/>
      <c r="J3200" s="315"/>
      <c r="K3200" s="315"/>
    </row>
    <row r="3201" spans="1:11" ht="15" thickTop="1" x14ac:dyDescent="0.35">
      <c r="A3201" s="313">
        <v>45608</v>
      </c>
      <c r="B3201" s="314"/>
      <c r="C3201" s="314"/>
      <c r="D3201" s="314"/>
      <c r="E3201" s="314"/>
      <c r="G3201" s="313">
        <v>45608</v>
      </c>
      <c r="H3201" s="314"/>
      <c r="I3201" s="314"/>
      <c r="J3201" s="314"/>
      <c r="K3201" s="314"/>
    </row>
    <row r="3202" spans="1:11" x14ac:dyDescent="0.35">
      <c r="A3202" s="261" t="s">
        <v>159</v>
      </c>
      <c r="B3202" s="262" t="s">
        <v>299</v>
      </c>
      <c r="C3202" s="262" t="s">
        <v>300</v>
      </c>
      <c r="D3202" s="262" t="s">
        <v>301</v>
      </c>
      <c r="E3202" s="263" t="s">
        <v>302</v>
      </c>
      <c r="G3202" s="264" t="s">
        <v>159</v>
      </c>
      <c r="H3202" s="265" t="s">
        <v>299</v>
      </c>
      <c r="I3202" s="265" t="s">
        <v>300</v>
      </c>
      <c r="J3202" s="265" t="s">
        <v>301</v>
      </c>
      <c r="K3202" s="266" t="s">
        <v>302</v>
      </c>
    </row>
    <row r="3203" spans="1:11" x14ac:dyDescent="0.35">
      <c r="A3203" s="221" t="s">
        <v>303</v>
      </c>
      <c r="B3203" s="222"/>
      <c r="C3203" s="222"/>
      <c r="D3203" s="222"/>
      <c r="E3203" s="223"/>
      <c r="G3203" s="221" t="s">
        <v>303</v>
      </c>
      <c r="H3203" s="222"/>
      <c r="I3203" s="222"/>
      <c r="J3203" s="222"/>
      <c r="K3203" s="223"/>
    </row>
    <row r="3204" spans="1:11" x14ac:dyDescent="0.35">
      <c r="A3204" s="225" t="s">
        <v>304</v>
      </c>
      <c r="B3204" s="226"/>
      <c r="C3204" s="226"/>
      <c r="D3204" s="226"/>
      <c r="E3204" s="227"/>
      <c r="G3204" s="225"/>
      <c r="H3204" s="226"/>
      <c r="I3204" s="226"/>
      <c r="J3204" s="226"/>
      <c r="K3204" s="227"/>
    </row>
    <row r="3205" spans="1:11" x14ac:dyDescent="0.35">
      <c r="A3205" s="225"/>
      <c r="B3205" s="226"/>
      <c r="C3205" s="226"/>
      <c r="D3205" s="226"/>
      <c r="E3205" s="227"/>
      <c r="G3205" s="225"/>
      <c r="H3205" s="226"/>
      <c r="I3205" s="226"/>
      <c r="J3205" s="226"/>
      <c r="K3205" s="227"/>
    </row>
    <row r="3206" spans="1:11" x14ac:dyDescent="0.35">
      <c r="A3206" s="221"/>
      <c r="B3206" s="222"/>
      <c r="C3206" s="222"/>
      <c r="D3206" s="222"/>
      <c r="E3206" s="223"/>
      <c r="G3206" s="221"/>
      <c r="H3206" s="222"/>
      <c r="I3206" s="222"/>
      <c r="J3206" s="222"/>
      <c r="K3206" s="223"/>
    </row>
    <row r="3207" spans="1:11" x14ac:dyDescent="0.35">
      <c r="A3207" s="225"/>
      <c r="B3207" s="226"/>
      <c r="C3207" s="226"/>
      <c r="D3207" s="226"/>
      <c r="E3207" s="227"/>
      <c r="G3207" s="225"/>
      <c r="H3207" s="226"/>
      <c r="I3207" s="226"/>
      <c r="J3207" s="226"/>
      <c r="K3207" s="227"/>
    </row>
    <row r="3208" spans="1:11" ht="15" thickBot="1" x14ac:dyDescent="0.4">
      <c r="A3208" s="218" t="s">
        <v>34</v>
      </c>
      <c r="B3208" s="219">
        <f>SUM(B3203:B3207)</f>
        <v>0</v>
      </c>
      <c r="C3208" s="219">
        <f>SUM(C3203:C3207)</f>
        <v>0</v>
      </c>
      <c r="D3208" s="219">
        <f>SUM(D3203:D3207)</f>
        <v>0</v>
      </c>
      <c r="E3208" s="219">
        <f>SUM(E3203:E3207)</f>
        <v>0</v>
      </c>
      <c r="G3208" s="218" t="s">
        <v>34</v>
      </c>
      <c r="H3208" s="219">
        <f>SUM(H3203:H3207)</f>
        <v>0</v>
      </c>
      <c r="I3208" s="219">
        <f>SUM(I3203:I3207)</f>
        <v>0</v>
      </c>
      <c r="J3208" s="219">
        <f>SUM(J3203:J3207)</f>
        <v>0</v>
      </c>
      <c r="K3208" s="219">
        <f>SUM(K3203:K3207)</f>
        <v>0</v>
      </c>
    </row>
    <row r="3209" spans="1:11" x14ac:dyDescent="0.35">
      <c r="A3209" s="220" t="s">
        <v>305</v>
      </c>
      <c r="B3209" s="220">
        <f>+B3208+C3208+D3208+E3208</f>
        <v>0</v>
      </c>
      <c r="C3209" s="220"/>
      <c r="D3209" s="220"/>
      <c r="E3209" s="220"/>
      <c r="G3209" s="220" t="s">
        <v>305</v>
      </c>
      <c r="H3209" s="220">
        <f>+H3208+I3208+J3208+K3208</f>
        <v>0</v>
      </c>
      <c r="I3209" s="220"/>
      <c r="J3209" s="220"/>
      <c r="K3209" s="220"/>
    </row>
    <row r="3210" spans="1:11" ht="15" thickBot="1" x14ac:dyDescent="0.4">
      <c r="A3210" s="315" t="s">
        <v>298</v>
      </c>
      <c r="B3210" s="315"/>
      <c r="C3210" s="315"/>
      <c r="D3210" s="315"/>
      <c r="E3210" s="315"/>
      <c r="G3210" s="315" t="s">
        <v>314</v>
      </c>
      <c r="H3210" s="315"/>
      <c r="I3210" s="315"/>
      <c r="J3210" s="315"/>
      <c r="K3210" s="315"/>
    </row>
    <row r="3211" spans="1:11" ht="15" thickTop="1" x14ac:dyDescent="0.35">
      <c r="A3211" s="313">
        <v>45609</v>
      </c>
      <c r="B3211" s="314"/>
      <c r="C3211" s="314"/>
      <c r="D3211" s="314"/>
      <c r="E3211" s="314"/>
      <c r="G3211" s="313">
        <v>45609</v>
      </c>
      <c r="H3211" s="314"/>
      <c r="I3211" s="314"/>
      <c r="J3211" s="314"/>
      <c r="K3211" s="314"/>
    </row>
    <row r="3212" spans="1:11" x14ac:dyDescent="0.35">
      <c r="A3212" s="261" t="s">
        <v>159</v>
      </c>
      <c r="B3212" s="262" t="s">
        <v>299</v>
      </c>
      <c r="C3212" s="262" t="s">
        <v>300</v>
      </c>
      <c r="D3212" s="262" t="s">
        <v>301</v>
      </c>
      <c r="E3212" s="263" t="s">
        <v>302</v>
      </c>
      <c r="G3212" s="264" t="s">
        <v>159</v>
      </c>
      <c r="H3212" s="265" t="s">
        <v>299</v>
      </c>
      <c r="I3212" s="265" t="s">
        <v>300</v>
      </c>
      <c r="J3212" s="265" t="s">
        <v>301</v>
      </c>
      <c r="K3212" s="266" t="s">
        <v>302</v>
      </c>
    </row>
    <row r="3213" spans="1:11" x14ac:dyDescent="0.35">
      <c r="A3213" s="221" t="s">
        <v>303</v>
      </c>
      <c r="B3213" s="222"/>
      <c r="C3213" s="222"/>
      <c r="D3213" s="222"/>
      <c r="E3213" s="223"/>
      <c r="G3213" s="221" t="s">
        <v>303</v>
      </c>
      <c r="H3213" s="222"/>
      <c r="I3213" s="222"/>
      <c r="J3213" s="222"/>
      <c r="K3213" s="223"/>
    </row>
    <row r="3214" spans="1:11" x14ac:dyDescent="0.35">
      <c r="A3214" s="225" t="s">
        <v>304</v>
      </c>
      <c r="B3214" s="226"/>
      <c r="C3214" s="226"/>
      <c r="D3214" s="226"/>
      <c r="E3214" s="227"/>
      <c r="G3214" s="225"/>
      <c r="H3214" s="226"/>
      <c r="I3214" s="226"/>
      <c r="J3214" s="226"/>
      <c r="K3214" s="227"/>
    </row>
    <row r="3215" spans="1:11" x14ac:dyDescent="0.35">
      <c r="A3215" s="225"/>
      <c r="B3215" s="226"/>
      <c r="C3215" s="226"/>
      <c r="D3215" s="226"/>
      <c r="E3215" s="227"/>
      <c r="G3215" s="225"/>
      <c r="H3215" s="226"/>
      <c r="I3215" s="226"/>
      <c r="J3215" s="226"/>
      <c r="K3215" s="227"/>
    </row>
    <row r="3216" spans="1:11" x14ac:dyDescent="0.35">
      <c r="A3216" s="221"/>
      <c r="B3216" s="222"/>
      <c r="C3216" s="222"/>
      <c r="D3216" s="222"/>
      <c r="E3216" s="223"/>
      <c r="G3216" s="221"/>
      <c r="H3216" s="222"/>
      <c r="I3216" s="222"/>
      <c r="J3216" s="222"/>
      <c r="K3216" s="223"/>
    </row>
    <row r="3217" spans="1:11" x14ac:dyDescent="0.35">
      <c r="A3217" s="225"/>
      <c r="B3217" s="226"/>
      <c r="C3217" s="226"/>
      <c r="D3217" s="226"/>
      <c r="E3217" s="227"/>
      <c r="G3217" s="225"/>
      <c r="H3217" s="226"/>
      <c r="I3217" s="226"/>
      <c r="J3217" s="226"/>
      <c r="K3217" s="227"/>
    </row>
    <row r="3218" spans="1:11" ht="15" thickBot="1" x14ac:dyDescent="0.4">
      <c r="A3218" s="218" t="s">
        <v>34</v>
      </c>
      <c r="B3218" s="219">
        <f>SUM(B3213:B3217)</f>
        <v>0</v>
      </c>
      <c r="C3218" s="219">
        <f>SUM(C3213:C3217)</f>
        <v>0</v>
      </c>
      <c r="D3218" s="219">
        <f>SUM(D3213:D3217)</f>
        <v>0</v>
      </c>
      <c r="E3218" s="219">
        <f>SUM(E3213:E3217)</f>
        <v>0</v>
      </c>
      <c r="G3218" s="218" t="s">
        <v>34</v>
      </c>
      <c r="H3218" s="219">
        <f>SUM(H3213:H3217)</f>
        <v>0</v>
      </c>
      <c r="I3218" s="219">
        <f>SUM(I3213:I3217)</f>
        <v>0</v>
      </c>
      <c r="J3218" s="219">
        <f>SUM(J3213:J3217)</f>
        <v>0</v>
      </c>
      <c r="K3218" s="219">
        <f>SUM(K3213:K3217)</f>
        <v>0</v>
      </c>
    </row>
    <row r="3219" spans="1:11" x14ac:dyDescent="0.35">
      <c r="A3219" s="220" t="s">
        <v>305</v>
      </c>
      <c r="B3219" s="220">
        <f>+B3218+C3218+D3218+E3218</f>
        <v>0</v>
      </c>
      <c r="C3219" s="220"/>
      <c r="D3219" s="220"/>
      <c r="E3219" s="220"/>
      <c r="G3219" s="220" t="s">
        <v>305</v>
      </c>
      <c r="H3219" s="220">
        <f>+H3218+I3218+J3218+K3218</f>
        <v>0</v>
      </c>
      <c r="I3219" s="220"/>
      <c r="J3219" s="220"/>
      <c r="K3219" s="220"/>
    </row>
    <row r="3220" spans="1:11" ht="15" thickBot="1" x14ac:dyDescent="0.4">
      <c r="A3220" s="315" t="s">
        <v>298</v>
      </c>
      <c r="B3220" s="315"/>
      <c r="C3220" s="315"/>
      <c r="D3220" s="315"/>
      <c r="E3220" s="315"/>
      <c r="G3220" s="315" t="s">
        <v>314</v>
      </c>
      <c r="H3220" s="315"/>
      <c r="I3220" s="315"/>
      <c r="J3220" s="315"/>
      <c r="K3220" s="315"/>
    </row>
    <row r="3221" spans="1:11" ht="15" thickTop="1" x14ac:dyDescent="0.35">
      <c r="A3221" s="313">
        <v>45610</v>
      </c>
      <c r="B3221" s="314"/>
      <c r="C3221" s="314"/>
      <c r="D3221" s="314"/>
      <c r="E3221" s="314"/>
      <c r="G3221" s="313">
        <v>45610</v>
      </c>
      <c r="H3221" s="314"/>
      <c r="I3221" s="314"/>
      <c r="J3221" s="314"/>
      <c r="K3221" s="314"/>
    </row>
    <row r="3222" spans="1:11" x14ac:dyDescent="0.35">
      <c r="A3222" s="261" t="s">
        <v>159</v>
      </c>
      <c r="B3222" s="262" t="s">
        <v>299</v>
      </c>
      <c r="C3222" s="262" t="s">
        <v>300</v>
      </c>
      <c r="D3222" s="262" t="s">
        <v>301</v>
      </c>
      <c r="E3222" s="263" t="s">
        <v>302</v>
      </c>
      <c r="G3222" s="264" t="s">
        <v>159</v>
      </c>
      <c r="H3222" s="265" t="s">
        <v>299</v>
      </c>
      <c r="I3222" s="265" t="s">
        <v>300</v>
      </c>
      <c r="J3222" s="265" t="s">
        <v>301</v>
      </c>
      <c r="K3222" s="266" t="s">
        <v>302</v>
      </c>
    </row>
    <row r="3223" spans="1:11" x14ac:dyDescent="0.35">
      <c r="A3223" s="221" t="s">
        <v>303</v>
      </c>
      <c r="B3223" s="222"/>
      <c r="C3223" s="222"/>
      <c r="D3223" s="222"/>
      <c r="E3223" s="223"/>
      <c r="G3223" s="221" t="s">
        <v>303</v>
      </c>
      <c r="H3223" s="222"/>
      <c r="I3223" s="222"/>
      <c r="J3223" s="222"/>
      <c r="K3223" s="223"/>
    </row>
    <row r="3224" spans="1:11" x14ac:dyDescent="0.35">
      <c r="A3224" s="225" t="s">
        <v>304</v>
      </c>
      <c r="B3224" s="226"/>
      <c r="C3224" s="226"/>
      <c r="D3224" s="226"/>
      <c r="E3224" s="227"/>
      <c r="G3224" s="225"/>
      <c r="H3224" s="226"/>
      <c r="I3224" s="226"/>
      <c r="J3224" s="226"/>
      <c r="K3224" s="227"/>
    </row>
    <row r="3225" spans="1:11" x14ac:dyDescent="0.35">
      <c r="A3225" s="225"/>
      <c r="B3225" s="226"/>
      <c r="C3225" s="226"/>
      <c r="D3225" s="226"/>
      <c r="E3225" s="227"/>
      <c r="G3225" s="225"/>
      <c r="H3225" s="226"/>
      <c r="I3225" s="226"/>
      <c r="J3225" s="226"/>
      <c r="K3225" s="227"/>
    </row>
    <row r="3226" spans="1:11" x14ac:dyDescent="0.35">
      <c r="A3226" s="221"/>
      <c r="B3226" s="222"/>
      <c r="C3226" s="222"/>
      <c r="D3226" s="222"/>
      <c r="E3226" s="223"/>
      <c r="G3226" s="221"/>
      <c r="H3226" s="222"/>
      <c r="I3226" s="222"/>
      <c r="J3226" s="222"/>
      <c r="K3226" s="223"/>
    </row>
    <row r="3227" spans="1:11" x14ac:dyDescent="0.35">
      <c r="A3227" s="225"/>
      <c r="B3227" s="226"/>
      <c r="C3227" s="226"/>
      <c r="D3227" s="226"/>
      <c r="E3227" s="227"/>
      <c r="G3227" s="225"/>
      <c r="H3227" s="226"/>
      <c r="I3227" s="226"/>
      <c r="J3227" s="226"/>
      <c r="K3227" s="227"/>
    </row>
    <row r="3228" spans="1:11" ht="15" thickBot="1" x14ac:dyDescent="0.4">
      <c r="A3228" s="218" t="s">
        <v>34</v>
      </c>
      <c r="B3228" s="219">
        <f>SUM(B3223:B3227)</f>
        <v>0</v>
      </c>
      <c r="C3228" s="219">
        <f>SUM(C3223:C3227)</f>
        <v>0</v>
      </c>
      <c r="D3228" s="219">
        <f>SUM(D3223:D3227)</f>
        <v>0</v>
      </c>
      <c r="E3228" s="219">
        <f>SUM(E3223:E3227)</f>
        <v>0</v>
      </c>
      <c r="G3228" s="218" t="s">
        <v>34</v>
      </c>
      <c r="H3228" s="219">
        <f>SUM(H3223:H3227)</f>
        <v>0</v>
      </c>
      <c r="I3228" s="219">
        <f>SUM(I3223:I3227)</f>
        <v>0</v>
      </c>
      <c r="J3228" s="219">
        <f>SUM(J3223:J3227)</f>
        <v>0</v>
      </c>
      <c r="K3228" s="219">
        <f>SUM(K3223:K3227)</f>
        <v>0</v>
      </c>
    </row>
    <row r="3229" spans="1:11" x14ac:dyDescent="0.35">
      <c r="A3229" s="220" t="s">
        <v>305</v>
      </c>
      <c r="B3229" s="220">
        <f>+B3228+C3228+D3228+E3228</f>
        <v>0</v>
      </c>
      <c r="C3229" s="220"/>
      <c r="D3229" s="220"/>
      <c r="E3229" s="220"/>
      <c r="G3229" s="220" t="s">
        <v>305</v>
      </c>
      <c r="H3229" s="220">
        <f>+H3228+I3228+J3228+K3228</f>
        <v>0</v>
      </c>
      <c r="I3229" s="220"/>
      <c r="J3229" s="220"/>
      <c r="K3229" s="220"/>
    </row>
    <row r="3230" spans="1:11" ht="15" thickBot="1" x14ac:dyDescent="0.4">
      <c r="A3230" s="315" t="s">
        <v>298</v>
      </c>
      <c r="B3230" s="315"/>
      <c r="C3230" s="315"/>
      <c r="D3230" s="315"/>
      <c r="E3230" s="315"/>
      <c r="G3230" s="315" t="s">
        <v>314</v>
      </c>
      <c r="H3230" s="315"/>
      <c r="I3230" s="315"/>
      <c r="J3230" s="315"/>
      <c r="K3230" s="315"/>
    </row>
    <row r="3231" spans="1:11" ht="15" thickTop="1" x14ac:dyDescent="0.35">
      <c r="A3231" s="313">
        <v>45611</v>
      </c>
      <c r="B3231" s="314"/>
      <c r="C3231" s="314"/>
      <c r="D3231" s="314"/>
      <c r="E3231" s="314"/>
      <c r="G3231" s="313">
        <v>45611</v>
      </c>
      <c r="H3231" s="314"/>
      <c r="I3231" s="314"/>
      <c r="J3231" s="314"/>
      <c r="K3231" s="314"/>
    </row>
    <row r="3232" spans="1:11" x14ac:dyDescent="0.35">
      <c r="A3232" s="261" t="s">
        <v>159</v>
      </c>
      <c r="B3232" s="262" t="s">
        <v>299</v>
      </c>
      <c r="C3232" s="262" t="s">
        <v>300</v>
      </c>
      <c r="D3232" s="262" t="s">
        <v>301</v>
      </c>
      <c r="E3232" s="263" t="s">
        <v>302</v>
      </c>
      <c r="G3232" s="264" t="s">
        <v>159</v>
      </c>
      <c r="H3232" s="265" t="s">
        <v>299</v>
      </c>
      <c r="I3232" s="265" t="s">
        <v>300</v>
      </c>
      <c r="J3232" s="265" t="s">
        <v>301</v>
      </c>
      <c r="K3232" s="266" t="s">
        <v>302</v>
      </c>
    </row>
    <row r="3233" spans="1:11" x14ac:dyDescent="0.35">
      <c r="A3233" s="221" t="s">
        <v>303</v>
      </c>
      <c r="B3233" s="222"/>
      <c r="C3233" s="222"/>
      <c r="D3233" s="222"/>
      <c r="E3233" s="223"/>
      <c r="G3233" s="221" t="s">
        <v>303</v>
      </c>
      <c r="H3233" s="222"/>
      <c r="I3233" s="222"/>
      <c r="J3233" s="222"/>
      <c r="K3233" s="223"/>
    </row>
    <row r="3234" spans="1:11" x14ac:dyDescent="0.35">
      <c r="A3234" s="225" t="s">
        <v>304</v>
      </c>
      <c r="B3234" s="226"/>
      <c r="C3234" s="226"/>
      <c r="D3234" s="226"/>
      <c r="E3234" s="227"/>
      <c r="G3234" s="225"/>
      <c r="H3234" s="226"/>
      <c r="I3234" s="226"/>
      <c r="J3234" s="226"/>
      <c r="K3234" s="227"/>
    </row>
    <row r="3235" spans="1:11" x14ac:dyDescent="0.35">
      <c r="A3235" s="225"/>
      <c r="B3235" s="226"/>
      <c r="C3235" s="226"/>
      <c r="D3235" s="226"/>
      <c r="E3235" s="227"/>
      <c r="G3235" s="225"/>
      <c r="H3235" s="226"/>
      <c r="I3235" s="226"/>
      <c r="J3235" s="226"/>
      <c r="K3235" s="227"/>
    </row>
    <row r="3236" spans="1:11" x14ac:dyDescent="0.35">
      <c r="A3236" s="221"/>
      <c r="B3236" s="222"/>
      <c r="C3236" s="222"/>
      <c r="D3236" s="222"/>
      <c r="E3236" s="223"/>
      <c r="G3236" s="221"/>
      <c r="H3236" s="222"/>
      <c r="I3236" s="222"/>
      <c r="J3236" s="222"/>
      <c r="K3236" s="223"/>
    </row>
    <row r="3237" spans="1:11" x14ac:dyDescent="0.35">
      <c r="A3237" s="225"/>
      <c r="B3237" s="226"/>
      <c r="C3237" s="226"/>
      <c r="D3237" s="226"/>
      <c r="E3237" s="227"/>
      <c r="G3237" s="225"/>
      <c r="H3237" s="226"/>
      <c r="I3237" s="226"/>
      <c r="J3237" s="226"/>
      <c r="K3237" s="227"/>
    </row>
    <row r="3238" spans="1:11" ht="15" thickBot="1" x14ac:dyDescent="0.4">
      <c r="A3238" s="218" t="s">
        <v>34</v>
      </c>
      <c r="B3238" s="219">
        <f>SUM(B3233:B3237)</f>
        <v>0</v>
      </c>
      <c r="C3238" s="219">
        <f>SUM(C3233:C3237)</f>
        <v>0</v>
      </c>
      <c r="D3238" s="219">
        <f>SUM(D3233:D3237)</f>
        <v>0</v>
      </c>
      <c r="E3238" s="219">
        <f>SUM(E3233:E3237)</f>
        <v>0</v>
      </c>
      <c r="G3238" s="218" t="s">
        <v>34</v>
      </c>
      <c r="H3238" s="219">
        <f>SUM(H3233:H3237)</f>
        <v>0</v>
      </c>
      <c r="I3238" s="219">
        <f>SUM(I3233:I3237)</f>
        <v>0</v>
      </c>
      <c r="J3238" s="219">
        <f>SUM(J3233:J3237)</f>
        <v>0</v>
      </c>
      <c r="K3238" s="219">
        <f>SUM(K3233:K3237)</f>
        <v>0</v>
      </c>
    </row>
    <row r="3239" spans="1:11" x14ac:dyDescent="0.35">
      <c r="A3239" s="220" t="s">
        <v>305</v>
      </c>
      <c r="B3239" s="220">
        <f>+B3238+C3238+D3238+E3238</f>
        <v>0</v>
      </c>
      <c r="C3239" s="220"/>
      <c r="D3239" s="220"/>
      <c r="E3239" s="220"/>
      <c r="G3239" s="220" t="s">
        <v>305</v>
      </c>
      <c r="H3239" s="220">
        <f>+H3238+I3238+J3238+K3238</f>
        <v>0</v>
      </c>
      <c r="I3239" s="220"/>
      <c r="J3239" s="220"/>
      <c r="K3239" s="220"/>
    </row>
    <row r="3240" spans="1:11" ht="15" thickBot="1" x14ac:dyDescent="0.4">
      <c r="A3240" s="315" t="s">
        <v>298</v>
      </c>
      <c r="B3240" s="315"/>
      <c r="C3240" s="315"/>
      <c r="D3240" s="315"/>
      <c r="E3240" s="315"/>
      <c r="G3240" s="315" t="s">
        <v>314</v>
      </c>
      <c r="H3240" s="315"/>
      <c r="I3240" s="315"/>
      <c r="J3240" s="315"/>
      <c r="K3240" s="315"/>
    </row>
    <row r="3241" spans="1:11" ht="15" thickTop="1" x14ac:dyDescent="0.35">
      <c r="A3241" s="313">
        <v>45612</v>
      </c>
      <c r="B3241" s="314"/>
      <c r="C3241" s="314"/>
      <c r="D3241" s="314"/>
      <c r="E3241" s="314"/>
      <c r="G3241" s="313">
        <v>45612</v>
      </c>
      <c r="H3241" s="314"/>
      <c r="I3241" s="314"/>
      <c r="J3241" s="314"/>
      <c r="K3241" s="314"/>
    </row>
    <row r="3242" spans="1:11" x14ac:dyDescent="0.35">
      <c r="A3242" s="261" t="s">
        <v>159</v>
      </c>
      <c r="B3242" s="262" t="s">
        <v>299</v>
      </c>
      <c r="C3242" s="262" t="s">
        <v>300</v>
      </c>
      <c r="D3242" s="262" t="s">
        <v>301</v>
      </c>
      <c r="E3242" s="263" t="s">
        <v>302</v>
      </c>
      <c r="G3242" s="264" t="s">
        <v>159</v>
      </c>
      <c r="H3242" s="265" t="s">
        <v>299</v>
      </c>
      <c r="I3242" s="265" t="s">
        <v>300</v>
      </c>
      <c r="J3242" s="265" t="s">
        <v>301</v>
      </c>
      <c r="K3242" s="266" t="s">
        <v>302</v>
      </c>
    </row>
    <row r="3243" spans="1:11" x14ac:dyDescent="0.35">
      <c r="A3243" s="221" t="s">
        <v>303</v>
      </c>
      <c r="B3243" s="222"/>
      <c r="C3243" s="222"/>
      <c r="D3243" s="222"/>
      <c r="E3243" s="223"/>
      <c r="G3243" s="221" t="s">
        <v>303</v>
      </c>
      <c r="H3243" s="222"/>
      <c r="I3243" s="222"/>
      <c r="J3243" s="222"/>
      <c r="K3243" s="223"/>
    </row>
    <row r="3244" spans="1:11" x14ac:dyDescent="0.35">
      <c r="A3244" s="225" t="s">
        <v>304</v>
      </c>
      <c r="B3244" s="226"/>
      <c r="C3244" s="226"/>
      <c r="D3244" s="226"/>
      <c r="E3244" s="227"/>
      <c r="G3244" s="225"/>
      <c r="H3244" s="226"/>
      <c r="I3244" s="226"/>
      <c r="J3244" s="226"/>
      <c r="K3244" s="227"/>
    </row>
    <row r="3245" spans="1:11" x14ac:dyDescent="0.35">
      <c r="A3245" s="225"/>
      <c r="B3245" s="226"/>
      <c r="C3245" s="226"/>
      <c r="D3245" s="226"/>
      <c r="E3245" s="227"/>
      <c r="G3245" s="225"/>
      <c r="H3245" s="226"/>
      <c r="I3245" s="226"/>
      <c r="J3245" s="226"/>
      <c r="K3245" s="227"/>
    </row>
    <row r="3246" spans="1:11" x14ac:dyDescent="0.35">
      <c r="A3246" s="221"/>
      <c r="B3246" s="222"/>
      <c r="C3246" s="222"/>
      <c r="D3246" s="222"/>
      <c r="E3246" s="223"/>
      <c r="G3246" s="221"/>
      <c r="H3246" s="222"/>
      <c r="I3246" s="222"/>
      <c r="J3246" s="222"/>
      <c r="K3246" s="223"/>
    </row>
    <row r="3247" spans="1:11" x14ac:dyDescent="0.35">
      <c r="A3247" s="225"/>
      <c r="B3247" s="226"/>
      <c r="C3247" s="226"/>
      <c r="D3247" s="226"/>
      <c r="E3247" s="227"/>
      <c r="G3247" s="225"/>
      <c r="H3247" s="226"/>
      <c r="I3247" s="226"/>
      <c r="J3247" s="226"/>
      <c r="K3247" s="227"/>
    </row>
    <row r="3248" spans="1:11" ht="15" thickBot="1" x14ac:dyDescent="0.4">
      <c r="A3248" s="218" t="s">
        <v>34</v>
      </c>
      <c r="B3248" s="219">
        <f>SUM(B3243:B3247)</f>
        <v>0</v>
      </c>
      <c r="C3248" s="219">
        <f>SUM(C3243:C3247)</f>
        <v>0</v>
      </c>
      <c r="D3248" s="219">
        <f>SUM(D3243:D3247)</f>
        <v>0</v>
      </c>
      <c r="E3248" s="219">
        <f>SUM(E3243:E3247)</f>
        <v>0</v>
      </c>
      <c r="G3248" s="218" t="s">
        <v>34</v>
      </c>
      <c r="H3248" s="219">
        <f>SUM(H3243:H3247)</f>
        <v>0</v>
      </c>
      <c r="I3248" s="219">
        <f>SUM(I3243:I3247)</f>
        <v>0</v>
      </c>
      <c r="J3248" s="219">
        <f>SUM(J3243:J3247)</f>
        <v>0</v>
      </c>
      <c r="K3248" s="219">
        <f>SUM(K3243:K3247)</f>
        <v>0</v>
      </c>
    </row>
    <row r="3249" spans="1:11" x14ac:dyDescent="0.35">
      <c r="A3249" s="220" t="s">
        <v>305</v>
      </c>
      <c r="B3249" s="220">
        <f>+B3248+C3248+D3248+E3248</f>
        <v>0</v>
      </c>
      <c r="C3249" s="220"/>
      <c r="D3249" s="220"/>
      <c r="E3249" s="220"/>
      <c r="G3249" s="220" t="s">
        <v>305</v>
      </c>
      <c r="H3249" s="220">
        <f>+H3248+I3248+J3248+K3248</f>
        <v>0</v>
      </c>
      <c r="I3249" s="220"/>
      <c r="J3249" s="220"/>
      <c r="K3249" s="220"/>
    </row>
    <row r="3250" spans="1:11" ht="15" thickBot="1" x14ac:dyDescent="0.4">
      <c r="A3250" s="315" t="s">
        <v>298</v>
      </c>
      <c r="B3250" s="315"/>
      <c r="C3250" s="315"/>
      <c r="D3250" s="315"/>
      <c r="E3250" s="315"/>
      <c r="G3250" s="315" t="s">
        <v>314</v>
      </c>
      <c r="H3250" s="315"/>
      <c r="I3250" s="315"/>
      <c r="J3250" s="315"/>
      <c r="K3250" s="315"/>
    </row>
    <row r="3251" spans="1:11" ht="15" thickTop="1" x14ac:dyDescent="0.35">
      <c r="A3251" s="313">
        <v>45613</v>
      </c>
      <c r="B3251" s="314"/>
      <c r="C3251" s="314"/>
      <c r="D3251" s="314"/>
      <c r="E3251" s="314"/>
      <c r="G3251" s="313">
        <v>45613</v>
      </c>
      <c r="H3251" s="314"/>
      <c r="I3251" s="314"/>
      <c r="J3251" s="314"/>
      <c r="K3251" s="314"/>
    </row>
    <row r="3252" spans="1:11" x14ac:dyDescent="0.35">
      <c r="A3252" s="261" t="s">
        <v>159</v>
      </c>
      <c r="B3252" s="262" t="s">
        <v>299</v>
      </c>
      <c r="C3252" s="262" t="s">
        <v>300</v>
      </c>
      <c r="D3252" s="262" t="s">
        <v>301</v>
      </c>
      <c r="E3252" s="263" t="s">
        <v>302</v>
      </c>
      <c r="G3252" s="264" t="s">
        <v>159</v>
      </c>
      <c r="H3252" s="265" t="s">
        <v>299</v>
      </c>
      <c r="I3252" s="265" t="s">
        <v>300</v>
      </c>
      <c r="J3252" s="265" t="s">
        <v>301</v>
      </c>
      <c r="K3252" s="266" t="s">
        <v>302</v>
      </c>
    </row>
    <row r="3253" spans="1:11" x14ac:dyDescent="0.35">
      <c r="A3253" s="221" t="s">
        <v>303</v>
      </c>
      <c r="B3253" s="222"/>
      <c r="C3253" s="222"/>
      <c r="D3253" s="222"/>
      <c r="E3253" s="223"/>
      <c r="G3253" s="221" t="s">
        <v>303</v>
      </c>
      <c r="H3253" s="222"/>
      <c r="I3253" s="222"/>
      <c r="J3253" s="222"/>
      <c r="K3253" s="223"/>
    </row>
    <row r="3254" spans="1:11" x14ac:dyDescent="0.35">
      <c r="A3254" s="225" t="s">
        <v>304</v>
      </c>
      <c r="B3254" s="226"/>
      <c r="C3254" s="226"/>
      <c r="D3254" s="226"/>
      <c r="E3254" s="227"/>
      <c r="G3254" s="225"/>
      <c r="H3254" s="226"/>
      <c r="I3254" s="226"/>
      <c r="J3254" s="226"/>
      <c r="K3254" s="227"/>
    </row>
    <row r="3255" spans="1:11" x14ac:dyDescent="0.35">
      <c r="A3255" s="225"/>
      <c r="B3255" s="226"/>
      <c r="C3255" s="226"/>
      <c r="D3255" s="226"/>
      <c r="E3255" s="227"/>
      <c r="G3255" s="225"/>
      <c r="H3255" s="226"/>
      <c r="I3255" s="226"/>
      <c r="J3255" s="226"/>
      <c r="K3255" s="227"/>
    </row>
    <row r="3256" spans="1:11" x14ac:dyDescent="0.35">
      <c r="A3256" s="221"/>
      <c r="B3256" s="222"/>
      <c r="C3256" s="222"/>
      <c r="D3256" s="222"/>
      <c r="E3256" s="223"/>
      <c r="G3256" s="221"/>
      <c r="H3256" s="222"/>
      <c r="I3256" s="222"/>
      <c r="J3256" s="222"/>
      <c r="K3256" s="223"/>
    </row>
    <row r="3257" spans="1:11" x14ac:dyDescent="0.35">
      <c r="A3257" s="225"/>
      <c r="B3257" s="226"/>
      <c r="C3257" s="226"/>
      <c r="D3257" s="226"/>
      <c r="E3257" s="227"/>
      <c r="G3257" s="225"/>
      <c r="H3257" s="226"/>
      <c r="I3257" s="226"/>
      <c r="J3257" s="226"/>
      <c r="K3257" s="227"/>
    </row>
    <row r="3258" spans="1:11" ht="15" thickBot="1" x14ac:dyDescent="0.4">
      <c r="A3258" s="218" t="s">
        <v>34</v>
      </c>
      <c r="B3258" s="219">
        <f>SUM(B3253:B3257)</f>
        <v>0</v>
      </c>
      <c r="C3258" s="219">
        <f>SUM(C3253:C3257)</f>
        <v>0</v>
      </c>
      <c r="D3258" s="219">
        <f>SUM(D3253:D3257)</f>
        <v>0</v>
      </c>
      <c r="E3258" s="219">
        <f>SUM(E3253:E3257)</f>
        <v>0</v>
      </c>
      <c r="G3258" s="218" t="s">
        <v>34</v>
      </c>
      <c r="H3258" s="219">
        <f>SUM(H3253:H3257)</f>
        <v>0</v>
      </c>
      <c r="I3258" s="219">
        <f>SUM(I3253:I3257)</f>
        <v>0</v>
      </c>
      <c r="J3258" s="219">
        <f>SUM(J3253:J3257)</f>
        <v>0</v>
      </c>
      <c r="K3258" s="219">
        <f>SUM(K3253:K3257)</f>
        <v>0</v>
      </c>
    </row>
    <row r="3259" spans="1:11" x14ac:dyDescent="0.35">
      <c r="A3259" s="220" t="s">
        <v>305</v>
      </c>
      <c r="B3259" s="220">
        <f>+B3258+C3258+D3258+E3258</f>
        <v>0</v>
      </c>
      <c r="C3259" s="220"/>
      <c r="D3259" s="220"/>
      <c r="E3259" s="220"/>
      <c r="G3259" s="220" t="s">
        <v>305</v>
      </c>
      <c r="H3259" s="220">
        <f>+H3258+I3258+J3258+K3258</f>
        <v>0</v>
      </c>
      <c r="I3259" s="220"/>
      <c r="J3259" s="220"/>
      <c r="K3259" s="220"/>
    </row>
    <row r="3260" spans="1:11" ht="15" thickBot="1" x14ac:dyDescent="0.4">
      <c r="A3260" s="315" t="s">
        <v>298</v>
      </c>
      <c r="B3260" s="315"/>
      <c r="C3260" s="315"/>
      <c r="D3260" s="315"/>
      <c r="E3260" s="315"/>
      <c r="G3260" s="315" t="s">
        <v>314</v>
      </c>
      <c r="H3260" s="315"/>
      <c r="I3260" s="315"/>
      <c r="J3260" s="315"/>
      <c r="K3260" s="315"/>
    </row>
    <row r="3261" spans="1:11" ht="15" thickTop="1" x14ac:dyDescent="0.35">
      <c r="A3261" s="313">
        <v>45614</v>
      </c>
      <c r="B3261" s="314"/>
      <c r="C3261" s="314"/>
      <c r="D3261" s="314"/>
      <c r="E3261" s="314"/>
      <c r="G3261" s="313">
        <v>45614</v>
      </c>
      <c r="H3261" s="314"/>
      <c r="I3261" s="314"/>
      <c r="J3261" s="314"/>
      <c r="K3261" s="314"/>
    </row>
    <row r="3262" spans="1:11" x14ac:dyDescent="0.35">
      <c r="A3262" s="261" t="s">
        <v>159</v>
      </c>
      <c r="B3262" s="262" t="s">
        <v>299</v>
      </c>
      <c r="C3262" s="262" t="s">
        <v>300</v>
      </c>
      <c r="D3262" s="262" t="s">
        <v>301</v>
      </c>
      <c r="E3262" s="263" t="s">
        <v>302</v>
      </c>
      <c r="G3262" s="264" t="s">
        <v>159</v>
      </c>
      <c r="H3262" s="265" t="s">
        <v>299</v>
      </c>
      <c r="I3262" s="265" t="s">
        <v>300</v>
      </c>
      <c r="J3262" s="265" t="s">
        <v>301</v>
      </c>
      <c r="K3262" s="266" t="s">
        <v>302</v>
      </c>
    </row>
    <row r="3263" spans="1:11" x14ac:dyDescent="0.35">
      <c r="A3263" s="221" t="s">
        <v>303</v>
      </c>
      <c r="B3263" s="222"/>
      <c r="C3263" s="222"/>
      <c r="D3263" s="222"/>
      <c r="E3263" s="223"/>
      <c r="G3263" s="221" t="s">
        <v>303</v>
      </c>
      <c r="H3263" s="222"/>
      <c r="I3263" s="222"/>
      <c r="J3263" s="222"/>
      <c r="K3263" s="223"/>
    </row>
    <row r="3264" spans="1:11" x14ac:dyDescent="0.35">
      <c r="A3264" s="225" t="s">
        <v>304</v>
      </c>
      <c r="B3264" s="226"/>
      <c r="C3264" s="226"/>
      <c r="D3264" s="226"/>
      <c r="E3264" s="227"/>
      <c r="G3264" s="225"/>
      <c r="H3264" s="226"/>
      <c r="I3264" s="226"/>
      <c r="J3264" s="226"/>
      <c r="K3264" s="227"/>
    </row>
    <row r="3265" spans="1:11" x14ac:dyDescent="0.35">
      <c r="A3265" s="225"/>
      <c r="B3265" s="226"/>
      <c r="C3265" s="226"/>
      <c r="D3265" s="226"/>
      <c r="E3265" s="227"/>
      <c r="G3265" s="225"/>
      <c r="H3265" s="226"/>
      <c r="I3265" s="226"/>
      <c r="J3265" s="226"/>
      <c r="K3265" s="227"/>
    </row>
    <row r="3266" spans="1:11" x14ac:dyDescent="0.35">
      <c r="A3266" s="221"/>
      <c r="B3266" s="222"/>
      <c r="C3266" s="222"/>
      <c r="D3266" s="222"/>
      <c r="E3266" s="223"/>
      <c r="G3266" s="221"/>
      <c r="H3266" s="222"/>
      <c r="I3266" s="222"/>
      <c r="J3266" s="222"/>
      <c r="K3266" s="223"/>
    </row>
    <row r="3267" spans="1:11" x14ac:dyDescent="0.35">
      <c r="A3267" s="225"/>
      <c r="B3267" s="226"/>
      <c r="C3267" s="226"/>
      <c r="D3267" s="226"/>
      <c r="E3267" s="227"/>
      <c r="G3267" s="225"/>
      <c r="H3267" s="226"/>
      <c r="I3267" s="226"/>
      <c r="J3267" s="226"/>
      <c r="K3267" s="227"/>
    </row>
    <row r="3268" spans="1:11" ht="15" thickBot="1" x14ac:dyDescent="0.4">
      <c r="A3268" s="218" t="s">
        <v>34</v>
      </c>
      <c r="B3268" s="219">
        <f>SUM(B3263:B3267)</f>
        <v>0</v>
      </c>
      <c r="C3268" s="219">
        <f>SUM(C3263:C3267)</f>
        <v>0</v>
      </c>
      <c r="D3268" s="219">
        <f>SUM(D3263:D3267)</f>
        <v>0</v>
      </c>
      <c r="E3268" s="219">
        <f>SUM(E3263:E3267)</f>
        <v>0</v>
      </c>
      <c r="G3268" s="218" t="s">
        <v>34</v>
      </c>
      <c r="H3268" s="219">
        <f>SUM(H3263:H3267)</f>
        <v>0</v>
      </c>
      <c r="I3268" s="219">
        <f>SUM(I3263:I3267)</f>
        <v>0</v>
      </c>
      <c r="J3268" s="219">
        <f>SUM(J3263:J3267)</f>
        <v>0</v>
      </c>
      <c r="K3268" s="219">
        <f>SUM(K3263:K3267)</f>
        <v>0</v>
      </c>
    </row>
    <row r="3269" spans="1:11" x14ac:dyDescent="0.35">
      <c r="A3269" s="220" t="s">
        <v>305</v>
      </c>
      <c r="B3269" s="220">
        <f>+B3268+C3268+D3268+E3268</f>
        <v>0</v>
      </c>
      <c r="C3269" s="220"/>
      <c r="D3269" s="220"/>
      <c r="E3269" s="220"/>
      <c r="G3269" s="220" t="s">
        <v>305</v>
      </c>
      <c r="H3269" s="220">
        <f>+H3268+I3268+J3268+K3268</f>
        <v>0</v>
      </c>
      <c r="I3269" s="220"/>
      <c r="J3269" s="220"/>
      <c r="K3269" s="220"/>
    </row>
    <row r="3270" spans="1:11" ht="15" thickBot="1" x14ac:dyDescent="0.4">
      <c r="A3270" s="315" t="s">
        <v>298</v>
      </c>
      <c r="B3270" s="315"/>
      <c r="C3270" s="315"/>
      <c r="D3270" s="315"/>
      <c r="E3270" s="315"/>
      <c r="G3270" s="315" t="s">
        <v>314</v>
      </c>
      <c r="H3270" s="315"/>
      <c r="I3270" s="315"/>
      <c r="J3270" s="315"/>
      <c r="K3270" s="315"/>
    </row>
    <row r="3271" spans="1:11" ht="15" thickTop="1" x14ac:dyDescent="0.35">
      <c r="A3271" s="313">
        <v>45615</v>
      </c>
      <c r="B3271" s="314"/>
      <c r="C3271" s="314"/>
      <c r="D3271" s="314"/>
      <c r="E3271" s="314"/>
      <c r="G3271" s="313">
        <v>45615</v>
      </c>
      <c r="H3271" s="314"/>
      <c r="I3271" s="314"/>
      <c r="J3271" s="314"/>
      <c r="K3271" s="314"/>
    </row>
    <row r="3272" spans="1:11" x14ac:dyDescent="0.35">
      <c r="A3272" s="261" t="s">
        <v>159</v>
      </c>
      <c r="B3272" s="262" t="s">
        <v>299</v>
      </c>
      <c r="C3272" s="262" t="s">
        <v>300</v>
      </c>
      <c r="D3272" s="262" t="s">
        <v>301</v>
      </c>
      <c r="E3272" s="263" t="s">
        <v>302</v>
      </c>
      <c r="G3272" s="264" t="s">
        <v>159</v>
      </c>
      <c r="H3272" s="265" t="s">
        <v>299</v>
      </c>
      <c r="I3272" s="265" t="s">
        <v>300</v>
      </c>
      <c r="J3272" s="265" t="s">
        <v>301</v>
      </c>
      <c r="K3272" s="266" t="s">
        <v>302</v>
      </c>
    </row>
    <row r="3273" spans="1:11" x14ac:dyDescent="0.35">
      <c r="A3273" s="221" t="s">
        <v>303</v>
      </c>
      <c r="B3273" s="222"/>
      <c r="C3273" s="222"/>
      <c r="D3273" s="222"/>
      <c r="E3273" s="223"/>
      <c r="G3273" s="221" t="s">
        <v>303</v>
      </c>
      <c r="H3273" s="222"/>
      <c r="I3273" s="222"/>
      <c r="J3273" s="222"/>
      <c r="K3273" s="223"/>
    </row>
    <row r="3274" spans="1:11" x14ac:dyDescent="0.35">
      <c r="A3274" s="225" t="s">
        <v>304</v>
      </c>
      <c r="B3274" s="226"/>
      <c r="C3274" s="226"/>
      <c r="D3274" s="226"/>
      <c r="E3274" s="227"/>
      <c r="G3274" s="225"/>
      <c r="H3274" s="226"/>
      <c r="I3274" s="226"/>
      <c r="J3274" s="226"/>
      <c r="K3274" s="227"/>
    </row>
    <row r="3275" spans="1:11" x14ac:dyDescent="0.35">
      <c r="A3275" s="225"/>
      <c r="B3275" s="226"/>
      <c r="C3275" s="226"/>
      <c r="D3275" s="226"/>
      <c r="E3275" s="227"/>
      <c r="G3275" s="225"/>
      <c r="H3275" s="226"/>
      <c r="I3275" s="226"/>
      <c r="J3275" s="226"/>
      <c r="K3275" s="227"/>
    </row>
    <row r="3276" spans="1:11" x14ac:dyDescent="0.35">
      <c r="A3276" s="221"/>
      <c r="B3276" s="222"/>
      <c r="C3276" s="222"/>
      <c r="D3276" s="222"/>
      <c r="E3276" s="223"/>
      <c r="G3276" s="221"/>
      <c r="H3276" s="222"/>
      <c r="I3276" s="222"/>
      <c r="J3276" s="222"/>
      <c r="K3276" s="223"/>
    </row>
    <row r="3277" spans="1:11" x14ac:dyDescent="0.35">
      <c r="A3277" s="225"/>
      <c r="B3277" s="226"/>
      <c r="C3277" s="226"/>
      <c r="D3277" s="226"/>
      <c r="E3277" s="227"/>
      <c r="G3277" s="225"/>
      <c r="H3277" s="226"/>
      <c r="I3277" s="226"/>
      <c r="J3277" s="226"/>
      <c r="K3277" s="227"/>
    </row>
    <row r="3278" spans="1:11" ht="15" thickBot="1" x14ac:dyDescent="0.4">
      <c r="A3278" s="218" t="s">
        <v>34</v>
      </c>
      <c r="B3278" s="219">
        <f>SUM(B3273:B3277)</f>
        <v>0</v>
      </c>
      <c r="C3278" s="219">
        <f>SUM(C3273:C3277)</f>
        <v>0</v>
      </c>
      <c r="D3278" s="219">
        <f>SUM(D3273:D3277)</f>
        <v>0</v>
      </c>
      <c r="E3278" s="219">
        <f>SUM(E3273:E3277)</f>
        <v>0</v>
      </c>
      <c r="G3278" s="218" t="s">
        <v>34</v>
      </c>
      <c r="H3278" s="219">
        <f>SUM(H3273:H3277)</f>
        <v>0</v>
      </c>
      <c r="I3278" s="219">
        <f>SUM(I3273:I3277)</f>
        <v>0</v>
      </c>
      <c r="J3278" s="219">
        <f>SUM(J3273:J3277)</f>
        <v>0</v>
      </c>
      <c r="K3278" s="219">
        <f>SUM(K3273:K3277)</f>
        <v>0</v>
      </c>
    </row>
    <row r="3279" spans="1:11" x14ac:dyDescent="0.35">
      <c r="A3279" s="220" t="s">
        <v>305</v>
      </c>
      <c r="B3279" s="220">
        <f>+B3278+C3278+D3278+E3278</f>
        <v>0</v>
      </c>
      <c r="C3279" s="220"/>
      <c r="D3279" s="220"/>
      <c r="E3279" s="220"/>
      <c r="G3279" s="220" t="s">
        <v>305</v>
      </c>
      <c r="H3279" s="220">
        <f>+H3278+I3278+J3278+K3278</f>
        <v>0</v>
      </c>
      <c r="I3279" s="220"/>
      <c r="J3279" s="220"/>
      <c r="K3279" s="220"/>
    </row>
    <row r="3280" spans="1:11" ht="15" thickBot="1" x14ac:dyDescent="0.4">
      <c r="A3280" s="315" t="s">
        <v>298</v>
      </c>
      <c r="B3280" s="315"/>
      <c r="C3280" s="315"/>
      <c r="D3280" s="315"/>
      <c r="E3280" s="315"/>
      <c r="G3280" s="315" t="s">
        <v>314</v>
      </c>
      <c r="H3280" s="315"/>
      <c r="I3280" s="315"/>
      <c r="J3280" s="315"/>
      <c r="K3280" s="315"/>
    </row>
    <row r="3281" spans="1:11" ht="15" thickTop="1" x14ac:dyDescent="0.35">
      <c r="A3281" s="313">
        <v>45616</v>
      </c>
      <c r="B3281" s="314"/>
      <c r="C3281" s="314"/>
      <c r="D3281" s="314"/>
      <c r="E3281" s="314"/>
      <c r="G3281" s="313">
        <v>45616</v>
      </c>
      <c r="H3281" s="314"/>
      <c r="I3281" s="314"/>
      <c r="J3281" s="314"/>
      <c r="K3281" s="314"/>
    </row>
    <row r="3282" spans="1:11" x14ac:dyDescent="0.35">
      <c r="A3282" s="261" t="s">
        <v>159</v>
      </c>
      <c r="B3282" s="262" t="s">
        <v>299</v>
      </c>
      <c r="C3282" s="262" t="s">
        <v>300</v>
      </c>
      <c r="D3282" s="262" t="s">
        <v>301</v>
      </c>
      <c r="E3282" s="263" t="s">
        <v>302</v>
      </c>
      <c r="G3282" s="264" t="s">
        <v>159</v>
      </c>
      <c r="H3282" s="265" t="s">
        <v>299</v>
      </c>
      <c r="I3282" s="265" t="s">
        <v>300</v>
      </c>
      <c r="J3282" s="265" t="s">
        <v>301</v>
      </c>
      <c r="K3282" s="266" t="s">
        <v>302</v>
      </c>
    </row>
    <row r="3283" spans="1:11" x14ac:dyDescent="0.35">
      <c r="A3283" s="221" t="s">
        <v>303</v>
      </c>
      <c r="B3283" s="222"/>
      <c r="C3283" s="222"/>
      <c r="D3283" s="222"/>
      <c r="E3283" s="223"/>
      <c r="G3283" s="221" t="s">
        <v>303</v>
      </c>
      <c r="H3283" s="222"/>
      <c r="I3283" s="222"/>
      <c r="J3283" s="222"/>
      <c r="K3283" s="223"/>
    </row>
    <row r="3284" spans="1:11" x14ac:dyDescent="0.35">
      <c r="A3284" s="225" t="s">
        <v>304</v>
      </c>
      <c r="B3284" s="226"/>
      <c r="C3284" s="226"/>
      <c r="D3284" s="226"/>
      <c r="E3284" s="227"/>
      <c r="G3284" s="225"/>
      <c r="H3284" s="226"/>
      <c r="I3284" s="226"/>
      <c r="J3284" s="226"/>
      <c r="K3284" s="227"/>
    </row>
    <row r="3285" spans="1:11" x14ac:dyDescent="0.35">
      <c r="A3285" s="225"/>
      <c r="B3285" s="226"/>
      <c r="C3285" s="226"/>
      <c r="D3285" s="226"/>
      <c r="E3285" s="227"/>
      <c r="G3285" s="225"/>
      <c r="H3285" s="226"/>
      <c r="I3285" s="226"/>
      <c r="J3285" s="226"/>
      <c r="K3285" s="227"/>
    </row>
    <row r="3286" spans="1:11" x14ac:dyDescent="0.35">
      <c r="A3286" s="221"/>
      <c r="B3286" s="222"/>
      <c r="C3286" s="222"/>
      <c r="D3286" s="222"/>
      <c r="E3286" s="223"/>
      <c r="G3286" s="221"/>
      <c r="H3286" s="222"/>
      <c r="I3286" s="222"/>
      <c r="J3286" s="222"/>
      <c r="K3286" s="223"/>
    </row>
    <row r="3287" spans="1:11" x14ac:dyDescent="0.35">
      <c r="A3287" s="225"/>
      <c r="B3287" s="226"/>
      <c r="C3287" s="226"/>
      <c r="D3287" s="226"/>
      <c r="E3287" s="227"/>
      <c r="G3287" s="225"/>
      <c r="H3287" s="226"/>
      <c r="I3287" s="226"/>
      <c r="J3287" s="226"/>
      <c r="K3287" s="227"/>
    </row>
    <row r="3288" spans="1:11" ht="15" thickBot="1" x14ac:dyDescent="0.4">
      <c r="A3288" s="218" t="s">
        <v>34</v>
      </c>
      <c r="B3288" s="219">
        <f>SUM(B3283:B3287)</f>
        <v>0</v>
      </c>
      <c r="C3288" s="219">
        <f>SUM(C3283:C3287)</f>
        <v>0</v>
      </c>
      <c r="D3288" s="219">
        <f>SUM(D3283:D3287)</f>
        <v>0</v>
      </c>
      <c r="E3288" s="219">
        <f>SUM(E3283:E3287)</f>
        <v>0</v>
      </c>
      <c r="G3288" s="218" t="s">
        <v>34</v>
      </c>
      <c r="H3288" s="219">
        <f>SUM(H3283:H3287)</f>
        <v>0</v>
      </c>
      <c r="I3288" s="219">
        <f>SUM(I3283:I3287)</f>
        <v>0</v>
      </c>
      <c r="J3288" s="219">
        <f>SUM(J3283:J3287)</f>
        <v>0</v>
      </c>
      <c r="K3288" s="219">
        <f>SUM(K3283:K3287)</f>
        <v>0</v>
      </c>
    </row>
    <row r="3289" spans="1:11" x14ac:dyDescent="0.35">
      <c r="A3289" s="220" t="s">
        <v>305</v>
      </c>
      <c r="B3289" s="220">
        <f>+B3288+C3288+D3288+E3288</f>
        <v>0</v>
      </c>
      <c r="C3289" s="220"/>
      <c r="D3289" s="220"/>
      <c r="E3289" s="220"/>
      <c r="G3289" s="220" t="s">
        <v>305</v>
      </c>
      <c r="H3289" s="220">
        <f>+H3288+I3288+J3288+K3288</f>
        <v>0</v>
      </c>
      <c r="I3289" s="220"/>
      <c r="J3289" s="220"/>
      <c r="K3289" s="220"/>
    </row>
    <row r="3290" spans="1:11" ht="15" thickBot="1" x14ac:dyDescent="0.4">
      <c r="A3290" s="315" t="s">
        <v>298</v>
      </c>
      <c r="B3290" s="315"/>
      <c r="C3290" s="315"/>
      <c r="D3290" s="315"/>
      <c r="E3290" s="315"/>
      <c r="G3290" s="315" t="s">
        <v>314</v>
      </c>
      <c r="H3290" s="315"/>
      <c r="I3290" s="315"/>
      <c r="J3290" s="315"/>
      <c r="K3290" s="315"/>
    </row>
    <row r="3291" spans="1:11" ht="15" thickTop="1" x14ac:dyDescent="0.35">
      <c r="A3291" s="313">
        <v>45617</v>
      </c>
      <c r="B3291" s="314"/>
      <c r="C3291" s="314"/>
      <c r="D3291" s="314"/>
      <c r="E3291" s="314"/>
      <c r="G3291" s="313">
        <v>45617</v>
      </c>
      <c r="H3291" s="314"/>
      <c r="I3291" s="314"/>
      <c r="J3291" s="314"/>
      <c r="K3291" s="314"/>
    </row>
    <row r="3292" spans="1:11" x14ac:dyDescent="0.35">
      <c r="A3292" s="261" t="s">
        <v>159</v>
      </c>
      <c r="B3292" s="262" t="s">
        <v>299</v>
      </c>
      <c r="C3292" s="262" t="s">
        <v>300</v>
      </c>
      <c r="D3292" s="262" t="s">
        <v>301</v>
      </c>
      <c r="E3292" s="263" t="s">
        <v>302</v>
      </c>
      <c r="G3292" s="264" t="s">
        <v>159</v>
      </c>
      <c r="H3292" s="265" t="s">
        <v>299</v>
      </c>
      <c r="I3292" s="265" t="s">
        <v>300</v>
      </c>
      <c r="J3292" s="265" t="s">
        <v>301</v>
      </c>
      <c r="K3292" s="266" t="s">
        <v>302</v>
      </c>
    </row>
    <row r="3293" spans="1:11" x14ac:dyDescent="0.35">
      <c r="A3293" s="221" t="s">
        <v>303</v>
      </c>
      <c r="B3293" s="222"/>
      <c r="C3293" s="222"/>
      <c r="D3293" s="222"/>
      <c r="E3293" s="223"/>
      <c r="G3293" s="221" t="s">
        <v>303</v>
      </c>
      <c r="H3293" s="222"/>
      <c r="I3293" s="222"/>
      <c r="J3293" s="222"/>
      <c r="K3293" s="223"/>
    </row>
    <row r="3294" spans="1:11" x14ac:dyDescent="0.35">
      <c r="A3294" s="225" t="s">
        <v>304</v>
      </c>
      <c r="B3294" s="226"/>
      <c r="C3294" s="226"/>
      <c r="D3294" s="226"/>
      <c r="E3294" s="227"/>
      <c r="G3294" s="225"/>
      <c r="H3294" s="226"/>
      <c r="I3294" s="226"/>
      <c r="J3294" s="226"/>
      <c r="K3294" s="227"/>
    </row>
    <row r="3295" spans="1:11" x14ac:dyDescent="0.35">
      <c r="A3295" s="225"/>
      <c r="B3295" s="226"/>
      <c r="C3295" s="226"/>
      <c r="D3295" s="226"/>
      <c r="E3295" s="227"/>
      <c r="G3295" s="225"/>
      <c r="H3295" s="226"/>
      <c r="I3295" s="226"/>
      <c r="J3295" s="226"/>
      <c r="K3295" s="227"/>
    </row>
    <row r="3296" spans="1:11" x14ac:dyDescent="0.35">
      <c r="A3296" s="221"/>
      <c r="B3296" s="222"/>
      <c r="C3296" s="222"/>
      <c r="D3296" s="222"/>
      <c r="E3296" s="223"/>
      <c r="G3296" s="221"/>
      <c r="H3296" s="222"/>
      <c r="I3296" s="222"/>
      <c r="J3296" s="222"/>
      <c r="K3296" s="223"/>
    </row>
    <row r="3297" spans="1:11" x14ac:dyDescent="0.35">
      <c r="A3297" s="225"/>
      <c r="B3297" s="226"/>
      <c r="C3297" s="226"/>
      <c r="D3297" s="226"/>
      <c r="E3297" s="227"/>
      <c r="G3297" s="225"/>
      <c r="H3297" s="226"/>
      <c r="I3297" s="226"/>
      <c r="J3297" s="226"/>
      <c r="K3297" s="227"/>
    </row>
    <row r="3298" spans="1:11" ht="15" thickBot="1" x14ac:dyDescent="0.4">
      <c r="A3298" s="218" t="s">
        <v>34</v>
      </c>
      <c r="B3298" s="219">
        <f>SUM(B3293:B3297)</f>
        <v>0</v>
      </c>
      <c r="C3298" s="219">
        <f>SUM(C3293:C3297)</f>
        <v>0</v>
      </c>
      <c r="D3298" s="219">
        <f>SUM(D3293:D3297)</f>
        <v>0</v>
      </c>
      <c r="E3298" s="219">
        <f>SUM(E3293:E3297)</f>
        <v>0</v>
      </c>
      <c r="G3298" s="218" t="s">
        <v>34</v>
      </c>
      <c r="H3298" s="219">
        <f>SUM(H3293:H3297)</f>
        <v>0</v>
      </c>
      <c r="I3298" s="219">
        <f>SUM(I3293:I3297)</f>
        <v>0</v>
      </c>
      <c r="J3298" s="219">
        <f>SUM(J3293:J3297)</f>
        <v>0</v>
      </c>
      <c r="K3298" s="219">
        <f>SUM(K3293:K3297)</f>
        <v>0</v>
      </c>
    </row>
    <row r="3299" spans="1:11" x14ac:dyDescent="0.35">
      <c r="A3299" s="220" t="s">
        <v>305</v>
      </c>
      <c r="B3299" s="220">
        <f>+B3298+C3298+D3298+E3298</f>
        <v>0</v>
      </c>
      <c r="C3299" s="220"/>
      <c r="D3299" s="220"/>
      <c r="E3299" s="220"/>
      <c r="G3299" s="220" t="s">
        <v>305</v>
      </c>
      <c r="H3299" s="220">
        <f>+H3298+I3298+J3298+K3298</f>
        <v>0</v>
      </c>
      <c r="I3299" s="220"/>
      <c r="J3299" s="220"/>
      <c r="K3299" s="220"/>
    </row>
    <row r="3300" spans="1:11" ht="15" thickBot="1" x14ac:dyDescent="0.4">
      <c r="A3300" s="315" t="s">
        <v>298</v>
      </c>
      <c r="B3300" s="315"/>
      <c r="C3300" s="315"/>
      <c r="D3300" s="315"/>
      <c r="E3300" s="315"/>
      <c r="G3300" s="315" t="s">
        <v>314</v>
      </c>
      <c r="H3300" s="315"/>
      <c r="I3300" s="315"/>
      <c r="J3300" s="315"/>
      <c r="K3300" s="315"/>
    </row>
    <row r="3301" spans="1:11" ht="15" thickTop="1" x14ac:dyDescent="0.35">
      <c r="A3301" s="313">
        <v>45618</v>
      </c>
      <c r="B3301" s="314"/>
      <c r="C3301" s="314"/>
      <c r="D3301" s="314"/>
      <c r="E3301" s="314"/>
      <c r="G3301" s="313">
        <v>45618</v>
      </c>
      <c r="H3301" s="314"/>
      <c r="I3301" s="314"/>
      <c r="J3301" s="314"/>
      <c r="K3301" s="314"/>
    </row>
    <row r="3302" spans="1:11" x14ac:dyDescent="0.35">
      <c r="A3302" s="261" t="s">
        <v>159</v>
      </c>
      <c r="B3302" s="262" t="s">
        <v>299</v>
      </c>
      <c r="C3302" s="262" t="s">
        <v>300</v>
      </c>
      <c r="D3302" s="262" t="s">
        <v>301</v>
      </c>
      <c r="E3302" s="263" t="s">
        <v>302</v>
      </c>
      <c r="G3302" s="264" t="s">
        <v>159</v>
      </c>
      <c r="H3302" s="265" t="s">
        <v>299</v>
      </c>
      <c r="I3302" s="265" t="s">
        <v>300</v>
      </c>
      <c r="J3302" s="265" t="s">
        <v>301</v>
      </c>
      <c r="K3302" s="266" t="s">
        <v>302</v>
      </c>
    </row>
    <row r="3303" spans="1:11" x14ac:dyDescent="0.35">
      <c r="A3303" s="221" t="s">
        <v>303</v>
      </c>
      <c r="B3303" s="222"/>
      <c r="C3303" s="222"/>
      <c r="D3303" s="222"/>
      <c r="E3303" s="223"/>
      <c r="G3303" s="221" t="s">
        <v>303</v>
      </c>
      <c r="H3303" s="222"/>
      <c r="I3303" s="222"/>
      <c r="J3303" s="222"/>
      <c r="K3303" s="223"/>
    </row>
    <row r="3304" spans="1:11" x14ac:dyDescent="0.35">
      <c r="A3304" s="225" t="s">
        <v>304</v>
      </c>
      <c r="B3304" s="226"/>
      <c r="C3304" s="226"/>
      <c r="D3304" s="226"/>
      <c r="E3304" s="227"/>
      <c r="G3304" s="225"/>
      <c r="H3304" s="226"/>
      <c r="I3304" s="226"/>
      <c r="J3304" s="226"/>
      <c r="K3304" s="227"/>
    </row>
    <row r="3305" spans="1:11" x14ac:dyDescent="0.35">
      <c r="A3305" s="225"/>
      <c r="B3305" s="226"/>
      <c r="C3305" s="226"/>
      <c r="D3305" s="226"/>
      <c r="E3305" s="227"/>
      <c r="G3305" s="225"/>
      <c r="H3305" s="226"/>
      <c r="I3305" s="226"/>
      <c r="J3305" s="226"/>
      <c r="K3305" s="227"/>
    </row>
    <row r="3306" spans="1:11" x14ac:dyDescent="0.35">
      <c r="A3306" s="221"/>
      <c r="B3306" s="222"/>
      <c r="C3306" s="222"/>
      <c r="D3306" s="222"/>
      <c r="E3306" s="223"/>
      <c r="G3306" s="221"/>
      <c r="H3306" s="222"/>
      <c r="I3306" s="222"/>
      <c r="J3306" s="222"/>
      <c r="K3306" s="223"/>
    </row>
    <row r="3307" spans="1:11" x14ac:dyDescent="0.35">
      <c r="A3307" s="225"/>
      <c r="B3307" s="226"/>
      <c r="C3307" s="226"/>
      <c r="D3307" s="226"/>
      <c r="E3307" s="227"/>
      <c r="G3307" s="225"/>
      <c r="H3307" s="226"/>
      <c r="I3307" s="226"/>
      <c r="J3307" s="226"/>
      <c r="K3307" s="227"/>
    </row>
    <row r="3308" spans="1:11" ht="15" thickBot="1" x14ac:dyDescent="0.4">
      <c r="A3308" s="218" t="s">
        <v>34</v>
      </c>
      <c r="B3308" s="219">
        <f>SUM(B3303:B3307)</f>
        <v>0</v>
      </c>
      <c r="C3308" s="219">
        <f>SUM(C3303:C3307)</f>
        <v>0</v>
      </c>
      <c r="D3308" s="219">
        <f>SUM(D3303:D3307)</f>
        <v>0</v>
      </c>
      <c r="E3308" s="219">
        <f>SUM(E3303:E3307)</f>
        <v>0</v>
      </c>
      <c r="G3308" s="218" t="s">
        <v>34</v>
      </c>
      <c r="H3308" s="219">
        <f>SUM(H3303:H3307)</f>
        <v>0</v>
      </c>
      <c r="I3308" s="219">
        <f>SUM(I3303:I3307)</f>
        <v>0</v>
      </c>
      <c r="J3308" s="219">
        <f>SUM(J3303:J3307)</f>
        <v>0</v>
      </c>
      <c r="K3308" s="219">
        <f>SUM(K3303:K3307)</f>
        <v>0</v>
      </c>
    </row>
    <row r="3309" spans="1:11" x14ac:dyDescent="0.35">
      <c r="A3309" s="220" t="s">
        <v>305</v>
      </c>
      <c r="B3309" s="220">
        <f>+B3308+C3308+D3308+E3308</f>
        <v>0</v>
      </c>
      <c r="C3309" s="220"/>
      <c r="D3309" s="220"/>
      <c r="E3309" s="220"/>
      <c r="G3309" s="220" t="s">
        <v>305</v>
      </c>
      <c r="H3309" s="220">
        <f>+H3308+I3308+J3308+K3308</f>
        <v>0</v>
      </c>
      <c r="I3309" s="220"/>
      <c r="J3309" s="220"/>
      <c r="K3309" s="220"/>
    </row>
    <row r="3310" spans="1:11" ht="15" thickBot="1" x14ac:dyDescent="0.4">
      <c r="A3310" s="315" t="s">
        <v>298</v>
      </c>
      <c r="B3310" s="315"/>
      <c r="C3310" s="315"/>
      <c r="D3310" s="315"/>
      <c r="E3310" s="315"/>
      <c r="G3310" s="315" t="s">
        <v>314</v>
      </c>
      <c r="H3310" s="315"/>
      <c r="I3310" s="315"/>
      <c r="J3310" s="315"/>
      <c r="K3310" s="315"/>
    </row>
    <row r="3311" spans="1:11" ht="15" thickTop="1" x14ac:dyDescent="0.35">
      <c r="A3311" s="313">
        <v>45619</v>
      </c>
      <c r="B3311" s="314"/>
      <c r="C3311" s="314"/>
      <c r="D3311" s="314"/>
      <c r="E3311" s="314"/>
      <c r="G3311" s="313">
        <v>45619</v>
      </c>
      <c r="H3311" s="314"/>
      <c r="I3311" s="314"/>
      <c r="J3311" s="314"/>
      <c r="K3311" s="314"/>
    </row>
    <row r="3312" spans="1:11" x14ac:dyDescent="0.35">
      <c r="A3312" s="261" t="s">
        <v>159</v>
      </c>
      <c r="B3312" s="262" t="s">
        <v>299</v>
      </c>
      <c r="C3312" s="262" t="s">
        <v>300</v>
      </c>
      <c r="D3312" s="262" t="s">
        <v>301</v>
      </c>
      <c r="E3312" s="263" t="s">
        <v>302</v>
      </c>
      <c r="G3312" s="264" t="s">
        <v>159</v>
      </c>
      <c r="H3312" s="265" t="s">
        <v>299</v>
      </c>
      <c r="I3312" s="265" t="s">
        <v>300</v>
      </c>
      <c r="J3312" s="265" t="s">
        <v>301</v>
      </c>
      <c r="K3312" s="266" t="s">
        <v>302</v>
      </c>
    </row>
    <row r="3313" spans="1:11" x14ac:dyDescent="0.35">
      <c r="A3313" s="221" t="s">
        <v>303</v>
      </c>
      <c r="B3313" s="222"/>
      <c r="C3313" s="222"/>
      <c r="D3313" s="222"/>
      <c r="E3313" s="223"/>
      <c r="G3313" s="221" t="s">
        <v>303</v>
      </c>
      <c r="H3313" s="222"/>
      <c r="I3313" s="222"/>
      <c r="J3313" s="222"/>
      <c r="K3313" s="223"/>
    </row>
    <row r="3314" spans="1:11" x14ac:dyDescent="0.35">
      <c r="A3314" s="225" t="s">
        <v>304</v>
      </c>
      <c r="B3314" s="226"/>
      <c r="C3314" s="226"/>
      <c r="D3314" s="226"/>
      <c r="E3314" s="227"/>
      <c r="G3314" s="225"/>
      <c r="H3314" s="226"/>
      <c r="I3314" s="226"/>
      <c r="J3314" s="226"/>
      <c r="K3314" s="227"/>
    </row>
    <row r="3315" spans="1:11" x14ac:dyDescent="0.35">
      <c r="A3315" s="225"/>
      <c r="B3315" s="226"/>
      <c r="C3315" s="226"/>
      <c r="D3315" s="226"/>
      <c r="E3315" s="227"/>
      <c r="G3315" s="225"/>
      <c r="H3315" s="226"/>
      <c r="I3315" s="226"/>
      <c r="J3315" s="226"/>
      <c r="K3315" s="227"/>
    </row>
    <row r="3316" spans="1:11" x14ac:dyDescent="0.35">
      <c r="A3316" s="221"/>
      <c r="B3316" s="222"/>
      <c r="C3316" s="222"/>
      <c r="D3316" s="222"/>
      <c r="E3316" s="223"/>
      <c r="G3316" s="221"/>
      <c r="H3316" s="222"/>
      <c r="I3316" s="222"/>
      <c r="J3316" s="222"/>
      <c r="K3316" s="223"/>
    </row>
    <row r="3317" spans="1:11" x14ac:dyDescent="0.35">
      <c r="A3317" s="225"/>
      <c r="B3317" s="226"/>
      <c r="C3317" s="226"/>
      <c r="D3317" s="226"/>
      <c r="E3317" s="227"/>
      <c r="G3317" s="225"/>
      <c r="H3317" s="226"/>
      <c r="I3317" s="226"/>
      <c r="J3317" s="226"/>
      <c r="K3317" s="227"/>
    </row>
    <row r="3318" spans="1:11" ht="15" thickBot="1" x14ac:dyDescent="0.4">
      <c r="A3318" s="218" t="s">
        <v>34</v>
      </c>
      <c r="B3318" s="219">
        <f>SUM(B3313:B3317)</f>
        <v>0</v>
      </c>
      <c r="C3318" s="219">
        <f>SUM(C3313:C3317)</f>
        <v>0</v>
      </c>
      <c r="D3318" s="219">
        <f>SUM(D3313:D3317)</f>
        <v>0</v>
      </c>
      <c r="E3318" s="219">
        <f>SUM(E3313:E3317)</f>
        <v>0</v>
      </c>
      <c r="G3318" s="218" t="s">
        <v>34</v>
      </c>
      <c r="H3318" s="219">
        <f>SUM(H3313:H3317)</f>
        <v>0</v>
      </c>
      <c r="I3318" s="219">
        <f>SUM(I3313:I3317)</f>
        <v>0</v>
      </c>
      <c r="J3318" s="219">
        <f>SUM(J3313:J3317)</f>
        <v>0</v>
      </c>
      <c r="K3318" s="219">
        <f>SUM(K3313:K3317)</f>
        <v>0</v>
      </c>
    </row>
    <row r="3319" spans="1:11" x14ac:dyDescent="0.35">
      <c r="A3319" s="220" t="s">
        <v>305</v>
      </c>
      <c r="B3319" s="220">
        <f>+B3318+C3318+D3318+E3318</f>
        <v>0</v>
      </c>
      <c r="C3319" s="220"/>
      <c r="D3319" s="220"/>
      <c r="E3319" s="220"/>
      <c r="G3319" s="220" t="s">
        <v>305</v>
      </c>
      <c r="H3319" s="220">
        <f>+H3318+I3318+J3318+K3318</f>
        <v>0</v>
      </c>
      <c r="I3319" s="220"/>
      <c r="J3319" s="220"/>
      <c r="K3319" s="220"/>
    </row>
    <row r="3320" spans="1:11" ht="15" thickBot="1" x14ac:dyDescent="0.4">
      <c r="A3320" s="315" t="s">
        <v>298</v>
      </c>
      <c r="B3320" s="315"/>
      <c r="C3320" s="315"/>
      <c r="D3320" s="315"/>
      <c r="E3320" s="315"/>
      <c r="G3320" s="315" t="s">
        <v>314</v>
      </c>
      <c r="H3320" s="315"/>
      <c r="I3320" s="315"/>
      <c r="J3320" s="315"/>
      <c r="K3320" s="315"/>
    </row>
    <row r="3321" spans="1:11" ht="15" thickTop="1" x14ac:dyDescent="0.35">
      <c r="A3321" s="313">
        <v>45620</v>
      </c>
      <c r="B3321" s="314"/>
      <c r="C3321" s="314"/>
      <c r="D3321" s="314"/>
      <c r="E3321" s="314"/>
      <c r="G3321" s="313">
        <v>45620</v>
      </c>
      <c r="H3321" s="314"/>
      <c r="I3321" s="314"/>
      <c r="J3321" s="314"/>
      <c r="K3321" s="314"/>
    </row>
    <row r="3322" spans="1:11" x14ac:dyDescent="0.35">
      <c r="A3322" s="261" t="s">
        <v>159</v>
      </c>
      <c r="B3322" s="262" t="s">
        <v>299</v>
      </c>
      <c r="C3322" s="262" t="s">
        <v>300</v>
      </c>
      <c r="D3322" s="262" t="s">
        <v>301</v>
      </c>
      <c r="E3322" s="263" t="s">
        <v>302</v>
      </c>
      <c r="G3322" s="264" t="s">
        <v>159</v>
      </c>
      <c r="H3322" s="265" t="s">
        <v>299</v>
      </c>
      <c r="I3322" s="265" t="s">
        <v>300</v>
      </c>
      <c r="J3322" s="265" t="s">
        <v>301</v>
      </c>
      <c r="K3322" s="266" t="s">
        <v>302</v>
      </c>
    </row>
    <row r="3323" spans="1:11" x14ac:dyDescent="0.35">
      <c r="A3323" s="221" t="s">
        <v>303</v>
      </c>
      <c r="B3323" s="222"/>
      <c r="C3323" s="222"/>
      <c r="D3323" s="222"/>
      <c r="E3323" s="223"/>
      <c r="G3323" s="221" t="s">
        <v>303</v>
      </c>
      <c r="H3323" s="222"/>
      <c r="I3323" s="222"/>
      <c r="J3323" s="222"/>
      <c r="K3323" s="223"/>
    </row>
    <row r="3324" spans="1:11" x14ac:dyDescent="0.35">
      <c r="A3324" s="225" t="s">
        <v>304</v>
      </c>
      <c r="B3324" s="226"/>
      <c r="C3324" s="226"/>
      <c r="D3324" s="226"/>
      <c r="E3324" s="227"/>
      <c r="G3324" s="225"/>
      <c r="H3324" s="226"/>
      <c r="I3324" s="226"/>
      <c r="J3324" s="226"/>
      <c r="K3324" s="227"/>
    </row>
    <row r="3325" spans="1:11" x14ac:dyDescent="0.35">
      <c r="A3325" s="225"/>
      <c r="B3325" s="226"/>
      <c r="C3325" s="226"/>
      <c r="D3325" s="226"/>
      <c r="E3325" s="227"/>
      <c r="G3325" s="225"/>
      <c r="H3325" s="226"/>
      <c r="I3325" s="226"/>
      <c r="J3325" s="226"/>
      <c r="K3325" s="227"/>
    </row>
    <row r="3326" spans="1:11" x14ac:dyDescent="0.35">
      <c r="A3326" s="221"/>
      <c r="B3326" s="222"/>
      <c r="C3326" s="222"/>
      <c r="D3326" s="222"/>
      <c r="E3326" s="223"/>
      <c r="G3326" s="221"/>
      <c r="H3326" s="222"/>
      <c r="I3326" s="222"/>
      <c r="J3326" s="222"/>
      <c r="K3326" s="223"/>
    </row>
    <row r="3327" spans="1:11" x14ac:dyDescent="0.35">
      <c r="A3327" s="225"/>
      <c r="B3327" s="226"/>
      <c r="C3327" s="226"/>
      <c r="D3327" s="226"/>
      <c r="E3327" s="227"/>
      <c r="G3327" s="225"/>
      <c r="H3327" s="226"/>
      <c r="I3327" s="226"/>
      <c r="J3327" s="226"/>
      <c r="K3327" s="227"/>
    </row>
    <row r="3328" spans="1:11" ht="15" thickBot="1" x14ac:dyDescent="0.4">
      <c r="A3328" s="218" t="s">
        <v>34</v>
      </c>
      <c r="B3328" s="219">
        <f>SUM(B3323:B3327)</f>
        <v>0</v>
      </c>
      <c r="C3328" s="219">
        <f>SUM(C3323:C3327)</f>
        <v>0</v>
      </c>
      <c r="D3328" s="219">
        <f>SUM(D3323:D3327)</f>
        <v>0</v>
      </c>
      <c r="E3328" s="219">
        <f>SUM(E3323:E3327)</f>
        <v>0</v>
      </c>
      <c r="G3328" s="218" t="s">
        <v>34</v>
      </c>
      <c r="H3328" s="219">
        <f>SUM(H3323:H3327)</f>
        <v>0</v>
      </c>
      <c r="I3328" s="219">
        <f>SUM(I3323:I3327)</f>
        <v>0</v>
      </c>
      <c r="J3328" s="219">
        <f>SUM(J3323:J3327)</f>
        <v>0</v>
      </c>
      <c r="K3328" s="219">
        <f>SUM(K3323:K3327)</f>
        <v>0</v>
      </c>
    </row>
    <row r="3329" spans="1:11" x14ac:dyDescent="0.35">
      <c r="A3329" s="220" t="s">
        <v>305</v>
      </c>
      <c r="B3329" s="220">
        <f>+B3328+C3328+D3328+E3328</f>
        <v>0</v>
      </c>
      <c r="C3329" s="220"/>
      <c r="D3329" s="220"/>
      <c r="E3329" s="220"/>
      <c r="G3329" s="220" t="s">
        <v>305</v>
      </c>
      <c r="H3329" s="220">
        <f>+H3328+I3328+J3328+K3328</f>
        <v>0</v>
      </c>
      <c r="I3329" s="220"/>
      <c r="J3329" s="220"/>
      <c r="K3329" s="220"/>
    </row>
    <row r="3330" spans="1:11" ht="15" thickBot="1" x14ac:dyDescent="0.4">
      <c r="A3330" s="315" t="s">
        <v>298</v>
      </c>
      <c r="B3330" s="315"/>
      <c r="C3330" s="315"/>
      <c r="D3330" s="315"/>
      <c r="E3330" s="315"/>
      <c r="G3330" s="315" t="s">
        <v>314</v>
      </c>
      <c r="H3330" s="315"/>
      <c r="I3330" s="315"/>
      <c r="J3330" s="315"/>
      <c r="K3330" s="315"/>
    </row>
    <row r="3331" spans="1:11" ht="15" thickTop="1" x14ac:dyDescent="0.35">
      <c r="A3331" s="313">
        <v>45621</v>
      </c>
      <c r="B3331" s="314"/>
      <c r="C3331" s="314"/>
      <c r="D3331" s="314"/>
      <c r="E3331" s="314"/>
      <c r="G3331" s="313">
        <v>45621</v>
      </c>
      <c r="H3331" s="314"/>
      <c r="I3331" s="314"/>
      <c r="J3331" s="314"/>
      <c r="K3331" s="314"/>
    </row>
    <row r="3332" spans="1:11" x14ac:dyDescent="0.35">
      <c r="A3332" s="261" t="s">
        <v>159</v>
      </c>
      <c r="B3332" s="262" t="s">
        <v>299</v>
      </c>
      <c r="C3332" s="262" t="s">
        <v>300</v>
      </c>
      <c r="D3332" s="262" t="s">
        <v>301</v>
      </c>
      <c r="E3332" s="263" t="s">
        <v>302</v>
      </c>
      <c r="G3332" s="264" t="s">
        <v>159</v>
      </c>
      <c r="H3332" s="265" t="s">
        <v>299</v>
      </c>
      <c r="I3332" s="265" t="s">
        <v>300</v>
      </c>
      <c r="J3332" s="265" t="s">
        <v>301</v>
      </c>
      <c r="K3332" s="266" t="s">
        <v>302</v>
      </c>
    </row>
    <row r="3333" spans="1:11" x14ac:dyDescent="0.35">
      <c r="A3333" s="221" t="s">
        <v>303</v>
      </c>
      <c r="B3333" s="222"/>
      <c r="C3333" s="222"/>
      <c r="D3333" s="222"/>
      <c r="E3333" s="223"/>
      <c r="G3333" s="221" t="s">
        <v>303</v>
      </c>
      <c r="H3333" s="222"/>
      <c r="I3333" s="222"/>
      <c r="J3333" s="222"/>
      <c r="K3333" s="223"/>
    </row>
    <row r="3334" spans="1:11" x14ac:dyDescent="0.35">
      <c r="A3334" s="225" t="s">
        <v>304</v>
      </c>
      <c r="B3334" s="226"/>
      <c r="C3334" s="226"/>
      <c r="D3334" s="226"/>
      <c r="E3334" s="227"/>
      <c r="G3334" s="225"/>
      <c r="H3334" s="226"/>
      <c r="I3334" s="226"/>
      <c r="J3334" s="226"/>
      <c r="K3334" s="227"/>
    </row>
    <row r="3335" spans="1:11" x14ac:dyDescent="0.35">
      <c r="A3335" s="225"/>
      <c r="B3335" s="226"/>
      <c r="C3335" s="226"/>
      <c r="D3335" s="226"/>
      <c r="E3335" s="227"/>
      <c r="G3335" s="225"/>
      <c r="H3335" s="226"/>
      <c r="I3335" s="226"/>
      <c r="J3335" s="226"/>
      <c r="K3335" s="227"/>
    </row>
    <row r="3336" spans="1:11" x14ac:dyDescent="0.35">
      <c r="A3336" s="221"/>
      <c r="B3336" s="222"/>
      <c r="C3336" s="222"/>
      <c r="D3336" s="222"/>
      <c r="E3336" s="223"/>
      <c r="G3336" s="221"/>
      <c r="H3336" s="222"/>
      <c r="I3336" s="222"/>
      <c r="J3336" s="222"/>
      <c r="K3336" s="223"/>
    </row>
    <row r="3337" spans="1:11" x14ac:dyDescent="0.35">
      <c r="A3337" s="225"/>
      <c r="B3337" s="226"/>
      <c r="C3337" s="226"/>
      <c r="D3337" s="226"/>
      <c r="E3337" s="227"/>
      <c r="G3337" s="225"/>
      <c r="H3337" s="226"/>
      <c r="I3337" s="226"/>
      <c r="J3337" s="226"/>
      <c r="K3337" s="227"/>
    </row>
    <row r="3338" spans="1:11" ht="15" thickBot="1" x14ac:dyDescent="0.4">
      <c r="A3338" s="218" t="s">
        <v>34</v>
      </c>
      <c r="B3338" s="219">
        <f>SUM(B3333:B3337)</f>
        <v>0</v>
      </c>
      <c r="C3338" s="219">
        <f>SUM(C3333:C3337)</f>
        <v>0</v>
      </c>
      <c r="D3338" s="219">
        <f>SUM(D3333:D3337)</f>
        <v>0</v>
      </c>
      <c r="E3338" s="219">
        <f>SUM(E3333:E3337)</f>
        <v>0</v>
      </c>
      <c r="G3338" s="218" t="s">
        <v>34</v>
      </c>
      <c r="H3338" s="219">
        <f>SUM(H3333:H3337)</f>
        <v>0</v>
      </c>
      <c r="I3338" s="219">
        <f>SUM(I3333:I3337)</f>
        <v>0</v>
      </c>
      <c r="J3338" s="219">
        <f>SUM(J3333:J3337)</f>
        <v>0</v>
      </c>
      <c r="K3338" s="219">
        <f>SUM(K3333:K3337)</f>
        <v>0</v>
      </c>
    </row>
    <row r="3339" spans="1:11" x14ac:dyDescent="0.35">
      <c r="A3339" s="220" t="s">
        <v>305</v>
      </c>
      <c r="B3339" s="220">
        <f>+B3338+C3338+D3338+E3338</f>
        <v>0</v>
      </c>
      <c r="C3339" s="220"/>
      <c r="D3339" s="220"/>
      <c r="E3339" s="220"/>
      <c r="G3339" s="220" t="s">
        <v>305</v>
      </c>
      <c r="H3339" s="220">
        <f>+H3338+I3338+J3338+K3338</f>
        <v>0</v>
      </c>
      <c r="I3339" s="220"/>
      <c r="J3339" s="220"/>
      <c r="K3339" s="220"/>
    </row>
    <row r="3340" spans="1:11" ht="15" thickBot="1" x14ac:dyDescent="0.4">
      <c r="A3340" s="315" t="s">
        <v>298</v>
      </c>
      <c r="B3340" s="315"/>
      <c r="C3340" s="315"/>
      <c r="D3340" s="315"/>
      <c r="E3340" s="315"/>
      <c r="G3340" s="315" t="s">
        <v>314</v>
      </c>
      <c r="H3340" s="315"/>
      <c r="I3340" s="315"/>
      <c r="J3340" s="315"/>
      <c r="K3340" s="315"/>
    </row>
    <row r="3341" spans="1:11" ht="15" thickTop="1" x14ac:dyDescent="0.35">
      <c r="A3341" s="313">
        <v>45622</v>
      </c>
      <c r="B3341" s="314"/>
      <c r="C3341" s="314"/>
      <c r="D3341" s="314"/>
      <c r="E3341" s="314"/>
      <c r="G3341" s="313">
        <v>45622</v>
      </c>
      <c r="H3341" s="314"/>
      <c r="I3341" s="314"/>
      <c r="J3341" s="314"/>
      <c r="K3341" s="314"/>
    </row>
    <row r="3342" spans="1:11" x14ac:dyDescent="0.35">
      <c r="A3342" s="261" t="s">
        <v>159</v>
      </c>
      <c r="B3342" s="262" t="s">
        <v>299</v>
      </c>
      <c r="C3342" s="262" t="s">
        <v>300</v>
      </c>
      <c r="D3342" s="262" t="s">
        <v>301</v>
      </c>
      <c r="E3342" s="263" t="s">
        <v>302</v>
      </c>
      <c r="G3342" s="264" t="s">
        <v>159</v>
      </c>
      <c r="H3342" s="265" t="s">
        <v>299</v>
      </c>
      <c r="I3342" s="265" t="s">
        <v>300</v>
      </c>
      <c r="J3342" s="265" t="s">
        <v>301</v>
      </c>
      <c r="K3342" s="266" t="s">
        <v>302</v>
      </c>
    </row>
    <row r="3343" spans="1:11" x14ac:dyDescent="0.35">
      <c r="A3343" s="221" t="s">
        <v>303</v>
      </c>
      <c r="B3343" s="222"/>
      <c r="C3343" s="222"/>
      <c r="D3343" s="222"/>
      <c r="E3343" s="223"/>
      <c r="G3343" s="221" t="s">
        <v>303</v>
      </c>
      <c r="H3343" s="222"/>
      <c r="I3343" s="222"/>
      <c r="J3343" s="222"/>
      <c r="K3343" s="223"/>
    </row>
    <row r="3344" spans="1:11" x14ac:dyDescent="0.35">
      <c r="A3344" s="225" t="s">
        <v>304</v>
      </c>
      <c r="B3344" s="226"/>
      <c r="C3344" s="226"/>
      <c r="D3344" s="226"/>
      <c r="E3344" s="227"/>
      <c r="G3344" s="225"/>
      <c r="H3344" s="226"/>
      <c r="I3344" s="226"/>
      <c r="J3344" s="226"/>
      <c r="K3344" s="227"/>
    </row>
    <row r="3345" spans="1:11" x14ac:dyDescent="0.35">
      <c r="A3345" s="225"/>
      <c r="B3345" s="226"/>
      <c r="C3345" s="226"/>
      <c r="D3345" s="226"/>
      <c r="E3345" s="227"/>
      <c r="G3345" s="225"/>
      <c r="H3345" s="226"/>
      <c r="I3345" s="226"/>
      <c r="J3345" s="226"/>
      <c r="K3345" s="227"/>
    </row>
    <row r="3346" spans="1:11" x14ac:dyDescent="0.35">
      <c r="A3346" s="221"/>
      <c r="B3346" s="222"/>
      <c r="C3346" s="222"/>
      <c r="D3346" s="222"/>
      <c r="E3346" s="223"/>
      <c r="G3346" s="221"/>
      <c r="H3346" s="222"/>
      <c r="I3346" s="222"/>
      <c r="J3346" s="222"/>
      <c r="K3346" s="223"/>
    </row>
    <row r="3347" spans="1:11" x14ac:dyDescent="0.35">
      <c r="A3347" s="225"/>
      <c r="B3347" s="226"/>
      <c r="C3347" s="226"/>
      <c r="D3347" s="226"/>
      <c r="E3347" s="227"/>
      <c r="G3347" s="225"/>
      <c r="H3347" s="226"/>
      <c r="I3347" s="226"/>
      <c r="J3347" s="226"/>
      <c r="K3347" s="227"/>
    </row>
    <row r="3348" spans="1:11" ht="15" thickBot="1" x14ac:dyDescent="0.4">
      <c r="A3348" s="218" t="s">
        <v>34</v>
      </c>
      <c r="B3348" s="219">
        <f>SUM(B3343:B3347)</f>
        <v>0</v>
      </c>
      <c r="C3348" s="219">
        <f>SUM(C3343:C3347)</f>
        <v>0</v>
      </c>
      <c r="D3348" s="219">
        <f>SUM(D3343:D3347)</f>
        <v>0</v>
      </c>
      <c r="E3348" s="219">
        <f>SUM(E3343:E3347)</f>
        <v>0</v>
      </c>
      <c r="G3348" s="218" t="s">
        <v>34</v>
      </c>
      <c r="H3348" s="219">
        <f>SUM(H3343:H3347)</f>
        <v>0</v>
      </c>
      <c r="I3348" s="219">
        <f>SUM(I3343:I3347)</f>
        <v>0</v>
      </c>
      <c r="J3348" s="219">
        <f>SUM(J3343:J3347)</f>
        <v>0</v>
      </c>
      <c r="K3348" s="219">
        <f>SUM(K3343:K3347)</f>
        <v>0</v>
      </c>
    </row>
    <row r="3349" spans="1:11" x14ac:dyDescent="0.35">
      <c r="A3349" s="220" t="s">
        <v>305</v>
      </c>
      <c r="B3349" s="220">
        <f>+B3348+C3348+D3348+E3348</f>
        <v>0</v>
      </c>
      <c r="C3349" s="220"/>
      <c r="D3349" s="220"/>
      <c r="E3349" s="220"/>
      <c r="G3349" s="220" t="s">
        <v>305</v>
      </c>
      <c r="H3349" s="220">
        <f>+H3348+I3348+J3348+K3348</f>
        <v>0</v>
      </c>
      <c r="I3349" s="220"/>
      <c r="J3349" s="220"/>
      <c r="K3349" s="220"/>
    </row>
    <row r="3350" spans="1:11" ht="15" thickBot="1" x14ac:dyDescent="0.4">
      <c r="A3350" s="315" t="s">
        <v>298</v>
      </c>
      <c r="B3350" s="315"/>
      <c r="C3350" s="315"/>
      <c r="D3350" s="315"/>
      <c r="E3350" s="315"/>
      <c r="G3350" s="315" t="s">
        <v>314</v>
      </c>
      <c r="H3350" s="315"/>
      <c r="I3350" s="315"/>
      <c r="J3350" s="315"/>
      <c r="K3350" s="315"/>
    </row>
    <row r="3351" spans="1:11" ht="15" thickTop="1" x14ac:dyDescent="0.35">
      <c r="A3351" s="313">
        <v>45623</v>
      </c>
      <c r="B3351" s="314"/>
      <c r="C3351" s="314"/>
      <c r="D3351" s="314"/>
      <c r="E3351" s="314"/>
      <c r="G3351" s="313">
        <v>45623</v>
      </c>
      <c r="H3351" s="314"/>
      <c r="I3351" s="314"/>
      <c r="J3351" s="314"/>
      <c r="K3351" s="314"/>
    </row>
    <row r="3352" spans="1:11" x14ac:dyDescent="0.35">
      <c r="A3352" s="261" t="s">
        <v>159</v>
      </c>
      <c r="B3352" s="262" t="s">
        <v>299</v>
      </c>
      <c r="C3352" s="262" t="s">
        <v>300</v>
      </c>
      <c r="D3352" s="262" t="s">
        <v>301</v>
      </c>
      <c r="E3352" s="263" t="s">
        <v>302</v>
      </c>
      <c r="G3352" s="264" t="s">
        <v>159</v>
      </c>
      <c r="H3352" s="265" t="s">
        <v>299</v>
      </c>
      <c r="I3352" s="265" t="s">
        <v>300</v>
      </c>
      <c r="J3352" s="265" t="s">
        <v>301</v>
      </c>
      <c r="K3352" s="266" t="s">
        <v>302</v>
      </c>
    </row>
    <row r="3353" spans="1:11" x14ac:dyDescent="0.35">
      <c r="A3353" s="221" t="s">
        <v>303</v>
      </c>
      <c r="B3353" s="222"/>
      <c r="C3353" s="222"/>
      <c r="D3353" s="222"/>
      <c r="E3353" s="223"/>
      <c r="G3353" s="221" t="s">
        <v>303</v>
      </c>
      <c r="H3353" s="222"/>
      <c r="I3353" s="222"/>
      <c r="J3353" s="222"/>
      <c r="K3353" s="223"/>
    </row>
    <row r="3354" spans="1:11" x14ac:dyDescent="0.35">
      <c r="A3354" s="225" t="s">
        <v>304</v>
      </c>
      <c r="B3354" s="226"/>
      <c r="C3354" s="226"/>
      <c r="D3354" s="226"/>
      <c r="E3354" s="227"/>
      <c r="G3354" s="225"/>
      <c r="H3354" s="226"/>
      <c r="I3354" s="226"/>
      <c r="J3354" s="226"/>
      <c r="K3354" s="227"/>
    </row>
    <row r="3355" spans="1:11" x14ac:dyDescent="0.35">
      <c r="A3355" s="225"/>
      <c r="B3355" s="226"/>
      <c r="C3355" s="226"/>
      <c r="D3355" s="226"/>
      <c r="E3355" s="227"/>
      <c r="G3355" s="225"/>
      <c r="H3355" s="226"/>
      <c r="I3355" s="226"/>
      <c r="J3355" s="226"/>
      <c r="K3355" s="227"/>
    </row>
    <row r="3356" spans="1:11" x14ac:dyDescent="0.35">
      <c r="A3356" s="221"/>
      <c r="B3356" s="222"/>
      <c r="C3356" s="222"/>
      <c r="D3356" s="222"/>
      <c r="E3356" s="223"/>
      <c r="G3356" s="221"/>
      <c r="H3356" s="222"/>
      <c r="I3356" s="222"/>
      <c r="J3356" s="222"/>
      <c r="K3356" s="223"/>
    </row>
    <row r="3357" spans="1:11" x14ac:dyDescent="0.35">
      <c r="A3357" s="225"/>
      <c r="B3357" s="226"/>
      <c r="C3357" s="226"/>
      <c r="D3357" s="226"/>
      <c r="E3357" s="227"/>
      <c r="G3357" s="225"/>
      <c r="H3357" s="226"/>
      <c r="I3357" s="226"/>
      <c r="J3357" s="226"/>
      <c r="K3357" s="227"/>
    </row>
    <row r="3358" spans="1:11" ht="15" thickBot="1" x14ac:dyDescent="0.4">
      <c r="A3358" s="218" t="s">
        <v>34</v>
      </c>
      <c r="B3358" s="219">
        <f>SUM(B3353:B3357)</f>
        <v>0</v>
      </c>
      <c r="C3358" s="219">
        <f>SUM(C3353:C3357)</f>
        <v>0</v>
      </c>
      <c r="D3358" s="219">
        <f>SUM(D3353:D3357)</f>
        <v>0</v>
      </c>
      <c r="E3358" s="219">
        <f>SUM(E3353:E3357)</f>
        <v>0</v>
      </c>
      <c r="G3358" s="218" t="s">
        <v>34</v>
      </c>
      <c r="H3358" s="219">
        <f>SUM(H3353:H3357)</f>
        <v>0</v>
      </c>
      <c r="I3358" s="219">
        <f>SUM(I3353:I3357)</f>
        <v>0</v>
      </c>
      <c r="J3358" s="219">
        <f>SUM(J3353:J3357)</f>
        <v>0</v>
      </c>
      <c r="K3358" s="219">
        <f>SUM(K3353:K3357)</f>
        <v>0</v>
      </c>
    </row>
    <row r="3359" spans="1:11" x14ac:dyDescent="0.35">
      <c r="A3359" s="220" t="s">
        <v>305</v>
      </c>
      <c r="B3359" s="220">
        <f>+B3358+C3358+D3358+E3358</f>
        <v>0</v>
      </c>
      <c r="C3359" s="220"/>
      <c r="D3359" s="220"/>
      <c r="E3359" s="220"/>
      <c r="G3359" s="220" t="s">
        <v>305</v>
      </c>
      <c r="H3359" s="220">
        <f>+H3358+I3358+J3358+K3358</f>
        <v>0</v>
      </c>
      <c r="I3359" s="220"/>
      <c r="J3359" s="220"/>
      <c r="K3359" s="220"/>
    </row>
    <row r="3360" spans="1:11" ht="15" thickBot="1" x14ac:dyDescent="0.4">
      <c r="A3360" s="315" t="s">
        <v>298</v>
      </c>
      <c r="B3360" s="315"/>
      <c r="C3360" s="315"/>
      <c r="D3360" s="315"/>
      <c r="E3360" s="315"/>
      <c r="G3360" s="315" t="s">
        <v>314</v>
      </c>
      <c r="H3360" s="315"/>
      <c r="I3360" s="315"/>
      <c r="J3360" s="315"/>
      <c r="K3360" s="315"/>
    </row>
    <row r="3361" spans="1:11" ht="15" thickTop="1" x14ac:dyDescent="0.35">
      <c r="A3361" s="313">
        <v>45624</v>
      </c>
      <c r="B3361" s="314"/>
      <c r="C3361" s="314"/>
      <c r="D3361" s="314"/>
      <c r="E3361" s="314"/>
      <c r="G3361" s="313">
        <v>45624</v>
      </c>
      <c r="H3361" s="314"/>
      <c r="I3361" s="314"/>
      <c r="J3361" s="314"/>
      <c r="K3361" s="314"/>
    </row>
    <row r="3362" spans="1:11" x14ac:dyDescent="0.35">
      <c r="A3362" s="261" t="s">
        <v>159</v>
      </c>
      <c r="B3362" s="262" t="s">
        <v>299</v>
      </c>
      <c r="C3362" s="262" t="s">
        <v>300</v>
      </c>
      <c r="D3362" s="262" t="s">
        <v>301</v>
      </c>
      <c r="E3362" s="263" t="s">
        <v>302</v>
      </c>
      <c r="G3362" s="264" t="s">
        <v>159</v>
      </c>
      <c r="H3362" s="265" t="s">
        <v>299</v>
      </c>
      <c r="I3362" s="265" t="s">
        <v>300</v>
      </c>
      <c r="J3362" s="265" t="s">
        <v>301</v>
      </c>
      <c r="K3362" s="266" t="s">
        <v>302</v>
      </c>
    </row>
    <row r="3363" spans="1:11" x14ac:dyDescent="0.35">
      <c r="A3363" s="221" t="s">
        <v>303</v>
      </c>
      <c r="B3363" s="222"/>
      <c r="C3363" s="222"/>
      <c r="D3363" s="222"/>
      <c r="E3363" s="223"/>
      <c r="G3363" s="221" t="s">
        <v>303</v>
      </c>
      <c r="H3363" s="222"/>
      <c r="I3363" s="222"/>
      <c r="J3363" s="222"/>
      <c r="K3363" s="223"/>
    </row>
    <row r="3364" spans="1:11" x14ac:dyDescent="0.35">
      <c r="A3364" s="225" t="s">
        <v>304</v>
      </c>
      <c r="B3364" s="226"/>
      <c r="C3364" s="226"/>
      <c r="D3364" s="226"/>
      <c r="E3364" s="227"/>
      <c r="G3364" s="225"/>
      <c r="H3364" s="226"/>
      <c r="I3364" s="226"/>
      <c r="J3364" s="226"/>
      <c r="K3364" s="227"/>
    </row>
    <row r="3365" spans="1:11" x14ac:dyDescent="0.35">
      <c r="A3365" s="225"/>
      <c r="B3365" s="226"/>
      <c r="C3365" s="226"/>
      <c r="D3365" s="226"/>
      <c r="E3365" s="227"/>
      <c r="G3365" s="225"/>
      <c r="H3365" s="226"/>
      <c r="I3365" s="226"/>
      <c r="J3365" s="226"/>
      <c r="K3365" s="227"/>
    </row>
    <row r="3366" spans="1:11" x14ac:dyDescent="0.35">
      <c r="A3366" s="221"/>
      <c r="B3366" s="222"/>
      <c r="C3366" s="222"/>
      <c r="D3366" s="222"/>
      <c r="E3366" s="223"/>
      <c r="G3366" s="221"/>
      <c r="H3366" s="222"/>
      <c r="I3366" s="222"/>
      <c r="J3366" s="222"/>
      <c r="K3366" s="223"/>
    </row>
    <row r="3367" spans="1:11" x14ac:dyDescent="0.35">
      <c r="A3367" s="225"/>
      <c r="B3367" s="226"/>
      <c r="C3367" s="226"/>
      <c r="D3367" s="226"/>
      <c r="E3367" s="227"/>
      <c r="G3367" s="225"/>
      <c r="H3367" s="226"/>
      <c r="I3367" s="226"/>
      <c r="J3367" s="226"/>
      <c r="K3367" s="227"/>
    </row>
    <row r="3368" spans="1:11" ht="15" thickBot="1" x14ac:dyDescent="0.4">
      <c r="A3368" s="218" t="s">
        <v>34</v>
      </c>
      <c r="B3368" s="219">
        <f>SUM(B3363:B3367)</f>
        <v>0</v>
      </c>
      <c r="C3368" s="219">
        <f>SUM(C3363:C3367)</f>
        <v>0</v>
      </c>
      <c r="D3368" s="219">
        <f>SUM(D3363:D3367)</f>
        <v>0</v>
      </c>
      <c r="E3368" s="219">
        <f>SUM(E3363:E3367)</f>
        <v>0</v>
      </c>
      <c r="G3368" s="218" t="s">
        <v>34</v>
      </c>
      <c r="H3368" s="219">
        <f>SUM(H3363:H3367)</f>
        <v>0</v>
      </c>
      <c r="I3368" s="219">
        <f>SUM(I3363:I3367)</f>
        <v>0</v>
      </c>
      <c r="J3368" s="219">
        <f>SUM(J3363:J3367)</f>
        <v>0</v>
      </c>
      <c r="K3368" s="219">
        <f>SUM(K3363:K3367)</f>
        <v>0</v>
      </c>
    </row>
    <row r="3369" spans="1:11" x14ac:dyDescent="0.35">
      <c r="A3369" s="220" t="s">
        <v>305</v>
      </c>
      <c r="B3369" s="220">
        <f>+B3368+C3368+D3368+E3368</f>
        <v>0</v>
      </c>
      <c r="C3369" s="220"/>
      <c r="D3369" s="220"/>
      <c r="E3369" s="220"/>
      <c r="G3369" s="220" t="s">
        <v>305</v>
      </c>
      <c r="H3369" s="220">
        <f>+H3368+I3368+J3368+K3368</f>
        <v>0</v>
      </c>
      <c r="I3369" s="220"/>
      <c r="J3369" s="220"/>
      <c r="K3369" s="220"/>
    </row>
    <row r="3370" spans="1:11" ht="15" thickBot="1" x14ac:dyDescent="0.4">
      <c r="A3370" s="315" t="s">
        <v>298</v>
      </c>
      <c r="B3370" s="315"/>
      <c r="C3370" s="315"/>
      <c r="D3370" s="315"/>
      <c r="E3370" s="315"/>
      <c r="G3370" s="315" t="s">
        <v>314</v>
      </c>
      <c r="H3370" s="315"/>
      <c r="I3370" s="315"/>
      <c r="J3370" s="315"/>
      <c r="K3370" s="315"/>
    </row>
    <row r="3371" spans="1:11" ht="15" thickTop="1" x14ac:dyDescent="0.35">
      <c r="A3371" s="313">
        <v>45625</v>
      </c>
      <c r="B3371" s="314"/>
      <c r="C3371" s="314"/>
      <c r="D3371" s="314"/>
      <c r="E3371" s="314"/>
      <c r="G3371" s="313">
        <v>45625</v>
      </c>
      <c r="H3371" s="314"/>
      <c r="I3371" s="314"/>
      <c r="J3371" s="314"/>
      <c r="K3371" s="314"/>
    </row>
    <row r="3372" spans="1:11" x14ac:dyDescent="0.35">
      <c r="A3372" s="261" t="s">
        <v>159</v>
      </c>
      <c r="B3372" s="262" t="s">
        <v>299</v>
      </c>
      <c r="C3372" s="262" t="s">
        <v>300</v>
      </c>
      <c r="D3372" s="262" t="s">
        <v>301</v>
      </c>
      <c r="E3372" s="263" t="s">
        <v>302</v>
      </c>
      <c r="G3372" s="264" t="s">
        <v>159</v>
      </c>
      <c r="H3372" s="265" t="s">
        <v>299</v>
      </c>
      <c r="I3372" s="265" t="s">
        <v>300</v>
      </c>
      <c r="J3372" s="265" t="s">
        <v>301</v>
      </c>
      <c r="K3372" s="266" t="s">
        <v>302</v>
      </c>
    </row>
    <row r="3373" spans="1:11" x14ac:dyDescent="0.35">
      <c r="A3373" s="221" t="s">
        <v>303</v>
      </c>
      <c r="B3373" s="222"/>
      <c r="C3373" s="222"/>
      <c r="D3373" s="222"/>
      <c r="E3373" s="223"/>
      <c r="G3373" s="221" t="s">
        <v>303</v>
      </c>
      <c r="H3373" s="222"/>
      <c r="I3373" s="222"/>
      <c r="J3373" s="222"/>
      <c r="K3373" s="223"/>
    </row>
    <row r="3374" spans="1:11" x14ac:dyDescent="0.35">
      <c r="A3374" s="225" t="s">
        <v>304</v>
      </c>
      <c r="B3374" s="226"/>
      <c r="C3374" s="226"/>
      <c r="D3374" s="226"/>
      <c r="E3374" s="227"/>
      <c r="G3374" s="225"/>
      <c r="H3374" s="226"/>
      <c r="I3374" s="226"/>
      <c r="J3374" s="226"/>
      <c r="K3374" s="227"/>
    </row>
    <row r="3375" spans="1:11" x14ac:dyDescent="0.35">
      <c r="A3375" s="225"/>
      <c r="B3375" s="226"/>
      <c r="C3375" s="226"/>
      <c r="D3375" s="226"/>
      <c r="E3375" s="227"/>
      <c r="G3375" s="225"/>
      <c r="H3375" s="226"/>
      <c r="I3375" s="226"/>
      <c r="J3375" s="226"/>
      <c r="K3375" s="227"/>
    </row>
    <row r="3376" spans="1:11" x14ac:dyDescent="0.35">
      <c r="A3376" s="221"/>
      <c r="B3376" s="222"/>
      <c r="C3376" s="222"/>
      <c r="D3376" s="222"/>
      <c r="E3376" s="223"/>
      <c r="G3376" s="221"/>
      <c r="H3376" s="222"/>
      <c r="I3376" s="222"/>
      <c r="J3376" s="222"/>
      <c r="K3376" s="223"/>
    </row>
    <row r="3377" spans="1:13" x14ac:dyDescent="0.35">
      <c r="A3377" s="225"/>
      <c r="B3377" s="226"/>
      <c r="C3377" s="226"/>
      <c r="D3377" s="226"/>
      <c r="E3377" s="227"/>
      <c r="G3377" s="225"/>
      <c r="H3377" s="226"/>
      <c r="I3377" s="226"/>
      <c r="J3377" s="226"/>
      <c r="K3377" s="227"/>
    </row>
    <row r="3378" spans="1:13" ht="15" thickBot="1" x14ac:dyDescent="0.4">
      <c r="A3378" s="218" t="s">
        <v>34</v>
      </c>
      <c r="B3378" s="219">
        <f>SUM(B3373:B3377)</f>
        <v>0</v>
      </c>
      <c r="C3378" s="219">
        <f>SUM(C3373:C3377)</f>
        <v>0</v>
      </c>
      <c r="D3378" s="219">
        <f>SUM(D3373:D3377)</f>
        <v>0</v>
      </c>
      <c r="E3378" s="219">
        <f>SUM(E3373:E3377)</f>
        <v>0</v>
      </c>
      <c r="G3378" s="218" t="s">
        <v>34</v>
      </c>
      <c r="H3378" s="219">
        <f>SUM(H3373:H3377)</f>
        <v>0</v>
      </c>
      <c r="I3378" s="219">
        <f>SUM(I3373:I3377)</f>
        <v>0</v>
      </c>
      <c r="J3378" s="219">
        <f>SUM(J3373:J3377)</f>
        <v>0</v>
      </c>
      <c r="K3378" s="219">
        <f>SUM(K3373:K3377)</f>
        <v>0</v>
      </c>
    </row>
    <row r="3379" spans="1:13" x14ac:dyDescent="0.35">
      <c r="A3379" s="220" t="s">
        <v>305</v>
      </c>
      <c r="B3379" s="220">
        <f>+B3378+C3378+D3378+E3378</f>
        <v>0</v>
      </c>
      <c r="C3379" s="220"/>
      <c r="D3379" s="220"/>
      <c r="E3379" s="220"/>
      <c r="G3379" s="220" t="s">
        <v>305</v>
      </c>
      <c r="H3379" s="220">
        <f>+H3378+I3378+J3378+K3378</f>
        <v>0</v>
      </c>
      <c r="I3379" s="220"/>
      <c r="J3379" s="220"/>
      <c r="K3379" s="220"/>
    </row>
    <row r="3380" spans="1:13" ht="15" thickBot="1" x14ac:dyDescent="0.4">
      <c r="A3380" s="315" t="s">
        <v>298</v>
      </c>
      <c r="B3380" s="315"/>
      <c r="C3380" s="315"/>
      <c r="D3380" s="315"/>
      <c r="E3380" s="315"/>
      <c r="G3380" s="315" t="s">
        <v>314</v>
      </c>
      <c r="H3380" s="315"/>
      <c r="I3380" s="315"/>
      <c r="J3380" s="315"/>
      <c r="K3380" s="315"/>
    </row>
    <row r="3381" spans="1:13" ht="15" thickTop="1" x14ac:dyDescent="0.35">
      <c r="A3381" s="313">
        <v>45626</v>
      </c>
      <c r="B3381" s="314"/>
      <c r="C3381" s="314"/>
      <c r="D3381" s="314"/>
      <c r="E3381" s="314"/>
      <c r="G3381" s="313">
        <v>45626</v>
      </c>
      <c r="H3381" s="314"/>
      <c r="I3381" s="314"/>
      <c r="J3381" s="314"/>
      <c r="K3381" s="314"/>
    </row>
    <row r="3382" spans="1:13" x14ac:dyDescent="0.35">
      <c r="A3382" s="261" t="s">
        <v>159</v>
      </c>
      <c r="B3382" s="262" t="s">
        <v>299</v>
      </c>
      <c r="C3382" s="262" t="s">
        <v>300</v>
      </c>
      <c r="D3382" s="262" t="s">
        <v>301</v>
      </c>
      <c r="E3382" s="263" t="s">
        <v>302</v>
      </c>
      <c r="G3382" s="264" t="s">
        <v>159</v>
      </c>
      <c r="H3382" s="265" t="s">
        <v>299</v>
      </c>
      <c r="I3382" s="265" t="s">
        <v>300</v>
      </c>
      <c r="J3382" s="265" t="s">
        <v>301</v>
      </c>
      <c r="K3382" s="266" t="s">
        <v>302</v>
      </c>
    </row>
    <row r="3383" spans="1:13" x14ac:dyDescent="0.35">
      <c r="A3383" s="221" t="s">
        <v>303</v>
      </c>
      <c r="B3383" s="222"/>
      <c r="C3383" s="222"/>
      <c r="D3383" s="222"/>
      <c r="E3383" s="223"/>
      <c r="G3383" s="221" t="s">
        <v>303</v>
      </c>
      <c r="H3383" s="222"/>
      <c r="I3383" s="222"/>
      <c r="J3383" s="222"/>
      <c r="K3383" s="223"/>
    </row>
    <row r="3384" spans="1:13" x14ac:dyDescent="0.35">
      <c r="A3384" s="225" t="s">
        <v>304</v>
      </c>
      <c r="B3384" s="226"/>
      <c r="C3384" s="226"/>
      <c r="D3384" s="226"/>
      <c r="E3384" s="227"/>
      <c r="G3384" s="225"/>
      <c r="H3384" s="226"/>
      <c r="I3384" s="226"/>
      <c r="J3384" s="226"/>
      <c r="K3384" s="227"/>
    </row>
    <row r="3385" spans="1:13" x14ac:dyDescent="0.35">
      <c r="A3385" s="225"/>
      <c r="B3385" s="226"/>
      <c r="C3385" s="226"/>
      <c r="D3385" s="226"/>
      <c r="E3385" s="227"/>
      <c r="G3385" s="225"/>
      <c r="H3385" s="226"/>
      <c r="I3385" s="226"/>
      <c r="J3385" s="226"/>
      <c r="K3385" s="227"/>
    </row>
    <row r="3386" spans="1:13" x14ac:dyDescent="0.35">
      <c r="A3386" s="221"/>
      <c r="B3386" s="222"/>
      <c r="C3386" s="222"/>
      <c r="D3386" s="222"/>
      <c r="E3386" s="223"/>
      <c r="G3386" s="221"/>
      <c r="H3386" s="222"/>
      <c r="I3386" s="222"/>
      <c r="J3386" s="222"/>
      <c r="K3386" s="223"/>
    </row>
    <row r="3387" spans="1:13" x14ac:dyDescent="0.35">
      <c r="A3387" s="225"/>
      <c r="B3387" s="226"/>
      <c r="C3387" s="226"/>
      <c r="D3387" s="226"/>
      <c r="E3387" s="227"/>
      <c r="G3387" s="225"/>
      <c r="H3387" s="226"/>
      <c r="I3387" s="226"/>
      <c r="J3387" s="226"/>
      <c r="K3387" s="227"/>
    </row>
    <row r="3388" spans="1:13" ht="15" thickBot="1" x14ac:dyDescent="0.4">
      <c r="A3388" s="218" t="s">
        <v>34</v>
      </c>
      <c r="B3388" s="219">
        <f>SUM(B3383:B3387)</f>
        <v>0</v>
      </c>
      <c r="C3388" s="219">
        <f>SUM(C3383:C3387)</f>
        <v>0</v>
      </c>
      <c r="D3388" s="219">
        <f>SUM(D3383:D3387)</f>
        <v>0</v>
      </c>
      <c r="E3388" s="219">
        <f>SUM(E3383:E3387)</f>
        <v>0</v>
      </c>
      <c r="G3388" s="218" t="s">
        <v>34</v>
      </c>
      <c r="H3388" s="219">
        <f>SUM(H3383:H3387)</f>
        <v>0</v>
      </c>
      <c r="I3388" s="219">
        <f>SUM(I3383:I3387)</f>
        <v>0</v>
      </c>
      <c r="J3388" s="219">
        <f>SUM(J3383:J3387)</f>
        <v>0</v>
      </c>
      <c r="K3388" s="219">
        <f>SUM(K3383:K3387)</f>
        <v>0</v>
      </c>
    </row>
    <row r="3389" spans="1:13" x14ac:dyDescent="0.35">
      <c r="A3389" s="220" t="s">
        <v>305</v>
      </c>
      <c r="B3389" s="220">
        <f>+B3388+C3388+D3388+E3388</f>
        <v>0</v>
      </c>
      <c r="C3389" s="220"/>
      <c r="D3389" s="220"/>
      <c r="E3389" s="220"/>
      <c r="G3389" s="220" t="s">
        <v>305</v>
      </c>
      <c r="H3389" s="220">
        <f>+H3388+I3388+J3388+K3388</f>
        <v>0</v>
      </c>
      <c r="I3389" s="220"/>
      <c r="J3389" s="220"/>
      <c r="K3389" s="220"/>
    </row>
    <row r="3390" spans="1:13" ht="15" thickBot="1" x14ac:dyDescent="0.4"/>
    <row r="3391" spans="1:13" ht="35" customHeight="1" thickBot="1" x14ac:dyDescent="0.4">
      <c r="A3391" s="316" t="s">
        <v>337</v>
      </c>
      <c r="B3391" s="317"/>
      <c r="C3391" s="317"/>
      <c r="D3391" s="317"/>
      <c r="E3391" s="317"/>
      <c r="F3391" s="318"/>
      <c r="G3391" s="324">
        <f>SUMIF($A$3091:M3390,"*"&amp;K3391&amp;"*",$B$3091:N3390)</f>
        <v>0</v>
      </c>
      <c r="H3391" s="319"/>
      <c r="I3391" s="319"/>
      <c r="J3391" s="325"/>
      <c r="K3391" s="322" t="s">
        <v>305</v>
      </c>
      <c r="L3391" s="323"/>
      <c r="M3391" s="228">
        <f>+G3391</f>
        <v>0</v>
      </c>
    </row>
    <row r="3393" spans="1:11" ht="15" thickBot="1" x14ac:dyDescent="0.4">
      <c r="A3393" s="315" t="s">
        <v>298</v>
      </c>
      <c r="B3393" s="315"/>
      <c r="C3393" s="315"/>
      <c r="D3393" s="315"/>
      <c r="E3393" s="315"/>
      <c r="G3393" s="315" t="s">
        <v>314</v>
      </c>
      <c r="H3393" s="315"/>
      <c r="I3393" s="315"/>
      <c r="J3393" s="315"/>
      <c r="K3393" s="315"/>
    </row>
    <row r="3394" spans="1:11" ht="15" thickTop="1" x14ac:dyDescent="0.35">
      <c r="A3394" s="313">
        <v>45627</v>
      </c>
      <c r="B3394" s="314"/>
      <c r="C3394" s="314"/>
      <c r="D3394" s="314"/>
      <c r="E3394" s="314"/>
      <c r="G3394" s="313">
        <v>45627</v>
      </c>
      <c r="H3394" s="314"/>
      <c r="I3394" s="314"/>
      <c r="J3394" s="314"/>
      <c r="K3394" s="314"/>
    </row>
    <row r="3395" spans="1:11" x14ac:dyDescent="0.35">
      <c r="A3395" s="261" t="s">
        <v>159</v>
      </c>
      <c r="B3395" s="262" t="s">
        <v>299</v>
      </c>
      <c r="C3395" s="262" t="s">
        <v>300</v>
      </c>
      <c r="D3395" s="262" t="s">
        <v>301</v>
      </c>
      <c r="E3395" s="263" t="s">
        <v>302</v>
      </c>
      <c r="G3395" s="264" t="s">
        <v>159</v>
      </c>
      <c r="H3395" s="265" t="s">
        <v>299</v>
      </c>
      <c r="I3395" s="265" t="s">
        <v>300</v>
      </c>
      <c r="J3395" s="265" t="s">
        <v>301</v>
      </c>
      <c r="K3395" s="266" t="s">
        <v>302</v>
      </c>
    </row>
    <row r="3396" spans="1:11" x14ac:dyDescent="0.35">
      <c r="A3396" s="221" t="s">
        <v>303</v>
      </c>
      <c r="B3396" s="222"/>
      <c r="C3396" s="222"/>
      <c r="D3396" s="222"/>
      <c r="E3396" s="223"/>
      <c r="G3396" s="221" t="s">
        <v>303</v>
      </c>
      <c r="H3396" s="222"/>
      <c r="I3396" s="222"/>
      <c r="J3396" s="222"/>
      <c r="K3396" s="223"/>
    </row>
    <row r="3397" spans="1:11" x14ac:dyDescent="0.35">
      <c r="A3397" s="225" t="s">
        <v>304</v>
      </c>
      <c r="B3397" s="226"/>
      <c r="C3397" s="226"/>
      <c r="D3397" s="226"/>
      <c r="E3397" s="227"/>
      <c r="G3397" s="225"/>
      <c r="H3397" s="226"/>
      <c r="I3397" s="226"/>
      <c r="J3397" s="226"/>
      <c r="K3397" s="227"/>
    </row>
    <row r="3398" spans="1:11" x14ac:dyDescent="0.35">
      <c r="A3398" s="225"/>
      <c r="B3398" s="226"/>
      <c r="C3398" s="226"/>
      <c r="D3398" s="226"/>
      <c r="E3398" s="227"/>
      <c r="G3398" s="225"/>
      <c r="H3398" s="226"/>
      <c r="I3398" s="226"/>
      <c r="J3398" s="226"/>
      <c r="K3398" s="227"/>
    </row>
    <row r="3399" spans="1:11" x14ac:dyDescent="0.35">
      <c r="A3399" s="221"/>
      <c r="B3399" s="222"/>
      <c r="C3399" s="222"/>
      <c r="D3399" s="222"/>
      <c r="E3399" s="223"/>
      <c r="G3399" s="221"/>
      <c r="H3399" s="222"/>
      <c r="I3399" s="222"/>
      <c r="J3399" s="222"/>
      <c r="K3399" s="223"/>
    </row>
    <row r="3400" spans="1:11" x14ac:dyDescent="0.35">
      <c r="A3400" s="225"/>
      <c r="B3400" s="226"/>
      <c r="C3400" s="226"/>
      <c r="D3400" s="226"/>
      <c r="E3400" s="227"/>
      <c r="G3400" s="225"/>
      <c r="H3400" s="226"/>
      <c r="I3400" s="226"/>
      <c r="J3400" s="226"/>
      <c r="K3400" s="227"/>
    </row>
    <row r="3401" spans="1:11" ht="15" thickBot="1" x14ac:dyDescent="0.4">
      <c r="A3401" s="218" t="s">
        <v>34</v>
      </c>
      <c r="B3401" s="219">
        <f>SUM(B3396:B3400)</f>
        <v>0</v>
      </c>
      <c r="C3401" s="219">
        <f>SUM(C3396:C3400)</f>
        <v>0</v>
      </c>
      <c r="D3401" s="219">
        <f>SUM(D3396:D3400)</f>
        <v>0</v>
      </c>
      <c r="E3401" s="219">
        <f>SUM(E3396:E3400)</f>
        <v>0</v>
      </c>
      <c r="G3401" s="218" t="s">
        <v>34</v>
      </c>
      <c r="H3401" s="219">
        <f>SUM(H3396:H3400)</f>
        <v>0</v>
      </c>
      <c r="I3401" s="219">
        <f>SUM(I3396:I3400)</f>
        <v>0</v>
      </c>
      <c r="J3401" s="219">
        <f>SUM(J3396:J3400)</f>
        <v>0</v>
      </c>
      <c r="K3401" s="219">
        <f>SUM(K3396:K3400)</f>
        <v>0</v>
      </c>
    </row>
    <row r="3402" spans="1:11" x14ac:dyDescent="0.35">
      <c r="A3402" s="220" t="s">
        <v>305</v>
      </c>
      <c r="B3402" s="220">
        <f>+B3401+C3401+D3401+E3401</f>
        <v>0</v>
      </c>
      <c r="C3402" s="220"/>
      <c r="D3402" s="220"/>
      <c r="E3402" s="220"/>
      <c r="G3402" s="220" t="s">
        <v>305</v>
      </c>
      <c r="H3402" s="220">
        <f>+H3401+I3401+J3401+K3401</f>
        <v>0</v>
      </c>
      <c r="I3402" s="220"/>
      <c r="J3402" s="220"/>
      <c r="K3402" s="220"/>
    </row>
    <row r="3403" spans="1:11" ht="15" thickBot="1" x14ac:dyDescent="0.4">
      <c r="A3403" s="315" t="s">
        <v>298</v>
      </c>
      <c r="B3403" s="315"/>
      <c r="C3403" s="315"/>
      <c r="D3403" s="315"/>
      <c r="E3403" s="315"/>
      <c r="G3403" s="315" t="s">
        <v>314</v>
      </c>
      <c r="H3403" s="315"/>
      <c r="I3403" s="315"/>
      <c r="J3403" s="315"/>
      <c r="K3403" s="315"/>
    </row>
    <row r="3404" spans="1:11" ht="15" thickTop="1" x14ac:dyDescent="0.35">
      <c r="A3404" s="313">
        <v>45628</v>
      </c>
      <c r="B3404" s="314"/>
      <c r="C3404" s="314"/>
      <c r="D3404" s="314"/>
      <c r="E3404" s="314"/>
      <c r="G3404" s="313">
        <v>45628</v>
      </c>
      <c r="H3404" s="314"/>
      <c r="I3404" s="314"/>
      <c r="J3404" s="314"/>
      <c r="K3404" s="314"/>
    </row>
    <row r="3405" spans="1:11" x14ac:dyDescent="0.35">
      <c r="A3405" s="261" t="s">
        <v>159</v>
      </c>
      <c r="B3405" s="262" t="s">
        <v>299</v>
      </c>
      <c r="C3405" s="262" t="s">
        <v>300</v>
      </c>
      <c r="D3405" s="262" t="s">
        <v>301</v>
      </c>
      <c r="E3405" s="263" t="s">
        <v>302</v>
      </c>
      <c r="G3405" s="264" t="s">
        <v>159</v>
      </c>
      <c r="H3405" s="265" t="s">
        <v>299</v>
      </c>
      <c r="I3405" s="265" t="s">
        <v>300</v>
      </c>
      <c r="J3405" s="265" t="s">
        <v>301</v>
      </c>
      <c r="K3405" s="266" t="s">
        <v>302</v>
      </c>
    </row>
    <row r="3406" spans="1:11" x14ac:dyDescent="0.35">
      <c r="A3406" s="221" t="s">
        <v>303</v>
      </c>
      <c r="B3406" s="222"/>
      <c r="C3406" s="222"/>
      <c r="D3406" s="222"/>
      <c r="E3406" s="223"/>
      <c r="G3406" s="221" t="s">
        <v>303</v>
      </c>
      <c r="H3406" s="222"/>
      <c r="I3406" s="222"/>
      <c r="J3406" s="222"/>
      <c r="K3406" s="223"/>
    </row>
    <row r="3407" spans="1:11" x14ac:dyDescent="0.35">
      <c r="A3407" s="225" t="s">
        <v>304</v>
      </c>
      <c r="B3407" s="226"/>
      <c r="C3407" s="226"/>
      <c r="D3407" s="226"/>
      <c r="E3407" s="227"/>
      <c r="G3407" s="225"/>
      <c r="H3407" s="226"/>
      <c r="I3407" s="226"/>
      <c r="J3407" s="226"/>
      <c r="K3407" s="227"/>
    </row>
    <row r="3408" spans="1:11" x14ac:dyDescent="0.35">
      <c r="A3408" s="225"/>
      <c r="B3408" s="226"/>
      <c r="C3408" s="226"/>
      <c r="D3408" s="226"/>
      <c r="E3408" s="227"/>
      <c r="G3408" s="225"/>
      <c r="H3408" s="226"/>
      <c r="I3408" s="226"/>
      <c r="J3408" s="226"/>
      <c r="K3408" s="227"/>
    </row>
    <row r="3409" spans="1:11" x14ac:dyDescent="0.35">
      <c r="A3409" s="221"/>
      <c r="B3409" s="222"/>
      <c r="C3409" s="222"/>
      <c r="D3409" s="222"/>
      <c r="E3409" s="223"/>
      <c r="G3409" s="221"/>
      <c r="H3409" s="222"/>
      <c r="I3409" s="222"/>
      <c r="J3409" s="222"/>
      <c r="K3409" s="223"/>
    </row>
    <row r="3410" spans="1:11" x14ac:dyDescent="0.35">
      <c r="A3410" s="225"/>
      <c r="B3410" s="226"/>
      <c r="C3410" s="226"/>
      <c r="D3410" s="226"/>
      <c r="E3410" s="227"/>
      <c r="G3410" s="225"/>
      <c r="H3410" s="226"/>
      <c r="I3410" s="226"/>
      <c r="J3410" s="226"/>
      <c r="K3410" s="227"/>
    </row>
    <row r="3411" spans="1:11" ht="15" thickBot="1" x14ac:dyDescent="0.4">
      <c r="A3411" s="218" t="s">
        <v>34</v>
      </c>
      <c r="B3411" s="219">
        <f>SUM(B3406:B3410)</f>
        <v>0</v>
      </c>
      <c r="C3411" s="219">
        <f>SUM(C3406:C3410)</f>
        <v>0</v>
      </c>
      <c r="D3411" s="219">
        <f>SUM(D3406:D3410)</f>
        <v>0</v>
      </c>
      <c r="E3411" s="219">
        <f>SUM(E3406:E3410)</f>
        <v>0</v>
      </c>
      <c r="G3411" s="218" t="s">
        <v>34</v>
      </c>
      <c r="H3411" s="219">
        <f>SUM(H3406:H3410)</f>
        <v>0</v>
      </c>
      <c r="I3411" s="219">
        <f>SUM(I3406:I3410)</f>
        <v>0</v>
      </c>
      <c r="J3411" s="219">
        <f>SUM(J3406:J3410)</f>
        <v>0</v>
      </c>
      <c r="K3411" s="219">
        <f>SUM(K3406:K3410)</f>
        <v>0</v>
      </c>
    </row>
    <row r="3412" spans="1:11" x14ac:dyDescent="0.35">
      <c r="A3412" s="220" t="s">
        <v>305</v>
      </c>
      <c r="B3412" s="220">
        <f>+B3411+C3411+D3411+E3411</f>
        <v>0</v>
      </c>
      <c r="C3412" s="220"/>
      <c r="D3412" s="220"/>
      <c r="E3412" s="220"/>
      <c r="G3412" s="220" t="s">
        <v>305</v>
      </c>
      <c r="H3412" s="220">
        <f>+H3411+I3411+J3411+K3411</f>
        <v>0</v>
      </c>
      <c r="I3412" s="220"/>
      <c r="J3412" s="220"/>
      <c r="K3412" s="220"/>
    </row>
    <row r="3413" spans="1:11" ht="15" thickBot="1" x14ac:dyDescent="0.4">
      <c r="A3413" s="315" t="s">
        <v>298</v>
      </c>
      <c r="B3413" s="315"/>
      <c r="C3413" s="315"/>
      <c r="D3413" s="315"/>
      <c r="E3413" s="315"/>
      <c r="G3413" s="315" t="s">
        <v>314</v>
      </c>
      <c r="H3413" s="315"/>
      <c r="I3413" s="315"/>
      <c r="J3413" s="315"/>
      <c r="K3413" s="315"/>
    </row>
    <row r="3414" spans="1:11" ht="15" thickTop="1" x14ac:dyDescent="0.35">
      <c r="A3414" s="313">
        <v>45629</v>
      </c>
      <c r="B3414" s="314"/>
      <c r="C3414" s="314"/>
      <c r="D3414" s="314"/>
      <c r="E3414" s="314"/>
      <c r="G3414" s="313">
        <v>45629</v>
      </c>
      <c r="H3414" s="314"/>
      <c r="I3414" s="314"/>
      <c r="J3414" s="314"/>
      <c r="K3414" s="314"/>
    </row>
    <row r="3415" spans="1:11" x14ac:dyDescent="0.35">
      <c r="A3415" s="261" t="s">
        <v>159</v>
      </c>
      <c r="B3415" s="262" t="s">
        <v>299</v>
      </c>
      <c r="C3415" s="262" t="s">
        <v>300</v>
      </c>
      <c r="D3415" s="262" t="s">
        <v>301</v>
      </c>
      <c r="E3415" s="263" t="s">
        <v>302</v>
      </c>
      <c r="G3415" s="264" t="s">
        <v>159</v>
      </c>
      <c r="H3415" s="265" t="s">
        <v>299</v>
      </c>
      <c r="I3415" s="265" t="s">
        <v>300</v>
      </c>
      <c r="J3415" s="265" t="s">
        <v>301</v>
      </c>
      <c r="K3415" s="266" t="s">
        <v>302</v>
      </c>
    </row>
    <row r="3416" spans="1:11" x14ac:dyDescent="0.35">
      <c r="A3416" s="221" t="s">
        <v>303</v>
      </c>
      <c r="B3416" s="222"/>
      <c r="C3416" s="222"/>
      <c r="D3416" s="222"/>
      <c r="E3416" s="223"/>
      <c r="G3416" s="221" t="s">
        <v>303</v>
      </c>
      <c r="H3416" s="222"/>
      <c r="I3416" s="222"/>
      <c r="J3416" s="222"/>
      <c r="K3416" s="223"/>
    </row>
    <row r="3417" spans="1:11" x14ac:dyDescent="0.35">
      <c r="A3417" s="225" t="s">
        <v>304</v>
      </c>
      <c r="B3417" s="226"/>
      <c r="C3417" s="226"/>
      <c r="D3417" s="226"/>
      <c r="E3417" s="227"/>
      <c r="G3417" s="225"/>
      <c r="H3417" s="226"/>
      <c r="I3417" s="226"/>
      <c r="J3417" s="226"/>
      <c r="K3417" s="227"/>
    </row>
    <row r="3418" spans="1:11" x14ac:dyDescent="0.35">
      <c r="A3418" s="225"/>
      <c r="B3418" s="226"/>
      <c r="C3418" s="226"/>
      <c r="D3418" s="226"/>
      <c r="E3418" s="227"/>
      <c r="G3418" s="225"/>
      <c r="H3418" s="226"/>
      <c r="I3418" s="226"/>
      <c r="J3418" s="226"/>
      <c r="K3418" s="227"/>
    </row>
    <row r="3419" spans="1:11" x14ac:dyDescent="0.35">
      <c r="A3419" s="221"/>
      <c r="B3419" s="222"/>
      <c r="C3419" s="222"/>
      <c r="D3419" s="222"/>
      <c r="E3419" s="223"/>
      <c r="G3419" s="221"/>
      <c r="H3419" s="222"/>
      <c r="I3419" s="222"/>
      <c r="J3419" s="222"/>
      <c r="K3419" s="223"/>
    </row>
    <row r="3420" spans="1:11" x14ac:dyDescent="0.35">
      <c r="A3420" s="225"/>
      <c r="B3420" s="226"/>
      <c r="C3420" s="226"/>
      <c r="D3420" s="226"/>
      <c r="E3420" s="227"/>
      <c r="G3420" s="225"/>
      <c r="H3420" s="226"/>
      <c r="I3420" s="226"/>
      <c r="J3420" s="226"/>
      <c r="K3420" s="227"/>
    </row>
    <row r="3421" spans="1:11" ht="15" thickBot="1" x14ac:dyDescent="0.4">
      <c r="A3421" s="218" t="s">
        <v>34</v>
      </c>
      <c r="B3421" s="219">
        <f>SUM(B3416:B3420)</f>
        <v>0</v>
      </c>
      <c r="C3421" s="219">
        <f>SUM(C3416:C3420)</f>
        <v>0</v>
      </c>
      <c r="D3421" s="219">
        <f>SUM(D3416:D3420)</f>
        <v>0</v>
      </c>
      <c r="E3421" s="219">
        <f>SUM(E3416:E3420)</f>
        <v>0</v>
      </c>
      <c r="G3421" s="218" t="s">
        <v>34</v>
      </c>
      <c r="H3421" s="219">
        <f>SUM(H3416:H3420)</f>
        <v>0</v>
      </c>
      <c r="I3421" s="219">
        <f>SUM(I3416:I3420)</f>
        <v>0</v>
      </c>
      <c r="J3421" s="219">
        <f>SUM(J3416:J3420)</f>
        <v>0</v>
      </c>
      <c r="K3421" s="219">
        <f>SUM(K3416:K3420)</f>
        <v>0</v>
      </c>
    </row>
    <row r="3422" spans="1:11" x14ac:dyDescent="0.35">
      <c r="A3422" s="220" t="s">
        <v>305</v>
      </c>
      <c r="B3422" s="220">
        <f>+B3421+C3421+D3421+E3421</f>
        <v>0</v>
      </c>
      <c r="C3422" s="220"/>
      <c r="D3422" s="220"/>
      <c r="E3422" s="220"/>
      <c r="G3422" s="220" t="s">
        <v>305</v>
      </c>
      <c r="H3422" s="220">
        <f>+H3421+I3421+J3421+K3421</f>
        <v>0</v>
      </c>
      <c r="I3422" s="220"/>
      <c r="J3422" s="220"/>
      <c r="K3422" s="220"/>
    </row>
    <row r="3423" spans="1:11" ht="15" thickBot="1" x14ac:dyDescent="0.4">
      <c r="A3423" s="315" t="s">
        <v>298</v>
      </c>
      <c r="B3423" s="315"/>
      <c r="C3423" s="315"/>
      <c r="D3423" s="315"/>
      <c r="E3423" s="315"/>
      <c r="G3423" s="315" t="s">
        <v>314</v>
      </c>
      <c r="H3423" s="315"/>
      <c r="I3423" s="315"/>
      <c r="J3423" s="315"/>
      <c r="K3423" s="315"/>
    </row>
    <row r="3424" spans="1:11" ht="15" thickTop="1" x14ac:dyDescent="0.35">
      <c r="A3424" s="313">
        <v>45630</v>
      </c>
      <c r="B3424" s="314"/>
      <c r="C3424" s="314"/>
      <c r="D3424" s="314"/>
      <c r="E3424" s="314"/>
      <c r="G3424" s="313">
        <v>45630</v>
      </c>
      <c r="H3424" s="314"/>
      <c r="I3424" s="314"/>
      <c r="J3424" s="314"/>
      <c r="K3424" s="314"/>
    </row>
    <row r="3425" spans="1:11" x14ac:dyDescent="0.35">
      <c r="A3425" s="261" t="s">
        <v>159</v>
      </c>
      <c r="B3425" s="262" t="s">
        <v>299</v>
      </c>
      <c r="C3425" s="262" t="s">
        <v>300</v>
      </c>
      <c r="D3425" s="262" t="s">
        <v>301</v>
      </c>
      <c r="E3425" s="263" t="s">
        <v>302</v>
      </c>
      <c r="G3425" s="264" t="s">
        <v>159</v>
      </c>
      <c r="H3425" s="265" t="s">
        <v>299</v>
      </c>
      <c r="I3425" s="265" t="s">
        <v>300</v>
      </c>
      <c r="J3425" s="265" t="s">
        <v>301</v>
      </c>
      <c r="K3425" s="266" t="s">
        <v>302</v>
      </c>
    </row>
    <row r="3426" spans="1:11" x14ac:dyDescent="0.35">
      <c r="A3426" s="221" t="s">
        <v>303</v>
      </c>
      <c r="B3426" s="222"/>
      <c r="C3426" s="222"/>
      <c r="D3426" s="222"/>
      <c r="E3426" s="223"/>
      <c r="G3426" s="221" t="s">
        <v>303</v>
      </c>
      <c r="H3426" s="222"/>
      <c r="I3426" s="222"/>
      <c r="J3426" s="222"/>
      <c r="K3426" s="223"/>
    </row>
    <row r="3427" spans="1:11" x14ac:dyDescent="0.35">
      <c r="A3427" s="225" t="s">
        <v>304</v>
      </c>
      <c r="B3427" s="226"/>
      <c r="C3427" s="226"/>
      <c r="D3427" s="226"/>
      <c r="E3427" s="227"/>
      <c r="G3427" s="225"/>
      <c r="H3427" s="226"/>
      <c r="I3427" s="226"/>
      <c r="J3427" s="226"/>
      <c r="K3427" s="227"/>
    </row>
    <row r="3428" spans="1:11" x14ac:dyDescent="0.35">
      <c r="A3428" s="225"/>
      <c r="B3428" s="226"/>
      <c r="C3428" s="226"/>
      <c r="D3428" s="226"/>
      <c r="E3428" s="227"/>
      <c r="G3428" s="225"/>
      <c r="H3428" s="226"/>
      <c r="I3428" s="226"/>
      <c r="J3428" s="226"/>
      <c r="K3428" s="227"/>
    </row>
    <row r="3429" spans="1:11" x14ac:dyDescent="0.35">
      <c r="A3429" s="221"/>
      <c r="B3429" s="222"/>
      <c r="C3429" s="222"/>
      <c r="D3429" s="222"/>
      <c r="E3429" s="223"/>
      <c r="G3429" s="221"/>
      <c r="H3429" s="222"/>
      <c r="I3429" s="222"/>
      <c r="J3429" s="222"/>
      <c r="K3429" s="223"/>
    </row>
    <row r="3430" spans="1:11" x14ac:dyDescent="0.35">
      <c r="A3430" s="225"/>
      <c r="B3430" s="226"/>
      <c r="C3430" s="226"/>
      <c r="D3430" s="226"/>
      <c r="E3430" s="227"/>
      <c r="G3430" s="225"/>
      <c r="H3430" s="226"/>
      <c r="I3430" s="226"/>
      <c r="J3430" s="226"/>
      <c r="K3430" s="227"/>
    </row>
    <row r="3431" spans="1:11" ht="15" thickBot="1" x14ac:dyDescent="0.4">
      <c r="A3431" s="218" t="s">
        <v>34</v>
      </c>
      <c r="B3431" s="219">
        <f>SUM(B3426:B3430)</f>
        <v>0</v>
      </c>
      <c r="C3431" s="219">
        <f>SUM(C3426:C3430)</f>
        <v>0</v>
      </c>
      <c r="D3431" s="219">
        <f>SUM(D3426:D3430)</f>
        <v>0</v>
      </c>
      <c r="E3431" s="219">
        <f>SUM(E3426:E3430)</f>
        <v>0</v>
      </c>
      <c r="G3431" s="218" t="s">
        <v>34</v>
      </c>
      <c r="H3431" s="219">
        <f>SUM(H3426:H3430)</f>
        <v>0</v>
      </c>
      <c r="I3431" s="219">
        <f>SUM(I3426:I3430)</f>
        <v>0</v>
      </c>
      <c r="J3431" s="219">
        <f>SUM(J3426:J3430)</f>
        <v>0</v>
      </c>
      <c r="K3431" s="219">
        <f>SUM(K3426:K3430)</f>
        <v>0</v>
      </c>
    </row>
    <row r="3432" spans="1:11" x14ac:dyDescent="0.35">
      <c r="A3432" s="220" t="s">
        <v>305</v>
      </c>
      <c r="B3432" s="220">
        <f>+B3431+C3431+D3431+E3431</f>
        <v>0</v>
      </c>
      <c r="C3432" s="220"/>
      <c r="D3432" s="220"/>
      <c r="E3432" s="220"/>
      <c r="G3432" s="220" t="s">
        <v>305</v>
      </c>
      <c r="H3432" s="220">
        <f>+H3431+I3431+J3431+K3431</f>
        <v>0</v>
      </c>
      <c r="I3432" s="220"/>
      <c r="J3432" s="220"/>
      <c r="K3432" s="220"/>
    </row>
    <row r="3433" spans="1:11" ht="15" thickBot="1" x14ac:dyDescent="0.4">
      <c r="A3433" s="315" t="s">
        <v>298</v>
      </c>
      <c r="B3433" s="315"/>
      <c r="C3433" s="315"/>
      <c r="D3433" s="315"/>
      <c r="E3433" s="315"/>
      <c r="G3433" s="315" t="s">
        <v>314</v>
      </c>
      <c r="H3433" s="315"/>
      <c r="I3433" s="315"/>
      <c r="J3433" s="315"/>
      <c r="K3433" s="315"/>
    </row>
    <row r="3434" spans="1:11" ht="15" thickTop="1" x14ac:dyDescent="0.35">
      <c r="A3434" s="313">
        <v>45631</v>
      </c>
      <c r="B3434" s="314"/>
      <c r="C3434" s="314"/>
      <c r="D3434" s="314"/>
      <c r="E3434" s="314"/>
      <c r="G3434" s="313">
        <v>45631</v>
      </c>
      <c r="H3434" s="314"/>
      <c r="I3434" s="314"/>
      <c r="J3434" s="314"/>
      <c r="K3434" s="314"/>
    </row>
    <row r="3435" spans="1:11" x14ac:dyDescent="0.35">
      <c r="A3435" s="261" t="s">
        <v>159</v>
      </c>
      <c r="B3435" s="262" t="s">
        <v>299</v>
      </c>
      <c r="C3435" s="262" t="s">
        <v>300</v>
      </c>
      <c r="D3435" s="262" t="s">
        <v>301</v>
      </c>
      <c r="E3435" s="263" t="s">
        <v>302</v>
      </c>
      <c r="G3435" s="264" t="s">
        <v>159</v>
      </c>
      <c r="H3435" s="265" t="s">
        <v>299</v>
      </c>
      <c r="I3435" s="265" t="s">
        <v>300</v>
      </c>
      <c r="J3435" s="265" t="s">
        <v>301</v>
      </c>
      <c r="K3435" s="266" t="s">
        <v>302</v>
      </c>
    </row>
    <row r="3436" spans="1:11" x14ac:dyDescent="0.35">
      <c r="A3436" s="221" t="s">
        <v>303</v>
      </c>
      <c r="B3436" s="222"/>
      <c r="C3436" s="222"/>
      <c r="D3436" s="222"/>
      <c r="E3436" s="223"/>
      <c r="G3436" s="221" t="s">
        <v>303</v>
      </c>
      <c r="H3436" s="222"/>
      <c r="I3436" s="222"/>
      <c r="J3436" s="222"/>
      <c r="K3436" s="223"/>
    </row>
    <row r="3437" spans="1:11" x14ac:dyDescent="0.35">
      <c r="A3437" s="225" t="s">
        <v>304</v>
      </c>
      <c r="B3437" s="226"/>
      <c r="C3437" s="226"/>
      <c r="D3437" s="226"/>
      <c r="E3437" s="227"/>
      <c r="G3437" s="225"/>
      <c r="H3437" s="226"/>
      <c r="I3437" s="226"/>
      <c r="J3437" s="226"/>
      <c r="K3437" s="227"/>
    </row>
    <row r="3438" spans="1:11" x14ac:dyDescent="0.35">
      <c r="A3438" s="225"/>
      <c r="B3438" s="226"/>
      <c r="C3438" s="226"/>
      <c r="D3438" s="226"/>
      <c r="E3438" s="227"/>
      <c r="G3438" s="225"/>
      <c r="H3438" s="226"/>
      <c r="I3438" s="226"/>
      <c r="J3438" s="226"/>
      <c r="K3438" s="227"/>
    </row>
    <row r="3439" spans="1:11" x14ac:dyDescent="0.35">
      <c r="A3439" s="221"/>
      <c r="B3439" s="222"/>
      <c r="C3439" s="222"/>
      <c r="D3439" s="222"/>
      <c r="E3439" s="223"/>
      <c r="G3439" s="221"/>
      <c r="H3439" s="222"/>
      <c r="I3439" s="222"/>
      <c r="J3439" s="222"/>
      <c r="K3439" s="223"/>
    </row>
    <row r="3440" spans="1:11" x14ac:dyDescent="0.35">
      <c r="A3440" s="225"/>
      <c r="B3440" s="226"/>
      <c r="C3440" s="226"/>
      <c r="D3440" s="226"/>
      <c r="E3440" s="227"/>
      <c r="G3440" s="225"/>
      <c r="H3440" s="226"/>
      <c r="I3440" s="226"/>
      <c r="J3440" s="226"/>
      <c r="K3440" s="227"/>
    </row>
    <row r="3441" spans="1:11" ht="15" thickBot="1" x14ac:dyDescent="0.4">
      <c r="A3441" s="218" t="s">
        <v>34</v>
      </c>
      <c r="B3441" s="219">
        <f>SUM(B3436:B3440)</f>
        <v>0</v>
      </c>
      <c r="C3441" s="219">
        <f>SUM(C3436:C3440)</f>
        <v>0</v>
      </c>
      <c r="D3441" s="219">
        <f>SUM(D3436:D3440)</f>
        <v>0</v>
      </c>
      <c r="E3441" s="219">
        <f>SUM(E3436:E3440)</f>
        <v>0</v>
      </c>
      <c r="G3441" s="218" t="s">
        <v>34</v>
      </c>
      <c r="H3441" s="219">
        <f>SUM(H3436:H3440)</f>
        <v>0</v>
      </c>
      <c r="I3441" s="219">
        <f>SUM(I3436:I3440)</f>
        <v>0</v>
      </c>
      <c r="J3441" s="219">
        <f>SUM(J3436:J3440)</f>
        <v>0</v>
      </c>
      <c r="K3441" s="219">
        <f>SUM(K3436:K3440)</f>
        <v>0</v>
      </c>
    </row>
    <row r="3442" spans="1:11" x14ac:dyDescent="0.35">
      <c r="A3442" s="220" t="s">
        <v>305</v>
      </c>
      <c r="B3442" s="220">
        <f>+B3441+C3441+D3441+E3441</f>
        <v>0</v>
      </c>
      <c r="C3442" s="220"/>
      <c r="D3442" s="220"/>
      <c r="E3442" s="220"/>
      <c r="G3442" s="220" t="s">
        <v>305</v>
      </c>
      <c r="H3442" s="220">
        <f>+H3441+I3441+J3441+K3441</f>
        <v>0</v>
      </c>
      <c r="I3442" s="220"/>
      <c r="J3442" s="220"/>
      <c r="K3442" s="220"/>
    </row>
    <row r="3443" spans="1:11" ht="15" thickBot="1" x14ac:dyDescent="0.4">
      <c r="A3443" s="315" t="s">
        <v>298</v>
      </c>
      <c r="B3443" s="315"/>
      <c r="C3443" s="315"/>
      <c r="D3443" s="315"/>
      <c r="E3443" s="315"/>
      <c r="G3443" s="315" t="s">
        <v>314</v>
      </c>
      <c r="H3443" s="315"/>
      <c r="I3443" s="315"/>
      <c r="J3443" s="315"/>
      <c r="K3443" s="315"/>
    </row>
    <row r="3444" spans="1:11" ht="15" thickTop="1" x14ac:dyDescent="0.35">
      <c r="A3444" s="313">
        <v>45632</v>
      </c>
      <c r="B3444" s="314"/>
      <c r="C3444" s="314"/>
      <c r="D3444" s="314"/>
      <c r="E3444" s="314"/>
      <c r="G3444" s="313">
        <v>45632</v>
      </c>
      <c r="H3444" s="314"/>
      <c r="I3444" s="314"/>
      <c r="J3444" s="314"/>
      <c r="K3444" s="314"/>
    </row>
    <row r="3445" spans="1:11" x14ac:dyDescent="0.35">
      <c r="A3445" s="261" t="s">
        <v>159</v>
      </c>
      <c r="B3445" s="262" t="s">
        <v>299</v>
      </c>
      <c r="C3445" s="262" t="s">
        <v>300</v>
      </c>
      <c r="D3445" s="262" t="s">
        <v>301</v>
      </c>
      <c r="E3445" s="263" t="s">
        <v>302</v>
      </c>
      <c r="G3445" s="264" t="s">
        <v>159</v>
      </c>
      <c r="H3445" s="265" t="s">
        <v>299</v>
      </c>
      <c r="I3445" s="265" t="s">
        <v>300</v>
      </c>
      <c r="J3445" s="265" t="s">
        <v>301</v>
      </c>
      <c r="K3445" s="266" t="s">
        <v>302</v>
      </c>
    </row>
    <row r="3446" spans="1:11" x14ac:dyDescent="0.35">
      <c r="A3446" s="221" t="s">
        <v>303</v>
      </c>
      <c r="B3446" s="222"/>
      <c r="C3446" s="222"/>
      <c r="D3446" s="222"/>
      <c r="E3446" s="223"/>
      <c r="G3446" s="221" t="s">
        <v>303</v>
      </c>
      <c r="H3446" s="222"/>
      <c r="I3446" s="222"/>
      <c r="J3446" s="222"/>
      <c r="K3446" s="223"/>
    </row>
    <row r="3447" spans="1:11" x14ac:dyDescent="0.35">
      <c r="A3447" s="225" t="s">
        <v>304</v>
      </c>
      <c r="B3447" s="226"/>
      <c r="C3447" s="226"/>
      <c r="D3447" s="226"/>
      <c r="E3447" s="227"/>
      <c r="G3447" s="225"/>
      <c r="H3447" s="226"/>
      <c r="I3447" s="226"/>
      <c r="J3447" s="226"/>
      <c r="K3447" s="227"/>
    </row>
    <row r="3448" spans="1:11" x14ac:dyDescent="0.35">
      <c r="A3448" s="225"/>
      <c r="B3448" s="226"/>
      <c r="C3448" s="226"/>
      <c r="D3448" s="226"/>
      <c r="E3448" s="227"/>
      <c r="G3448" s="225"/>
      <c r="H3448" s="226"/>
      <c r="I3448" s="226"/>
      <c r="J3448" s="226"/>
      <c r="K3448" s="227"/>
    </row>
    <row r="3449" spans="1:11" x14ac:dyDescent="0.35">
      <c r="A3449" s="221"/>
      <c r="B3449" s="222"/>
      <c r="C3449" s="222"/>
      <c r="D3449" s="222"/>
      <c r="E3449" s="223"/>
      <c r="G3449" s="221"/>
      <c r="H3449" s="222"/>
      <c r="I3449" s="222"/>
      <c r="J3449" s="222"/>
      <c r="K3449" s="223"/>
    </row>
    <row r="3450" spans="1:11" x14ac:dyDescent="0.35">
      <c r="A3450" s="225"/>
      <c r="B3450" s="226"/>
      <c r="C3450" s="226"/>
      <c r="D3450" s="226"/>
      <c r="E3450" s="227"/>
      <c r="G3450" s="225"/>
      <c r="H3450" s="226"/>
      <c r="I3450" s="226"/>
      <c r="J3450" s="226"/>
      <c r="K3450" s="227"/>
    </row>
    <row r="3451" spans="1:11" ht="15" thickBot="1" x14ac:dyDescent="0.4">
      <c r="A3451" s="218" t="s">
        <v>34</v>
      </c>
      <c r="B3451" s="219">
        <f>SUM(B3446:B3450)</f>
        <v>0</v>
      </c>
      <c r="C3451" s="219">
        <f>SUM(C3446:C3450)</f>
        <v>0</v>
      </c>
      <c r="D3451" s="219">
        <f>SUM(D3446:D3450)</f>
        <v>0</v>
      </c>
      <c r="E3451" s="219">
        <f>SUM(E3446:E3450)</f>
        <v>0</v>
      </c>
      <c r="G3451" s="218" t="s">
        <v>34</v>
      </c>
      <c r="H3451" s="219">
        <f>SUM(H3446:H3450)</f>
        <v>0</v>
      </c>
      <c r="I3451" s="219">
        <f>SUM(I3446:I3450)</f>
        <v>0</v>
      </c>
      <c r="J3451" s="219">
        <f>SUM(J3446:J3450)</f>
        <v>0</v>
      </c>
      <c r="K3451" s="219">
        <f>SUM(K3446:K3450)</f>
        <v>0</v>
      </c>
    </row>
    <row r="3452" spans="1:11" x14ac:dyDescent="0.35">
      <c r="A3452" s="220" t="s">
        <v>305</v>
      </c>
      <c r="B3452" s="220">
        <f>+B3451+C3451+D3451+E3451</f>
        <v>0</v>
      </c>
      <c r="C3452" s="220"/>
      <c r="D3452" s="220"/>
      <c r="E3452" s="220"/>
      <c r="G3452" s="220" t="s">
        <v>305</v>
      </c>
      <c r="H3452" s="220">
        <f>+H3451+I3451+J3451+K3451</f>
        <v>0</v>
      </c>
      <c r="I3452" s="220"/>
      <c r="J3452" s="220"/>
      <c r="K3452" s="220"/>
    </row>
    <row r="3453" spans="1:11" ht="15" thickBot="1" x14ac:dyDescent="0.4">
      <c r="A3453" s="315" t="s">
        <v>298</v>
      </c>
      <c r="B3453" s="315"/>
      <c r="C3453" s="315"/>
      <c r="D3453" s="315"/>
      <c r="E3453" s="315"/>
      <c r="G3453" s="315" t="s">
        <v>314</v>
      </c>
      <c r="H3453" s="315"/>
      <c r="I3453" s="315"/>
      <c r="J3453" s="315"/>
      <c r="K3453" s="315"/>
    </row>
    <row r="3454" spans="1:11" ht="15" thickTop="1" x14ac:dyDescent="0.35">
      <c r="A3454" s="313">
        <v>45633</v>
      </c>
      <c r="B3454" s="314"/>
      <c r="C3454" s="314"/>
      <c r="D3454" s="314"/>
      <c r="E3454" s="314"/>
      <c r="G3454" s="313">
        <v>45633</v>
      </c>
      <c r="H3454" s="314"/>
      <c r="I3454" s="314"/>
      <c r="J3454" s="314"/>
      <c r="K3454" s="314"/>
    </row>
    <row r="3455" spans="1:11" x14ac:dyDescent="0.35">
      <c r="A3455" s="261" t="s">
        <v>159</v>
      </c>
      <c r="B3455" s="262" t="s">
        <v>299</v>
      </c>
      <c r="C3455" s="262" t="s">
        <v>300</v>
      </c>
      <c r="D3455" s="262" t="s">
        <v>301</v>
      </c>
      <c r="E3455" s="263" t="s">
        <v>302</v>
      </c>
      <c r="G3455" s="264" t="s">
        <v>159</v>
      </c>
      <c r="H3455" s="265" t="s">
        <v>299</v>
      </c>
      <c r="I3455" s="265" t="s">
        <v>300</v>
      </c>
      <c r="J3455" s="265" t="s">
        <v>301</v>
      </c>
      <c r="K3455" s="266" t="s">
        <v>302</v>
      </c>
    </row>
    <row r="3456" spans="1:11" x14ac:dyDescent="0.35">
      <c r="A3456" s="221" t="s">
        <v>303</v>
      </c>
      <c r="B3456" s="222"/>
      <c r="C3456" s="222"/>
      <c r="D3456" s="222"/>
      <c r="E3456" s="223"/>
      <c r="G3456" s="221" t="s">
        <v>303</v>
      </c>
      <c r="H3456" s="222"/>
      <c r="I3456" s="222"/>
      <c r="J3456" s="222"/>
      <c r="K3456" s="223"/>
    </row>
    <row r="3457" spans="1:11" x14ac:dyDescent="0.35">
      <c r="A3457" s="225" t="s">
        <v>304</v>
      </c>
      <c r="B3457" s="226"/>
      <c r="C3457" s="226"/>
      <c r="D3457" s="226"/>
      <c r="E3457" s="227"/>
      <c r="G3457" s="225"/>
      <c r="H3457" s="226"/>
      <c r="I3457" s="226"/>
      <c r="J3457" s="226"/>
      <c r="K3457" s="227"/>
    </row>
    <row r="3458" spans="1:11" x14ac:dyDescent="0.35">
      <c r="A3458" s="225"/>
      <c r="B3458" s="226"/>
      <c r="C3458" s="226"/>
      <c r="D3458" s="226"/>
      <c r="E3458" s="227"/>
      <c r="G3458" s="225"/>
      <c r="H3458" s="226"/>
      <c r="I3458" s="226"/>
      <c r="J3458" s="226"/>
      <c r="K3458" s="227"/>
    </row>
    <row r="3459" spans="1:11" x14ac:dyDescent="0.35">
      <c r="A3459" s="221"/>
      <c r="B3459" s="222"/>
      <c r="C3459" s="222"/>
      <c r="D3459" s="222"/>
      <c r="E3459" s="223"/>
      <c r="G3459" s="221"/>
      <c r="H3459" s="222"/>
      <c r="I3459" s="222"/>
      <c r="J3459" s="222"/>
      <c r="K3459" s="223"/>
    </row>
    <row r="3460" spans="1:11" x14ac:dyDescent="0.35">
      <c r="A3460" s="225"/>
      <c r="B3460" s="226"/>
      <c r="C3460" s="226"/>
      <c r="D3460" s="226"/>
      <c r="E3460" s="227"/>
      <c r="G3460" s="225"/>
      <c r="H3460" s="226"/>
      <c r="I3460" s="226"/>
      <c r="J3460" s="226"/>
      <c r="K3460" s="227"/>
    </row>
    <row r="3461" spans="1:11" ht="15" thickBot="1" x14ac:dyDescent="0.4">
      <c r="A3461" s="218" t="s">
        <v>34</v>
      </c>
      <c r="B3461" s="219">
        <f>SUM(B3456:B3460)</f>
        <v>0</v>
      </c>
      <c r="C3461" s="219">
        <f>SUM(C3456:C3460)</f>
        <v>0</v>
      </c>
      <c r="D3461" s="219">
        <f>SUM(D3456:D3460)</f>
        <v>0</v>
      </c>
      <c r="E3461" s="219">
        <f>SUM(E3456:E3460)</f>
        <v>0</v>
      </c>
      <c r="G3461" s="218" t="s">
        <v>34</v>
      </c>
      <c r="H3461" s="219">
        <f>SUM(H3456:H3460)</f>
        <v>0</v>
      </c>
      <c r="I3461" s="219">
        <f>SUM(I3456:I3460)</f>
        <v>0</v>
      </c>
      <c r="J3461" s="219">
        <f>SUM(J3456:J3460)</f>
        <v>0</v>
      </c>
      <c r="K3461" s="219">
        <f>SUM(K3456:K3460)</f>
        <v>0</v>
      </c>
    </row>
    <row r="3462" spans="1:11" x14ac:dyDescent="0.35">
      <c r="A3462" s="220" t="s">
        <v>305</v>
      </c>
      <c r="B3462" s="220">
        <f>+B3461+C3461+D3461+E3461</f>
        <v>0</v>
      </c>
      <c r="C3462" s="220"/>
      <c r="D3462" s="220"/>
      <c r="E3462" s="220"/>
      <c r="G3462" s="220" t="s">
        <v>305</v>
      </c>
      <c r="H3462" s="220">
        <f>+H3461+I3461+J3461+K3461</f>
        <v>0</v>
      </c>
      <c r="I3462" s="220"/>
      <c r="J3462" s="220"/>
      <c r="K3462" s="220"/>
    </row>
    <row r="3463" spans="1:11" ht="15" thickBot="1" x14ac:dyDescent="0.4">
      <c r="A3463" s="315" t="s">
        <v>298</v>
      </c>
      <c r="B3463" s="315"/>
      <c r="C3463" s="315"/>
      <c r="D3463" s="315"/>
      <c r="E3463" s="315"/>
      <c r="G3463" s="315" t="s">
        <v>314</v>
      </c>
      <c r="H3463" s="315"/>
      <c r="I3463" s="315"/>
      <c r="J3463" s="315"/>
      <c r="K3463" s="315"/>
    </row>
    <row r="3464" spans="1:11" ht="15" thickTop="1" x14ac:dyDescent="0.35">
      <c r="A3464" s="313">
        <v>45634</v>
      </c>
      <c r="B3464" s="314"/>
      <c r="C3464" s="314"/>
      <c r="D3464" s="314"/>
      <c r="E3464" s="314"/>
      <c r="G3464" s="313">
        <v>45634</v>
      </c>
      <c r="H3464" s="314"/>
      <c r="I3464" s="314"/>
      <c r="J3464" s="314"/>
      <c r="K3464" s="314"/>
    </row>
    <row r="3465" spans="1:11" x14ac:dyDescent="0.35">
      <c r="A3465" s="261" t="s">
        <v>159</v>
      </c>
      <c r="B3465" s="262" t="s">
        <v>299</v>
      </c>
      <c r="C3465" s="262" t="s">
        <v>300</v>
      </c>
      <c r="D3465" s="262" t="s">
        <v>301</v>
      </c>
      <c r="E3465" s="263" t="s">
        <v>302</v>
      </c>
      <c r="G3465" s="264" t="s">
        <v>159</v>
      </c>
      <c r="H3465" s="265" t="s">
        <v>299</v>
      </c>
      <c r="I3465" s="265" t="s">
        <v>300</v>
      </c>
      <c r="J3465" s="265" t="s">
        <v>301</v>
      </c>
      <c r="K3465" s="266" t="s">
        <v>302</v>
      </c>
    </row>
    <row r="3466" spans="1:11" x14ac:dyDescent="0.35">
      <c r="A3466" s="221" t="s">
        <v>303</v>
      </c>
      <c r="B3466" s="222"/>
      <c r="C3466" s="222"/>
      <c r="D3466" s="222"/>
      <c r="E3466" s="223"/>
      <c r="G3466" s="221" t="s">
        <v>303</v>
      </c>
      <c r="H3466" s="222"/>
      <c r="I3466" s="222"/>
      <c r="J3466" s="222"/>
      <c r="K3466" s="223"/>
    </row>
    <row r="3467" spans="1:11" x14ac:dyDescent="0.35">
      <c r="A3467" s="225" t="s">
        <v>304</v>
      </c>
      <c r="B3467" s="226"/>
      <c r="C3467" s="226"/>
      <c r="D3467" s="226"/>
      <c r="E3467" s="227"/>
      <c r="G3467" s="225"/>
      <c r="H3467" s="226"/>
      <c r="I3467" s="226"/>
      <c r="J3467" s="226"/>
      <c r="K3467" s="227"/>
    </row>
    <row r="3468" spans="1:11" x14ac:dyDescent="0.35">
      <c r="A3468" s="225"/>
      <c r="B3468" s="226"/>
      <c r="C3468" s="226"/>
      <c r="D3468" s="226"/>
      <c r="E3468" s="227"/>
      <c r="G3468" s="225"/>
      <c r="H3468" s="226"/>
      <c r="I3468" s="226"/>
      <c r="J3468" s="226"/>
      <c r="K3468" s="227"/>
    </row>
    <row r="3469" spans="1:11" x14ac:dyDescent="0.35">
      <c r="A3469" s="221"/>
      <c r="B3469" s="222"/>
      <c r="C3469" s="222"/>
      <c r="D3469" s="222"/>
      <c r="E3469" s="223"/>
      <c r="G3469" s="221"/>
      <c r="H3469" s="222"/>
      <c r="I3469" s="222"/>
      <c r="J3469" s="222"/>
      <c r="K3469" s="223"/>
    </row>
    <row r="3470" spans="1:11" x14ac:dyDescent="0.35">
      <c r="A3470" s="225"/>
      <c r="B3470" s="226"/>
      <c r="C3470" s="226"/>
      <c r="D3470" s="226"/>
      <c r="E3470" s="227"/>
      <c r="G3470" s="225"/>
      <c r="H3470" s="226"/>
      <c r="I3470" s="226"/>
      <c r="J3470" s="226"/>
      <c r="K3470" s="227"/>
    </row>
    <row r="3471" spans="1:11" ht="15" thickBot="1" x14ac:dyDescent="0.4">
      <c r="A3471" s="218" t="s">
        <v>34</v>
      </c>
      <c r="B3471" s="219">
        <f>SUM(B3466:B3470)</f>
        <v>0</v>
      </c>
      <c r="C3471" s="219">
        <f>SUM(C3466:C3470)</f>
        <v>0</v>
      </c>
      <c r="D3471" s="219">
        <f>SUM(D3466:D3470)</f>
        <v>0</v>
      </c>
      <c r="E3471" s="219">
        <f>SUM(E3466:E3470)</f>
        <v>0</v>
      </c>
      <c r="G3471" s="218" t="s">
        <v>34</v>
      </c>
      <c r="H3471" s="219">
        <f>SUM(H3466:H3470)</f>
        <v>0</v>
      </c>
      <c r="I3471" s="219">
        <f>SUM(I3466:I3470)</f>
        <v>0</v>
      </c>
      <c r="J3471" s="219">
        <f>SUM(J3466:J3470)</f>
        <v>0</v>
      </c>
      <c r="K3471" s="219">
        <f>SUM(K3466:K3470)</f>
        <v>0</v>
      </c>
    </row>
    <row r="3472" spans="1:11" x14ac:dyDescent="0.35">
      <c r="A3472" s="220" t="s">
        <v>305</v>
      </c>
      <c r="B3472" s="220">
        <f>+B3471+C3471+D3471+E3471</f>
        <v>0</v>
      </c>
      <c r="C3472" s="220"/>
      <c r="D3472" s="220"/>
      <c r="E3472" s="220"/>
      <c r="G3472" s="220" t="s">
        <v>305</v>
      </c>
      <c r="H3472" s="220">
        <f>+H3471+I3471+J3471+K3471</f>
        <v>0</v>
      </c>
      <c r="I3472" s="220"/>
      <c r="J3472" s="220"/>
      <c r="K3472" s="220"/>
    </row>
    <row r="3473" spans="1:11" ht="15" thickBot="1" x14ac:dyDescent="0.4">
      <c r="A3473" s="315" t="s">
        <v>298</v>
      </c>
      <c r="B3473" s="315"/>
      <c r="C3473" s="315"/>
      <c r="D3473" s="315"/>
      <c r="E3473" s="315"/>
      <c r="G3473" s="315" t="s">
        <v>314</v>
      </c>
      <c r="H3473" s="315"/>
      <c r="I3473" s="315"/>
      <c r="J3473" s="315"/>
      <c r="K3473" s="315"/>
    </row>
    <row r="3474" spans="1:11" ht="15" thickTop="1" x14ac:dyDescent="0.35">
      <c r="A3474" s="313">
        <v>45635</v>
      </c>
      <c r="B3474" s="314"/>
      <c r="C3474" s="314"/>
      <c r="D3474" s="314"/>
      <c r="E3474" s="314"/>
      <c r="G3474" s="313">
        <v>45635</v>
      </c>
      <c r="H3474" s="314"/>
      <c r="I3474" s="314"/>
      <c r="J3474" s="314"/>
      <c r="K3474" s="314"/>
    </row>
    <row r="3475" spans="1:11" x14ac:dyDescent="0.35">
      <c r="A3475" s="261" t="s">
        <v>159</v>
      </c>
      <c r="B3475" s="262" t="s">
        <v>299</v>
      </c>
      <c r="C3475" s="262" t="s">
        <v>300</v>
      </c>
      <c r="D3475" s="262" t="s">
        <v>301</v>
      </c>
      <c r="E3475" s="263" t="s">
        <v>302</v>
      </c>
      <c r="G3475" s="264" t="s">
        <v>159</v>
      </c>
      <c r="H3475" s="265" t="s">
        <v>299</v>
      </c>
      <c r="I3475" s="265" t="s">
        <v>300</v>
      </c>
      <c r="J3475" s="265" t="s">
        <v>301</v>
      </c>
      <c r="K3475" s="266" t="s">
        <v>302</v>
      </c>
    </row>
    <row r="3476" spans="1:11" x14ac:dyDescent="0.35">
      <c r="A3476" s="221" t="s">
        <v>303</v>
      </c>
      <c r="B3476" s="222"/>
      <c r="C3476" s="222"/>
      <c r="D3476" s="222"/>
      <c r="E3476" s="223"/>
      <c r="G3476" s="221" t="s">
        <v>303</v>
      </c>
      <c r="H3476" s="222"/>
      <c r="I3476" s="222"/>
      <c r="J3476" s="222"/>
      <c r="K3476" s="223"/>
    </row>
    <row r="3477" spans="1:11" x14ac:dyDescent="0.35">
      <c r="A3477" s="225" t="s">
        <v>304</v>
      </c>
      <c r="B3477" s="226"/>
      <c r="C3477" s="226"/>
      <c r="D3477" s="226"/>
      <c r="E3477" s="227"/>
      <c r="G3477" s="225"/>
      <c r="H3477" s="226"/>
      <c r="I3477" s="226"/>
      <c r="J3477" s="226"/>
      <c r="K3477" s="227"/>
    </row>
    <row r="3478" spans="1:11" x14ac:dyDescent="0.35">
      <c r="A3478" s="225"/>
      <c r="B3478" s="226"/>
      <c r="C3478" s="226"/>
      <c r="D3478" s="226"/>
      <c r="E3478" s="227"/>
      <c r="G3478" s="225"/>
      <c r="H3478" s="226"/>
      <c r="I3478" s="226"/>
      <c r="J3478" s="226"/>
      <c r="K3478" s="227"/>
    </row>
    <row r="3479" spans="1:11" x14ac:dyDescent="0.35">
      <c r="A3479" s="221"/>
      <c r="B3479" s="222"/>
      <c r="C3479" s="222"/>
      <c r="D3479" s="222"/>
      <c r="E3479" s="223"/>
      <c r="G3479" s="221"/>
      <c r="H3479" s="222"/>
      <c r="I3479" s="222"/>
      <c r="J3479" s="222"/>
      <c r="K3479" s="223"/>
    </row>
    <row r="3480" spans="1:11" x14ac:dyDescent="0.35">
      <c r="A3480" s="225"/>
      <c r="B3480" s="226"/>
      <c r="C3480" s="226"/>
      <c r="D3480" s="226"/>
      <c r="E3480" s="227"/>
      <c r="G3480" s="225"/>
      <c r="H3480" s="226"/>
      <c r="I3480" s="226"/>
      <c r="J3480" s="226"/>
      <c r="K3480" s="227"/>
    </row>
    <row r="3481" spans="1:11" ht="15" thickBot="1" x14ac:dyDescent="0.4">
      <c r="A3481" s="218" t="s">
        <v>34</v>
      </c>
      <c r="B3481" s="219">
        <f>SUM(B3476:B3480)</f>
        <v>0</v>
      </c>
      <c r="C3481" s="219">
        <f>SUM(C3476:C3480)</f>
        <v>0</v>
      </c>
      <c r="D3481" s="219">
        <f>SUM(D3476:D3480)</f>
        <v>0</v>
      </c>
      <c r="E3481" s="219">
        <f>SUM(E3476:E3480)</f>
        <v>0</v>
      </c>
      <c r="G3481" s="218" t="s">
        <v>34</v>
      </c>
      <c r="H3481" s="219">
        <f>SUM(H3476:H3480)</f>
        <v>0</v>
      </c>
      <c r="I3481" s="219">
        <f>SUM(I3476:I3480)</f>
        <v>0</v>
      </c>
      <c r="J3481" s="219">
        <f>SUM(J3476:J3480)</f>
        <v>0</v>
      </c>
      <c r="K3481" s="219">
        <f>SUM(K3476:K3480)</f>
        <v>0</v>
      </c>
    </row>
    <row r="3482" spans="1:11" x14ac:dyDescent="0.35">
      <c r="A3482" s="220" t="s">
        <v>305</v>
      </c>
      <c r="B3482" s="220">
        <f>+B3481+C3481+D3481+E3481</f>
        <v>0</v>
      </c>
      <c r="C3482" s="220"/>
      <c r="D3482" s="220"/>
      <c r="E3482" s="220"/>
      <c r="G3482" s="220" t="s">
        <v>305</v>
      </c>
      <c r="H3482" s="220">
        <f>+H3481+I3481+J3481+K3481</f>
        <v>0</v>
      </c>
      <c r="I3482" s="220"/>
      <c r="J3482" s="220"/>
      <c r="K3482" s="220"/>
    </row>
    <row r="3483" spans="1:11" ht="15" thickBot="1" x14ac:dyDescent="0.4">
      <c r="A3483" s="315" t="s">
        <v>298</v>
      </c>
      <c r="B3483" s="315"/>
      <c r="C3483" s="315"/>
      <c r="D3483" s="315"/>
      <c r="E3483" s="315"/>
      <c r="G3483" s="315" t="s">
        <v>314</v>
      </c>
      <c r="H3483" s="315"/>
      <c r="I3483" s="315"/>
      <c r="J3483" s="315"/>
      <c r="K3483" s="315"/>
    </row>
    <row r="3484" spans="1:11" ht="15" thickTop="1" x14ac:dyDescent="0.35">
      <c r="A3484" s="313">
        <v>45636</v>
      </c>
      <c r="B3484" s="314"/>
      <c r="C3484" s="314"/>
      <c r="D3484" s="314"/>
      <c r="E3484" s="314"/>
      <c r="G3484" s="313">
        <v>45636</v>
      </c>
      <c r="H3484" s="314"/>
      <c r="I3484" s="314"/>
      <c r="J3484" s="314"/>
      <c r="K3484" s="314"/>
    </row>
    <row r="3485" spans="1:11" x14ac:dyDescent="0.35">
      <c r="A3485" s="261" t="s">
        <v>159</v>
      </c>
      <c r="B3485" s="262" t="s">
        <v>299</v>
      </c>
      <c r="C3485" s="262" t="s">
        <v>300</v>
      </c>
      <c r="D3485" s="262" t="s">
        <v>301</v>
      </c>
      <c r="E3485" s="263" t="s">
        <v>302</v>
      </c>
      <c r="G3485" s="264" t="s">
        <v>159</v>
      </c>
      <c r="H3485" s="265" t="s">
        <v>299</v>
      </c>
      <c r="I3485" s="265" t="s">
        <v>300</v>
      </c>
      <c r="J3485" s="265" t="s">
        <v>301</v>
      </c>
      <c r="K3485" s="266" t="s">
        <v>302</v>
      </c>
    </row>
    <row r="3486" spans="1:11" x14ac:dyDescent="0.35">
      <c r="A3486" s="221" t="s">
        <v>303</v>
      </c>
      <c r="B3486" s="222"/>
      <c r="C3486" s="222"/>
      <c r="D3486" s="222"/>
      <c r="E3486" s="223"/>
      <c r="G3486" s="221" t="s">
        <v>303</v>
      </c>
      <c r="H3486" s="222"/>
      <c r="I3486" s="222"/>
      <c r="J3486" s="222"/>
      <c r="K3486" s="223"/>
    </row>
    <row r="3487" spans="1:11" x14ac:dyDescent="0.35">
      <c r="A3487" s="225" t="s">
        <v>304</v>
      </c>
      <c r="B3487" s="226"/>
      <c r="C3487" s="226"/>
      <c r="D3487" s="226"/>
      <c r="E3487" s="227"/>
      <c r="G3487" s="225"/>
      <c r="H3487" s="226"/>
      <c r="I3487" s="226"/>
      <c r="J3487" s="226"/>
      <c r="K3487" s="227"/>
    </row>
    <row r="3488" spans="1:11" x14ac:dyDescent="0.35">
      <c r="A3488" s="225"/>
      <c r="B3488" s="226"/>
      <c r="C3488" s="226"/>
      <c r="D3488" s="226"/>
      <c r="E3488" s="227"/>
      <c r="G3488" s="225"/>
      <c r="H3488" s="226"/>
      <c r="I3488" s="226"/>
      <c r="J3488" s="226"/>
      <c r="K3488" s="227"/>
    </row>
    <row r="3489" spans="1:11" x14ac:dyDescent="0.35">
      <c r="A3489" s="221"/>
      <c r="B3489" s="222"/>
      <c r="C3489" s="222"/>
      <c r="D3489" s="222"/>
      <c r="E3489" s="223"/>
      <c r="G3489" s="221"/>
      <c r="H3489" s="222"/>
      <c r="I3489" s="222"/>
      <c r="J3489" s="222"/>
      <c r="K3489" s="223"/>
    </row>
    <row r="3490" spans="1:11" x14ac:dyDescent="0.35">
      <c r="A3490" s="225"/>
      <c r="B3490" s="226"/>
      <c r="C3490" s="226"/>
      <c r="D3490" s="226"/>
      <c r="E3490" s="227"/>
      <c r="G3490" s="225"/>
      <c r="H3490" s="226"/>
      <c r="I3490" s="226"/>
      <c r="J3490" s="226"/>
      <c r="K3490" s="227"/>
    </row>
    <row r="3491" spans="1:11" ht="15" thickBot="1" x14ac:dyDescent="0.4">
      <c r="A3491" s="218" t="s">
        <v>34</v>
      </c>
      <c r="B3491" s="219">
        <f>SUM(B3486:B3490)</f>
        <v>0</v>
      </c>
      <c r="C3491" s="219">
        <f>SUM(C3486:C3490)</f>
        <v>0</v>
      </c>
      <c r="D3491" s="219">
        <f>SUM(D3486:D3490)</f>
        <v>0</v>
      </c>
      <c r="E3491" s="219">
        <f>SUM(E3486:E3490)</f>
        <v>0</v>
      </c>
      <c r="G3491" s="218" t="s">
        <v>34</v>
      </c>
      <c r="H3491" s="219">
        <f>SUM(H3486:H3490)</f>
        <v>0</v>
      </c>
      <c r="I3491" s="219">
        <f>SUM(I3486:I3490)</f>
        <v>0</v>
      </c>
      <c r="J3491" s="219">
        <f>SUM(J3486:J3490)</f>
        <v>0</v>
      </c>
      <c r="K3491" s="219">
        <f>SUM(K3486:K3490)</f>
        <v>0</v>
      </c>
    </row>
    <row r="3492" spans="1:11" x14ac:dyDescent="0.35">
      <c r="A3492" s="220" t="s">
        <v>305</v>
      </c>
      <c r="B3492" s="220">
        <f>+B3491+C3491+D3491+E3491</f>
        <v>0</v>
      </c>
      <c r="C3492" s="220"/>
      <c r="D3492" s="220"/>
      <c r="E3492" s="220"/>
      <c r="G3492" s="220" t="s">
        <v>305</v>
      </c>
      <c r="H3492" s="220">
        <f>+H3491+I3491+J3491+K3491</f>
        <v>0</v>
      </c>
      <c r="I3492" s="220"/>
      <c r="J3492" s="220"/>
      <c r="K3492" s="220"/>
    </row>
    <row r="3493" spans="1:11" ht="15" thickBot="1" x14ac:dyDescent="0.4">
      <c r="A3493" s="315" t="s">
        <v>298</v>
      </c>
      <c r="B3493" s="315"/>
      <c r="C3493" s="315"/>
      <c r="D3493" s="315"/>
      <c r="E3493" s="315"/>
      <c r="G3493" s="315" t="s">
        <v>314</v>
      </c>
      <c r="H3493" s="315"/>
      <c r="I3493" s="315"/>
      <c r="J3493" s="315"/>
      <c r="K3493" s="315"/>
    </row>
    <row r="3494" spans="1:11" ht="15" thickTop="1" x14ac:dyDescent="0.35">
      <c r="A3494" s="313">
        <v>45637</v>
      </c>
      <c r="B3494" s="314"/>
      <c r="C3494" s="314"/>
      <c r="D3494" s="314"/>
      <c r="E3494" s="314"/>
      <c r="G3494" s="313">
        <v>45637</v>
      </c>
      <c r="H3494" s="314"/>
      <c r="I3494" s="314"/>
      <c r="J3494" s="314"/>
      <c r="K3494" s="314"/>
    </row>
    <row r="3495" spans="1:11" x14ac:dyDescent="0.35">
      <c r="A3495" s="261" t="s">
        <v>159</v>
      </c>
      <c r="B3495" s="262" t="s">
        <v>299</v>
      </c>
      <c r="C3495" s="262" t="s">
        <v>300</v>
      </c>
      <c r="D3495" s="262" t="s">
        <v>301</v>
      </c>
      <c r="E3495" s="263" t="s">
        <v>302</v>
      </c>
      <c r="G3495" s="264" t="s">
        <v>159</v>
      </c>
      <c r="H3495" s="265" t="s">
        <v>299</v>
      </c>
      <c r="I3495" s="265" t="s">
        <v>300</v>
      </c>
      <c r="J3495" s="265" t="s">
        <v>301</v>
      </c>
      <c r="K3495" s="266" t="s">
        <v>302</v>
      </c>
    </row>
    <row r="3496" spans="1:11" x14ac:dyDescent="0.35">
      <c r="A3496" s="221" t="s">
        <v>303</v>
      </c>
      <c r="B3496" s="222"/>
      <c r="C3496" s="222"/>
      <c r="D3496" s="222"/>
      <c r="E3496" s="223"/>
      <c r="G3496" s="221" t="s">
        <v>303</v>
      </c>
      <c r="H3496" s="222"/>
      <c r="I3496" s="222"/>
      <c r="J3496" s="222"/>
      <c r="K3496" s="223"/>
    </row>
    <row r="3497" spans="1:11" x14ac:dyDescent="0.35">
      <c r="A3497" s="225" t="s">
        <v>304</v>
      </c>
      <c r="B3497" s="226"/>
      <c r="C3497" s="226"/>
      <c r="D3497" s="226"/>
      <c r="E3497" s="227"/>
      <c r="G3497" s="225"/>
      <c r="H3497" s="226"/>
      <c r="I3497" s="226"/>
      <c r="J3497" s="226"/>
      <c r="K3497" s="227"/>
    </row>
    <row r="3498" spans="1:11" x14ac:dyDescent="0.35">
      <c r="A3498" s="225"/>
      <c r="B3498" s="226"/>
      <c r="C3498" s="226"/>
      <c r="D3498" s="226"/>
      <c r="E3498" s="227"/>
      <c r="G3498" s="225"/>
      <c r="H3498" s="226"/>
      <c r="I3498" s="226"/>
      <c r="J3498" s="226"/>
      <c r="K3498" s="227"/>
    </row>
    <row r="3499" spans="1:11" x14ac:dyDescent="0.35">
      <c r="A3499" s="221"/>
      <c r="B3499" s="222"/>
      <c r="C3499" s="222"/>
      <c r="D3499" s="222"/>
      <c r="E3499" s="223"/>
      <c r="G3499" s="221"/>
      <c r="H3499" s="222"/>
      <c r="I3499" s="222"/>
      <c r="J3499" s="222"/>
      <c r="K3499" s="223"/>
    </row>
    <row r="3500" spans="1:11" x14ac:dyDescent="0.35">
      <c r="A3500" s="225"/>
      <c r="B3500" s="226"/>
      <c r="C3500" s="226"/>
      <c r="D3500" s="226"/>
      <c r="E3500" s="227"/>
      <c r="G3500" s="225"/>
      <c r="H3500" s="226"/>
      <c r="I3500" s="226"/>
      <c r="J3500" s="226"/>
      <c r="K3500" s="227"/>
    </row>
    <row r="3501" spans="1:11" ht="15" thickBot="1" x14ac:dyDescent="0.4">
      <c r="A3501" s="218" t="s">
        <v>34</v>
      </c>
      <c r="B3501" s="219">
        <f>SUM(B3496:B3500)</f>
        <v>0</v>
      </c>
      <c r="C3501" s="219">
        <f>SUM(C3496:C3500)</f>
        <v>0</v>
      </c>
      <c r="D3501" s="219">
        <f>SUM(D3496:D3500)</f>
        <v>0</v>
      </c>
      <c r="E3501" s="219">
        <f>SUM(E3496:E3500)</f>
        <v>0</v>
      </c>
      <c r="G3501" s="218" t="s">
        <v>34</v>
      </c>
      <c r="H3501" s="219">
        <f>SUM(H3496:H3500)</f>
        <v>0</v>
      </c>
      <c r="I3501" s="219">
        <f>SUM(I3496:I3500)</f>
        <v>0</v>
      </c>
      <c r="J3501" s="219">
        <f>SUM(J3496:J3500)</f>
        <v>0</v>
      </c>
      <c r="K3501" s="219">
        <f>SUM(K3496:K3500)</f>
        <v>0</v>
      </c>
    </row>
    <row r="3502" spans="1:11" x14ac:dyDescent="0.35">
      <c r="A3502" s="220" t="s">
        <v>305</v>
      </c>
      <c r="B3502" s="220">
        <f>+B3501+C3501+D3501+E3501</f>
        <v>0</v>
      </c>
      <c r="C3502" s="220"/>
      <c r="D3502" s="220"/>
      <c r="E3502" s="220"/>
      <c r="G3502" s="220" t="s">
        <v>305</v>
      </c>
      <c r="H3502" s="220">
        <f>+H3501+I3501+J3501+K3501</f>
        <v>0</v>
      </c>
      <c r="I3502" s="220"/>
      <c r="J3502" s="220"/>
      <c r="K3502" s="220"/>
    </row>
    <row r="3503" spans="1:11" ht="15" thickBot="1" x14ac:dyDescent="0.4">
      <c r="A3503" s="315" t="s">
        <v>298</v>
      </c>
      <c r="B3503" s="315"/>
      <c r="C3503" s="315"/>
      <c r="D3503" s="315"/>
      <c r="E3503" s="315"/>
      <c r="G3503" s="315" t="s">
        <v>314</v>
      </c>
      <c r="H3503" s="315"/>
      <c r="I3503" s="315"/>
      <c r="J3503" s="315"/>
      <c r="K3503" s="315"/>
    </row>
    <row r="3504" spans="1:11" ht="15" thickTop="1" x14ac:dyDescent="0.35">
      <c r="A3504" s="313">
        <v>45638</v>
      </c>
      <c r="B3504" s="314"/>
      <c r="C3504" s="314"/>
      <c r="D3504" s="314"/>
      <c r="E3504" s="314"/>
      <c r="G3504" s="313">
        <v>45638</v>
      </c>
      <c r="H3504" s="314"/>
      <c r="I3504" s="314"/>
      <c r="J3504" s="314"/>
      <c r="K3504" s="314"/>
    </row>
    <row r="3505" spans="1:11" x14ac:dyDescent="0.35">
      <c r="A3505" s="261" t="s">
        <v>159</v>
      </c>
      <c r="B3505" s="262" t="s">
        <v>299</v>
      </c>
      <c r="C3505" s="262" t="s">
        <v>300</v>
      </c>
      <c r="D3505" s="262" t="s">
        <v>301</v>
      </c>
      <c r="E3505" s="263" t="s">
        <v>302</v>
      </c>
      <c r="G3505" s="264" t="s">
        <v>159</v>
      </c>
      <c r="H3505" s="265" t="s">
        <v>299</v>
      </c>
      <c r="I3505" s="265" t="s">
        <v>300</v>
      </c>
      <c r="J3505" s="265" t="s">
        <v>301</v>
      </c>
      <c r="K3505" s="266" t="s">
        <v>302</v>
      </c>
    </row>
    <row r="3506" spans="1:11" x14ac:dyDescent="0.35">
      <c r="A3506" s="221" t="s">
        <v>303</v>
      </c>
      <c r="B3506" s="222"/>
      <c r="C3506" s="222"/>
      <c r="D3506" s="222"/>
      <c r="E3506" s="223"/>
      <c r="G3506" s="221" t="s">
        <v>303</v>
      </c>
      <c r="H3506" s="222"/>
      <c r="I3506" s="222"/>
      <c r="J3506" s="222"/>
      <c r="K3506" s="223"/>
    </row>
    <row r="3507" spans="1:11" x14ac:dyDescent="0.35">
      <c r="A3507" s="225" t="s">
        <v>304</v>
      </c>
      <c r="B3507" s="226"/>
      <c r="C3507" s="226"/>
      <c r="D3507" s="226"/>
      <c r="E3507" s="227"/>
      <c r="G3507" s="225"/>
      <c r="H3507" s="226"/>
      <c r="I3507" s="226"/>
      <c r="J3507" s="226"/>
      <c r="K3507" s="227"/>
    </row>
    <row r="3508" spans="1:11" x14ac:dyDescent="0.35">
      <c r="A3508" s="225"/>
      <c r="B3508" s="226"/>
      <c r="C3508" s="226"/>
      <c r="D3508" s="226"/>
      <c r="E3508" s="227"/>
      <c r="G3508" s="225"/>
      <c r="H3508" s="226"/>
      <c r="I3508" s="226"/>
      <c r="J3508" s="226"/>
      <c r="K3508" s="227"/>
    </row>
    <row r="3509" spans="1:11" x14ac:dyDescent="0.35">
      <c r="A3509" s="221"/>
      <c r="B3509" s="222"/>
      <c r="C3509" s="222"/>
      <c r="D3509" s="222"/>
      <c r="E3509" s="223"/>
      <c r="G3509" s="221"/>
      <c r="H3509" s="222"/>
      <c r="I3509" s="222"/>
      <c r="J3509" s="222"/>
      <c r="K3509" s="223"/>
    </row>
    <row r="3510" spans="1:11" x14ac:dyDescent="0.35">
      <c r="A3510" s="225"/>
      <c r="B3510" s="226"/>
      <c r="C3510" s="226"/>
      <c r="D3510" s="226"/>
      <c r="E3510" s="227"/>
      <c r="G3510" s="225"/>
      <c r="H3510" s="226"/>
      <c r="I3510" s="226"/>
      <c r="J3510" s="226"/>
      <c r="K3510" s="227"/>
    </row>
    <row r="3511" spans="1:11" ht="15" thickBot="1" x14ac:dyDescent="0.4">
      <c r="A3511" s="218" t="s">
        <v>34</v>
      </c>
      <c r="B3511" s="219">
        <f>SUM(B3506:B3510)</f>
        <v>0</v>
      </c>
      <c r="C3511" s="219">
        <f>SUM(C3506:C3510)</f>
        <v>0</v>
      </c>
      <c r="D3511" s="219">
        <f>SUM(D3506:D3510)</f>
        <v>0</v>
      </c>
      <c r="E3511" s="219">
        <f>SUM(E3506:E3510)</f>
        <v>0</v>
      </c>
      <c r="G3511" s="218" t="s">
        <v>34</v>
      </c>
      <c r="H3511" s="219">
        <f>SUM(H3506:H3510)</f>
        <v>0</v>
      </c>
      <c r="I3511" s="219">
        <f>SUM(I3506:I3510)</f>
        <v>0</v>
      </c>
      <c r="J3511" s="219">
        <f>SUM(J3506:J3510)</f>
        <v>0</v>
      </c>
      <c r="K3511" s="219">
        <f>SUM(K3506:K3510)</f>
        <v>0</v>
      </c>
    </row>
    <row r="3512" spans="1:11" x14ac:dyDescent="0.35">
      <c r="A3512" s="220" t="s">
        <v>305</v>
      </c>
      <c r="B3512" s="220">
        <f>+B3511+C3511+D3511+E3511</f>
        <v>0</v>
      </c>
      <c r="C3512" s="220"/>
      <c r="D3512" s="220"/>
      <c r="E3512" s="220"/>
      <c r="G3512" s="220" t="s">
        <v>305</v>
      </c>
      <c r="H3512" s="220">
        <f>+H3511+I3511+J3511+K3511</f>
        <v>0</v>
      </c>
      <c r="I3512" s="220"/>
      <c r="J3512" s="220"/>
      <c r="K3512" s="220"/>
    </row>
    <row r="3513" spans="1:11" ht="15" thickBot="1" x14ac:dyDescent="0.4">
      <c r="A3513" s="315" t="s">
        <v>298</v>
      </c>
      <c r="B3513" s="315"/>
      <c r="C3513" s="315"/>
      <c r="D3513" s="315"/>
      <c r="E3513" s="315"/>
      <c r="G3513" s="315" t="s">
        <v>314</v>
      </c>
      <c r="H3513" s="315"/>
      <c r="I3513" s="315"/>
      <c r="J3513" s="315"/>
      <c r="K3513" s="315"/>
    </row>
    <row r="3514" spans="1:11" ht="15" thickTop="1" x14ac:dyDescent="0.35">
      <c r="A3514" s="313">
        <v>45639</v>
      </c>
      <c r="B3514" s="314"/>
      <c r="C3514" s="314"/>
      <c r="D3514" s="314"/>
      <c r="E3514" s="314"/>
      <c r="G3514" s="313">
        <v>45639</v>
      </c>
      <c r="H3514" s="314"/>
      <c r="I3514" s="314"/>
      <c r="J3514" s="314"/>
      <c r="K3514" s="314"/>
    </row>
    <row r="3515" spans="1:11" x14ac:dyDescent="0.35">
      <c r="A3515" s="261" t="s">
        <v>159</v>
      </c>
      <c r="B3515" s="262" t="s">
        <v>299</v>
      </c>
      <c r="C3515" s="262" t="s">
        <v>300</v>
      </c>
      <c r="D3515" s="262" t="s">
        <v>301</v>
      </c>
      <c r="E3515" s="263" t="s">
        <v>302</v>
      </c>
      <c r="G3515" s="264" t="s">
        <v>159</v>
      </c>
      <c r="H3515" s="265" t="s">
        <v>299</v>
      </c>
      <c r="I3515" s="265" t="s">
        <v>300</v>
      </c>
      <c r="J3515" s="265" t="s">
        <v>301</v>
      </c>
      <c r="K3515" s="266" t="s">
        <v>302</v>
      </c>
    </row>
    <row r="3516" spans="1:11" x14ac:dyDescent="0.35">
      <c r="A3516" s="221" t="s">
        <v>303</v>
      </c>
      <c r="B3516" s="222"/>
      <c r="C3516" s="222"/>
      <c r="D3516" s="222"/>
      <c r="E3516" s="223"/>
      <c r="G3516" s="221" t="s">
        <v>303</v>
      </c>
      <c r="H3516" s="222"/>
      <c r="I3516" s="222"/>
      <c r="J3516" s="222"/>
      <c r="K3516" s="223"/>
    </row>
    <row r="3517" spans="1:11" x14ac:dyDescent="0.35">
      <c r="A3517" s="225" t="s">
        <v>304</v>
      </c>
      <c r="B3517" s="226"/>
      <c r="C3517" s="226"/>
      <c r="D3517" s="226"/>
      <c r="E3517" s="227"/>
      <c r="G3517" s="225"/>
      <c r="H3517" s="226"/>
      <c r="I3517" s="226"/>
      <c r="J3517" s="226"/>
      <c r="K3517" s="227"/>
    </row>
    <row r="3518" spans="1:11" x14ac:dyDescent="0.35">
      <c r="A3518" s="225"/>
      <c r="B3518" s="226"/>
      <c r="C3518" s="226"/>
      <c r="D3518" s="226"/>
      <c r="E3518" s="227"/>
      <c r="G3518" s="225"/>
      <c r="H3518" s="226"/>
      <c r="I3518" s="226"/>
      <c r="J3518" s="226"/>
      <c r="K3518" s="227"/>
    </row>
    <row r="3519" spans="1:11" x14ac:dyDescent="0.35">
      <c r="A3519" s="221"/>
      <c r="B3519" s="222"/>
      <c r="C3519" s="222"/>
      <c r="D3519" s="222"/>
      <c r="E3519" s="223"/>
      <c r="G3519" s="221"/>
      <c r="H3519" s="222"/>
      <c r="I3519" s="222"/>
      <c r="J3519" s="222"/>
      <c r="K3519" s="223"/>
    </row>
    <row r="3520" spans="1:11" x14ac:dyDescent="0.35">
      <c r="A3520" s="225"/>
      <c r="B3520" s="226"/>
      <c r="C3520" s="226"/>
      <c r="D3520" s="226"/>
      <c r="E3520" s="227"/>
      <c r="G3520" s="225"/>
      <c r="H3520" s="226"/>
      <c r="I3520" s="226"/>
      <c r="J3520" s="226"/>
      <c r="K3520" s="227"/>
    </row>
    <row r="3521" spans="1:11" ht="15" thickBot="1" x14ac:dyDescent="0.4">
      <c r="A3521" s="218" t="s">
        <v>34</v>
      </c>
      <c r="B3521" s="219">
        <f>SUM(B3516:B3520)</f>
        <v>0</v>
      </c>
      <c r="C3521" s="219">
        <f>SUM(C3516:C3520)</f>
        <v>0</v>
      </c>
      <c r="D3521" s="219">
        <f>SUM(D3516:D3520)</f>
        <v>0</v>
      </c>
      <c r="E3521" s="219">
        <f>SUM(E3516:E3520)</f>
        <v>0</v>
      </c>
      <c r="G3521" s="218" t="s">
        <v>34</v>
      </c>
      <c r="H3521" s="219">
        <f>SUM(H3516:H3520)</f>
        <v>0</v>
      </c>
      <c r="I3521" s="219">
        <f>SUM(I3516:I3520)</f>
        <v>0</v>
      </c>
      <c r="J3521" s="219">
        <f>SUM(J3516:J3520)</f>
        <v>0</v>
      </c>
      <c r="K3521" s="219">
        <f>SUM(K3516:K3520)</f>
        <v>0</v>
      </c>
    </row>
    <row r="3522" spans="1:11" x14ac:dyDescent="0.35">
      <c r="A3522" s="220" t="s">
        <v>305</v>
      </c>
      <c r="B3522" s="220">
        <f>+B3521+C3521+D3521+E3521</f>
        <v>0</v>
      </c>
      <c r="C3522" s="220"/>
      <c r="D3522" s="220"/>
      <c r="E3522" s="220"/>
      <c r="G3522" s="220" t="s">
        <v>305</v>
      </c>
      <c r="H3522" s="220">
        <f>+H3521+I3521+J3521+K3521</f>
        <v>0</v>
      </c>
      <c r="I3522" s="220"/>
      <c r="J3522" s="220"/>
      <c r="K3522" s="220"/>
    </row>
    <row r="3523" spans="1:11" ht="15" thickBot="1" x14ac:dyDescent="0.4">
      <c r="A3523" s="315" t="s">
        <v>298</v>
      </c>
      <c r="B3523" s="315"/>
      <c r="C3523" s="315"/>
      <c r="D3523" s="315"/>
      <c r="E3523" s="315"/>
      <c r="G3523" s="315" t="s">
        <v>314</v>
      </c>
      <c r="H3523" s="315"/>
      <c r="I3523" s="315"/>
      <c r="J3523" s="315"/>
      <c r="K3523" s="315"/>
    </row>
    <row r="3524" spans="1:11" ht="15" thickTop="1" x14ac:dyDescent="0.35">
      <c r="A3524" s="313">
        <v>45640</v>
      </c>
      <c r="B3524" s="314"/>
      <c r="C3524" s="314"/>
      <c r="D3524" s="314"/>
      <c r="E3524" s="314"/>
      <c r="G3524" s="313">
        <v>45640</v>
      </c>
      <c r="H3524" s="314"/>
      <c r="I3524" s="314"/>
      <c r="J3524" s="314"/>
      <c r="K3524" s="314"/>
    </row>
    <row r="3525" spans="1:11" x14ac:dyDescent="0.35">
      <c r="A3525" s="261" t="s">
        <v>159</v>
      </c>
      <c r="B3525" s="262" t="s">
        <v>299</v>
      </c>
      <c r="C3525" s="262" t="s">
        <v>300</v>
      </c>
      <c r="D3525" s="262" t="s">
        <v>301</v>
      </c>
      <c r="E3525" s="263" t="s">
        <v>302</v>
      </c>
      <c r="G3525" s="264" t="s">
        <v>159</v>
      </c>
      <c r="H3525" s="265" t="s">
        <v>299</v>
      </c>
      <c r="I3525" s="265" t="s">
        <v>300</v>
      </c>
      <c r="J3525" s="265" t="s">
        <v>301</v>
      </c>
      <c r="K3525" s="266" t="s">
        <v>302</v>
      </c>
    </row>
    <row r="3526" spans="1:11" x14ac:dyDescent="0.35">
      <c r="A3526" s="221" t="s">
        <v>303</v>
      </c>
      <c r="B3526" s="222"/>
      <c r="C3526" s="222"/>
      <c r="D3526" s="222"/>
      <c r="E3526" s="223"/>
      <c r="G3526" s="221" t="s">
        <v>303</v>
      </c>
      <c r="H3526" s="222"/>
      <c r="I3526" s="222"/>
      <c r="J3526" s="222"/>
      <c r="K3526" s="223"/>
    </row>
    <row r="3527" spans="1:11" x14ac:dyDescent="0.35">
      <c r="A3527" s="225" t="s">
        <v>304</v>
      </c>
      <c r="B3527" s="226"/>
      <c r="C3527" s="226"/>
      <c r="D3527" s="226"/>
      <c r="E3527" s="227"/>
      <c r="G3527" s="225"/>
      <c r="H3527" s="226"/>
      <c r="I3527" s="226"/>
      <c r="J3527" s="226"/>
      <c r="K3527" s="227"/>
    </row>
    <row r="3528" spans="1:11" x14ac:dyDescent="0.35">
      <c r="A3528" s="225"/>
      <c r="B3528" s="226"/>
      <c r="C3528" s="226"/>
      <c r="D3528" s="226"/>
      <c r="E3528" s="227"/>
      <c r="G3528" s="225"/>
      <c r="H3528" s="226"/>
      <c r="I3528" s="226"/>
      <c r="J3528" s="226"/>
      <c r="K3528" s="227"/>
    </row>
    <row r="3529" spans="1:11" x14ac:dyDescent="0.35">
      <c r="A3529" s="221"/>
      <c r="B3529" s="222"/>
      <c r="C3529" s="222"/>
      <c r="D3529" s="222"/>
      <c r="E3529" s="223"/>
      <c r="G3529" s="221"/>
      <c r="H3529" s="222"/>
      <c r="I3529" s="222"/>
      <c r="J3529" s="222"/>
      <c r="K3529" s="223"/>
    </row>
    <row r="3530" spans="1:11" x14ac:dyDescent="0.35">
      <c r="A3530" s="225"/>
      <c r="B3530" s="226"/>
      <c r="C3530" s="226"/>
      <c r="D3530" s="226"/>
      <c r="E3530" s="227"/>
      <c r="G3530" s="225"/>
      <c r="H3530" s="226"/>
      <c r="I3530" s="226"/>
      <c r="J3530" s="226"/>
      <c r="K3530" s="227"/>
    </row>
    <row r="3531" spans="1:11" ht="15" thickBot="1" x14ac:dyDescent="0.4">
      <c r="A3531" s="218" t="s">
        <v>34</v>
      </c>
      <c r="B3531" s="219">
        <f>SUM(B3526:B3530)</f>
        <v>0</v>
      </c>
      <c r="C3531" s="219">
        <f>SUM(C3526:C3530)</f>
        <v>0</v>
      </c>
      <c r="D3531" s="219">
        <f>SUM(D3526:D3530)</f>
        <v>0</v>
      </c>
      <c r="E3531" s="219">
        <f>SUM(E3526:E3530)</f>
        <v>0</v>
      </c>
      <c r="G3531" s="218" t="s">
        <v>34</v>
      </c>
      <c r="H3531" s="219">
        <f>SUM(H3526:H3530)</f>
        <v>0</v>
      </c>
      <c r="I3531" s="219">
        <f>SUM(I3526:I3530)</f>
        <v>0</v>
      </c>
      <c r="J3531" s="219">
        <f>SUM(J3526:J3530)</f>
        <v>0</v>
      </c>
      <c r="K3531" s="219">
        <f>SUM(K3526:K3530)</f>
        <v>0</v>
      </c>
    </row>
    <row r="3532" spans="1:11" x14ac:dyDescent="0.35">
      <c r="A3532" s="220" t="s">
        <v>305</v>
      </c>
      <c r="B3532" s="220">
        <f>+B3531+C3531+D3531+E3531</f>
        <v>0</v>
      </c>
      <c r="C3532" s="220"/>
      <c r="D3532" s="220"/>
      <c r="E3532" s="220"/>
      <c r="G3532" s="220" t="s">
        <v>305</v>
      </c>
      <c r="H3532" s="220">
        <f>+H3531+I3531+J3531+K3531</f>
        <v>0</v>
      </c>
      <c r="I3532" s="220"/>
      <c r="J3532" s="220"/>
      <c r="K3532" s="220"/>
    </row>
    <row r="3533" spans="1:11" ht="15" thickBot="1" x14ac:dyDescent="0.4">
      <c r="A3533" s="315" t="s">
        <v>298</v>
      </c>
      <c r="B3533" s="315"/>
      <c r="C3533" s="315"/>
      <c r="D3533" s="315"/>
      <c r="E3533" s="315"/>
      <c r="G3533" s="315" t="s">
        <v>314</v>
      </c>
      <c r="H3533" s="315"/>
      <c r="I3533" s="315"/>
      <c r="J3533" s="315"/>
      <c r="K3533" s="315"/>
    </row>
    <row r="3534" spans="1:11" ht="15" thickTop="1" x14ac:dyDescent="0.35">
      <c r="A3534" s="313">
        <v>45641</v>
      </c>
      <c r="B3534" s="314"/>
      <c r="C3534" s="314"/>
      <c r="D3534" s="314"/>
      <c r="E3534" s="314"/>
      <c r="G3534" s="313">
        <v>45641</v>
      </c>
      <c r="H3534" s="314"/>
      <c r="I3534" s="314"/>
      <c r="J3534" s="314"/>
      <c r="K3534" s="314"/>
    </row>
    <row r="3535" spans="1:11" x14ac:dyDescent="0.35">
      <c r="A3535" s="261" t="s">
        <v>159</v>
      </c>
      <c r="B3535" s="262" t="s">
        <v>299</v>
      </c>
      <c r="C3535" s="262" t="s">
        <v>300</v>
      </c>
      <c r="D3535" s="262" t="s">
        <v>301</v>
      </c>
      <c r="E3535" s="263" t="s">
        <v>302</v>
      </c>
      <c r="G3535" s="264" t="s">
        <v>159</v>
      </c>
      <c r="H3535" s="265" t="s">
        <v>299</v>
      </c>
      <c r="I3535" s="265" t="s">
        <v>300</v>
      </c>
      <c r="J3535" s="265" t="s">
        <v>301</v>
      </c>
      <c r="K3535" s="266" t="s">
        <v>302</v>
      </c>
    </row>
    <row r="3536" spans="1:11" x14ac:dyDescent="0.35">
      <c r="A3536" s="221" t="s">
        <v>303</v>
      </c>
      <c r="B3536" s="222"/>
      <c r="C3536" s="222"/>
      <c r="D3536" s="222"/>
      <c r="E3536" s="223"/>
      <c r="G3536" s="221" t="s">
        <v>303</v>
      </c>
      <c r="H3536" s="222"/>
      <c r="I3536" s="222"/>
      <c r="J3536" s="222"/>
      <c r="K3536" s="223"/>
    </row>
    <row r="3537" spans="1:11" x14ac:dyDescent="0.35">
      <c r="A3537" s="225" t="s">
        <v>304</v>
      </c>
      <c r="B3537" s="226"/>
      <c r="C3537" s="226"/>
      <c r="D3537" s="226"/>
      <c r="E3537" s="227"/>
      <c r="G3537" s="225"/>
      <c r="H3537" s="226"/>
      <c r="I3537" s="226"/>
      <c r="J3537" s="226"/>
      <c r="K3537" s="227"/>
    </row>
    <row r="3538" spans="1:11" x14ac:dyDescent="0.35">
      <c r="A3538" s="225"/>
      <c r="B3538" s="226"/>
      <c r="C3538" s="226"/>
      <c r="D3538" s="226"/>
      <c r="E3538" s="227"/>
      <c r="G3538" s="225"/>
      <c r="H3538" s="226"/>
      <c r="I3538" s="226"/>
      <c r="J3538" s="226"/>
      <c r="K3538" s="227"/>
    </row>
    <row r="3539" spans="1:11" x14ac:dyDescent="0.35">
      <c r="A3539" s="221"/>
      <c r="B3539" s="222"/>
      <c r="C3539" s="222"/>
      <c r="D3539" s="222"/>
      <c r="E3539" s="223"/>
      <c r="G3539" s="221"/>
      <c r="H3539" s="222"/>
      <c r="I3539" s="222"/>
      <c r="J3539" s="222"/>
      <c r="K3539" s="223"/>
    </row>
    <row r="3540" spans="1:11" x14ac:dyDescent="0.35">
      <c r="A3540" s="225"/>
      <c r="B3540" s="226"/>
      <c r="C3540" s="226"/>
      <c r="D3540" s="226"/>
      <c r="E3540" s="227"/>
      <c r="G3540" s="225"/>
      <c r="H3540" s="226"/>
      <c r="I3540" s="226"/>
      <c r="J3540" s="226"/>
      <c r="K3540" s="227"/>
    </row>
    <row r="3541" spans="1:11" ht="15" thickBot="1" x14ac:dyDescent="0.4">
      <c r="A3541" s="218" t="s">
        <v>34</v>
      </c>
      <c r="B3541" s="219">
        <f>SUM(B3536:B3540)</f>
        <v>0</v>
      </c>
      <c r="C3541" s="219">
        <f>SUM(C3536:C3540)</f>
        <v>0</v>
      </c>
      <c r="D3541" s="219">
        <f>SUM(D3536:D3540)</f>
        <v>0</v>
      </c>
      <c r="E3541" s="219">
        <f>SUM(E3536:E3540)</f>
        <v>0</v>
      </c>
      <c r="G3541" s="218" t="s">
        <v>34</v>
      </c>
      <c r="H3541" s="219">
        <f>SUM(H3536:H3540)</f>
        <v>0</v>
      </c>
      <c r="I3541" s="219">
        <f>SUM(I3536:I3540)</f>
        <v>0</v>
      </c>
      <c r="J3541" s="219">
        <f>SUM(J3536:J3540)</f>
        <v>0</v>
      </c>
      <c r="K3541" s="219">
        <f>SUM(K3536:K3540)</f>
        <v>0</v>
      </c>
    </row>
    <row r="3542" spans="1:11" x14ac:dyDescent="0.35">
      <c r="A3542" s="220" t="s">
        <v>305</v>
      </c>
      <c r="B3542" s="220">
        <f>+B3541+C3541+D3541+E3541</f>
        <v>0</v>
      </c>
      <c r="C3542" s="220"/>
      <c r="D3542" s="220"/>
      <c r="E3542" s="220"/>
      <c r="G3542" s="220" t="s">
        <v>305</v>
      </c>
      <c r="H3542" s="220">
        <f>+H3541+I3541+J3541+K3541</f>
        <v>0</v>
      </c>
      <c r="I3542" s="220"/>
      <c r="J3542" s="220"/>
      <c r="K3542" s="220"/>
    </row>
    <row r="3543" spans="1:11" ht="15" thickBot="1" x14ac:dyDescent="0.4">
      <c r="A3543" s="315" t="s">
        <v>298</v>
      </c>
      <c r="B3543" s="315"/>
      <c r="C3543" s="315"/>
      <c r="D3543" s="315"/>
      <c r="E3543" s="315"/>
      <c r="G3543" s="315" t="s">
        <v>314</v>
      </c>
      <c r="H3543" s="315"/>
      <c r="I3543" s="315"/>
      <c r="J3543" s="315"/>
      <c r="K3543" s="315"/>
    </row>
    <row r="3544" spans="1:11" ht="15" thickTop="1" x14ac:dyDescent="0.35">
      <c r="A3544" s="313">
        <v>45642</v>
      </c>
      <c r="B3544" s="314"/>
      <c r="C3544" s="314"/>
      <c r="D3544" s="314"/>
      <c r="E3544" s="314"/>
      <c r="G3544" s="313">
        <v>45642</v>
      </c>
      <c r="H3544" s="314"/>
      <c r="I3544" s="314"/>
      <c r="J3544" s="314"/>
      <c r="K3544" s="314"/>
    </row>
    <row r="3545" spans="1:11" x14ac:dyDescent="0.35">
      <c r="A3545" s="261" t="s">
        <v>159</v>
      </c>
      <c r="B3545" s="262" t="s">
        <v>299</v>
      </c>
      <c r="C3545" s="262" t="s">
        <v>300</v>
      </c>
      <c r="D3545" s="262" t="s">
        <v>301</v>
      </c>
      <c r="E3545" s="263" t="s">
        <v>302</v>
      </c>
      <c r="G3545" s="264" t="s">
        <v>159</v>
      </c>
      <c r="H3545" s="265" t="s">
        <v>299</v>
      </c>
      <c r="I3545" s="265" t="s">
        <v>300</v>
      </c>
      <c r="J3545" s="265" t="s">
        <v>301</v>
      </c>
      <c r="K3545" s="266" t="s">
        <v>302</v>
      </c>
    </row>
    <row r="3546" spans="1:11" x14ac:dyDescent="0.35">
      <c r="A3546" s="221" t="s">
        <v>303</v>
      </c>
      <c r="B3546" s="222"/>
      <c r="C3546" s="222"/>
      <c r="D3546" s="222"/>
      <c r="E3546" s="223"/>
      <c r="G3546" s="221" t="s">
        <v>303</v>
      </c>
      <c r="H3546" s="222"/>
      <c r="I3546" s="222"/>
      <c r="J3546" s="222"/>
      <c r="K3546" s="223"/>
    </row>
    <row r="3547" spans="1:11" x14ac:dyDescent="0.35">
      <c r="A3547" s="225" t="s">
        <v>304</v>
      </c>
      <c r="B3547" s="226"/>
      <c r="C3547" s="226"/>
      <c r="D3547" s="226"/>
      <c r="E3547" s="227"/>
      <c r="G3547" s="225"/>
      <c r="H3547" s="226"/>
      <c r="I3547" s="226"/>
      <c r="J3547" s="226"/>
      <c r="K3547" s="227"/>
    </row>
    <row r="3548" spans="1:11" x14ac:dyDescent="0.35">
      <c r="A3548" s="225"/>
      <c r="B3548" s="226"/>
      <c r="C3548" s="226"/>
      <c r="D3548" s="226"/>
      <c r="E3548" s="227"/>
      <c r="G3548" s="225"/>
      <c r="H3548" s="226"/>
      <c r="I3548" s="226"/>
      <c r="J3548" s="226"/>
      <c r="K3548" s="227"/>
    </row>
    <row r="3549" spans="1:11" x14ac:dyDescent="0.35">
      <c r="A3549" s="221"/>
      <c r="B3549" s="222"/>
      <c r="C3549" s="222"/>
      <c r="D3549" s="222"/>
      <c r="E3549" s="223"/>
      <c r="G3549" s="221"/>
      <c r="H3549" s="222"/>
      <c r="I3549" s="222"/>
      <c r="J3549" s="222"/>
      <c r="K3549" s="223"/>
    </row>
    <row r="3550" spans="1:11" x14ac:dyDescent="0.35">
      <c r="A3550" s="225"/>
      <c r="B3550" s="226"/>
      <c r="C3550" s="226"/>
      <c r="D3550" s="226"/>
      <c r="E3550" s="227"/>
      <c r="G3550" s="225"/>
      <c r="H3550" s="226"/>
      <c r="I3550" s="226"/>
      <c r="J3550" s="226"/>
      <c r="K3550" s="227"/>
    </row>
    <row r="3551" spans="1:11" ht="15" thickBot="1" x14ac:dyDescent="0.4">
      <c r="A3551" s="218" t="s">
        <v>34</v>
      </c>
      <c r="B3551" s="219">
        <f>SUM(B3546:B3550)</f>
        <v>0</v>
      </c>
      <c r="C3551" s="219">
        <f>SUM(C3546:C3550)</f>
        <v>0</v>
      </c>
      <c r="D3551" s="219">
        <f>SUM(D3546:D3550)</f>
        <v>0</v>
      </c>
      <c r="E3551" s="219">
        <f>SUM(E3546:E3550)</f>
        <v>0</v>
      </c>
      <c r="G3551" s="218" t="s">
        <v>34</v>
      </c>
      <c r="H3551" s="219">
        <f>SUM(H3546:H3550)</f>
        <v>0</v>
      </c>
      <c r="I3551" s="219">
        <f>SUM(I3546:I3550)</f>
        <v>0</v>
      </c>
      <c r="J3551" s="219">
        <f>SUM(J3546:J3550)</f>
        <v>0</v>
      </c>
      <c r="K3551" s="219">
        <f>SUM(K3546:K3550)</f>
        <v>0</v>
      </c>
    </row>
    <row r="3552" spans="1:11" x14ac:dyDescent="0.35">
      <c r="A3552" s="220" t="s">
        <v>305</v>
      </c>
      <c r="B3552" s="220">
        <f>+B3551+C3551+D3551+E3551</f>
        <v>0</v>
      </c>
      <c r="C3552" s="220"/>
      <c r="D3552" s="220"/>
      <c r="E3552" s="220"/>
      <c r="G3552" s="220" t="s">
        <v>305</v>
      </c>
      <c r="H3552" s="220">
        <f>+H3551+I3551+J3551+K3551</f>
        <v>0</v>
      </c>
      <c r="I3552" s="220"/>
      <c r="J3552" s="220"/>
      <c r="K3552" s="220"/>
    </row>
    <row r="3553" spans="1:11" ht="15" thickBot="1" x14ac:dyDescent="0.4">
      <c r="A3553" s="315" t="s">
        <v>298</v>
      </c>
      <c r="B3553" s="315"/>
      <c r="C3553" s="315"/>
      <c r="D3553" s="315"/>
      <c r="E3553" s="315"/>
      <c r="G3553" s="315" t="s">
        <v>314</v>
      </c>
      <c r="H3553" s="315"/>
      <c r="I3553" s="315"/>
      <c r="J3553" s="315"/>
      <c r="K3553" s="315"/>
    </row>
    <row r="3554" spans="1:11" ht="15" thickTop="1" x14ac:dyDescent="0.35">
      <c r="A3554" s="313">
        <v>45643</v>
      </c>
      <c r="B3554" s="314"/>
      <c r="C3554" s="314"/>
      <c r="D3554" s="314"/>
      <c r="E3554" s="314"/>
      <c r="G3554" s="313">
        <v>45643</v>
      </c>
      <c r="H3554" s="314"/>
      <c r="I3554" s="314"/>
      <c r="J3554" s="314"/>
      <c r="K3554" s="314"/>
    </row>
    <row r="3555" spans="1:11" x14ac:dyDescent="0.35">
      <c r="A3555" s="261" t="s">
        <v>159</v>
      </c>
      <c r="B3555" s="262" t="s">
        <v>299</v>
      </c>
      <c r="C3555" s="262" t="s">
        <v>300</v>
      </c>
      <c r="D3555" s="262" t="s">
        <v>301</v>
      </c>
      <c r="E3555" s="263" t="s">
        <v>302</v>
      </c>
      <c r="G3555" s="264" t="s">
        <v>159</v>
      </c>
      <c r="H3555" s="265" t="s">
        <v>299</v>
      </c>
      <c r="I3555" s="265" t="s">
        <v>300</v>
      </c>
      <c r="J3555" s="265" t="s">
        <v>301</v>
      </c>
      <c r="K3555" s="266" t="s">
        <v>302</v>
      </c>
    </row>
    <row r="3556" spans="1:11" x14ac:dyDescent="0.35">
      <c r="A3556" s="221" t="s">
        <v>303</v>
      </c>
      <c r="B3556" s="222"/>
      <c r="C3556" s="222"/>
      <c r="D3556" s="222"/>
      <c r="E3556" s="223"/>
      <c r="G3556" s="221" t="s">
        <v>303</v>
      </c>
      <c r="H3556" s="222"/>
      <c r="I3556" s="222"/>
      <c r="J3556" s="222"/>
      <c r="K3556" s="223"/>
    </row>
    <row r="3557" spans="1:11" x14ac:dyDescent="0.35">
      <c r="A3557" s="225" t="s">
        <v>304</v>
      </c>
      <c r="B3557" s="226"/>
      <c r="C3557" s="226"/>
      <c r="D3557" s="226"/>
      <c r="E3557" s="227"/>
      <c r="G3557" s="225"/>
      <c r="H3557" s="226"/>
      <c r="I3557" s="226"/>
      <c r="J3557" s="226"/>
      <c r="K3557" s="227"/>
    </row>
    <row r="3558" spans="1:11" x14ac:dyDescent="0.35">
      <c r="A3558" s="225"/>
      <c r="B3558" s="226"/>
      <c r="C3558" s="226"/>
      <c r="D3558" s="226"/>
      <c r="E3558" s="227"/>
      <c r="G3558" s="225"/>
      <c r="H3558" s="226"/>
      <c r="I3558" s="226"/>
      <c r="J3558" s="226"/>
      <c r="K3558" s="227"/>
    </row>
    <row r="3559" spans="1:11" x14ac:dyDescent="0.35">
      <c r="A3559" s="221"/>
      <c r="B3559" s="222"/>
      <c r="C3559" s="222"/>
      <c r="D3559" s="222"/>
      <c r="E3559" s="223"/>
      <c r="G3559" s="221"/>
      <c r="H3559" s="222"/>
      <c r="I3559" s="222"/>
      <c r="J3559" s="222"/>
      <c r="K3559" s="223"/>
    </row>
    <row r="3560" spans="1:11" x14ac:dyDescent="0.35">
      <c r="A3560" s="225"/>
      <c r="B3560" s="226"/>
      <c r="C3560" s="226"/>
      <c r="D3560" s="226"/>
      <c r="E3560" s="227"/>
      <c r="G3560" s="225"/>
      <c r="H3560" s="226"/>
      <c r="I3560" s="226"/>
      <c r="J3560" s="226"/>
      <c r="K3560" s="227"/>
    </row>
    <row r="3561" spans="1:11" ht="15" thickBot="1" x14ac:dyDescent="0.4">
      <c r="A3561" s="218" t="s">
        <v>34</v>
      </c>
      <c r="B3561" s="219">
        <f>SUM(B3556:B3560)</f>
        <v>0</v>
      </c>
      <c r="C3561" s="219">
        <f>SUM(C3556:C3560)</f>
        <v>0</v>
      </c>
      <c r="D3561" s="219">
        <f>SUM(D3556:D3560)</f>
        <v>0</v>
      </c>
      <c r="E3561" s="219">
        <f>SUM(E3556:E3560)</f>
        <v>0</v>
      </c>
      <c r="G3561" s="218" t="s">
        <v>34</v>
      </c>
      <c r="H3561" s="219">
        <f>SUM(H3556:H3560)</f>
        <v>0</v>
      </c>
      <c r="I3561" s="219">
        <f>SUM(I3556:I3560)</f>
        <v>0</v>
      </c>
      <c r="J3561" s="219">
        <f>SUM(J3556:J3560)</f>
        <v>0</v>
      </c>
      <c r="K3561" s="219">
        <f>SUM(K3556:K3560)</f>
        <v>0</v>
      </c>
    </row>
    <row r="3562" spans="1:11" x14ac:dyDescent="0.35">
      <c r="A3562" s="220" t="s">
        <v>305</v>
      </c>
      <c r="B3562" s="220">
        <f>+B3561+C3561+D3561+E3561</f>
        <v>0</v>
      </c>
      <c r="C3562" s="220"/>
      <c r="D3562" s="220"/>
      <c r="E3562" s="220"/>
      <c r="G3562" s="220" t="s">
        <v>305</v>
      </c>
      <c r="H3562" s="220">
        <f>+H3561+I3561+J3561+K3561</f>
        <v>0</v>
      </c>
      <c r="I3562" s="220"/>
      <c r="J3562" s="220"/>
      <c r="K3562" s="220"/>
    </row>
    <row r="3563" spans="1:11" ht="15" thickBot="1" x14ac:dyDescent="0.4">
      <c r="A3563" s="315" t="s">
        <v>298</v>
      </c>
      <c r="B3563" s="315"/>
      <c r="C3563" s="315"/>
      <c r="D3563" s="315"/>
      <c r="E3563" s="315"/>
      <c r="G3563" s="315" t="s">
        <v>314</v>
      </c>
      <c r="H3563" s="315"/>
      <c r="I3563" s="315"/>
      <c r="J3563" s="315"/>
      <c r="K3563" s="315"/>
    </row>
    <row r="3564" spans="1:11" ht="15" thickTop="1" x14ac:dyDescent="0.35">
      <c r="A3564" s="313">
        <v>45644</v>
      </c>
      <c r="B3564" s="314"/>
      <c r="C3564" s="314"/>
      <c r="D3564" s="314"/>
      <c r="E3564" s="314"/>
      <c r="G3564" s="313">
        <v>45644</v>
      </c>
      <c r="H3564" s="314"/>
      <c r="I3564" s="314"/>
      <c r="J3564" s="314"/>
      <c r="K3564" s="314"/>
    </row>
    <row r="3565" spans="1:11" x14ac:dyDescent="0.35">
      <c r="A3565" s="261" t="s">
        <v>159</v>
      </c>
      <c r="B3565" s="262" t="s">
        <v>299</v>
      </c>
      <c r="C3565" s="262" t="s">
        <v>300</v>
      </c>
      <c r="D3565" s="262" t="s">
        <v>301</v>
      </c>
      <c r="E3565" s="263" t="s">
        <v>302</v>
      </c>
      <c r="G3565" s="264" t="s">
        <v>159</v>
      </c>
      <c r="H3565" s="265" t="s">
        <v>299</v>
      </c>
      <c r="I3565" s="265" t="s">
        <v>300</v>
      </c>
      <c r="J3565" s="265" t="s">
        <v>301</v>
      </c>
      <c r="K3565" s="266" t="s">
        <v>302</v>
      </c>
    </row>
    <row r="3566" spans="1:11" x14ac:dyDescent="0.35">
      <c r="A3566" s="221" t="s">
        <v>303</v>
      </c>
      <c r="B3566" s="222"/>
      <c r="C3566" s="222"/>
      <c r="D3566" s="222"/>
      <c r="E3566" s="223"/>
      <c r="G3566" s="221" t="s">
        <v>303</v>
      </c>
      <c r="H3566" s="222"/>
      <c r="I3566" s="222"/>
      <c r="J3566" s="222"/>
      <c r="K3566" s="223"/>
    </row>
    <row r="3567" spans="1:11" x14ac:dyDescent="0.35">
      <c r="A3567" s="225" t="s">
        <v>304</v>
      </c>
      <c r="B3567" s="226"/>
      <c r="C3567" s="226"/>
      <c r="D3567" s="226"/>
      <c r="E3567" s="227"/>
      <c r="G3567" s="225"/>
      <c r="H3567" s="226"/>
      <c r="I3567" s="226"/>
      <c r="J3567" s="226"/>
      <c r="K3567" s="227"/>
    </row>
    <row r="3568" spans="1:11" x14ac:dyDescent="0.35">
      <c r="A3568" s="225"/>
      <c r="B3568" s="226"/>
      <c r="C3568" s="226"/>
      <c r="D3568" s="226"/>
      <c r="E3568" s="227"/>
      <c r="G3568" s="225"/>
      <c r="H3568" s="226"/>
      <c r="I3568" s="226"/>
      <c r="J3568" s="226"/>
      <c r="K3568" s="227"/>
    </row>
    <row r="3569" spans="1:11" x14ac:dyDescent="0.35">
      <c r="A3569" s="221"/>
      <c r="B3569" s="222"/>
      <c r="C3569" s="222"/>
      <c r="D3569" s="222"/>
      <c r="E3569" s="223"/>
      <c r="G3569" s="221"/>
      <c r="H3569" s="222"/>
      <c r="I3569" s="222"/>
      <c r="J3569" s="222"/>
      <c r="K3569" s="223"/>
    </row>
    <row r="3570" spans="1:11" x14ac:dyDescent="0.35">
      <c r="A3570" s="225"/>
      <c r="B3570" s="226"/>
      <c r="C3570" s="226"/>
      <c r="D3570" s="226"/>
      <c r="E3570" s="227"/>
      <c r="G3570" s="225"/>
      <c r="H3570" s="226"/>
      <c r="I3570" s="226"/>
      <c r="J3570" s="226"/>
      <c r="K3570" s="227"/>
    </row>
    <row r="3571" spans="1:11" ht="15" thickBot="1" x14ac:dyDescent="0.4">
      <c r="A3571" s="218" t="s">
        <v>34</v>
      </c>
      <c r="B3571" s="219">
        <f>SUM(B3566:B3570)</f>
        <v>0</v>
      </c>
      <c r="C3571" s="219">
        <f>SUM(C3566:C3570)</f>
        <v>0</v>
      </c>
      <c r="D3571" s="219">
        <f>SUM(D3566:D3570)</f>
        <v>0</v>
      </c>
      <c r="E3571" s="219">
        <f>SUM(E3566:E3570)</f>
        <v>0</v>
      </c>
      <c r="G3571" s="218" t="s">
        <v>34</v>
      </c>
      <c r="H3571" s="219">
        <f>SUM(H3566:H3570)</f>
        <v>0</v>
      </c>
      <c r="I3571" s="219">
        <f>SUM(I3566:I3570)</f>
        <v>0</v>
      </c>
      <c r="J3571" s="219">
        <f>SUM(J3566:J3570)</f>
        <v>0</v>
      </c>
      <c r="K3571" s="219">
        <f>SUM(K3566:K3570)</f>
        <v>0</v>
      </c>
    </row>
    <row r="3572" spans="1:11" x14ac:dyDescent="0.35">
      <c r="A3572" s="220" t="s">
        <v>305</v>
      </c>
      <c r="B3572" s="220">
        <f>+B3571+C3571+D3571+E3571</f>
        <v>0</v>
      </c>
      <c r="C3572" s="220"/>
      <c r="D3572" s="220"/>
      <c r="E3572" s="220"/>
      <c r="G3572" s="220" t="s">
        <v>305</v>
      </c>
      <c r="H3572" s="220">
        <f>+H3571+I3571+J3571+K3571</f>
        <v>0</v>
      </c>
      <c r="I3572" s="220"/>
      <c r="J3572" s="220"/>
      <c r="K3572" s="220"/>
    </row>
    <row r="3573" spans="1:11" ht="15" thickBot="1" x14ac:dyDescent="0.4">
      <c r="A3573" s="315" t="s">
        <v>298</v>
      </c>
      <c r="B3573" s="315"/>
      <c r="C3573" s="315"/>
      <c r="D3573" s="315"/>
      <c r="E3573" s="315"/>
      <c r="G3573" s="315" t="s">
        <v>314</v>
      </c>
      <c r="H3573" s="315"/>
      <c r="I3573" s="315"/>
      <c r="J3573" s="315"/>
      <c r="K3573" s="315"/>
    </row>
    <row r="3574" spans="1:11" ht="15" thickTop="1" x14ac:dyDescent="0.35">
      <c r="A3574" s="313">
        <v>45645</v>
      </c>
      <c r="B3574" s="314"/>
      <c r="C3574" s="314"/>
      <c r="D3574" s="314"/>
      <c r="E3574" s="314"/>
      <c r="G3574" s="313">
        <v>45645</v>
      </c>
      <c r="H3574" s="314"/>
      <c r="I3574" s="314"/>
      <c r="J3574" s="314"/>
      <c r="K3574" s="314"/>
    </row>
    <row r="3575" spans="1:11" x14ac:dyDescent="0.35">
      <c r="A3575" s="261" t="s">
        <v>159</v>
      </c>
      <c r="B3575" s="262" t="s">
        <v>299</v>
      </c>
      <c r="C3575" s="262" t="s">
        <v>300</v>
      </c>
      <c r="D3575" s="262" t="s">
        <v>301</v>
      </c>
      <c r="E3575" s="263" t="s">
        <v>302</v>
      </c>
      <c r="G3575" s="264" t="s">
        <v>159</v>
      </c>
      <c r="H3575" s="265" t="s">
        <v>299</v>
      </c>
      <c r="I3575" s="265" t="s">
        <v>300</v>
      </c>
      <c r="J3575" s="265" t="s">
        <v>301</v>
      </c>
      <c r="K3575" s="266" t="s">
        <v>302</v>
      </c>
    </row>
    <row r="3576" spans="1:11" x14ac:dyDescent="0.35">
      <c r="A3576" s="221" t="s">
        <v>303</v>
      </c>
      <c r="B3576" s="222"/>
      <c r="C3576" s="222"/>
      <c r="D3576" s="222"/>
      <c r="E3576" s="223"/>
      <c r="G3576" s="221" t="s">
        <v>303</v>
      </c>
      <c r="H3576" s="222"/>
      <c r="I3576" s="222"/>
      <c r="J3576" s="222"/>
      <c r="K3576" s="223"/>
    </row>
    <row r="3577" spans="1:11" x14ac:dyDescent="0.35">
      <c r="A3577" s="225" t="s">
        <v>304</v>
      </c>
      <c r="B3577" s="226"/>
      <c r="C3577" s="226"/>
      <c r="D3577" s="226"/>
      <c r="E3577" s="227"/>
      <c r="G3577" s="225"/>
      <c r="H3577" s="226"/>
      <c r="I3577" s="226"/>
      <c r="J3577" s="226"/>
      <c r="K3577" s="227"/>
    </row>
    <row r="3578" spans="1:11" x14ac:dyDescent="0.35">
      <c r="A3578" s="225"/>
      <c r="B3578" s="226"/>
      <c r="C3578" s="226"/>
      <c r="D3578" s="226"/>
      <c r="E3578" s="227"/>
      <c r="G3578" s="225"/>
      <c r="H3578" s="226"/>
      <c r="I3578" s="226"/>
      <c r="J3578" s="226"/>
      <c r="K3578" s="227"/>
    </row>
    <row r="3579" spans="1:11" x14ac:dyDescent="0.35">
      <c r="A3579" s="221"/>
      <c r="B3579" s="222"/>
      <c r="C3579" s="222"/>
      <c r="D3579" s="222"/>
      <c r="E3579" s="223"/>
      <c r="G3579" s="221"/>
      <c r="H3579" s="222"/>
      <c r="I3579" s="222"/>
      <c r="J3579" s="222"/>
      <c r="K3579" s="223"/>
    </row>
    <row r="3580" spans="1:11" x14ac:dyDescent="0.35">
      <c r="A3580" s="225"/>
      <c r="B3580" s="226"/>
      <c r="C3580" s="226"/>
      <c r="D3580" s="226"/>
      <c r="E3580" s="227"/>
      <c r="G3580" s="225"/>
      <c r="H3580" s="226"/>
      <c r="I3580" s="226"/>
      <c r="J3580" s="226"/>
      <c r="K3580" s="227"/>
    </row>
    <row r="3581" spans="1:11" ht="15" thickBot="1" x14ac:dyDescent="0.4">
      <c r="A3581" s="218" t="s">
        <v>34</v>
      </c>
      <c r="B3581" s="219">
        <f>SUM(B3576:B3580)</f>
        <v>0</v>
      </c>
      <c r="C3581" s="219">
        <f>SUM(C3576:C3580)</f>
        <v>0</v>
      </c>
      <c r="D3581" s="219">
        <f>SUM(D3576:D3580)</f>
        <v>0</v>
      </c>
      <c r="E3581" s="219">
        <f>SUM(E3576:E3580)</f>
        <v>0</v>
      </c>
      <c r="G3581" s="218" t="s">
        <v>34</v>
      </c>
      <c r="H3581" s="219">
        <f>SUM(H3576:H3580)</f>
        <v>0</v>
      </c>
      <c r="I3581" s="219">
        <f>SUM(I3576:I3580)</f>
        <v>0</v>
      </c>
      <c r="J3581" s="219">
        <f>SUM(J3576:J3580)</f>
        <v>0</v>
      </c>
      <c r="K3581" s="219">
        <f>SUM(K3576:K3580)</f>
        <v>0</v>
      </c>
    </row>
    <row r="3582" spans="1:11" x14ac:dyDescent="0.35">
      <c r="A3582" s="220" t="s">
        <v>305</v>
      </c>
      <c r="B3582" s="220">
        <f>+B3581+C3581+D3581+E3581</f>
        <v>0</v>
      </c>
      <c r="C3582" s="220"/>
      <c r="D3582" s="220"/>
      <c r="E3582" s="220"/>
      <c r="G3582" s="220" t="s">
        <v>305</v>
      </c>
      <c r="H3582" s="220">
        <f>+H3581+I3581+J3581+K3581</f>
        <v>0</v>
      </c>
      <c r="I3582" s="220"/>
      <c r="J3582" s="220"/>
      <c r="K3582" s="220"/>
    </row>
    <row r="3583" spans="1:11" ht="15" thickBot="1" x14ac:dyDescent="0.4">
      <c r="A3583" s="315" t="s">
        <v>298</v>
      </c>
      <c r="B3583" s="315"/>
      <c r="C3583" s="315"/>
      <c r="D3583" s="315"/>
      <c r="E3583" s="315"/>
      <c r="G3583" s="315" t="s">
        <v>314</v>
      </c>
      <c r="H3583" s="315"/>
      <c r="I3583" s="315"/>
      <c r="J3583" s="315"/>
      <c r="K3583" s="315"/>
    </row>
    <row r="3584" spans="1:11" ht="15" thickTop="1" x14ac:dyDescent="0.35">
      <c r="A3584" s="313">
        <v>45646</v>
      </c>
      <c r="B3584" s="314"/>
      <c r="C3584" s="314"/>
      <c r="D3584" s="314"/>
      <c r="E3584" s="314"/>
      <c r="G3584" s="313">
        <v>45646</v>
      </c>
      <c r="H3584" s="314"/>
      <c r="I3584" s="314"/>
      <c r="J3584" s="314"/>
      <c r="K3584" s="314"/>
    </row>
    <row r="3585" spans="1:11" x14ac:dyDescent="0.35">
      <c r="A3585" s="261" t="s">
        <v>159</v>
      </c>
      <c r="B3585" s="262" t="s">
        <v>299</v>
      </c>
      <c r="C3585" s="262" t="s">
        <v>300</v>
      </c>
      <c r="D3585" s="262" t="s">
        <v>301</v>
      </c>
      <c r="E3585" s="263" t="s">
        <v>302</v>
      </c>
      <c r="G3585" s="264" t="s">
        <v>159</v>
      </c>
      <c r="H3585" s="265" t="s">
        <v>299</v>
      </c>
      <c r="I3585" s="265" t="s">
        <v>300</v>
      </c>
      <c r="J3585" s="265" t="s">
        <v>301</v>
      </c>
      <c r="K3585" s="266" t="s">
        <v>302</v>
      </c>
    </row>
    <row r="3586" spans="1:11" x14ac:dyDescent="0.35">
      <c r="A3586" s="221" t="s">
        <v>303</v>
      </c>
      <c r="B3586" s="222"/>
      <c r="C3586" s="222"/>
      <c r="D3586" s="222"/>
      <c r="E3586" s="223"/>
      <c r="G3586" s="221" t="s">
        <v>303</v>
      </c>
      <c r="H3586" s="222"/>
      <c r="I3586" s="222"/>
      <c r="J3586" s="222"/>
      <c r="K3586" s="223"/>
    </row>
    <row r="3587" spans="1:11" x14ac:dyDescent="0.35">
      <c r="A3587" s="225" t="s">
        <v>304</v>
      </c>
      <c r="B3587" s="226"/>
      <c r="C3587" s="226"/>
      <c r="D3587" s="226"/>
      <c r="E3587" s="227"/>
      <c r="G3587" s="225"/>
      <c r="H3587" s="226"/>
      <c r="I3587" s="226"/>
      <c r="J3587" s="226"/>
      <c r="K3587" s="227"/>
    </row>
    <row r="3588" spans="1:11" x14ac:dyDescent="0.35">
      <c r="A3588" s="225"/>
      <c r="B3588" s="226"/>
      <c r="C3588" s="226"/>
      <c r="D3588" s="226"/>
      <c r="E3588" s="227"/>
      <c r="G3588" s="225"/>
      <c r="H3588" s="226"/>
      <c r="I3588" s="226"/>
      <c r="J3588" s="226"/>
      <c r="K3588" s="227"/>
    </row>
    <row r="3589" spans="1:11" x14ac:dyDescent="0.35">
      <c r="A3589" s="221"/>
      <c r="B3589" s="222"/>
      <c r="C3589" s="222"/>
      <c r="D3589" s="222"/>
      <c r="E3589" s="223"/>
      <c r="G3589" s="221"/>
      <c r="H3589" s="222"/>
      <c r="I3589" s="222"/>
      <c r="J3589" s="222"/>
      <c r="K3589" s="223"/>
    </row>
    <row r="3590" spans="1:11" x14ac:dyDescent="0.35">
      <c r="A3590" s="225"/>
      <c r="B3590" s="226"/>
      <c r="C3590" s="226"/>
      <c r="D3590" s="226"/>
      <c r="E3590" s="227"/>
      <c r="G3590" s="225"/>
      <c r="H3590" s="226"/>
      <c r="I3590" s="226"/>
      <c r="J3590" s="226"/>
      <c r="K3590" s="227"/>
    </row>
    <row r="3591" spans="1:11" ht="15" thickBot="1" x14ac:dyDescent="0.4">
      <c r="A3591" s="218" t="s">
        <v>34</v>
      </c>
      <c r="B3591" s="219">
        <f>SUM(B3586:B3590)</f>
        <v>0</v>
      </c>
      <c r="C3591" s="219">
        <f>SUM(C3586:C3590)</f>
        <v>0</v>
      </c>
      <c r="D3591" s="219">
        <f>SUM(D3586:D3590)</f>
        <v>0</v>
      </c>
      <c r="E3591" s="219">
        <f>SUM(E3586:E3590)</f>
        <v>0</v>
      </c>
      <c r="G3591" s="218" t="s">
        <v>34</v>
      </c>
      <c r="H3591" s="219">
        <f>SUM(H3586:H3590)</f>
        <v>0</v>
      </c>
      <c r="I3591" s="219">
        <f>SUM(I3586:I3590)</f>
        <v>0</v>
      </c>
      <c r="J3591" s="219">
        <f>SUM(J3586:J3590)</f>
        <v>0</v>
      </c>
      <c r="K3591" s="219">
        <f>SUM(K3586:K3590)</f>
        <v>0</v>
      </c>
    </row>
    <row r="3592" spans="1:11" x14ac:dyDescent="0.35">
      <c r="A3592" s="220" t="s">
        <v>305</v>
      </c>
      <c r="B3592" s="220">
        <f>+B3591+C3591+D3591+E3591</f>
        <v>0</v>
      </c>
      <c r="C3592" s="220"/>
      <c r="D3592" s="220"/>
      <c r="E3592" s="220"/>
      <c r="G3592" s="220" t="s">
        <v>305</v>
      </c>
      <c r="H3592" s="220">
        <f>+H3591+I3591+J3591+K3591</f>
        <v>0</v>
      </c>
      <c r="I3592" s="220"/>
      <c r="J3592" s="220"/>
      <c r="K3592" s="220"/>
    </row>
    <row r="3593" spans="1:11" ht="15" thickBot="1" x14ac:dyDescent="0.4">
      <c r="A3593" s="315" t="s">
        <v>298</v>
      </c>
      <c r="B3593" s="315"/>
      <c r="C3593" s="315"/>
      <c r="D3593" s="315"/>
      <c r="E3593" s="315"/>
      <c r="G3593" s="315" t="s">
        <v>314</v>
      </c>
      <c r="H3593" s="315"/>
      <c r="I3593" s="315"/>
      <c r="J3593" s="315"/>
      <c r="K3593" s="315"/>
    </row>
    <row r="3594" spans="1:11" ht="15" thickTop="1" x14ac:dyDescent="0.35">
      <c r="A3594" s="313">
        <v>45647</v>
      </c>
      <c r="B3594" s="314"/>
      <c r="C3594" s="314"/>
      <c r="D3594" s="314"/>
      <c r="E3594" s="314"/>
      <c r="G3594" s="313">
        <v>45647</v>
      </c>
      <c r="H3594" s="314"/>
      <c r="I3594" s="314"/>
      <c r="J3594" s="314"/>
      <c r="K3594" s="314"/>
    </row>
    <row r="3595" spans="1:11" x14ac:dyDescent="0.35">
      <c r="A3595" s="261" t="s">
        <v>159</v>
      </c>
      <c r="B3595" s="262" t="s">
        <v>299</v>
      </c>
      <c r="C3595" s="262" t="s">
        <v>300</v>
      </c>
      <c r="D3595" s="262" t="s">
        <v>301</v>
      </c>
      <c r="E3595" s="263" t="s">
        <v>302</v>
      </c>
      <c r="G3595" s="264" t="s">
        <v>159</v>
      </c>
      <c r="H3595" s="265" t="s">
        <v>299</v>
      </c>
      <c r="I3595" s="265" t="s">
        <v>300</v>
      </c>
      <c r="J3595" s="265" t="s">
        <v>301</v>
      </c>
      <c r="K3595" s="266" t="s">
        <v>302</v>
      </c>
    </row>
    <row r="3596" spans="1:11" x14ac:dyDescent="0.35">
      <c r="A3596" s="221" t="s">
        <v>303</v>
      </c>
      <c r="B3596" s="222"/>
      <c r="C3596" s="222"/>
      <c r="D3596" s="222"/>
      <c r="E3596" s="223"/>
      <c r="G3596" s="221" t="s">
        <v>303</v>
      </c>
      <c r="H3596" s="222"/>
      <c r="I3596" s="222"/>
      <c r="J3596" s="222"/>
      <c r="K3596" s="223"/>
    </row>
    <row r="3597" spans="1:11" x14ac:dyDescent="0.35">
      <c r="A3597" s="225" t="s">
        <v>304</v>
      </c>
      <c r="B3597" s="226"/>
      <c r="C3597" s="226"/>
      <c r="D3597" s="226"/>
      <c r="E3597" s="227"/>
      <c r="G3597" s="225"/>
      <c r="H3597" s="226"/>
      <c r="I3597" s="226"/>
      <c r="J3597" s="226"/>
      <c r="K3597" s="227"/>
    </row>
    <row r="3598" spans="1:11" x14ac:dyDescent="0.35">
      <c r="A3598" s="225"/>
      <c r="B3598" s="226"/>
      <c r="C3598" s="226"/>
      <c r="D3598" s="226"/>
      <c r="E3598" s="227"/>
      <c r="G3598" s="225"/>
      <c r="H3598" s="226"/>
      <c r="I3598" s="226"/>
      <c r="J3598" s="226"/>
      <c r="K3598" s="227"/>
    </row>
    <row r="3599" spans="1:11" x14ac:dyDescent="0.35">
      <c r="A3599" s="221"/>
      <c r="B3599" s="222"/>
      <c r="C3599" s="222"/>
      <c r="D3599" s="222"/>
      <c r="E3599" s="223"/>
      <c r="G3599" s="221"/>
      <c r="H3599" s="222"/>
      <c r="I3599" s="222"/>
      <c r="J3599" s="222"/>
      <c r="K3599" s="223"/>
    </row>
    <row r="3600" spans="1:11" x14ac:dyDescent="0.35">
      <c r="A3600" s="225"/>
      <c r="B3600" s="226"/>
      <c r="C3600" s="226"/>
      <c r="D3600" s="226"/>
      <c r="E3600" s="227"/>
      <c r="G3600" s="225"/>
      <c r="H3600" s="226"/>
      <c r="I3600" s="226"/>
      <c r="J3600" s="226"/>
      <c r="K3600" s="227"/>
    </row>
    <row r="3601" spans="1:11" ht="15" thickBot="1" x14ac:dyDescent="0.4">
      <c r="A3601" s="218" t="s">
        <v>34</v>
      </c>
      <c r="B3601" s="219">
        <f>SUM(B3596:B3600)</f>
        <v>0</v>
      </c>
      <c r="C3601" s="219">
        <f>SUM(C3596:C3600)</f>
        <v>0</v>
      </c>
      <c r="D3601" s="219">
        <f>SUM(D3596:D3600)</f>
        <v>0</v>
      </c>
      <c r="E3601" s="219">
        <f>SUM(E3596:E3600)</f>
        <v>0</v>
      </c>
      <c r="G3601" s="218" t="s">
        <v>34</v>
      </c>
      <c r="H3601" s="219">
        <f>SUM(H3596:H3600)</f>
        <v>0</v>
      </c>
      <c r="I3601" s="219">
        <f>SUM(I3596:I3600)</f>
        <v>0</v>
      </c>
      <c r="J3601" s="219">
        <f>SUM(J3596:J3600)</f>
        <v>0</v>
      </c>
      <c r="K3601" s="219">
        <f>SUM(K3596:K3600)</f>
        <v>0</v>
      </c>
    </row>
    <row r="3602" spans="1:11" x14ac:dyDescent="0.35">
      <c r="A3602" s="220" t="s">
        <v>305</v>
      </c>
      <c r="B3602" s="220">
        <f>+B3601+C3601+D3601+E3601</f>
        <v>0</v>
      </c>
      <c r="C3602" s="220"/>
      <c r="D3602" s="220"/>
      <c r="E3602" s="220"/>
      <c r="G3602" s="220" t="s">
        <v>305</v>
      </c>
      <c r="H3602" s="220">
        <f>+H3601+I3601+J3601+K3601</f>
        <v>0</v>
      </c>
      <c r="I3602" s="220"/>
      <c r="J3602" s="220"/>
      <c r="K3602" s="220"/>
    </row>
    <row r="3603" spans="1:11" ht="15" thickBot="1" x14ac:dyDescent="0.4">
      <c r="A3603" s="315" t="s">
        <v>298</v>
      </c>
      <c r="B3603" s="315"/>
      <c r="C3603" s="315"/>
      <c r="D3603" s="315"/>
      <c r="E3603" s="315"/>
      <c r="G3603" s="315" t="s">
        <v>314</v>
      </c>
      <c r="H3603" s="315"/>
      <c r="I3603" s="315"/>
      <c r="J3603" s="315"/>
      <c r="K3603" s="315"/>
    </row>
    <row r="3604" spans="1:11" ht="15" thickTop="1" x14ac:dyDescent="0.35">
      <c r="A3604" s="313">
        <v>45648</v>
      </c>
      <c r="B3604" s="314"/>
      <c r="C3604" s="314"/>
      <c r="D3604" s="314"/>
      <c r="E3604" s="314"/>
      <c r="G3604" s="313">
        <v>45648</v>
      </c>
      <c r="H3604" s="314"/>
      <c r="I3604" s="314"/>
      <c r="J3604" s="314"/>
      <c r="K3604" s="314"/>
    </row>
    <row r="3605" spans="1:11" x14ac:dyDescent="0.35">
      <c r="A3605" s="261" t="s">
        <v>159</v>
      </c>
      <c r="B3605" s="262" t="s">
        <v>299</v>
      </c>
      <c r="C3605" s="262" t="s">
        <v>300</v>
      </c>
      <c r="D3605" s="262" t="s">
        <v>301</v>
      </c>
      <c r="E3605" s="263" t="s">
        <v>302</v>
      </c>
      <c r="G3605" s="264" t="s">
        <v>159</v>
      </c>
      <c r="H3605" s="265" t="s">
        <v>299</v>
      </c>
      <c r="I3605" s="265" t="s">
        <v>300</v>
      </c>
      <c r="J3605" s="265" t="s">
        <v>301</v>
      </c>
      <c r="K3605" s="266" t="s">
        <v>302</v>
      </c>
    </row>
    <row r="3606" spans="1:11" x14ac:dyDescent="0.35">
      <c r="A3606" s="221" t="s">
        <v>303</v>
      </c>
      <c r="B3606" s="222"/>
      <c r="C3606" s="222"/>
      <c r="D3606" s="222"/>
      <c r="E3606" s="223"/>
      <c r="G3606" s="221" t="s">
        <v>303</v>
      </c>
      <c r="H3606" s="222"/>
      <c r="I3606" s="222"/>
      <c r="J3606" s="222"/>
      <c r="K3606" s="223"/>
    </row>
    <row r="3607" spans="1:11" x14ac:dyDescent="0.35">
      <c r="A3607" s="225" t="s">
        <v>304</v>
      </c>
      <c r="B3607" s="226"/>
      <c r="C3607" s="226"/>
      <c r="D3607" s="226"/>
      <c r="E3607" s="227"/>
      <c r="G3607" s="225"/>
      <c r="H3607" s="226"/>
      <c r="I3607" s="226"/>
      <c r="J3607" s="226"/>
      <c r="K3607" s="227"/>
    </row>
    <row r="3608" spans="1:11" x14ac:dyDescent="0.35">
      <c r="A3608" s="225"/>
      <c r="B3608" s="226"/>
      <c r="C3608" s="226"/>
      <c r="D3608" s="226"/>
      <c r="E3608" s="227"/>
      <c r="G3608" s="225"/>
      <c r="H3608" s="226"/>
      <c r="I3608" s="226"/>
      <c r="J3608" s="226"/>
      <c r="K3608" s="227"/>
    </row>
    <row r="3609" spans="1:11" x14ac:dyDescent="0.35">
      <c r="A3609" s="221"/>
      <c r="B3609" s="222"/>
      <c r="C3609" s="222"/>
      <c r="D3609" s="222"/>
      <c r="E3609" s="223"/>
      <c r="G3609" s="221"/>
      <c r="H3609" s="222"/>
      <c r="I3609" s="222"/>
      <c r="J3609" s="222"/>
      <c r="K3609" s="223"/>
    </row>
    <row r="3610" spans="1:11" x14ac:dyDescent="0.35">
      <c r="A3610" s="225"/>
      <c r="B3610" s="226"/>
      <c r="C3610" s="226"/>
      <c r="D3610" s="226"/>
      <c r="E3610" s="227"/>
      <c r="G3610" s="225"/>
      <c r="H3610" s="226"/>
      <c r="I3610" s="226"/>
      <c r="J3610" s="226"/>
      <c r="K3610" s="227"/>
    </row>
    <row r="3611" spans="1:11" ht="15" thickBot="1" x14ac:dyDescent="0.4">
      <c r="A3611" s="218" t="s">
        <v>34</v>
      </c>
      <c r="B3611" s="219">
        <f>SUM(B3606:B3610)</f>
        <v>0</v>
      </c>
      <c r="C3611" s="219">
        <f>SUM(C3606:C3610)</f>
        <v>0</v>
      </c>
      <c r="D3611" s="219">
        <f>SUM(D3606:D3610)</f>
        <v>0</v>
      </c>
      <c r="E3611" s="219">
        <f>SUM(E3606:E3610)</f>
        <v>0</v>
      </c>
      <c r="G3611" s="218" t="s">
        <v>34</v>
      </c>
      <c r="H3611" s="219">
        <f>SUM(H3606:H3610)</f>
        <v>0</v>
      </c>
      <c r="I3611" s="219">
        <f>SUM(I3606:I3610)</f>
        <v>0</v>
      </c>
      <c r="J3611" s="219">
        <f>SUM(J3606:J3610)</f>
        <v>0</v>
      </c>
      <c r="K3611" s="219">
        <f>SUM(K3606:K3610)</f>
        <v>0</v>
      </c>
    </row>
    <row r="3612" spans="1:11" x14ac:dyDescent="0.35">
      <c r="A3612" s="220" t="s">
        <v>305</v>
      </c>
      <c r="B3612" s="220">
        <f>+B3611+C3611+D3611+E3611</f>
        <v>0</v>
      </c>
      <c r="C3612" s="220"/>
      <c r="D3612" s="220"/>
      <c r="E3612" s="220"/>
      <c r="G3612" s="220" t="s">
        <v>305</v>
      </c>
      <c r="H3612" s="220">
        <f>+H3611+I3611+J3611+K3611</f>
        <v>0</v>
      </c>
      <c r="I3612" s="220"/>
      <c r="J3612" s="220"/>
      <c r="K3612" s="220"/>
    </row>
    <row r="3613" spans="1:11" ht="15" thickBot="1" x14ac:dyDescent="0.4">
      <c r="A3613" s="315" t="s">
        <v>298</v>
      </c>
      <c r="B3613" s="315"/>
      <c r="C3613" s="315"/>
      <c r="D3613" s="315"/>
      <c r="E3613" s="315"/>
      <c r="G3613" s="315" t="s">
        <v>314</v>
      </c>
      <c r="H3613" s="315"/>
      <c r="I3613" s="315"/>
      <c r="J3613" s="315"/>
      <c r="K3613" s="315"/>
    </row>
    <row r="3614" spans="1:11" ht="15" thickTop="1" x14ac:dyDescent="0.35">
      <c r="A3614" s="313">
        <v>45649</v>
      </c>
      <c r="B3614" s="314"/>
      <c r="C3614" s="314"/>
      <c r="D3614" s="314"/>
      <c r="E3614" s="314"/>
      <c r="G3614" s="313">
        <v>45649</v>
      </c>
      <c r="H3614" s="314"/>
      <c r="I3614" s="314"/>
      <c r="J3614" s="314"/>
      <c r="K3614" s="314"/>
    </row>
    <row r="3615" spans="1:11" x14ac:dyDescent="0.35">
      <c r="A3615" s="261" t="s">
        <v>159</v>
      </c>
      <c r="B3615" s="262" t="s">
        <v>299</v>
      </c>
      <c r="C3615" s="262" t="s">
        <v>300</v>
      </c>
      <c r="D3615" s="262" t="s">
        <v>301</v>
      </c>
      <c r="E3615" s="263" t="s">
        <v>302</v>
      </c>
      <c r="G3615" s="264" t="s">
        <v>159</v>
      </c>
      <c r="H3615" s="265" t="s">
        <v>299</v>
      </c>
      <c r="I3615" s="265" t="s">
        <v>300</v>
      </c>
      <c r="J3615" s="265" t="s">
        <v>301</v>
      </c>
      <c r="K3615" s="266" t="s">
        <v>302</v>
      </c>
    </row>
    <row r="3616" spans="1:11" x14ac:dyDescent="0.35">
      <c r="A3616" s="221" t="s">
        <v>303</v>
      </c>
      <c r="B3616" s="222"/>
      <c r="C3616" s="222"/>
      <c r="D3616" s="222"/>
      <c r="E3616" s="223"/>
      <c r="G3616" s="221" t="s">
        <v>303</v>
      </c>
      <c r="H3616" s="222"/>
      <c r="I3616" s="222"/>
      <c r="J3616" s="222"/>
      <c r="K3616" s="223"/>
    </row>
    <row r="3617" spans="1:11" x14ac:dyDescent="0.35">
      <c r="A3617" s="225" t="s">
        <v>304</v>
      </c>
      <c r="B3617" s="226"/>
      <c r="C3617" s="226"/>
      <c r="D3617" s="226"/>
      <c r="E3617" s="227"/>
      <c r="G3617" s="225"/>
      <c r="H3617" s="226"/>
      <c r="I3617" s="226"/>
      <c r="J3617" s="226"/>
      <c r="K3617" s="227"/>
    </row>
    <row r="3618" spans="1:11" x14ac:dyDescent="0.35">
      <c r="A3618" s="225"/>
      <c r="B3618" s="226"/>
      <c r="C3618" s="226"/>
      <c r="D3618" s="226"/>
      <c r="E3618" s="227"/>
      <c r="G3618" s="225"/>
      <c r="H3618" s="226"/>
      <c r="I3618" s="226"/>
      <c r="J3618" s="226"/>
      <c r="K3618" s="227"/>
    </row>
    <row r="3619" spans="1:11" x14ac:dyDescent="0.35">
      <c r="A3619" s="221"/>
      <c r="B3619" s="222"/>
      <c r="C3619" s="222"/>
      <c r="D3619" s="222"/>
      <c r="E3619" s="223"/>
      <c r="G3619" s="221"/>
      <c r="H3619" s="222"/>
      <c r="I3619" s="222"/>
      <c r="J3619" s="222"/>
      <c r="K3619" s="223"/>
    </row>
    <row r="3620" spans="1:11" x14ac:dyDescent="0.35">
      <c r="A3620" s="225"/>
      <c r="B3620" s="226"/>
      <c r="C3620" s="226"/>
      <c r="D3620" s="226"/>
      <c r="E3620" s="227"/>
      <c r="G3620" s="225"/>
      <c r="H3620" s="226"/>
      <c r="I3620" s="226"/>
      <c r="J3620" s="226"/>
      <c r="K3620" s="227"/>
    </row>
    <row r="3621" spans="1:11" ht="15" thickBot="1" x14ac:dyDescent="0.4">
      <c r="A3621" s="218" t="s">
        <v>34</v>
      </c>
      <c r="B3621" s="219">
        <f>SUM(B3616:B3620)</f>
        <v>0</v>
      </c>
      <c r="C3621" s="219">
        <f>SUM(C3616:C3620)</f>
        <v>0</v>
      </c>
      <c r="D3621" s="219">
        <f>SUM(D3616:D3620)</f>
        <v>0</v>
      </c>
      <c r="E3621" s="219">
        <f>SUM(E3616:E3620)</f>
        <v>0</v>
      </c>
      <c r="G3621" s="218" t="s">
        <v>34</v>
      </c>
      <c r="H3621" s="219">
        <f>SUM(H3616:H3620)</f>
        <v>0</v>
      </c>
      <c r="I3621" s="219">
        <f>SUM(I3616:I3620)</f>
        <v>0</v>
      </c>
      <c r="J3621" s="219">
        <f>SUM(J3616:J3620)</f>
        <v>0</v>
      </c>
      <c r="K3621" s="219">
        <f>SUM(K3616:K3620)</f>
        <v>0</v>
      </c>
    </row>
    <row r="3622" spans="1:11" x14ac:dyDescent="0.35">
      <c r="A3622" s="220" t="s">
        <v>305</v>
      </c>
      <c r="B3622" s="220">
        <f>+B3621+C3621+D3621+E3621</f>
        <v>0</v>
      </c>
      <c r="C3622" s="220"/>
      <c r="D3622" s="220"/>
      <c r="E3622" s="220"/>
      <c r="G3622" s="220" t="s">
        <v>305</v>
      </c>
      <c r="H3622" s="220">
        <f>+H3621+I3621+J3621+K3621</f>
        <v>0</v>
      </c>
      <c r="I3622" s="220"/>
      <c r="J3622" s="220"/>
      <c r="K3622" s="220"/>
    </row>
    <row r="3623" spans="1:11" ht="15" thickBot="1" x14ac:dyDescent="0.4">
      <c r="A3623" s="315" t="s">
        <v>298</v>
      </c>
      <c r="B3623" s="315"/>
      <c r="C3623" s="315"/>
      <c r="D3623" s="315"/>
      <c r="E3623" s="315"/>
      <c r="G3623" s="315" t="s">
        <v>314</v>
      </c>
      <c r="H3623" s="315"/>
      <c r="I3623" s="315"/>
      <c r="J3623" s="315"/>
      <c r="K3623" s="315"/>
    </row>
    <row r="3624" spans="1:11" ht="15" thickTop="1" x14ac:dyDescent="0.35">
      <c r="A3624" s="313">
        <v>45650</v>
      </c>
      <c r="B3624" s="314"/>
      <c r="C3624" s="314"/>
      <c r="D3624" s="314"/>
      <c r="E3624" s="314"/>
      <c r="G3624" s="313">
        <v>45650</v>
      </c>
      <c r="H3624" s="314"/>
      <c r="I3624" s="314"/>
      <c r="J3624" s="314"/>
      <c r="K3624" s="314"/>
    </row>
    <row r="3625" spans="1:11" x14ac:dyDescent="0.35">
      <c r="A3625" s="261" t="s">
        <v>159</v>
      </c>
      <c r="B3625" s="262" t="s">
        <v>299</v>
      </c>
      <c r="C3625" s="262" t="s">
        <v>300</v>
      </c>
      <c r="D3625" s="262" t="s">
        <v>301</v>
      </c>
      <c r="E3625" s="263" t="s">
        <v>302</v>
      </c>
      <c r="G3625" s="264" t="s">
        <v>159</v>
      </c>
      <c r="H3625" s="265" t="s">
        <v>299</v>
      </c>
      <c r="I3625" s="265" t="s">
        <v>300</v>
      </c>
      <c r="J3625" s="265" t="s">
        <v>301</v>
      </c>
      <c r="K3625" s="266" t="s">
        <v>302</v>
      </c>
    </row>
    <row r="3626" spans="1:11" x14ac:dyDescent="0.35">
      <c r="A3626" s="221" t="s">
        <v>303</v>
      </c>
      <c r="B3626" s="222"/>
      <c r="C3626" s="222"/>
      <c r="D3626" s="222"/>
      <c r="E3626" s="223"/>
      <c r="G3626" s="221" t="s">
        <v>303</v>
      </c>
      <c r="H3626" s="222"/>
      <c r="I3626" s="222"/>
      <c r="J3626" s="222"/>
      <c r="K3626" s="223"/>
    </row>
    <row r="3627" spans="1:11" x14ac:dyDescent="0.35">
      <c r="A3627" s="225" t="s">
        <v>304</v>
      </c>
      <c r="B3627" s="226"/>
      <c r="C3627" s="226"/>
      <c r="D3627" s="226"/>
      <c r="E3627" s="227"/>
      <c r="G3627" s="225"/>
      <c r="H3627" s="226"/>
      <c r="I3627" s="226"/>
      <c r="J3627" s="226"/>
      <c r="K3627" s="227"/>
    </row>
    <row r="3628" spans="1:11" x14ac:dyDescent="0.35">
      <c r="A3628" s="225"/>
      <c r="B3628" s="226"/>
      <c r="C3628" s="226"/>
      <c r="D3628" s="226"/>
      <c r="E3628" s="227"/>
      <c r="G3628" s="225"/>
      <c r="H3628" s="226"/>
      <c r="I3628" s="226"/>
      <c r="J3628" s="226"/>
      <c r="K3628" s="227"/>
    </row>
    <row r="3629" spans="1:11" x14ac:dyDescent="0.35">
      <c r="A3629" s="221"/>
      <c r="B3629" s="222"/>
      <c r="C3629" s="222"/>
      <c r="D3629" s="222"/>
      <c r="E3629" s="223"/>
      <c r="G3629" s="221"/>
      <c r="H3629" s="222"/>
      <c r="I3629" s="222"/>
      <c r="J3629" s="222"/>
      <c r="K3629" s="223"/>
    </row>
    <row r="3630" spans="1:11" x14ac:dyDescent="0.35">
      <c r="A3630" s="225"/>
      <c r="B3630" s="226"/>
      <c r="C3630" s="226"/>
      <c r="D3630" s="226"/>
      <c r="E3630" s="227"/>
      <c r="G3630" s="225"/>
      <c r="H3630" s="226"/>
      <c r="I3630" s="226"/>
      <c r="J3630" s="226"/>
      <c r="K3630" s="227"/>
    </row>
    <row r="3631" spans="1:11" ht="15" thickBot="1" x14ac:dyDescent="0.4">
      <c r="A3631" s="218" t="s">
        <v>34</v>
      </c>
      <c r="B3631" s="219">
        <f>SUM(B3626:B3630)</f>
        <v>0</v>
      </c>
      <c r="C3631" s="219">
        <f>SUM(C3626:C3630)</f>
        <v>0</v>
      </c>
      <c r="D3631" s="219">
        <f>SUM(D3626:D3630)</f>
        <v>0</v>
      </c>
      <c r="E3631" s="219">
        <f>SUM(E3626:E3630)</f>
        <v>0</v>
      </c>
      <c r="G3631" s="218" t="s">
        <v>34</v>
      </c>
      <c r="H3631" s="219">
        <f>SUM(H3626:H3630)</f>
        <v>0</v>
      </c>
      <c r="I3631" s="219">
        <f>SUM(I3626:I3630)</f>
        <v>0</v>
      </c>
      <c r="J3631" s="219">
        <f>SUM(J3626:J3630)</f>
        <v>0</v>
      </c>
      <c r="K3631" s="219">
        <f>SUM(K3626:K3630)</f>
        <v>0</v>
      </c>
    </row>
    <row r="3632" spans="1:11" x14ac:dyDescent="0.35">
      <c r="A3632" s="220" t="s">
        <v>305</v>
      </c>
      <c r="B3632" s="220">
        <f>+B3631+C3631+D3631+E3631</f>
        <v>0</v>
      </c>
      <c r="C3632" s="220"/>
      <c r="D3632" s="220"/>
      <c r="E3632" s="220"/>
      <c r="G3632" s="220" t="s">
        <v>305</v>
      </c>
      <c r="H3632" s="220">
        <f>+H3631+I3631+J3631+K3631</f>
        <v>0</v>
      </c>
      <c r="I3632" s="220"/>
      <c r="J3632" s="220"/>
      <c r="K3632" s="220"/>
    </row>
    <row r="3633" spans="1:11" ht="15" thickBot="1" x14ac:dyDescent="0.4">
      <c r="A3633" s="315" t="s">
        <v>298</v>
      </c>
      <c r="B3633" s="315"/>
      <c r="C3633" s="315"/>
      <c r="D3633" s="315"/>
      <c r="E3633" s="315"/>
      <c r="G3633" s="315" t="s">
        <v>314</v>
      </c>
      <c r="H3633" s="315"/>
      <c r="I3633" s="315"/>
      <c r="J3633" s="315"/>
      <c r="K3633" s="315"/>
    </row>
    <row r="3634" spans="1:11" ht="15" thickTop="1" x14ac:dyDescent="0.35">
      <c r="A3634" s="313">
        <v>45651</v>
      </c>
      <c r="B3634" s="314"/>
      <c r="C3634" s="314"/>
      <c r="D3634" s="314"/>
      <c r="E3634" s="314"/>
      <c r="G3634" s="313">
        <v>45651</v>
      </c>
      <c r="H3634" s="314"/>
      <c r="I3634" s="314"/>
      <c r="J3634" s="314"/>
      <c r="K3634" s="314"/>
    </row>
    <row r="3635" spans="1:11" x14ac:dyDescent="0.35">
      <c r="A3635" s="261" t="s">
        <v>159</v>
      </c>
      <c r="B3635" s="262" t="s">
        <v>299</v>
      </c>
      <c r="C3635" s="262" t="s">
        <v>300</v>
      </c>
      <c r="D3635" s="262" t="s">
        <v>301</v>
      </c>
      <c r="E3635" s="263" t="s">
        <v>302</v>
      </c>
      <c r="G3635" s="264" t="s">
        <v>159</v>
      </c>
      <c r="H3635" s="265" t="s">
        <v>299</v>
      </c>
      <c r="I3635" s="265" t="s">
        <v>300</v>
      </c>
      <c r="J3635" s="265" t="s">
        <v>301</v>
      </c>
      <c r="K3635" s="266" t="s">
        <v>302</v>
      </c>
    </row>
    <row r="3636" spans="1:11" x14ac:dyDescent="0.35">
      <c r="A3636" s="221" t="s">
        <v>303</v>
      </c>
      <c r="B3636" s="222"/>
      <c r="C3636" s="222"/>
      <c r="D3636" s="222"/>
      <c r="E3636" s="223"/>
      <c r="G3636" s="221" t="s">
        <v>303</v>
      </c>
      <c r="H3636" s="222"/>
      <c r="I3636" s="222"/>
      <c r="J3636" s="222"/>
      <c r="K3636" s="223"/>
    </row>
    <row r="3637" spans="1:11" x14ac:dyDescent="0.35">
      <c r="A3637" s="225" t="s">
        <v>304</v>
      </c>
      <c r="B3637" s="226"/>
      <c r="C3637" s="226"/>
      <c r="D3637" s="226"/>
      <c r="E3637" s="227"/>
      <c r="G3637" s="225"/>
      <c r="H3637" s="226"/>
      <c r="I3637" s="226"/>
      <c r="J3637" s="226"/>
      <c r="K3637" s="227"/>
    </row>
    <row r="3638" spans="1:11" x14ac:dyDescent="0.35">
      <c r="A3638" s="225"/>
      <c r="B3638" s="226"/>
      <c r="C3638" s="226"/>
      <c r="D3638" s="226"/>
      <c r="E3638" s="227"/>
      <c r="G3638" s="225"/>
      <c r="H3638" s="226"/>
      <c r="I3638" s="226"/>
      <c r="J3638" s="226"/>
      <c r="K3638" s="227"/>
    </row>
    <row r="3639" spans="1:11" x14ac:dyDescent="0.35">
      <c r="A3639" s="221"/>
      <c r="B3639" s="222"/>
      <c r="C3639" s="222"/>
      <c r="D3639" s="222"/>
      <c r="E3639" s="223"/>
      <c r="G3639" s="221"/>
      <c r="H3639" s="222"/>
      <c r="I3639" s="222"/>
      <c r="J3639" s="222"/>
      <c r="K3639" s="223"/>
    </row>
    <row r="3640" spans="1:11" x14ac:dyDescent="0.35">
      <c r="A3640" s="225"/>
      <c r="B3640" s="226"/>
      <c r="C3640" s="226"/>
      <c r="D3640" s="226"/>
      <c r="E3640" s="227"/>
      <c r="G3640" s="225"/>
      <c r="H3640" s="226"/>
      <c r="I3640" s="226"/>
      <c r="J3640" s="226"/>
      <c r="K3640" s="227"/>
    </row>
    <row r="3641" spans="1:11" ht="15" thickBot="1" x14ac:dyDescent="0.4">
      <c r="A3641" s="218" t="s">
        <v>34</v>
      </c>
      <c r="B3641" s="219">
        <f>SUM(B3636:B3640)</f>
        <v>0</v>
      </c>
      <c r="C3641" s="219">
        <f>SUM(C3636:C3640)</f>
        <v>0</v>
      </c>
      <c r="D3641" s="219">
        <f>SUM(D3636:D3640)</f>
        <v>0</v>
      </c>
      <c r="E3641" s="219">
        <f>SUM(E3636:E3640)</f>
        <v>0</v>
      </c>
      <c r="G3641" s="218" t="s">
        <v>34</v>
      </c>
      <c r="H3641" s="219">
        <f>SUM(H3636:H3640)</f>
        <v>0</v>
      </c>
      <c r="I3641" s="219">
        <f>SUM(I3636:I3640)</f>
        <v>0</v>
      </c>
      <c r="J3641" s="219">
        <f>SUM(J3636:J3640)</f>
        <v>0</v>
      </c>
      <c r="K3641" s="219">
        <f>SUM(K3636:K3640)</f>
        <v>0</v>
      </c>
    </row>
    <row r="3642" spans="1:11" x14ac:dyDescent="0.35">
      <c r="A3642" s="220" t="s">
        <v>305</v>
      </c>
      <c r="B3642" s="220">
        <f>+B3641+C3641+D3641+E3641</f>
        <v>0</v>
      </c>
      <c r="C3642" s="220"/>
      <c r="D3642" s="220"/>
      <c r="E3642" s="220"/>
      <c r="G3642" s="220" t="s">
        <v>305</v>
      </c>
      <c r="H3642" s="220">
        <f>+H3641+I3641+J3641+K3641</f>
        <v>0</v>
      </c>
      <c r="I3642" s="220"/>
      <c r="J3642" s="220"/>
      <c r="K3642" s="220"/>
    </row>
    <row r="3643" spans="1:11" ht="15" thickBot="1" x14ac:dyDescent="0.4">
      <c r="A3643" s="315" t="s">
        <v>298</v>
      </c>
      <c r="B3643" s="315"/>
      <c r="C3643" s="315"/>
      <c r="D3643" s="315"/>
      <c r="E3643" s="315"/>
      <c r="G3643" s="315" t="s">
        <v>314</v>
      </c>
      <c r="H3643" s="315"/>
      <c r="I3643" s="315"/>
      <c r="J3643" s="315"/>
      <c r="K3643" s="315"/>
    </row>
    <row r="3644" spans="1:11" ht="15" thickTop="1" x14ac:dyDescent="0.35">
      <c r="A3644" s="313">
        <v>45652</v>
      </c>
      <c r="B3644" s="314"/>
      <c r="C3644" s="314"/>
      <c r="D3644" s="314"/>
      <c r="E3644" s="314"/>
      <c r="G3644" s="313">
        <v>45652</v>
      </c>
      <c r="H3644" s="314"/>
      <c r="I3644" s="314"/>
      <c r="J3644" s="314"/>
      <c r="K3644" s="314"/>
    </row>
    <row r="3645" spans="1:11" x14ac:dyDescent="0.35">
      <c r="A3645" s="261" t="s">
        <v>159</v>
      </c>
      <c r="B3645" s="262" t="s">
        <v>299</v>
      </c>
      <c r="C3645" s="262" t="s">
        <v>300</v>
      </c>
      <c r="D3645" s="262" t="s">
        <v>301</v>
      </c>
      <c r="E3645" s="263" t="s">
        <v>302</v>
      </c>
      <c r="G3645" s="264" t="s">
        <v>159</v>
      </c>
      <c r="H3645" s="265" t="s">
        <v>299</v>
      </c>
      <c r="I3645" s="265" t="s">
        <v>300</v>
      </c>
      <c r="J3645" s="265" t="s">
        <v>301</v>
      </c>
      <c r="K3645" s="266" t="s">
        <v>302</v>
      </c>
    </row>
    <row r="3646" spans="1:11" x14ac:dyDescent="0.35">
      <c r="A3646" s="221" t="s">
        <v>303</v>
      </c>
      <c r="B3646" s="222"/>
      <c r="C3646" s="222"/>
      <c r="D3646" s="222"/>
      <c r="E3646" s="223"/>
      <c r="G3646" s="221" t="s">
        <v>303</v>
      </c>
      <c r="H3646" s="222"/>
      <c r="I3646" s="222"/>
      <c r="J3646" s="222"/>
      <c r="K3646" s="223"/>
    </row>
    <row r="3647" spans="1:11" x14ac:dyDescent="0.35">
      <c r="A3647" s="225" t="s">
        <v>304</v>
      </c>
      <c r="B3647" s="226"/>
      <c r="C3647" s="226"/>
      <c r="D3647" s="226"/>
      <c r="E3647" s="227"/>
      <c r="G3647" s="225"/>
      <c r="H3647" s="226"/>
      <c r="I3647" s="226"/>
      <c r="J3647" s="226"/>
      <c r="K3647" s="227"/>
    </row>
    <row r="3648" spans="1:11" x14ac:dyDescent="0.35">
      <c r="A3648" s="225"/>
      <c r="B3648" s="226"/>
      <c r="C3648" s="226"/>
      <c r="D3648" s="226"/>
      <c r="E3648" s="227"/>
      <c r="G3648" s="225"/>
      <c r="H3648" s="226"/>
      <c r="I3648" s="226"/>
      <c r="J3648" s="226"/>
      <c r="K3648" s="227"/>
    </row>
    <row r="3649" spans="1:11" x14ac:dyDescent="0.35">
      <c r="A3649" s="221"/>
      <c r="B3649" s="222"/>
      <c r="C3649" s="222"/>
      <c r="D3649" s="222"/>
      <c r="E3649" s="223"/>
      <c r="G3649" s="221"/>
      <c r="H3649" s="222"/>
      <c r="I3649" s="222"/>
      <c r="J3649" s="222"/>
      <c r="K3649" s="223"/>
    </row>
    <row r="3650" spans="1:11" x14ac:dyDescent="0.35">
      <c r="A3650" s="225"/>
      <c r="B3650" s="226"/>
      <c r="C3650" s="226"/>
      <c r="D3650" s="226"/>
      <c r="E3650" s="227"/>
      <c r="G3650" s="225"/>
      <c r="H3650" s="226"/>
      <c r="I3650" s="226"/>
      <c r="J3650" s="226"/>
      <c r="K3650" s="227"/>
    </row>
    <row r="3651" spans="1:11" ht="15" thickBot="1" x14ac:dyDescent="0.4">
      <c r="A3651" s="218" t="s">
        <v>34</v>
      </c>
      <c r="B3651" s="219">
        <f>SUM(B3646:B3650)</f>
        <v>0</v>
      </c>
      <c r="C3651" s="219">
        <f>SUM(C3646:C3650)</f>
        <v>0</v>
      </c>
      <c r="D3651" s="219">
        <f>SUM(D3646:D3650)</f>
        <v>0</v>
      </c>
      <c r="E3651" s="219">
        <f>SUM(E3646:E3650)</f>
        <v>0</v>
      </c>
      <c r="G3651" s="218" t="s">
        <v>34</v>
      </c>
      <c r="H3651" s="219">
        <f>SUM(H3646:H3650)</f>
        <v>0</v>
      </c>
      <c r="I3651" s="219">
        <f>SUM(I3646:I3650)</f>
        <v>0</v>
      </c>
      <c r="J3651" s="219">
        <f>SUM(J3646:J3650)</f>
        <v>0</v>
      </c>
      <c r="K3651" s="219">
        <f>SUM(K3646:K3650)</f>
        <v>0</v>
      </c>
    </row>
    <row r="3652" spans="1:11" x14ac:dyDescent="0.35">
      <c r="A3652" s="220" t="s">
        <v>305</v>
      </c>
      <c r="B3652" s="220">
        <f>+B3651+C3651+D3651+E3651</f>
        <v>0</v>
      </c>
      <c r="C3652" s="220"/>
      <c r="D3652" s="220"/>
      <c r="E3652" s="220"/>
      <c r="G3652" s="220" t="s">
        <v>305</v>
      </c>
      <c r="H3652" s="220">
        <f>+H3651+I3651+J3651+K3651</f>
        <v>0</v>
      </c>
      <c r="I3652" s="220"/>
      <c r="J3652" s="220"/>
      <c r="K3652" s="220"/>
    </row>
    <row r="3653" spans="1:11" ht="15" thickBot="1" x14ac:dyDescent="0.4">
      <c r="A3653" s="315" t="s">
        <v>298</v>
      </c>
      <c r="B3653" s="315"/>
      <c r="C3653" s="315"/>
      <c r="D3653" s="315"/>
      <c r="E3653" s="315"/>
      <c r="G3653" s="315" t="s">
        <v>314</v>
      </c>
      <c r="H3653" s="315"/>
      <c r="I3653" s="315"/>
      <c r="J3653" s="315"/>
      <c r="K3653" s="315"/>
    </row>
    <row r="3654" spans="1:11" ht="15" thickTop="1" x14ac:dyDescent="0.35">
      <c r="A3654" s="313">
        <v>45653</v>
      </c>
      <c r="B3654" s="314"/>
      <c r="C3654" s="314"/>
      <c r="D3654" s="314"/>
      <c r="E3654" s="314"/>
      <c r="G3654" s="313">
        <v>45653</v>
      </c>
      <c r="H3654" s="314"/>
      <c r="I3654" s="314"/>
      <c r="J3654" s="314"/>
      <c r="K3654" s="314"/>
    </row>
    <row r="3655" spans="1:11" x14ac:dyDescent="0.35">
      <c r="A3655" s="261" t="s">
        <v>159</v>
      </c>
      <c r="B3655" s="262" t="s">
        <v>299</v>
      </c>
      <c r="C3655" s="262" t="s">
        <v>300</v>
      </c>
      <c r="D3655" s="262" t="s">
        <v>301</v>
      </c>
      <c r="E3655" s="263" t="s">
        <v>302</v>
      </c>
      <c r="G3655" s="264" t="s">
        <v>159</v>
      </c>
      <c r="H3655" s="265" t="s">
        <v>299</v>
      </c>
      <c r="I3655" s="265" t="s">
        <v>300</v>
      </c>
      <c r="J3655" s="265" t="s">
        <v>301</v>
      </c>
      <c r="K3655" s="266" t="s">
        <v>302</v>
      </c>
    </row>
    <row r="3656" spans="1:11" x14ac:dyDescent="0.35">
      <c r="A3656" s="221" t="s">
        <v>303</v>
      </c>
      <c r="B3656" s="222"/>
      <c r="C3656" s="222"/>
      <c r="D3656" s="222"/>
      <c r="E3656" s="223"/>
      <c r="G3656" s="221" t="s">
        <v>303</v>
      </c>
      <c r="H3656" s="222"/>
      <c r="I3656" s="222"/>
      <c r="J3656" s="222"/>
      <c r="K3656" s="223"/>
    </row>
    <row r="3657" spans="1:11" x14ac:dyDescent="0.35">
      <c r="A3657" s="225" t="s">
        <v>304</v>
      </c>
      <c r="B3657" s="226"/>
      <c r="C3657" s="226"/>
      <c r="D3657" s="226"/>
      <c r="E3657" s="227"/>
      <c r="G3657" s="225"/>
      <c r="H3657" s="226"/>
      <c r="I3657" s="226"/>
      <c r="J3657" s="226"/>
      <c r="K3657" s="227"/>
    </row>
    <row r="3658" spans="1:11" x14ac:dyDescent="0.35">
      <c r="A3658" s="225"/>
      <c r="B3658" s="226"/>
      <c r="C3658" s="226"/>
      <c r="D3658" s="226"/>
      <c r="E3658" s="227"/>
      <c r="G3658" s="225"/>
      <c r="H3658" s="226"/>
      <c r="I3658" s="226"/>
      <c r="J3658" s="226"/>
      <c r="K3658" s="227"/>
    </row>
    <row r="3659" spans="1:11" x14ac:dyDescent="0.35">
      <c r="A3659" s="221"/>
      <c r="B3659" s="222"/>
      <c r="C3659" s="222"/>
      <c r="D3659" s="222"/>
      <c r="E3659" s="223"/>
      <c r="G3659" s="221"/>
      <c r="H3659" s="222"/>
      <c r="I3659" s="222"/>
      <c r="J3659" s="222"/>
      <c r="K3659" s="223"/>
    </row>
    <row r="3660" spans="1:11" x14ac:dyDescent="0.35">
      <c r="A3660" s="225"/>
      <c r="B3660" s="226"/>
      <c r="C3660" s="226"/>
      <c r="D3660" s="226"/>
      <c r="E3660" s="227"/>
      <c r="G3660" s="225"/>
      <c r="H3660" s="226"/>
      <c r="I3660" s="226"/>
      <c r="J3660" s="226"/>
      <c r="K3660" s="227"/>
    </row>
    <row r="3661" spans="1:11" ht="15" thickBot="1" x14ac:dyDescent="0.4">
      <c r="A3661" s="218" t="s">
        <v>34</v>
      </c>
      <c r="B3661" s="219">
        <f>SUM(B3656:B3660)</f>
        <v>0</v>
      </c>
      <c r="C3661" s="219">
        <f>SUM(C3656:C3660)</f>
        <v>0</v>
      </c>
      <c r="D3661" s="219">
        <f>SUM(D3656:D3660)</f>
        <v>0</v>
      </c>
      <c r="E3661" s="219">
        <f>SUM(E3656:E3660)</f>
        <v>0</v>
      </c>
      <c r="G3661" s="218" t="s">
        <v>34</v>
      </c>
      <c r="H3661" s="219">
        <f>SUM(H3656:H3660)</f>
        <v>0</v>
      </c>
      <c r="I3661" s="219">
        <f>SUM(I3656:I3660)</f>
        <v>0</v>
      </c>
      <c r="J3661" s="219">
        <f>SUM(J3656:J3660)</f>
        <v>0</v>
      </c>
      <c r="K3661" s="219">
        <f>SUM(K3656:K3660)</f>
        <v>0</v>
      </c>
    </row>
    <row r="3662" spans="1:11" x14ac:dyDescent="0.35">
      <c r="A3662" s="220" t="s">
        <v>305</v>
      </c>
      <c r="B3662" s="220">
        <f>+B3661+C3661+D3661+E3661</f>
        <v>0</v>
      </c>
      <c r="C3662" s="220"/>
      <c r="D3662" s="220"/>
      <c r="E3662" s="220"/>
      <c r="G3662" s="220" t="s">
        <v>305</v>
      </c>
      <c r="H3662" s="220">
        <f>+H3661+I3661+J3661+K3661</f>
        <v>0</v>
      </c>
      <c r="I3662" s="220"/>
      <c r="J3662" s="220"/>
      <c r="K3662" s="220"/>
    </row>
    <row r="3663" spans="1:11" ht="15" thickBot="1" x14ac:dyDescent="0.4">
      <c r="A3663" s="315" t="s">
        <v>298</v>
      </c>
      <c r="B3663" s="315"/>
      <c r="C3663" s="315"/>
      <c r="D3663" s="315"/>
      <c r="E3663" s="315"/>
      <c r="G3663" s="315" t="s">
        <v>314</v>
      </c>
      <c r="H3663" s="315"/>
      <c r="I3663" s="315"/>
      <c r="J3663" s="315"/>
      <c r="K3663" s="315"/>
    </row>
    <row r="3664" spans="1:11" ht="15" thickTop="1" x14ac:dyDescent="0.35">
      <c r="A3664" s="313">
        <v>45654</v>
      </c>
      <c r="B3664" s="314"/>
      <c r="C3664" s="314"/>
      <c r="D3664" s="314"/>
      <c r="E3664" s="314"/>
      <c r="G3664" s="313">
        <v>45654</v>
      </c>
      <c r="H3664" s="314"/>
      <c r="I3664" s="314"/>
      <c r="J3664" s="314"/>
      <c r="K3664" s="314"/>
    </row>
    <row r="3665" spans="1:11" x14ac:dyDescent="0.35">
      <c r="A3665" s="261" t="s">
        <v>159</v>
      </c>
      <c r="B3665" s="262" t="s">
        <v>299</v>
      </c>
      <c r="C3665" s="262" t="s">
        <v>300</v>
      </c>
      <c r="D3665" s="262" t="s">
        <v>301</v>
      </c>
      <c r="E3665" s="263" t="s">
        <v>302</v>
      </c>
      <c r="G3665" s="264" t="s">
        <v>159</v>
      </c>
      <c r="H3665" s="265" t="s">
        <v>299</v>
      </c>
      <c r="I3665" s="265" t="s">
        <v>300</v>
      </c>
      <c r="J3665" s="265" t="s">
        <v>301</v>
      </c>
      <c r="K3665" s="266" t="s">
        <v>302</v>
      </c>
    </row>
    <row r="3666" spans="1:11" x14ac:dyDescent="0.35">
      <c r="A3666" s="221" t="s">
        <v>303</v>
      </c>
      <c r="B3666" s="222"/>
      <c r="C3666" s="222"/>
      <c r="D3666" s="222"/>
      <c r="E3666" s="223"/>
      <c r="G3666" s="221" t="s">
        <v>303</v>
      </c>
      <c r="H3666" s="222"/>
      <c r="I3666" s="222"/>
      <c r="J3666" s="222"/>
      <c r="K3666" s="223"/>
    </row>
    <row r="3667" spans="1:11" x14ac:dyDescent="0.35">
      <c r="A3667" s="225" t="s">
        <v>304</v>
      </c>
      <c r="B3667" s="226"/>
      <c r="C3667" s="226"/>
      <c r="D3667" s="226"/>
      <c r="E3667" s="227"/>
      <c r="G3667" s="225"/>
      <c r="H3667" s="226"/>
      <c r="I3667" s="226"/>
      <c r="J3667" s="226"/>
      <c r="K3667" s="227"/>
    </row>
    <row r="3668" spans="1:11" x14ac:dyDescent="0.35">
      <c r="A3668" s="225"/>
      <c r="B3668" s="226"/>
      <c r="C3668" s="226"/>
      <c r="D3668" s="226"/>
      <c r="E3668" s="227"/>
      <c r="G3668" s="225"/>
      <c r="H3668" s="226"/>
      <c r="I3668" s="226"/>
      <c r="J3668" s="226"/>
      <c r="K3668" s="227"/>
    </row>
    <row r="3669" spans="1:11" x14ac:dyDescent="0.35">
      <c r="A3669" s="221"/>
      <c r="B3669" s="222"/>
      <c r="C3669" s="222"/>
      <c r="D3669" s="222"/>
      <c r="E3669" s="223"/>
      <c r="G3669" s="221"/>
      <c r="H3669" s="222"/>
      <c r="I3669" s="222"/>
      <c r="J3669" s="222"/>
      <c r="K3669" s="223"/>
    </row>
    <row r="3670" spans="1:11" x14ac:dyDescent="0.35">
      <c r="A3670" s="225"/>
      <c r="B3670" s="226"/>
      <c r="C3670" s="226"/>
      <c r="D3670" s="226"/>
      <c r="E3670" s="227"/>
      <c r="G3670" s="225"/>
      <c r="H3670" s="226"/>
      <c r="I3670" s="226"/>
      <c r="J3670" s="226"/>
      <c r="K3670" s="227"/>
    </row>
    <row r="3671" spans="1:11" ht="15" thickBot="1" x14ac:dyDescent="0.4">
      <c r="A3671" s="218" t="s">
        <v>34</v>
      </c>
      <c r="B3671" s="219">
        <f>SUM(B3666:B3670)</f>
        <v>0</v>
      </c>
      <c r="C3671" s="219">
        <f>SUM(C3666:C3670)</f>
        <v>0</v>
      </c>
      <c r="D3671" s="219">
        <f>SUM(D3666:D3670)</f>
        <v>0</v>
      </c>
      <c r="E3671" s="219">
        <f>SUM(E3666:E3670)</f>
        <v>0</v>
      </c>
      <c r="G3671" s="218" t="s">
        <v>34</v>
      </c>
      <c r="H3671" s="219">
        <f>SUM(H3666:H3670)</f>
        <v>0</v>
      </c>
      <c r="I3671" s="219">
        <f>SUM(I3666:I3670)</f>
        <v>0</v>
      </c>
      <c r="J3671" s="219">
        <f>SUM(J3666:J3670)</f>
        <v>0</v>
      </c>
      <c r="K3671" s="219">
        <f>SUM(K3666:K3670)</f>
        <v>0</v>
      </c>
    </row>
    <row r="3672" spans="1:11" x14ac:dyDescent="0.35">
      <c r="A3672" s="220" t="s">
        <v>305</v>
      </c>
      <c r="B3672" s="220">
        <f>+B3671+C3671+D3671+E3671</f>
        <v>0</v>
      </c>
      <c r="C3672" s="220"/>
      <c r="D3672" s="220"/>
      <c r="E3672" s="220"/>
      <c r="G3672" s="220" t="s">
        <v>305</v>
      </c>
      <c r="H3672" s="220">
        <f>+H3671+I3671+J3671+K3671</f>
        <v>0</v>
      </c>
      <c r="I3672" s="220"/>
      <c r="J3672" s="220"/>
      <c r="K3672" s="220"/>
    </row>
    <row r="3673" spans="1:11" ht="15" thickBot="1" x14ac:dyDescent="0.4">
      <c r="A3673" s="315" t="s">
        <v>298</v>
      </c>
      <c r="B3673" s="315"/>
      <c r="C3673" s="315"/>
      <c r="D3673" s="315"/>
      <c r="E3673" s="315"/>
      <c r="G3673" s="315" t="s">
        <v>314</v>
      </c>
      <c r="H3673" s="315"/>
      <c r="I3673" s="315"/>
      <c r="J3673" s="315"/>
      <c r="K3673" s="315"/>
    </row>
    <row r="3674" spans="1:11" ht="15" thickTop="1" x14ac:dyDescent="0.35">
      <c r="A3674" s="313">
        <v>45655</v>
      </c>
      <c r="B3674" s="314"/>
      <c r="C3674" s="314"/>
      <c r="D3674" s="314"/>
      <c r="E3674" s="314"/>
      <c r="G3674" s="313">
        <v>45655</v>
      </c>
      <c r="H3674" s="314"/>
      <c r="I3674" s="314"/>
      <c r="J3674" s="314"/>
      <c r="K3674" s="314"/>
    </row>
    <row r="3675" spans="1:11" x14ac:dyDescent="0.35">
      <c r="A3675" s="261" t="s">
        <v>159</v>
      </c>
      <c r="B3675" s="262" t="s">
        <v>299</v>
      </c>
      <c r="C3675" s="262" t="s">
        <v>300</v>
      </c>
      <c r="D3675" s="262" t="s">
        <v>301</v>
      </c>
      <c r="E3675" s="263" t="s">
        <v>302</v>
      </c>
      <c r="G3675" s="264" t="s">
        <v>159</v>
      </c>
      <c r="H3675" s="265" t="s">
        <v>299</v>
      </c>
      <c r="I3675" s="265" t="s">
        <v>300</v>
      </c>
      <c r="J3675" s="265" t="s">
        <v>301</v>
      </c>
      <c r="K3675" s="266" t="s">
        <v>302</v>
      </c>
    </row>
    <row r="3676" spans="1:11" x14ac:dyDescent="0.35">
      <c r="A3676" s="221" t="s">
        <v>303</v>
      </c>
      <c r="B3676" s="222"/>
      <c r="C3676" s="222"/>
      <c r="D3676" s="222"/>
      <c r="E3676" s="223"/>
      <c r="G3676" s="221" t="s">
        <v>303</v>
      </c>
      <c r="H3676" s="222"/>
      <c r="I3676" s="222"/>
      <c r="J3676" s="222"/>
      <c r="K3676" s="223"/>
    </row>
    <row r="3677" spans="1:11" x14ac:dyDescent="0.35">
      <c r="A3677" s="225" t="s">
        <v>304</v>
      </c>
      <c r="B3677" s="226"/>
      <c r="C3677" s="226"/>
      <c r="D3677" s="226"/>
      <c r="E3677" s="227"/>
      <c r="G3677" s="225"/>
      <c r="H3677" s="226"/>
      <c r="I3677" s="226"/>
      <c r="J3677" s="226"/>
      <c r="K3677" s="227"/>
    </row>
    <row r="3678" spans="1:11" x14ac:dyDescent="0.35">
      <c r="A3678" s="225"/>
      <c r="B3678" s="226"/>
      <c r="C3678" s="226"/>
      <c r="D3678" s="226"/>
      <c r="E3678" s="227"/>
      <c r="G3678" s="225"/>
      <c r="H3678" s="226"/>
      <c r="I3678" s="226"/>
      <c r="J3678" s="226"/>
      <c r="K3678" s="227"/>
    </row>
    <row r="3679" spans="1:11" x14ac:dyDescent="0.35">
      <c r="A3679" s="221"/>
      <c r="B3679" s="222"/>
      <c r="C3679" s="222"/>
      <c r="D3679" s="222"/>
      <c r="E3679" s="223"/>
      <c r="G3679" s="221"/>
      <c r="H3679" s="222"/>
      <c r="I3679" s="222"/>
      <c r="J3679" s="222"/>
      <c r="K3679" s="223"/>
    </row>
    <row r="3680" spans="1:11" x14ac:dyDescent="0.35">
      <c r="A3680" s="225"/>
      <c r="B3680" s="226"/>
      <c r="C3680" s="226"/>
      <c r="D3680" s="226"/>
      <c r="E3680" s="227"/>
      <c r="G3680" s="225"/>
      <c r="H3680" s="226"/>
      <c r="I3680" s="226"/>
      <c r="J3680" s="226"/>
      <c r="K3680" s="227"/>
    </row>
    <row r="3681" spans="1:11" ht="15" thickBot="1" x14ac:dyDescent="0.4">
      <c r="A3681" s="218" t="s">
        <v>34</v>
      </c>
      <c r="B3681" s="219">
        <f>SUM(B3676:B3680)</f>
        <v>0</v>
      </c>
      <c r="C3681" s="219">
        <f>SUM(C3676:C3680)</f>
        <v>0</v>
      </c>
      <c r="D3681" s="219">
        <f>SUM(D3676:D3680)</f>
        <v>0</v>
      </c>
      <c r="E3681" s="219">
        <f>SUM(E3676:E3680)</f>
        <v>0</v>
      </c>
      <c r="G3681" s="218" t="s">
        <v>34</v>
      </c>
      <c r="H3681" s="219">
        <f>SUM(H3676:H3680)</f>
        <v>0</v>
      </c>
      <c r="I3681" s="219">
        <f>SUM(I3676:I3680)</f>
        <v>0</v>
      </c>
      <c r="J3681" s="219">
        <f>SUM(J3676:J3680)</f>
        <v>0</v>
      </c>
      <c r="K3681" s="219">
        <f>SUM(K3676:K3680)</f>
        <v>0</v>
      </c>
    </row>
    <row r="3682" spans="1:11" x14ac:dyDescent="0.35">
      <c r="A3682" s="220" t="s">
        <v>305</v>
      </c>
      <c r="B3682" s="220">
        <f>+B3681+C3681+D3681+E3681</f>
        <v>0</v>
      </c>
      <c r="C3682" s="220"/>
      <c r="D3682" s="220"/>
      <c r="E3682" s="220"/>
      <c r="G3682" s="220" t="s">
        <v>305</v>
      </c>
      <c r="H3682" s="220">
        <f>+H3681+I3681+J3681+K3681</f>
        <v>0</v>
      </c>
      <c r="I3682" s="220"/>
      <c r="J3682" s="220"/>
      <c r="K3682" s="220"/>
    </row>
    <row r="3683" spans="1:11" ht="15" thickBot="1" x14ac:dyDescent="0.4">
      <c r="A3683" s="315" t="s">
        <v>298</v>
      </c>
      <c r="B3683" s="315"/>
      <c r="C3683" s="315"/>
      <c r="D3683" s="315"/>
      <c r="E3683" s="315"/>
      <c r="G3683" s="315" t="s">
        <v>314</v>
      </c>
      <c r="H3683" s="315"/>
      <c r="I3683" s="315"/>
      <c r="J3683" s="315"/>
      <c r="K3683" s="315"/>
    </row>
    <row r="3684" spans="1:11" ht="15" thickTop="1" x14ac:dyDescent="0.35">
      <c r="A3684" s="313">
        <v>45656</v>
      </c>
      <c r="B3684" s="314"/>
      <c r="C3684" s="314"/>
      <c r="D3684" s="314"/>
      <c r="E3684" s="314"/>
      <c r="G3684" s="313">
        <v>45656</v>
      </c>
      <c r="H3684" s="314"/>
      <c r="I3684" s="314"/>
      <c r="J3684" s="314"/>
      <c r="K3684" s="314"/>
    </row>
    <row r="3685" spans="1:11" x14ac:dyDescent="0.35">
      <c r="A3685" s="261" t="s">
        <v>159</v>
      </c>
      <c r="B3685" s="262" t="s">
        <v>299</v>
      </c>
      <c r="C3685" s="262" t="s">
        <v>300</v>
      </c>
      <c r="D3685" s="262" t="s">
        <v>301</v>
      </c>
      <c r="E3685" s="263" t="s">
        <v>302</v>
      </c>
      <c r="G3685" s="264" t="s">
        <v>159</v>
      </c>
      <c r="H3685" s="265" t="s">
        <v>299</v>
      </c>
      <c r="I3685" s="265" t="s">
        <v>300</v>
      </c>
      <c r="J3685" s="265" t="s">
        <v>301</v>
      </c>
      <c r="K3685" s="266" t="s">
        <v>302</v>
      </c>
    </row>
    <row r="3686" spans="1:11" x14ac:dyDescent="0.35">
      <c r="A3686" s="221" t="s">
        <v>303</v>
      </c>
      <c r="B3686" s="222"/>
      <c r="C3686" s="222"/>
      <c r="D3686" s="222"/>
      <c r="E3686" s="223"/>
      <c r="G3686" s="221" t="s">
        <v>303</v>
      </c>
      <c r="H3686" s="222"/>
      <c r="I3686" s="222"/>
      <c r="J3686" s="222"/>
      <c r="K3686" s="223"/>
    </row>
    <row r="3687" spans="1:11" x14ac:dyDescent="0.35">
      <c r="A3687" s="225" t="s">
        <v>304</v>
      </c>
      <c r="B3687" s="226"/>
      <c r="C3687" s="226"/>
      <c r="D3687" s="226"/>
      <c r="E3687" s="227"/>
      <c r="G3687" s="225"/>
      <c r="H3687" s="226"/>
      <c r="I3687" s="226"/>
      <c r="J3687" s="226"/>
      <c r="K3687" s="227"/>
    </row>
    <row r="3688" spans="1:11" x14ac:dyDescent="0.35">
      <c r="A3688" s="225"/>
      <c r="B3688" s="226"/>
      <c r="C3688" s="226"/>
      <c r="D3688" s="226"/>
      <c r="E3688" s="227"/>
      <c r="G3688" s="225"/>
      <c r="H3688" s="226"/>
      <c r="I3688" s="226"/>
      <c r="J3688" s="226"/>
      <c r="K3688" s="227"/>
    </row>
    <row r="3689" spans="1:11" x14ac:dyDescent="0.35">
      <c r="A3689" s="221"/>
      <c r="B3689" s="222"/>
      <c r="C3689" s="222"/>
      <c r="D3689" s="222"/>
      <c r="E3689" s="223"/>
      <c r="G3689" s="221"/>
      <c r="H3689" s="222"/>
      <c r="I3689" s="222"/>
      <c r="J3689" s="222"/>
      <c r="K3689" s="223"/>
    </row>
    <row r="3690" spans="1:11" x14ac:dyDescent="0.35">
      <c r="A3690" s="225"/>
      <c r="B3690" s="226"/>
      <c r="C3690" s="226"/>
      <c r="D3690" s="226"/>
      <c r="E3690" s="227"/>
      <c r="G3690" s="225"/>
      <c r="H3690" s="226"/>
      <c r="I3690" s="226"/>
      <c r="J3690" s="226"/>
      <c r="K3690" s="227"/>
    </row>
    <row r="3691" spans="1:11" ht="15" thickBot="1" x14ac:dyDescent="0.4">
      <c r="A3691" s="218" t="s">
        <v>34</v>
      </c>
      <c r="B3691" s="219">
        <f>SUM(B3686:B3690)</f>
        <v>0</v>
      </c>
      <c r="C3691" s="219">
        <f>SUM(C3686:C3690)</f>
        <v>0</v>
      </c>
      <c r="D3691" s="219">
        <f>SUM(D3686:D3690)</f>
        <v>0</v>
      </c>
      <c r="E3691" s="219">
        <f>SUM(E3686:E3690)</f>
        <v>0</v>
      </c>
      <c r="G3691" s="218" t="s">
        <v>34</v>
      </c>
      <c r="H3691" s="219">
        <f>SUM(H3686:H3690)</f>
        <v>0</v>
      </c>
      <c r="I3691" s="219">
        <f>SUM(I3686:I3690)</f>
        <v>0</v>
      </c>
      <c r="J3691" s="219">
        <f>SUM(J3686:J3690)</f>
        <v>0</v>
      </c>
      <c r="K3691" s="219">
        <f>SUM(K3686:K3690)</f>
        <v>0</v>
      </c>
    </row>
    <row r="3692" spans="1:11" x14ac:dyDescent="0.35">
      <c r="A3692" s="220" t="s">
        <v>305</v>
      </c>
      <c r="B3692" s="220">
        <f>+B3691+C3691+D3691+E3691</f>
        <v>0</v>
      </c>
      <c r="C3692" s="220"/>
      <c r="D3692" s="220"/>
      <c r="E3692" s="220"/>
      <c r="G3692" s="220" t="s">
        <v>305</v>
      </c>
      <c r="H3692" s="220">
        <f>+H3691+I3691+J3691+K3691</f>
        <v>0</v>
      </c>
      <c r="I3692" s="220"/>
      <c r="J3692" s="220"/>
      <c r="K3692" s="220"/>
    </row>
    <row r="3693" spans="1:11" ht="15" thickBot="1" x14ac:dyDescent="0.4">
      <c r="A3693" s="315" t="s">
        <v>298</v>
      </c>
      <c r="B3693" s="315"/>
      <c r="C3693" s="315"/>
      <c r="D3693" s="315"/>
      <c r="E3693" s="315"/>
      <c r="G3693" s="315" t="s">
        <v>314</v>
      </c>
      <c r="H3693" s="315"/>
      <c r="I3693" s="315"/>
      <c r="J3693" s="315"/>
      <c r="K3693" s="315"/>
    </row>
    <row r="3694" spans="1:11" ht="15" thickTop="1" x14ac:dyDescent="0.35">
      <c r="A3694" s="313">
        <v>45657</v>
      </c>
      <c r="B3694" s="314"/>
      <c r="C3694" s="314"/>
      <c r="D3694" s="314"/>
      <c r="E3694" s="314"/>
      <c r="G3694" s="313">
        <v>45657</v>
      </c>
      <c r="H3694" s="314"/>
      <c r="I3694" s="314"/>
      <c r="J3694" s="314"/>
      <c r="K3694" s="314"/>
    </row>
    <row r="3695" spans="1:11" x14ac:dyDescent="0.35">
      <c r="A3695" s="261" t="s">
        <v>159</v>
      </c>
      <c r="B3695" s="262" t="s">
        <v>299</v>
      </c>
      <c r="C3695" s="262" t="s">
        <v>300</v>
      </c>
      <c r="D3695" s="262" t="s">
        <v>301</v>
      </c>
      <c r="E3695" s="263" t="s">
        <v>302</v>
      </c>
      <c r="G3695" s="264" t="s">
        <v>159</v>
      </c>
      <c r="H3695" s="265" t="s">
        <v>299</v>
      </c>
      <c r="I3695" s="265" t="s">
        <v>300</v>
      </c>
      <c r="J3695" s="265" t="s">
        <v>301</v>
      </c>
      <c r="K3695" s="266" t="s">
        <v>302</v>
      </c>
    </row>
    <row r="3696" spans="1:11" x14ac:dyDescent="0.35">
      <c r="A3696" s="221" t="s">
        <v>303</v>
      </c>
      <c r="B3696" s="222"/>
      <c r="C3696" s="222"/>
      <c r="D3696" s="222"/>
      <c r="E3696" s="223"/>
      <c r="G3696" s="221" t="s">
        <v>303</v>
      </c>
      <c r="H3696" s="222"/>
      <c r="I3696" s="222"/>
      <c r="J3696" s="222"/>
      <c r="K3696" s="223"/>
    </row>
    <row r="3697" spans="1:13" x14ac:dyDescent="0.35">
      <c r="A3697" s="225" t="s">
        <v>304</v>
      </c>
      <c r="B3697" s="226"/>
      <c r="C3697" s="226"/>
      <c r="D3697" s="226"/>
      <c r="E3697" s="227"/>
      <c r="G3697" s="225"/>
      <c r="H3697" s="226"/>
      <c r="I3697" s="226"/>
      <c r="J3697" s="226"/>
      <c r="K3697" s="227"/>
    </row>
    <row r="3698" spans="1:13" x14ac:dyDescent="0.35">
      <c r="A3698" s="225"/>
      <c r="B3698" s="226"/>
      <c r="C3698" s="226"/>
      <c r="D3698" s="226"/>
      <c r="E3698" s="227"/>
      <c r="G3698" s="225"/>
      <c r="H3698" s="226"/>
      <c r="I3698" s="226"/>
      <c r="J3698" s="226"/>
      <c r="K3698" s="227"/>
    </row>
    <row r="3699" spans="1:13" x14ac:dyDescent="0.35">
      <c r="A3699" s="221"/>
      <c r="B3699" s="222"/>
      <c r="C3699" s="222"/>
      <c r="D3699" s="222"/>
      <c r="E3699" s="223"/>
      <c r="G3699" s="221"/>
      <c r="H3699" s="222"/>
      <c r="I3699" s="222"/>
      <c r="J3699" s="222"/>
      <c r="K3699" s="223"/>
    </row>
    <row r="3700" spans="1:13" x14ac:dyDescent="0.35">
      <c r="A3700" s="225"/>
      <c r="B3700" s="226"/>
      <c r="C3700" s="226"/>
      <c r="D3700" s="226"/>
      <c r="E3700" s="227"/>
      <c r="G3700" s="225"/>
      <c r="H3700" s="226"/>
      <c r="I3700" s="226"/>
      <c r="J3700" s="226"/>
      <c r="K3700" s="227"/>
    </row>
    <row r="3701" spans="1:13" ht="15" thickBot="1" x14ac:dyDescent="0.4">
      <c r="A3701" s="218" t="s">
        <v>34</v>
      </c>
      <c r="B3701" s="219">
        <f>SUM(B3696:B3700)</f>
        <v>0</v>
      </c>
      <c r="C3701" s="219">
        <f>SUM(C3696:C3700)</f>
        <v>0</v>
      </c>
      <c r="D3701" s="219">
        <f>SUM(D3696:D3700)</f>
        <v>0</v>
      </c>
      <c r="E3701" s="219">
        <f>SUM(E3696:E3700)</f>
        <v>0</v>
      </c>
      <c r="G3701" s="218" t="s">
        <v>34</v>
      </c>
      <c r="H3701" s="219">
        <f>SUM(H3696:H3700)</f>
        <v>0</v>
      </c>
      <c r="I3701" s="219">
        <f>SUM(I3696:I3700)</f>
        <v>0</v>
      </c>
      <c r="J3701" s="219">
        <f>SUM(J3696:J3700)</f>
        <v>0</v>
      </c>
      <c r="K3701" s="219">
        <f>SUM(K3696:K3700)</f>
        <v>0</v>
      </c>
    </row>
    <row r="3702" spans="1:13" x14ac:dyDescent="0.35">
      <c r="A3702" s="220" t="s">
        <v>305</v>
      </c>
      <c r="B3702" s="220">
        <f>+B3701+C3701+D3701+E3701</f>
        <v>0</v>
      </c>
      <c r="C3702" s="220"/>
      <c r="D3702" s="220"/>
      <c r="E3702" s="220"/>
      <c r="G3702" s="220" t="s">
        <v>305</v>
      </c>
      <c r="H3702" s="220">
        <f>+H3701+I3701+J3701+K3701</f>
        <v>0</v>
      </c>
      <c r="I3702" s="220"/>
      <c r="J3702" s="220"/>
      <c r="K3702" s="220"/>
    </row>
    <row r="3703" spans="1:13" ht="15" thickBot="1" x14ac:dyDescent="0.4"/>
    <row r="3704" spans="1:13" ht="34.5" customHeight="1" thickBot="1" x14ac:dyDescent="0.4">
      <c r="A3704" s="316" t="s">
        <v>339</v>
      </c>
      <c r="B3704" s="317"/>
      <c r="C3704" s="317"/>
      <c r="D3704" s="317"/>
      <c r="E3704" s="317"/>
      <c r="F3704" s="318"/>
      <c r="G3704" s="324">
        <f>SUMIF($A$3396:M3703,"*"&amp;K3704&amp;"*",$B$3396:N3703)</f>
        <v>0</v>
      </c>
      <c r="H3704" s="319"/>
      <c r="I3704" s="319"/>
      <c r="J3704" s="325"/>
      <c r="K3704" s="322" t="s">
        <v>305</v>
      </c>
      <c r="L3704" s="323"/>
      <c r="M3704" s="228">
        <f>+G3704</f>
        <v>0</v>
      </c>
    </row>
  </sheetData>
  <mergeCells count="1500">
    <mergeCell ref="G2503:K2503"/>
    <mergeCell ref="G2512:K2512"/>
    <mergeCell ref="G2513:K2513"/>
    <mergeCell ref="G2563:K2563"/>
    <mergeCell ref="G2572:K2572"/>
    <mergeCell ref="G2573:K2573"/>
    <mergeCell ref="G2582:K2582"/>
    <mergeCell ref="G2583:K2583"/>
    <mergeCell ref="G2592:K2592"/>
    <mergeCell ref="G2593:K2593"/>
    <mergeCell ref="G2702:K2702"/>
    <mergeCell ref="G2703:K2703"/>
    <mergeCell ref="G2712:K2712"/>
    <mergeCell ref="G2602:K2602"/>
    <mergeCell ref="G2603:K2603"/>
    <mergeCell ref="G2522:K2522"/>
    <mergeCell ref="G2523:K2523"/>
    <mergeCell ref="G2532:K2532"/>
    <mergeCell ref="G2533:K2533"/>
    <mergeCell ref="G2542:K2542"/>
    <mergeCell ref="G2543:K2543"/>
    <mergeCell ref="G2552:K2552"/>
    <mergeCell ref="G2553:K2553"/>
    <mergeCell ref="G2562:K2562"/>
    <mergeCell ref="G2662:K2662"/>
    <mergeCell ref="G2663:K2663"/>
    <mergeCell ref="G2672:K2672"/>
    <mergeCell ref="G2673:K2673"/>
    <mergeCell ref="G2682:K2682"/>
    <mergeCell ref="G2249:K2249"/>
    <mergeCell ref="G2250:K2250"/>
    <mergeCell ref="G2259:K2259"/>
    <mergeCell ref="G2260:K2260"/>
    <mergeCell ref="G2269:K2269"/>
    <mergeCell ref="G2270:K2270"/>
    <mergeCell ref="G2483:K2483"/>
    <mergeCell ref="G2492:K2492"/>
    <mergeCell ref="G2473:K2473"/>
    <mergeCell ref="G2472:K2472"/>
    <mergeCell ref="G2380:K2380"/>
    <mergeCell ref="G2389:K2389"/>
    <mergeCell ref="G2390:K2390"/>
    <mergeCell ref="G2399:K2399"/>
    <mergeCell ref="G2400:K2400"/>
    <mergeCell ref="G2409:K2409"/>
    <mergeCell ref="G2410:K2410"/>
    <mergeCell ref="G2419:K2419"/>
    <mergeCell ref="G2420:K2420"/>
    <mergeCell ref="G2339:K2339"/>
    <mergeCell ref="G2340:K2340"/>
    <mergeCell ref="G2349:K2349"/>
    <mergeCell ref="G2350:K2350"/>
    <mergeCell ref="G2359:K2359"/>
    <mergeCell ref="G2360:K2360"/>
    <mergeCell ref="G2369:K2369"/>
    <mergeCell ref="G2370:K2370"/>
    <mergeCell ref="G2379:K2379"/>
    <mergeCell ref="G2460:K2460"/>
    <mergeCell ref="G2459:K2459"/>
    <mergeCell ref="G2450:K2450"/>
    <mergeCell ref="G2449:K2449"/>
    <mergeCell ref="G3704:J3704"/>
    <mergeCell ref="K3704:L3704"/>
    <mergeCell ref="G2157:J2157"/>
    <mergeCell ref="K2157:L2157"/>
    <mergeCell ref="A2470:F2470"/>
    <mergeCell ref="G2470:J2470"/>
    <mergeCell ref="K2470:L2470"/>
    <mergeCell ref="A2775:F2775"/>
    <mergeCell ref="G2775:J2775"/>
    <mergeCell ref="K2775:L2775"/>
    <mergeCell ref="A3088:F3088"/>
    <mergeCell ref="G3088:J3088"/>
    <mergeCell ref="K3088:L3088"/>
    <mergeCell ref="G3654:K3654"/>
    <mergeCell ref="G3663:K3663"/>
    <mergeCell ref="G3664:K3664"/>
    <mergeCell ref="G3673:K3673"/>
    <mergeCell ref="G3674:K3674"/>
    <mergeCell ref="G3683:K3683"/>
    <mergeCell ref="G3684:K3684"/>
    <mergeCell ref="G3693:K3693"/>
    <mergeCell ref="G3694:K3694"/>
    <mergeCell ref="G3613:K3613"/>
    <mergeCell ref="G3614:K3614"/>
    <mergeCell ref="G3623:K3623"/>
    <mergeCell ref="G3624:K3624"/>
    <mergeCell ref="G3633:K3633"/>
    <mergeCell ref="G3634:K3634"/>
    <mergeCell ref="G3643:K3643"/>
    <mergeCell ref="G3644:K3644"/>
    <mergeCell ref="G3653:K3653"/>
    <mergeCell ref="G3564:K3564"/>
    <mergeCell ref="G3573:K3573"/>
    <mergeCell ref="G3574:K3574"/>
    <mergeCell ref="G3583:K3583"/>
    <mergeCell ref="G3584:K3584"/>
    <mergeCell ref="G3593:K3593"/>
    <mergeCell ref="G3594:K3594"/>
    <mergeCell ref="G3603:K3603"/>
    <mergeCell ref="G3604:K3604"/>
    <mergeCell ref="G3523:K3523"/>
    <mergeCell ref="G3524:K3524"/>
    <mergeCell ref="G3533:K3533"/>
    <mergeCell ref="G3534:K3534"/>
    <mergeCell ref="G3543:K3543"/>
    <mergeCell ref="G3544:K3544"/>
    <mergeCell ref="G3553:K3553"/>
    <mergeCell ref="G3554:K3554"/>
    <mergeCell ref="G3563:K3563"/>
    <mergeCell ref="G3474:K3474"/>
    <mergeCell ref="G3483:K3483"/>
    <mergeCell ref="G3484:K3484"/>
    <mergeCell ref="G3493:K3493"/>
    <mergeCell ref="G3494:K3494"/>
    <mergeCell ref="G3503:K3503"/>
    <mergeCell ref="G3504:K3504"/>
    <mergeCell ref="G3513:K3513"/>
    <mergeCell ref="G3514:K3514"/>
    <mergeCell ref="G3433:K3433"/>
    <mergeCell ref="G3434:K3434"/>
    <mergeCell ref="G3443:K3443"/>
    <mergeCell ref="G3444:K3444"/>
    <mergeCell ref="G3453:K3453"/>
    <mergeCell ref="G3454:K3454"/>
    <mergeCell ref="G3463:K3463"/>
    <mergeCell ref="G3464:K3464"/>
    <mergeCell ref="G3473:K3473"/>
    <mergeCell ref="G3381:K3381"/>
    <mergeCell ref="G3393:K3393"/>
    <mergeCell ref="G3394:K3394"/>
    <mergeCell ref="G3403:K3403"/>
    <mergeCell ref="G3404:K3404"/>
    <mergeCell ref="G3413:K3413"/>
    <mergeCell ref="G3414:K3414"/>
    <mergeCell ref="G3423:K3423"/>
    <mergeCell ref="G3424:K3424"/>
    <mergeCell ref="G3391:J3391"/>
    <mergeCell ref="K3391:L3391"/>
    <mergeCell ref="G3340:K3340"/>
    <mergeCell ref="G3341:K3341"/>
    <mergeCell ref="G3350:K3350"/>
    <mergeCell ref="G3351:K3351"/>
    <mergeCell ref="G3360:K3360"/>
    <mergeCell ref="G3361:K3361"/>
    <mergeCell ref="G3370:K3370"/>
    <mergeCell ref="G3371:K3371"/>
    <mergeCell ref="G3380:K3380"/>
    <mergeCell ref="G3291:K3291"/>
    <mergeCell ref="G3300:K3300"/>
    <mergeCell ref="G3301:K3301"/>
    <mergeCell ref="G3310:K3310"/>
    <mergeCell ref="G3311:K3311"/>
    <mergeCell ref="G3320:K3320"/>
    <mergeCell ref="G3321:K3321"/>
    <mergeCell ref="G3330:K3330"/>
    <mergeCell ref="G3331:K3331"/>
    <mergeCell ref="G3250:K3250"/>
    <mergeCell ref="G3251:K3251"/>
    <mergeCell ref="G3260:K3260"/>
    <mergeCell ref="G3261:K3261"/>
    <mergeCell ref="G3270:K3270"/>
    <mergeCell ref="G3271:K3271"/>
    <mergeCell ref="G3280:K3280"/>
    <mergeCell ref="G3281:K3281"/>
    <mergeCell ref="G3290:K3290"/>
    <mergeCell ref="G3201:K3201"/>
    <mergeCell ref="G3210:K3210"/>
    <mergeCell ref="G3211:K3211"/>
    <mergeCell ref="G3220:K3220"/>
    <mergeCell ref="G3221:K3221"/>
    <mergeCell ref="G3230:K3230"/>
    <mergeCell ref="G3231:K3231"/>
    <mergeCell ref="G3240:K3240"/>
    <mergeCell ref="G3241:K3241"/>
    <mergeCell ref="G3160:K3160"/>
    <mergeCell ref="G3161:K3161"/>
    <mergeCell ref="G3170:K3170"/>
    <mergeCell ref="G3171:K3171"/>
    <mergeCell ref="G3180:K3180"/>
    <mergeCell ref="G3181:K3181"/>
    <mergeCell ref="G3190:K3190"/>
    <mergeCell ref="G3191:K3191"/>
    <mergeCell ref="G3200:K3200"/>
    <mergeCell ref="G3120:K3120"/>
    <mergeCell ref="G3121:K3121"/>
    <mergeCell ref="G3130:K3130"/>
    <mergeCell ref="G3131:K3131"/>
    <mergeCell ref="G3140:K3140"/>
    <mergeCell ref="G3141:K3141"/>
    <mergeCell ref="G3150:K3150"/>
    <mergeCell ref="G3151:K3151"/>
    <mergeCell ref="G3067:K3067"/>
    <mergeCell ref="G3068:K3068"/>
    <mergeCell ref="G3077:K3077"/>
    <mergeCell ref="G3078:K3078"/>
    <mergeCell ref="G3090:K3090"/>
    <mergeCell ref="G3091:K3091"/>
    <mergeCell ref="G3100:K3100"/>
    <mergeCell ref="G3101:K3101"/>
    <mergeCell ref="G3110:K3110"/>
    <mergeCell ref="G3028:K3028"/>
    <mergeCell ref="G3037:K3037"/>
    <mergeCell ref="G3038:K3038"/>
    <mergeCell ref="G3047:K3047"/>
    <mergeCell ref="G3048:K3048"/>
    <mergeCell ref="G3057:K3057"/>
    <mergeCell ref="G3058:K3058"/>
    <mergeCell ref="G2977:K2977"/>
    <mergeCell ref="G2978:K2978"/>
    <mergeCell ref="G2987:K2987"/>
    <mergeCell ref="G2988:K2988"/>
    <mergeCell ref="G2997:K2997"/>
    <mergeCell ref="G2998:K2998"/>
    <mergeCell ref="G3007:K3007"/>
    <mergeCell ref="G3008:K3008"/>
    <mergeCell ref="G3017:K3017"/>
    <mergeCell ref="G3111:K3111"/>
    <mergeCell ref="G2947:K2947"/>
    <mergeCell ref="G2948:K2948"/>
    <mergeCell ref="G2957:K2957"/>
    <mergeCell ref="G2958:K2958"/>
    <mergeCell ref="G2967:K2967"/>
    <mergeCell ref="G2968:K2968"/>
    <mergeCell ref="G2887:K2887"/>
    <mergeCell ref="G2888:K2888"/>
    <mergeCell ref="G2897:K2897"/>
    <mergeCell ref="G2898:K2898"/>
    <mergeCell ref="G2907:K2907"/>
    <mergeCell ref="G2908:K2908"/>
    <mergeCell ref="G2917:K2917"/>
    <mergeCell ref="G2918:K2918"/>
    <mergeCell ref="G2927:K2927"/>
    <mergeCell ref="G3018:K3018"/>
    <mergeCell ref="G3027:K3027"/>
    <mergeCell ref="G2858:K2858"/>
    <mergeCell ref="G2867:K2867"/>
    <mergeCell ref="G2868:K2868"/>
    <mergeCell ref="G2877:K2877"/>
    <mergeCell ref="G2878:K2878"/>
    <mergeCell ref="G2797:K2797"/>
    <mergeCell ref="G2798:K2798"/>
    <mergeCell ref="G2807:K2807"/>
    <mergeCell ref="G2808:K2808"/>
    <mergeCell ref="G2817:K2817"/>
    <mergeCell ref="G2818:K2818"/>
    <mergeCell ref="G2827:K2827"/>
    <mergeCell ref="G2828:K2828"/>
    <mergeCell ref="G2837:K2837"/>
    <mergeCell ref="G2928:K2928"/>
    <mergeCell ref="G2937:K2937"/>
    <mergeCell ref="G2938:K2938"/>
    <mergeCell ref="G2777:K2777"/>
    <mergeCell ref="G2778:K2778"/>
    <mergeCell ref="G2787:K2787"/>
    <mergeCell ref="G2788:K2788"/>
    <mergeCell ref="G2838:K2838"/>
    <mergeCell ref="G2847:K2847"/>
    <mergeCell ref="G2848:K2848"/>
    <mergeCell ref="G2857:K2857"/>
    <mergeCell ref="G2683:K2683"/>
    <mergeCell ref="G2692:K2692"/>
    <mergeCell ref="G2693:K2693"/>
    <mergeCell ref="G2612:K2612"/>
    <mergeCell ref="G2613:K2613"/>
    <mergeCell ref="G2622:K2622"/>
    <mergeCell ref="G2623:K2623"/>
    <mergeCell ref="G2632:K2632"/>
    <mergeCell ref="G2633:K2633"/>
    <mergeCell ref="G2642:K2642"/>
    <mergeCell ref="G2643:K2643"/>
    <mergeCell ref="G2652:K2652"/>
    <mergeCell ref="G2743:K2743"/>
    <mergeCell ref="G2752:K2752"/>
    <mergeCell ref="G2753:K2753"/>
    <mergeCell ref="G2762:K2762"/>
    <mergeCell ref="G2763:K2763"/>
    <mergeCell ref="G2713:K2713"/>
    <mergeCell ref="G2722:K2722"/>
    <mergeCell ref="G2723:K2723"/>
    <mergeCell ref="G2732:K2732"/>
    <mergeCell ref="G2733:K2733"/>
    <mergeCell ref="G2742:K2742"/>
    <mergeCell ref="G2653:K2653"/>
    <mergeCell ref="G2440:K2440"/>
    <mergeCell ref="G2439:K2439"/>
    <mergeCell ref="G2430:K2430"/>
    <mergeCell ref="G2429:K2429"/>
    <mergeCell ref="G2482:K2482"/>
    <mergeCell ref="G2493:K2493"/>
    <mergeCell ref="G2502:K2502"/>
    <mergeCell ref="G2279:K2279"/>
    <mergeCell ref="G2280:K2280"/>
    <mergeCell ref="G2289:K2289"/>
    <mergeCell ref="G2290:K2290"/>
    <mergeCell ref="G2299:K2299"/>
    <mergeCell ref="G2300:K2300"/>
    <mergeCell ref="G2309:K2309"/>
    <mergeCell ref="G2310:K2310"/>
    <mergeCell ref="G2319:K2319"/>
    <mergeCell ref="G2320:K2320"/>
    <mergeCell ref="G2329:K2329"/>
    <mergeCell ref="G2330:K2330"/>
    <mergeCell ref="G2200:K2200"/>
    <mergeCell ref="G2209:K2209"/>
    <mergeCell ref="G2210:K2210"/>
    <mergeCell ref="G2219:K2219"/>
    <mergeCell ref="G2220:K2220"/>
    <mergeCell ref="G2229:K2229"/>
    <mergeCell ref="G2230:K2230"/>
    <mergeCell ref="G2239:K2239"/>
    <mergeCell ref="G2240:K2240"/>
    <mergeCell ref="G2159:K2159"/>
    <mergeCell ref="G2160:K2160"/>
    <mergeCell ref="G2169:K2169"/>
    <mergeCell ref="G2170:K2170"/>
    <mergeCell ref="G2179:K2179"/>
    <mergeCell ref="G2180:K2180"/>
    <mergeCell ref="G2189:K2189"/>
    <mergeCell ref="G2190:K2190"/>
    <mergeCell ref="G2199:K2199"/>
    <mergeCell ref="G2107:K2107"/>
    <mergeCell ref="G2116:K2116"/>
    <mergeCell ref="G2117:K2117"/>
    <mergeCell ref="G2126:K2126"/>
    <mergeCell ref="G2127:K2127"/>
    <mergeCell ref="G2136:K2136"/>
    <mergeCell ref="G2137:K2137"/>
    <mergeCell ref="G2146:K2146"/>
    <mergeCell ref="G2147:K2147"/>
    <mergeCell ref="G2066:K2066"/>
    <mergeCell ref="G2067:K2067"/>
    <mergeCell ref="G2076:K2076"/>
    <mergeCell ref="G2077:K2077"/>
    <mergeCell ref="G2086:K2086"/>
    <mergeCell ref="G2087:K2087"/>
    <mergeCell ref="G2096:K2096"/>
    <mergeCell ref="G2097:K2097"/>
    <mergeCell ref="G2106:K2106"/>
    <mergeCell ref="G2017:K2017"/>
    <mergeCell ref="G2026:K2026"/>
    <mergeCell ref="G2027:K2027"/>
    <mergeCell ref="G2036:K2036"/>
    <mergeCell ref="G2037:K2037"/>
    <mergeCell ref="G2046:K2046"/>
    <mergeCell ref="G2047:K2047"/>
    <mergeCell ref="G2056:K2056"/>
    <mergeCell ref="G2057:K2057"/>
    <mergeCell ref="G1976:K1976"/>
    <mergeCell ref="G1977:K1977"/>
    <mergeCell ref="G1986:K1986"/>
    <mergeCell ref="G1987:K1987"/>
    <mergeCell ref="G1996:K1996"/>
    <mergeCell ref="G1997:K1997"/>
    <mergeCell ref="G2006:K2006"/>
    <mergeCell ref="G2007:K2007"/>
    <mergeCell ref="G2016:K2016"/>
    <mergeCell ref="G1927:K1927"/>
    <mergeCell ref="G1936:K1936"/>
    <mergeCell ref="G1937:K1937"/>
    <mergeCell ref="G1946:K1946"/>
    <mergeCell ref="G1947:K1947"/>
    <mergeCell ref="G1956:K1956"/>
    <mergeCell ref="G1957:K1957"/>
    <mergeCell ref="G1966:K1966"/>
    <mergeCell ref="G1967:K1967"/>
    <mergeCell ref="G1886:K1886"/>
    <mergeCell ref="G1887:K1887"/>
    <mergeCell ref="G1896:K1896"/>
    <mergeCell ref="G1897:K1897"/>
    <mergeCell ref="G1906:K1906"/>
    <mergeCell ref="G1907:K1907"/>
    <mergeCell ref="G1916:K1916"/>
    <mergeCell ref="G1917:K1917"/>
    <mergeCell ref="G1926:K1926"/>
    <mergeCell ref="G1834:K1834"/>
    <mergeCell ref="G1846:K1846"/>
    <mergeCell ref="G1847:K1847"/>
    <mergeCell ref="G1856:K1856"/>
    <mergeCell ref="G1857:K1857"/>
    <mergeCell ref="G1866:K1866"/>
    <mergeCell ref="G1867:K1867"/>
    <mergeCell ref="G1876:K1876"/>
    <mergeCell ref="G1877:K1877"/>
    <mergeCell ref="G1844:J1844"/>
    <mergeCell ref="K1844:L1844"/>
    <mergeCell ref="G1793:K1793"/>
    <mergeCell ref="G1794:K1794"/>
    <mergeCell ref="G1803:K1803"/>
    <mergeCell ref="G1804:K1804"/>
    <mergeCell ref="G1813:K1813"/>
    <mergeCell ref="G1814:K1814"/>
    <mergeCell ref="G1823:K1823"/>
    <mergeCell ref="G1824:K1824"/>
    <mergeCell ref="G1833:K1833"/>
    <mergeCell ref="G1744:K1744"/>
    <mergeCell ref="G1753:K1753"/>
    <mergeCell ref="G1754:K1754"/>
    <mergeCell ref="G1763:K1763"/>
    <mergeCell ref="G1764:K1764"/>
    <mergeCell ref="G1773:K1773"/>
    <mergeCell ref="G1774:K1774"/>
    <mergeCell ref="G1783:K1783"/>
    <mergeCell ref="G1784:K1784"/>
    <mergeCell ref="G1703:K1703"/>
    <mergeCell ref="G1704:K1704"/>
    <mergeCell ref="G1713:K1713"/>
    <mergeCell ref="G1714:K1714"/>
    <mergeCell ref="G1723:K1723"/>
    <mergeCell ref="G1724:K1724"/>
    <mergeCell ref="G1733:K1733"/>
    <mergeCell ref="G1734:K1734"/>
    <mergeCell ref="G1743:K1743"/>
    <mergeCell ref="G1654:K1654"/>
    <mergeCell ref="G1663:K1663"/>
    <mergeCell ref="G1664:K1664"/>
    <mergeCell ref="G1673:K1673"/>
    <mergeCell ref="G1674:K1674"/>
    <mergeCell ref="G1683:K1683"/>
    <mergeCell ref="G1684:K1684"/>
    <mergeCell ref="G1693:K1693"/>
    <mergeCell ref="G1694:K1694"/>
    <mergeCell ref="G1553:K1553"/>
    <mergeCell ref="G1554:K1554"/>
    <mergeCell ref="G1563:K1563"/>
    <mergeCell ref="G1564:K1564"/>
    <mergeCell ref="G1573:K1573"/>
    <mergeCell ref="G1574:K1574"/>
    <mergeCell ref="G1583:K1583"/>
    <mergeCell ref="G1584:K1584"/>
    <mergeCell ref="G1593:K1593"/>
    <mergeCell ref="G1594:K1594"/>
    <mergeCell ref="G1603:K1603"/>
    <mergeCell ref="G1604:K1604"/>
    <mergeCell ref="G1613:K1613"/>
    <mergeCell ref="G1614:K1614"/>
    <mergeCell ref="G1623:K1623"/>
    <mergeCell ref="G1624:K1624"/>
    <mergeCell ref="G1633:K1633"/>
    <mergeCell ref="G1634:K1634"/>
    <mergeCell ref="G1643:K1643"/>
    <mergeCell ref="G1644:K1644"/>
    <mergeCell ref="G1653:K1653"/>
    <mergeCell ref="A3704:F3704"/>
    <mergeCell ref="A3664:E3664"/>
    <mergeCell ref="A3673:E3673"/>
    <mergeCell ref="A3674:E3674"/>
    <mergeCell ref="A3683:E3683"/>
    <mergeCell ref="A3684:E3684"/>
    <mergeCell ref="A3693:E3693"/>
    <mergeCell ref="A3694:E3694"/>
    <mergeCell ref="A3623:E3623"/>
    <mergeCell ref="A3624:E3624"/>
    <mergeCell ref="A3633:E3633"/>
    <mergeCell ref="A3634:E3634"/>
    <mergeCell ref="A3643:E3643"/>
    <mergeCell ref="A3644:E3644"/>
    <mergeCell ref="A3653:E3653"/>
    <mergeCell ref="A3654:E3654"/>
    <mergeCell ref="A3663:E3663"/>
    <mergeCell ref="A3574:E3574"/>
    <mergeCell ref="A3583:E3583"/>
    <mergeCell ref="A3584:E3584"/>
    <mergeCell ref="A3593:E3593"/>
    <mergeCell ref="A3594:E3594"/>
    <mergeCell ref="A3603:E3603"/>
    <mergeCell ref="A3604:E3604"/>
    <mergeCell ref="A3613:E3613"/>
    <mergeCell ref="A3614:E3614"/>
    <mergeCell ref="A3533:E3533"/>
    <mergeCell ref="A3534:E3534"/>
    <mergeCell ref="A3543:E3543"/>
    <mergeCell ref="A3544:E3544"/>
    <mergeCell ref="A3553:E3553"/>
    <mergeCell ref="A3554:E3554"/>
    <mergeCell ref="A3563:E3563"/>
    <mergeCell ref="A3564:E3564"/>
    <mergeCell ref="A3573:E3573"/>
    <mergeCell ref="A3484:E3484"/>
    <mergeCell ref="A3493:E3493"/>
    <mergeCell ref="A3494:E3494"/>
    <mergeCell ref="A3503:E3503"/>
    <mergeCell ref="A3504:E3504"/>
    <mergeCell ref="A3513:E3513"/>
    <mergeCell ref="A3514:E3514"/>
    <mergeCell ref="A3523:E3523"/>
    <mergeCell ref="A3524:E3524"/>
    <mergeCell ref="A3443:E3443"/>
    <mergeCell ref="A3444:E3444"/>
    <mergeCell ref="A3453:E3453"/>
    <mergeCell ref="A3454:E3454"/>
    <mergeCell ref="A3463:E3463"/>
    <mergeCell ref="A3464:E3464"/>
    <mergeCell ref="A3473:E3473"/>
    <mergeCell ref="A3474:E3474"/>
    <mergeCell ref="A3483:E3483"/>
    <mergeCell ref="A3394:E3394"/>
    <mergeCell ref="A3403:E3403"/>
    <mergeCell ref="A3404:E3404"/>
    <mergeCell ref="A3413:E3413"/>
    <mergeCell ref="A3414:E3414"/>
    <mergeCell ref="A3423:E3423"/>
    <mergeCell ref="A3424:E3424"/>
    <mergeCell ref="A3433:E3433"/>
    <mergeCell ref="A3434:E3434"/>
    <mergeCell ref="A3350:E3350"/>
    <mergeCell ref="A3351:E3351"/>
    <mergeCell ref="A3360:E3360"/>
    <mergeCell ref="A3361:E3361"/>
    <mergeCell ref="A3370:E3370"/>
    <mergeCell ref="A3371:E3371"/>
    <mergeCell ref="A3380:E3380"/>
    <mergeCell ref="A3381:E3381"/>
    <mergeCell ref="A3393:E3393"/>
    <mergeCell ref="A3391:F3391"/>
    <mergeCell ref="A3301:E3301"/>
    <mergeCell ref="A3310:E3310"/>
    <mergeCell ref="A3311:E3311"/>
    <mergeCell ref="A3320:E3320"/>
    <mergeCell ref="A3321:E3321"/>
    <mergeCell ref="A3330:E3330"/>
    <mergeCell ref="A3331:E3331"/>
    <mergeCell ref="A3340:E3340"/>
    <mergeCell ref="A3341:E3341"/>
    <mergeCell ref="A3260:E3260"/>
    <mergeCell ref="A3261:E3261"/>
    <mergeCell ref="A3270:E3270"/>
    <mergeCell ref="A3271:E3271"/>
    <mergeCell ref="A3280:E3280"/>
    <mergeCell ref="A3281:E3281"/>
    <mergeCell ref="A3290:E3290"/>
    <mergeCell ref="A3291:E3291"/>
    <mergeCell ref="A3300:E3300"/>
    <mergeCell ref="A3211:E3211"/>
    <mergeCell ref="A3220:E3220"/>
    <mergeCell ref="A3221:E3221"/>
    <mergeCell ref="A3230:E3230"/>
    <mergeCell ref="A3231:E3231"/>
    <mergeCell ref="A3240:E3240"/>
    <mergeCell ref="A3241:E3241"/>
    <mergeCell ref="A3250:E3250"/>
    <mergeCell ref="A3251:E3251"/>
    <mergeCell ref="A3170:E3170"/>
    <mergeCell ref="A3171:E3171"/>
    <mergeCell ref="A3180:E3180"/>
    <mergeCell ref="A3181:E3181"/>
    <mergeCell ref="A3190:E3190"/>
    <mergeCell ref="A3191:E3191"/>
    <mergeCell ref="A3200:E3200"/>
    <mergeCell ref="A3201:E3201"/>
    <mergeCell ref="A3210:E3210"/>
    <mergeCell ref="A3121:E3121"/>
    <mergeCell ref="A3130:E3130"/>
    <mergeCell ref="A3131:E3131"/>
    <mergeCell ref="A3140:E3140"/>
    <mergeCell ref="A3141:E3141"/>
    <mergeCell ref="A3150:E3150"/>
    <mergeCell ref="A3151:E3151"/>
    <mergeCell ref="A3160:E3160"/>
    <mergeCell ref="A3161:E3161"/>
    <mergeCell ref="A3077:E3077"/>
    <mergeCell ref="A3078:E3078"/>
    <mergeCell ref="A3090:E3090"/>
    <mergeCell ref="A3091:E3091"/>
    <mergeCell ref="A3100:E3100"/>
    <mergeCell ref="A3101:E3101"/>
    <mergeCell ref="A3110:E3110"/>
    <mergeCell ref="A3111:E3111"/>
    <mergeCell ref="A3120:E3120"/>
    <mergeCell ref="A3028:E3028"/>
    <mergeCell ref="A3037:E3037"/>
    <mergeCell ref="A3038:E3038"/>
    <mergeCell ref="A3047:E3047"/>
    <mergeCell ref="A3048:E3048"/>
    <mergeCell ref="A3057:E3057"/>
    <mergeCell ref="A3058:E3058"/>
    <mergeCell ref="A3067:E3067"/>
    <mergeCell ref="A3068:E3068"/>
    <mergeCell ref="A2987:E2987"/>
    <mergeCell ref="A2988:E2988"/>
    <mergeCell ref="A2997:E2997"/>
    <mergeCell ref="A2998:E2998"/>
    <mergeCell ref="A3007:E3007"/>
    <mergeCell ref="A3008:E3008"/>
    <mergeCell ref="A3017:E3017"/>
    <mergeCell ref="A3018:E3018"/>
    <mergeCell ref="A3027:E3027"/>
    <mergeCell ref="A2938:E2938"/>
    <mergeCell ref="A2947:E2947"/>
    <mergeCell ref="A2948:E2948"/>
    <mergeCell ref="A2957:E2957"/>
    <mergeCell ref="A2958:E2958"/>
    <mergeCell ref="A2967:E2967"/>
    <mergeCell ref="A2968:E2968"/>
    <mergeCell ref="A2977:E2977"/>
    <mergeCell ref="A2978:E2978"/>
    <mergeCell ref="A2897:E2897"/>
    <mergeCell ref="A2898:E2898"/>
    <mergeCell ref="A2907:E2907"/>
    <mergeCell ref="A2908:E2908"/>
    <mergeCell ref="A2917:E2917"/>
    <mergeCell ref="A2918:E2918"/>
    <mergeCell ref="A2927:E2927"/>
    <mergeCell ref="A2928:E2928"/>
    <mergeCell ref="A2937:E2937"/>
    <mergeCell ref="A2848:E2848"/>
    <mergeCell ref="A2857:E2857"/>
    <mergeCell ref="A2858:E2858"/>
    <mergeCell ref="A2867:E2867"/>
    <mergeCell ref="A2868:E2868"/>
    <mergeCell ref="A2877:E2877"/>
    <mergeCell ref="A2878:E2878"/>
    <mergeCell ref="A2887:E2887"/>
    <mergeCell ref="A2888:E2888"/>
    <mergeCell ref="A2807:E2807"/>
    <mergeCell ref="A2808:E2808"/>
    <mergeCell ref="A2817:E2817"/>
    <mergeCell ref="A2818:E2818"/>
    <mergeCell ref="A2827:E2827"/>
    <mergeCell ref="A2828:E2828"/>
    <mergeCell ref="A2837:E2837"/>
    <mergeCell ref="A2838:E2838"/>
    <mergeCell ref="A2847:E2847"/>
    <mergeCell ref="A2753:E2753"/>
    <mergeCell ref="A2762:E2762"/>
    <mergeCell ref="A2763:E2763"/>
    <mergeCell ref="A2777:E2777"/>
    <mergeCell ref="A2778:E2778"/>
    <mergeCell ref="A2787:E2787"/>
    <mergeCell ref="A2788:E2788"/>
    <mergeCell ref="A2797:E2797"/>
    <mergeCell ref="A2798:E2798"/>
    <mergeCell ref="A2712:E2712"/>
    <mergeCell ref="A2713:E2713"/>
    <mergeCell ref="A2722:E2722"/>
    <mergeCell ref="A2723:E2723"/>
    <mergeCell ref="A2732:E2732"/>
    <mergeCell ref="A2733:E2733"/>
    <mergeCell ref="A2742:E2742"/>
    <mergeCell ref="A2743:E2743"/>
    <mergeCell ref="A2752:E2752"/>
    <mergeCell ref="A2663:E2663"/>
    <mergeCell ref="A2672:E2672"/>
    <mergeCell ref="A2673:E2673"/>
    <mergeCell ref="A2682:E2682"/>
    <mergeCell ref="A2683:E2683"/>
    <mergeCell ref="A2692:E2692"/>
    <mergeCell ref="A2693:E2693"/>
    <mergeCell ref="A2702:E2702"/>
    <mergeCell ref="A2703:E2703"/>
    <mergeCell ref="A2622:E2622"/>
    <mergeCell ref="A2623:E2623"/>
    <mergeCell ref="A2632:E2632"/>
    <mergeCell ref="A2633:E2633"/>
    <mergeCell ref="A2642:E2642"/>
    <mergeCell ref="A2643:E2643"/>
    <mergeCell ref="A2652:E2652"/>
    <mergeCell ref="A2653:E2653"/>
    <mergeCell ref="A2662:E2662"/>
    <mergeCell ref="A2573:E2573"/>
    <mergeCell ref="A2582:E2582"/>
    <mergeCell ref="A2583:E2583"/>
    <mergeCell ref="A2592:E2592"/>
    <mergeCell ref="A2593:E2593"/>
    <mergeCell ref="A2602:E2602"/>
    <mergeCell ref="A2603:E2603"/>
    <mergeCell ref="A2612:E2612"/>
    <mergeCell ref="A2613:E2613"/>
    <mergeCell ref="A2532:E2532"/>
    <mergeCell ref="A2533:E2533"/>
    <mergeCell ref="A2542:E2542"/>
    <mergeCell ref="A2543:E2543"/>
    <mergeCell ref="A2552:E2552"/>
    <mergeCell ref="A2553:E2553"/>
    <mergeCell ref="A2562:E2562"/>
    <mergeCell ref="A2563:E2563"/>
    <mergeCell ref="A2572:E2572"/>
    <mergeCell ref="A2483:E2483"/>
    <mergeCell ref="A2492:E2492"/>
    <mergeCell ref="A2493:E2493"/>
    <mergeCell ref="A2502:E2502"/>
    <mergeCell ref="A2503:E2503"/>
    <mergeCell ref="A2512:E2512"/>
    <mergeCell ref="A2513:E2513"/>
    <mergeCell ref="A2522:E2522"/>
    <mergeCell ref="A2523:E2523"/>
    <mergeCell ref="A2472:E2472"/>
    <mergeCell ref="A2473:E2473"/>
    <mergeCell ref="A2482:E2482"/>
    <mergeCell ref="A2390:E2390"/>
    <mergeCell ref="A2399:E2399"/>
    <mergeCell ref="A2400:E2400"/>
    <mergeCell ref="A2409:E2409"/>
    <mergeCell ref="A2410:E2410"/>
    <mergeCell ref="A2419:E2419"/>
    <mergeCell ref="A2420:E2420"/>
    <mergeCell ref="A2429:E2429"/>
    <mergeCell ref="A2430:E2430"/>
    <mergeCell ref="A2460:E2460"/>
    <mergeCell ref="A2459:E2459"/>
    <mergeCell ref="A2450:E2450"/>
    <mergeCell ref="A2449:E2449"/>
    <mergeCell ref="A2440:E2440"/>
    <mergeCell ref="A2439:E2439"/>
    <mergeCell ref="A2349:E2349"/>
    <mergeCell ref="A2350:E2350"/>
    <mergeCell ref="A2359:E2359"/>
    <mergeCell ref="A2360:E2360"/>
    <mergeCell ref="A2369:E2369"/>
    <mergeCell ref="A2370:E2370"/>
    <mergeCell ref="A2379:E2379"/>
    <mergeCell ref="A2380:E2380"/>
    <mergeCell ref="A2389:E2389"/>
    <mergeCell ref="A2300:E2300"/>
    <mergeCell ref="A2309:E2309"/>
    <mergeCell ref="A2310:E2310"/>
    <mergeCell ref="A2319:E2319"/>
    <mergeCell ref="A2320:E2320"/>
    <mergeCell ref="A2329:E2329"/>
    <mergeCell ref="A2330:E2330"/>
    <mergeCell ref="A2339:E2339"/>
    <mergeCell ref="A2340:E2340"/>
    <mergeCell ref="A2259:E2259"/>
    <mergeCell ref="A2260:E2260"/>
    <mergeCell ref="A2269:E2269"/>
    <mergeCell ref="A2270:E2270"/>
    <mergeCell ref="A2279:E2279"/>
    <mergeCell ref="A2280:E2280"/>
    <mergeCell ref="A2289:E2289"/>
    <mergeCell ref="A2290:E2290"/>
    <mergeCell ref="A2299:E2299"/>
    <mergeCell ref="A2210:E2210"/>
    <mergeCell ref="A2219:E2219"/>
    <mergeCell ref="A2220:E2220"/>
    <mergeCell ref="A2229:E2229"/>
    <mergeCell ref="A2230:E2230"/>
    <mergeCell ref="A2239:E2239"/>
    <mergeCell ref="A2240:E2240"/>
    <mergeCell ref="A2249:E2249"/>
    <mergeCell ref="A2250:E2250"/>
    <mergeCell ref="A2169:E2169"/>
    <mergeCell ref="A2170:E2170"/>
    <mergeCell ref="A2179:E2179"/>
    <mergeCell ref="A2180:E2180"/>
    <mergeCell ref="A2189:E2189"/>
    <mergeCell ref="A2190:E2190"/>
    <mergeCell ref="A2199:E2199"/>
    <mergeCell ref="A2200:E2200"/>
    <mergeCell ref="A2209:E2209"/>
    <mergeCell ref="A2117:E2117"/>
    <mergeCell ref="A2126:E2126"/>
    <mergeCell ref="A2127:E2127"/>
    <mergeCell ref="A2136:E2136"/>
    <mergeCell ref="A2137:E2137"/>
    <mergeCell ref="A2146:E2146"/>
    <mergeCell ref="A2147:E2147"/>
    <mergeCell ref="A2157:F2157"/>
    <mergeCell ref="A2160:E2160"/>
    <mergeCell ref="A2159:E2159"/>
    <mergeCell ref="A2076:E2076"/>
    <mergeCell ref="A2077:E2077"/>
    <mergeCell ref="A2086:E2086"/>
    <mergeCell ref="A2087:E2087"/>
    <mergeCell ref="A2096:E2096"/>
    <mergeCell ref="A2097:E2097"/>
    <mergeCell ref="A2106:E2106"/>
    <mergeCell ref="A2107:E2107"/>
    <mergeCell ref="A2116:E2116"/>
    <mergeCell ref="A2027:E2027"/>
    <mergeCell ref="A2036:E2036"/>
    <mergeCell ref="A2037:E2037"/>
    <mergeCell ref="A2046:E2046"/>
    <mergeCell ref="A2047:E2047"/>
    <mergeCell ref="A2056:E2056"/>
    <mergeCell ref="A2057:E2057"/>
    <mergeCell ref="A2066:E2066"/>
    <mergeCell ref="A2067:E2067"/>
    <mergeCell ref="A1986:E1986"/>
    <mergeCell ref="A1987:E1987"/>
    <mergeCell ref="A1996:E1996"/>
    <mergeCell ref="A1997:E1997"/>
    <mergeCell ref="A2006:E2006"/>
    <mergeCell ref="A2007:E2007"/>
    <mergeCell ref="A2016:E2016"/>
    <mergeCell ref="A2017:E2017"/>
    <mergeCell ref="A2026:E2026"/>
    <mergeCell ref="A1937:E1937"/>
    <mergeCell ref="A1946:E1946"/>
    <mergeCell ref="A1947:E1947"/>
    <mergeCell ref="A1956:E1956"/>
    <mergeCell ref="A1957:E1957"/>
    <mergeCell ref="A1966:E1966"/>
    <mergeCell ref="A1967:E1967"/>
    <mergeCell ref="A1976:E1976"/>
    <mergeCell ref="A1977:E1977"/>
    <mergeCell ref="A1896:E1896"/>
    <mergeCell ref="A1897:E1897"/>
    <mergeCell ref="A1906:E1906"/>
    <mergeCell ref="A1907:E1907"/>
    <mergeCell ref="A1916:E1916"/>
    <mergeCell ref="A1917:E1917"/>
    <mergeCell ref="A1926:E1926"/>
    <mergeCell ref="A1927:E1927"/>
    <mergeCell ref="A1936:E1936"/>
    <mergeCell ref="A1847:E1847"/>
    <mergeCell ref="A1856:E1856"/>
    <mergeCell ref="A1857:E1857"/>
    <mergeCell ref="A1866:E1866"/>
    <mergeCell ref="A1867:E1867"/>
    <mergeCell ref="A1876:E1876"/>
    <mergeCell ref="A1877:E1877"/>
    <mergeCell ref="A1886:E1886"/>
    <mergeCell ref="A1887:E1887"/>
    <mergeCell ref="A1803:E1803"/>
    <mergeCell ref="A1804:E1804"/>
    <mergeCell ref="A1813:E1813"/>
    <mergeCell ref="A1814:E1814"/>
    <mergeCell ref="A1823:E1823"/>
    <mergeCell ref="A1824:E1824"/>
    <mergeCell ref="A1833:E1833"/>
    <mergeCell ref="A1834:E1834"/>
    <mergeCell ref="A1846:E1846"/>
    <mergeCell ref="A1844:F1844"/>
    <mergeCell ref="A1754:E1754"/>
    <mergeCell ref="A1763:E1763"/>
    <mergeCell ref="A1764:E1764"/>
    <mergeCell ref="A1773:E1773"/>
    <mergeCell ref="A1774:E1774"/>
    <mergeCell ref="A1783:E1783"/>
    <mergeCell ref="A1784:E1784"/>
    <mergeCell ref="A1793:E1793"/>
    <mergeCell ref="A1794:E1794"/>
    <mergeCell ref="A1713:E1713"/>
    <mergeCell ref="A1714:E1714"/>
    <mergeCell ref="A1723:E1723"/>
    <mergeCell ref="A1724:E1724"/>
    <mergeCell ref="A1733:E1733"/>
    <mergeCell ref="A1734:E1734"/>
    <mergeCell ref="A1743:E1743"/>
    <mergeCell ref="A1744:E1744"/>
    <mergeCell ref="A1753:E1753"/>
    <mergeCell ref="A1664:E1664"/>
    <mergeCell ref="A1673:E1673"/>
    <mergeCell ref="A1674:E1674"/>
    <mergeCell ref="A1683:E1683"/>
    <mergeCell ref="A1684:E1684"/>
    <mergeCell ref="A1693:E1693"/>
    <mergeCell ref="A1694:E1694"/>
    <mergeCell ref="A1703:E1703"/>
    <mergeCell ref="A1704:E1704"/>
    <mergeCell ref="A1623:E1623"/>
    <mergeCell ref="A1624:E1624"/>
    <mergeCell ref="A1633:E1633"/>
    <mergeCell ref="A1634:E1634"/>
    <mergeCell ref="A1643:E1643"/>
    <mergeCell ref="A1644:E1644"/>
    <mergeCell ref="A1653:E1653"/>
    <mergeCell ref="A1654:E1654"/>
    <mergeCell ref="A1663:E1663"/>
    <mergeCell ref="A1574:E1574"/>
    <mergeCell ref="A1583:E1583"/>
    <mergeCell ref="A1584:E1584"/>
    <mergeCell ref="A1593:E1593"/>
    <mergeCell ref="A1594:E1594"/>
    <mergeCell ref="A1603:E1603"/>
    <mergeCell ref="A1604:E1604"/>
    <mergeCell ref="A1613:E1613"/>
    <mergeCell ref="A1614:E1614"/>
    <mergeCell ref="A1543:E1543"/>
    <mergeCell ref="G1543:K1543"/>
    <mergeCell ref="A1544:E1544"/>
    <mergeCell ref="G1544:K1544"/>
    <mergeCell ref="A1553:E1553"/>
    <mergeCell ref="A1554:E1554"/>
    <mergeCell ref="A1563:E1563"/>
    <mergeCell ref="A1564:E1564"/>
    <mergeCell ref="A1573:E1573"/>
    <mergeCell ref="G922:J922"/>
    <mergeCell ref="G890:K890"/>
    <mergeCell ref="G891:K891"/>
    <mergeCell ref="G900:K900"/>
    <mergeCell ref="G901:K901"/>
    <mergeCell ref="G910:K910"/>
    <mergeCell ref="G911:K911"/>
    <mergeCell ref="G860:K860"/>
    <mergeCell ref="G861:K861"/>
    <mergeCell ref="G870:K870"/>
    <mergeCell ref="G871:K871"/>
    <mergeCell ref="G880:K880"/>
    <mergeCell ref="G881:K881"/>
    <mergeCell ref="K922:L922"/>
    <mergeCell ref="G954:K954"/>
    <mergeCell ref="G955:K955"/>
    <mergeCell ref="G964:K964"/>
    <mergeCell ref="G965:K965"/>
    <mergeCell ref="G974:K974"/>
    <mergeCell ref="G985:K985"/>
    <mergeCell ref="G994:K994"/>
    <mergeCell ref="G934:K934"/>
    <mergeCell ref="G935:K935"/>
    <mergeCell ref="G830:K830"/>
    <mergeCell ref="G831:K831"/>
    <mergeCell ref="G840:K840"/>
    <mergeCell ref="G841:K841"/>
    <mergeCell ref="G850:K850"/>
    <mergeCell ref="G851:K851"/>
    <mergeCell ref="G700:K700"/>
    <mergeCell ref="G701:K701"/>
    <mergeCell ref="G770:K770"/>
    <mergeCell ref="A781:E781"/>
    <mergeCell ref="A790:E790"/>
    <mergeCell ref="A791:E791"/>
    <mergeCell ref="A760:E760"/>
    <mergeCell ref="A761:E761"/>
    <mergeCell ref="A770:E770"/>
    <mergeCell ref="A771:E771"/>
    <mergeCell ref="A731:E731"/>
    <mergeCell ref="G800:K800"/>
    <mergeCell ref="G801:K801"/>
    <mergeCell ref="G810:K810"/>
    <mergeCell ref="G811:K811"/>
    <mergeCell ref="G820:K820"/>
    <mergeCell ref="G821:K821"/>
    <mergeCell ref="G771:K771"/>
    <mergeCell ref="G780:K780"/>
    <mergeCell ref="G781:K781"/>
    <mergeCell ref="G790:K790"/>
    <mergeCell ref="G791:K791"/>
    <mergeCell ref="G740:K740"/>
    <mergeCell ref="G741:K741"/>
    <mergeCell ref="G750:K750"/>
    <mergeCell ref="G751:K751"/>
    <mergeCell ref="G760:K760"/>
    <mergeCell ref="G761:K761"/>
    <mergeCell ref="A730:E730"/>
    <mergeCell ref="A711:E711"/>
    <mergeCell ref="A922:F922"/>
    <mergeCell ref="A890:E890"/>
    <mergeCell ref="A891:E891"/>
    <mergeCell ref="A900:E900"/>
    <mergeCell ref="A901:E901"/>
    <mergeCell ref="A870:E870"/>
    <mergeCell ref="A871:E871"/>
    <mergeCell ref="A880:E880"/>
    <mergeCell ref="A881:E881"/>
    <mergeCell ref="A910:E910"/>
    <mergeCell ref="A911:E911"/>
    <mergeCell ref="A800:E800"/>
    <mergeCell ref="A801:E801"/>
    <mergeCell ref="A810:E810"/>
    <mergeCell ref="A811:E811"/>
    <mergeCell ref="A780:E780"/>
    <mergeCell ref="A841:E841"/>
    <mergeCell ref="A851:E851"/>
    <mergeCell ref="A850:E850"/>
    <mergeCell ref="A860:E860"/>
    <mergeCell ref="A861:E861"/>
    <mergeCell ref="A820:E820"/>
    <mergeCell ref="A830:E830"/>
    <mergeCell ref="A831:E831"/>
    <mergeCell ref="A840:E840"/>
    <mergeCell ref="A821:E821"/>
    <mergeCell ref="A741:E741"/>
    <mergeCell ref="A740:E740"/>
    <mergeCell ref="G661:K661"/>
    <mergeCell ref="G670:K670"/>
    <mergeCell ref="G671:K671"/>
    <mergeCell ref="G710:K710"/>
    <mergeCell ref="G711:K711"/>
    <mergeCell ref="G720:K720"/>
    <mergeCell ref="G721:K721"/>
    <mergeCell ref="G730:K730"/>
    <mergeCell ref="G731:K731"/>
    <mergeCell ref="G680:K680"/>
    <mergeCell ref="G681:K681"/>
    <mergeCell ref="G690:K690"/>
    <mergeCell ref="G691:K691"/>
    <mergeCell ref="A691:E691"/>
    <mergeCell ref="A700:E700"/>
    <mergeCell ref="A701:E701"/>
    <mergeCell ref="A670:E670"/>
    <mergeCell ref="A671:E671"/>
    <mergeCell ref="A680:E680"/>
    <mergeCell ref="A681:E681"/>
    <mergeCell ref="A661:E661"/>
    <mergeCell ref="A621:E621"/>
    <mergeCell ref="A631:E631"/>
    <mergeCell ref="A610:E610"/>
    <mergeCell ref="G610:K610"/>
    <mergeCell ref="G611:K611"/>
    <mergeCell ref="A620:E620"/>
    <mergeCell ref="A630:E630"/>
    <mergeCell ref="A640:E640"/>
    <mergeCell ref="A641:E641"/>
    <mergeCell ref="A650:E650"/>
    <mergeCell ref="A651:E651"/>
    <mergeCell ref="A660:E660"/>
    <mergeCell ref="G620:K620"/>
    <mergeCell ref="G621:K621"/>
    <mergeCell ref="G630:K630"/>
    <mergeCell ref="G631:K631"/>
    <mergeCell ref="G640:K640"/>
    <mergeCell ref="G641:K641"/>
    <mergeCell ref="A611:E611"/>
    <mergeCell ref="G650:K650"/>
    <mergeCell ref="G651:K651"/>
    <mergeCell ref="G660:K660"/>
    <mergeCell ref="A750:E750"/>
    <mergeCell ref="A751:E751"/>
    <mergeCell ref="A710:E710"/>
    <mergeCell ref="A720:E720"/>
    <mergeCell ref="A721:E721"/>
    <mergeCell ref="A690:E690"/>
    <mergeCell ref="A1084:E1084"/>
    <mergeCell ref="A1085:E1085"/>
    <mergeCell ref="G995:K995"/>
    <mergeCell ref="G1004:K1004"/>
    <mergeCell ref="G1005:K1005"/>
    <mergeCell ref="G1014:K1014"/>
    <mergeCell ref="G1015:K1015"/>
    <mergeCell ref="A924:E924"/>
    <mergeCell ref="G924:K924"/>
    <mergeCell ref="A925:E925"/>
    <mergeCell ref="G925:K925"/>
    <mergeCell ref="A934:E934"/>
    <mergeCell ref="A935:E935"/>
    <mergeCell ref="A944:E944"/>
    <mergeCell ref="A945:E945"/>
    <mergeCell ref="A954:E954"/>
    <mergeCell ref="A955:E955"/>
    <mergeCell ref="A964:E964"/>
    <mergeCell ref="A965:E965"/>
    <mergeCell ref="A974:E974"/>
    <mergeCell ref="A975:E975"/>
    <mergeCell ref="A984:E984"/>
    <mergeCell ref="A985:E985"/>
    <mergeCell ref="A994:E994"/>
    <mergeCell ref="G975:K975"/>
    <mergeCell ref="G984:K984"/>
    <mergeCell ref="G944:K944"/>
    <mergeCell ref="G945:K945"/>
    <mergeCell ref="A995:E995"/>
    <mergeCell ref="A1004:E1004"/>
    <mergeCell ref="A1005:E1005"/>
    <mergeCell ref="A1014:E1014"/>
    <mergeCell ref="A1015:E1015"/>
    <mergeCell ref="A1024:E1024"/>
    <mergeCell ref="A1025:E1025"/>
    <mergeCell ref="A1034:E1034"/>
    <mergeCell ref="A1035:E1035"/>
    <mergeCell ref="A1044:E1044"/>
    <mergeCell ref="A1045:E1045"/>
    <mergeCell ref="A1054:E1054"/>
    <mergeCell ref="A1055:E1055"/>
    <mergeCell ref="A1064:E1064"/>
    <mergeCell ref="A1065:E1065"/>
    <mergeCell ref="G1045:K1045"/>
    <mergeCell ref="G1054:K1054"/>
    <mergeCell ref="G1055:K1055"/>
    <mergeCell ref="G1024:K1024"/>
    <mergeCell ref="G1025:K1025"/>
    <mergeCell ref="G1034:K1034"/>
    <mergeCell ref="G1035:K1035"/>
    <mergeCell ref="G1044:K1044"/>
    <mergeCell ref="A1074:E1074"/>
    <mergeCell ref="A1075:E1075"/>
    <mergeCell ref="A1135:E1135"/>
    <mergeCell ref="A1144:E1144"/>
    <mergeCell ref="A1145:E1145"/>
    <mergeCell ref="A1154:E1154"/>
    <mergeCell ref="A1155:E1155"/>
    <mergeCell ref="A1164:E1164"/>
    <mergeCell ref="A1165:E1165"/>
    <mergeCell ref="A1174:E1174"/>
    <mergeCell ref="A1175:E1175"/>
    <mergeCell ref="A1094:E1094"/>
    <mergeCell ref="A1095:E1095"/>
    <mergeCell ref="A1104:E1104"/>
    <mergeCell ref="A1105:E1105"/>
    <mergeCell ref="A1114:E1114"/>
    <mergeCell ref="A1115:E1115"/>
    <mergeCell ref="A1124:E1124"/>
    <mergeCell ref="A1125:E1125"/>
    <mergeCell ref="A1134:E1134"/>
    <mergeCell ref="G1104:K1104"/>
    <mergeCell ref="G1105:K1105"/>
    <mergeCell ref="G1114:K1114"/>
    <mergeCell ref="G1115:K1115"/>
    <mergeCell ref="G1124:K1124"/>
    <mergeCell ref="G1125:K1125"/>
    <mergeCell ref="G1134:K1134"/>
    <mergeCell ref="G1135:K1135"/>
    <mergeCell ref="G1144:K1144"/>
    <mergeCell ref="G1064:K1064"/>
    <mergeCell ref="G1065:K1065"/>
    <mergeCell ref="G1074:K1074"/>
    <mergeCell ref="G1075:K1075"/>
    <mergeCell ref="G1084:K1084"/>
    <mergeCell ref="G1085:K1085"/>
    <mergeCell ref="G1094:K1094"/>
    <mergeCell ref="G1095:K1095"/>
    <mergeCell ref="G1145:K1145"/>
    <mergeCell ref="G1154:K1154"/>
    <mergeCell ref="G1155:K1155"/>
    <mergeCell ref="G1164:K1164"/>
    <mergeCell ref="G1165:K1165"/>
    <mergeCell ref="G1174:K1174"/>
    <mergeCell ref="G1175:K1175"/>
    <mergeCell ref="G1184:K1184"/>
    <mergeCell ref="G1185:K1185"/>
    <mergeCell ref="G1194:K1194"/>
    <mergeCell ref="G1195:K1195"/>
    <mergeCell ref="G1204:K1204"/>
    <mergeCell ref="G1205:K1205"/>
    <mergeCell ref="G1214:K1214"/>
    <mergeCell ref="G1215:K1215"/>
    <mergeCell ref="A1226:F1226"/>
    <mergeCell ref="G1226:J1226"/>
    <mergeCell ref="A1204:E1204"/>
    <mergeCell ref="A1205:E1205"/>
    <mergeCell ref="A1214:E1214"/>
    <mergeCell ref="A1215:E1215"/>
    <mergeCell ref="K1226:L1226"/>
    <mergeCell ref="A1184:E1184"/>
    <mergeCell ref="A1185:E1185"/>
    <mergeCell ref="A1194:E1194"/>
    <mergeCell ref="A1195:E1195"/>
    <mergeCell ref="A1229:E1229"/>
    <mergeCell ref="G1229:K1229"/>
    <mergeCell ref="A1230:E1230"/>
    <mergeCell ref="G1230:K1230"/>
    <mergeCell ref="A1239:E1239"/>
    <mergeCell ref="A1240:E1240"/>
    <mergeCell ref="A1249:E1249"/>
    <mergeCell ref="A1250:E1250"/>
    <mergeCell ref="A1259:E1259"/>
    <mergeCell ref="A1260:E1260"/>
    <mergeCell ref="A1269:E1269"/>
    <mergeCell ref="A1270:E1270"/>
    <mergeCell ref="A1279:E1279"/>
    <mergeCell ref="A1280:E1280"/>
    <mergeCell ref="A1289:E1289"/>
    <mergeCell ref="A1290:E1290"/>
    <mergeCell ref="A1299:E1299"/>
    <mergeCell ref="G1280:K1280"/>
    <mergeCell ref="G1289:K1289"/>
    <mergeCell ref="G1290:K1290"/>
    <mergeCell ref="G1299:K1299"/>
    <mergeCell ref="G1269:K1269"/>
    <mergeCell ref="G1270:K1270"/>
    <mergeCell ref="G1279:K1279"/>
    <mergeCell ref="A1319:E1319"/>
    <mergeCell ref="A1320:E1320"/>
    <mergeCell ref="A1329:E1329"/>
    <mergeCell ref="A1330:E1330"/>
    <mergeCell ref="A1339:E1339"/>
    <mergeCell ref="A1340:E1340"/>
    <mergeCell ref="A1349:E1349"/>
    <mergeCell ref="A1429:E1429"/>
    <mergeCell ref="A1430:E1430"/>
    <mergeCell ref="A1439:E1439"/>
    <mergeCell ref="A1350:E1350"/>
    <mergeCell ref="A1359:E1359"/>
    <mergeCell ref="A1360:E1360"/>
    <mergeCell ref="A1369:E1369"/>
    <mergeCell ref="A1370:E1370"/>
    <mergeCell ref="A1379:E1379"/>
    <mergeCell ref="A1380:E1380"/>
    <mergeCell ref="A1389:E1389"/>
    <mergeCell ref="A1390:E1390"/>
    <mergeCell ref="G1380:K1380"/>
    <mergeCell ref="G1389:K1389"/>
    <mergeCell ref="G1390:K1390"/>
    <mergeCell ref="G1329:K1329"/>
    <mergeCell ref="G1330:K1330"/>
    <mergeCell ref="G1339:K1339"/>
    <mergeCell ref="A1440:E1440"/>
    <mergeCell ref="A1449:E1449"/>
    <mergeCell ref="A1450:E1450"/>
    <mergeCell ref="A1459:E1459"/>
    <mergeCell ref="A1460:E1460"/>
    <mergeCell ref="A1469:E1469"/>
    <mergeCell ref="A1470:E1470"/>
    <mergeCell ref="A1479:E1479"/>
    <mergeCell ref="A1399:E1399"/>
    <mergeCell ref="A1400:E1400"/>
    <mergeCell ref="A1409:E1409"/>
    <mergeCell ref="A1410:E1410"/>
    <mergeCell ref="A1419:E1419"/>
    <mergeCell ref="A1420:E1420"/>
    <mergeCell ref="G1340:K1340"/>
    <mergeCell ref="G1349:K1349"/>
    <mergeCell ref="G1350:K1350"/>
    <mergeCell ref="G1359:K1359"/>
    <mergeCell ref="G1360:K1360"/>
    <mergeCell ref="G1369:K1369"/>
    <mergeCell ref="G1370:K1370"/>
    <mergeCell ref="G1379:K1379"/>
    <mergeCell ref="G1399:K1399"/>
    <mergeCell ref="G1469:K1469"/>
    <mergeCell ref="G1470:K1470"/>
    <mergeCell ref="A1530:E1530"/>
    <mergeCell ref="A1519:E1519"/>
    <mergeCell ref="A1520:E1520"/>
    <mergeCell ref="A1529:E1529"/>
    <mergeCell ref="K1540:L1540"/>
    <mergeCell ref="A1489:E1489"/>
    <mergeCell ref="A1490:E1490"/>
    <mergeCell ref="A1499:E1499"/>
    <mergeCell ref="A1500:E1500"/>
    <mergeCell ref="A1509:E1509"/>
    <mergeCell ref="A1510:E1510"/>
    <mergeCell ref="G1529:K1529"/>
    <mergeCell ref="G1530:K1530"/>
    <mergeCell ref="A1540:F1540"/>
    <mergeCell ref="G1540:J1540"/>
    <mergeCell ref="G1300:K1300"/>
    <mergeCell ref="G1309:K1309"/>
    <mergeCell ref="G1310:K1310"/>
    <mergeCell ref="G1319:K1319"/>
    <mergeCell ref="G1320:K1320"/>
    <mergeCell ref="A1480:E1480"/>
    <mergeCell ref="G1400:K1400"/>
    <mergeCell ref="G1409:K1409"/>
    <mergeCell ref="G1410:K1410"/>
    <mergeCell ref="G1419:K1419"/>
    <mergeCell ref="G1420:K1420"/>
    <mergeCell ref="G1429:K1429"/>
    <mergeCell ref="G1430:K1430"/>
    <mergeCell ref="G1439:K1439"/>
    <mergeCell ref="A1300:E1300"/>
    <mergeCell ref="A1309:E1309"/>
    <mergeCell ref="A1310:E1310"/>
    <mergeCell ref="A1:E1"/>
    <mergeCell ref="G1:K1"/>
    <mergeCell ref="A2:E2"/>
    <mergeCell ref="G2:K2"/>
    <mergeCell ref="A11:E11"/>
    <mergeCell ref="A12:E12"/>
    <mergeCell ref="A21:E21"/>
    <mergeCell ref="A22:E22"/>
    <mergeCell ref="A31:E31"/>
    <mergeCell ref="A32:E32"/>
    <mergeCell ref="A41:E41"/>
    <mergeCell ref="A42:E42"/>
    <mergeCell ref="A51:E51"/>
    <mergeCell ref="A52:E52"/>
    <mergeCell ref="A61:E61"/>
    <mergeCell ref="A62:E62"/>
    <mergeCell ref="A71:E71"/>
    <mergeCell ref="G11:K11"/>
    <mergeCell ref="G12:K12"/>
    <mergeCell ref="G21:K21"/>
    <mergeCell ref="G22:K22"/>
    <mergeCell ref="G31:K31"/>
    <mergeCell ref="G32:K32"/>
    <mergeCell ref="G41:K41"/>
    <mergeCell ref="G42:K42"/>
    <mergeCell ref="G51:K51"/>
    <mergeCell ref="G52:K52"/>
    <mergeCell ref="G61:K61"/>
    <mergeCell ref="G62:K62"/>
    <mergeCell ref="G71:K71"/>
    <mergeCell ref="A221:E221"/>
    <mergeCell ref="A222:E222"/>
    <mergeCell ref="A231:E231"/>
    <mergeCell ref="G171:K171"/>
    <mergeCell ref="G172:K172"/>
    <mergeCell ref="G181:K181"/>
    <mergeCell ref="G182:K182"/>
    <mergeCell ref="A232:E232"/>
    <mergeCell ref="A241:E241"/>
    <mergeCell ref="A72:E72"/>
    <mergeCell ref="A81:E81"/>
    <mergeCell ref="A82:E82"/>
    <mergeCell ref="A91:E91"/>
    <mergeCell ref="A92:E92"/>
    <mergeCell ref="A101:E101"/>
    <mergeCell ref="A102:E102"/>
    <mergeCell ref="A111:E111"/>
    <mergeCell ref="A112:E112"/>
    <mergeCell ref="A121:E121"/>
    <mergeCell ref="A122:E122"/>
    <mergeCell ref="A131:E131"/>
    <mergeCell ref="A132:E132"/>
    <mergeCell ref="A141:E141"/>
    <mergeCell ref="A142:E142"/>
    <mergeCell ref="A151:E151"/>
    <mergeCell ref="A152:E152"/>
    <mergeCell ref="A301:E301"/>
    <mergeCell ref="G72:K72"/>
    <mergeCell ref="G81:K81"/>
    <mergeCell ref="G82:K82"/>
    <mergeCell ref="G91:K91"/>
    <mergeCell ref="G102:K102"/>
    <mergeCell ref="G111:K111"/>
    <mergeCell ref="G112:K112"/>
    <mergeCell ref="G121:K121"/>
    <mergeCell ref="G122:K122"/>
    <mergeCell ref="G131:K131"/>
    <mergeCell ref="G132:K132"/>
    <mergeCell ref="G141:K141"/>
    <mergeCell ref="G142:K142"/>
    <mergeCell ref="G151:K151"/>
    <mergeCell ref="G152:K152"/>
    <mergeCell ref="G161:K161"/>
    <mergeCell ref="G162:K162"/>
    <mergeCell ref="G92:K92"/>
    <mergeCell ref="G101:K101"/>
    <mergeCell ref="A161:E161"/>
    <mergeCell ref="A162:E162"/>
    <mergeCell ref="A171:E171"/>
    <mergeCell ref="A172:E172"/>
    <mergeCell ref="A181:E181"/>
    <mergeCell ref="A182:E182"/>
    <mergeCell ref="A191:E191"/>
    <mergeCell ref="A192:E192"/>
    <mergeCell ref="A201:E201"/>
    <mergeCell ref="A202:E202"/>
    <mergeCell ref="A211:E211"/>
    <mergeCell ref="A212:E212"/>
    <mergeCell ref="A302:E302"/>
    <mergeCell ref="A396:E396"/>
    <mergeCell ref="A405:E405"/>
    <mergeCell ref="A406:E406"/>
    <mergeCell ref="G191:K191"/>
    <mergeCell ref="G192:K192"/>
    <mergeCell ref="G201:K201"/>
    <mergeCell ref="G202:K202"/>
    <mergeCell ref="G211:K211"/>
    <mergeCell ref="G212:K212"/>
    <mergeCell ref="G221:K221"/>
    <mergeCell ref="G222:K222"/>
    <mergeCell ref="G231:K231"/>
    <mergeCell ref="G232:K232"/>
    <mergeCell ref="G241:K241"/>
    <mergeCell ref="G242:K242"/>
    <mergeCell ref="G251:K251"/>
    <mergeCell ref="G252:K252"/>
    <mergeCell ref="G261:K261"/>
    <mergeCell ref="G262:K262"/>
    <mergeCell ref="G271:K271"/>
    <mergeCell ref="A242:E242"/>
    <mergeCell ref="A251:E251"/>
    <mergeCell ref="A252:E252"/>
    <mergeCell ref="A261:E261"/>
    <mergeCell ref="A262:E262"/>
    <mergeCell ref="A271:E271"/>
    <mergeCell ref="A272:E272"/>
    <mergeCell ref="A281:E281"/>
    <mergeCell ref="A282:E282"/>
    <mergeCell ref="A291:E291"/>
    <mergeCell ref="A292:E292"/>
    <mergeCell ref="A525:E525"/>
    <mergeCell ref="A535:E535"/>
    <mergeCell ref="A536:E536"/>
    <mergeCell ref="A545:E545"/>
    <mergeCell ref="A546:E546"/>
    <mergeCell ref="A556:E556"/>
    <mergeCell ref="A515:E515"/>
    <mergeCell ref="A516:E516"/>
    <mergeCell ref="A526:E526"/>
    <mergeCell ref="A555:E555"/>
    <mergeCell ref="A565:E565"/>
    <mergeCell ref="A566:E566"/>
    <mergeCell ref="A496:E496"/>
    <mergeCell ref="A505:E505"/>
    <mergeCell ref="A506:E506"/>
    <mergeCell ref="G272:K272"/>
    <mergeCell ref="G281:K281"/>
    <mergeCell ref="G282:K282"/>
    <mergeCell ref="G291:K291"/>
    <mergeCell ref="G292:K292"/>
    <mergeCell ref="G301:K301"/>
    <mergeCell ref="G302:K302"/>
    <mergeCell ref="A313:F313"/>
    <mergeCell ref="G313:J313"/>
    <mergeCell ref="K313:L313"/>
    <mergeCell ref="A315:E315"/>
    <mergeCell ref="G315:K315"/>
    <mergeCell ref="A316:E316"/>
    <mergeCell ref="G316:K316"/>
    <mergeCell ref="A365:E365"/>
    <mergeCell ref="A366:E366"/>
    <mergeCell ref="A415:E415"/>
    <mergeCell ref="A575:E575"/>
    <mergeCell ref="A576:E576"/>
    <mergeCell ref="A585:E585"/>
    <mergeCell ref="A586:E586"/>
    <mergeCell ref="A595:E595"/>
    <mergeCell ref="A596:E596"/>
    <mergeCell ref="A607:F607"/>
    <mergeCell ref="G607:J607"/>
    <mergeCell ref="K607:L607"/>
    <mergeCell ref="G325:K325"/>
    <mergeCell ref="G326:K326"/>
    <mergeCell ref="G335:K335"/>
    <mergeCell ref="G336:K336"/>
    <mergeCell ref="G345:K345"/>
    <mergeCell ref="G346:K346"/>
    <mergeCell ref="G355:K355"/>
    <mergeCell ref="G356:K356"/>
    <mergeCell ref="G365:K365"/>
    <mergeCell ref="G366:K366"/>
    <mergeCell ref="G375:K375"/>
    <mergeCell ref="G376:K376"/>
    <mergeCell ref="G385:K385"/>
    <mergeCell ref="G386:K386"/>
    <mergeCell ref="G395:K395"/>
    <mergeCell ref="G396:K396"/>
    <mergeCell ref="A476:E476"/>
    <mergeCell ref="A485:E485"/>
    <mergeCell ref="A486:E486"/>
    <mergeCell ref="A495:E495"/>
    <mergeCell ref="A375:E375"/>
    <mergeCell ref="A455:E455"/>
    <mergeCell ref="A326:E326"/>
    <mergeCell ref="G456:K456"/>
    <mergeCell ref="G465:K465"/>
    <mergeCell ref="A425:E425"/>
    <mergeCell ref="A426:E426"/>
    <mergeCell ref="A435:E435"/>
    <mergeCell ref="A436:E436"/>
    <mergeCell ref="A446:E446"/>
    <mergeCell ref="A336:E336"/>
    <mergeCell ref="A376:E376"/>
    <mergeCell ref="A385:E385"/>
    <mergeCell ref="A386:E386"/>
    <mergeCell ref="A395:E395"/>
    <mergeCell ref="A456:E456"/>
    <mergeCell ref="A465:E465"/>
    <mergeCell ref="A466:E466"/>
    <mergeCell ref="A475:E475"/>
    <mergeCell ref="G1499:K1499"/>
    <mergeCell ref="G466:K466"/>
    <mergeCell ref="G475:K475"/>
    <mergeCell ref="G476:K476"/>
    <mergeCell ref="G485:K485"/>
    <mergeCell ref="G486:K486"/>
    <mergeCell ref="G495:K495"/>
    <mergeCell ref="G496:K496"/>
    <mergeCell ref="G505:K505"/>
    <mergeCell ref="G506:K506"/>
    <mergeCell ref="G515:K515"/>
    <mergeCell ref="G516:K516"/>
    <mergeCell ref="G525:K525"/>
    <mergeCell ref="G526:K526"/>
    <mergeCell ref="G535:K535"/>
    <mergeCell ref="G536:K536"/>
    <mergeCell ref="G405:K405"/>
    <mergeCell ref="A325:E325"/>
    <mergeCell ref="A335:E335"/>
    <mergeCell ref="A345:E345"/>
    <mergeCell ref="A346:E346"/>
    <mergeCell ref="A355:E355"/>
    <mergeCell ref="A356:E356"/>
    <mergeCell ref="G406:K406"/>
    <mergeCell ref="G415:K415"/>
    <mergeCell ref="G416:K416"/>
    <mergeCell ref="G425:K425"/>
    <mergeCell ref="G426:K426"/>
    <mergeCell ref="G435:K435"/>
    <mergeCell ref="G436:K436"/>
    <mergeCell ref="G445:K445"/>
    <mergeCell ref="G446:K446"/>
    <mergeCell ref="G455:K455"/>
    <mergeCell ref="A416:E416"/>
    <mergeCell ref="A445:E445"/>
    <mergeCell ref="G1520:K1520"/>
    <mergeCell ref="G1490:K1490"/>
    <mergeCell ref="G545:K545"/>
    <mergeCell ref="G546:K546"/>
    <mergeCell ref="G555:K555"/>
    <mergeCell ref="G556:K556"/>
    <mergeCell ref="G565:K565"/>
    <mergeCell ref="G566:K566"/>
    <mergeCell ref="G575:K575"/>
    <mergeCell ref="G576:K576"/>
    <mergeCell ref="G585:K585"/>
    <mergeCell ref="G586:K586"/>
    <mergeCell ref="G595:K595"/>
    <mergeCell ref="G596:K596"/>
    <mergeCell ref="G1440:K1440"/>
    <mergeCell ref="G1449:K1449"/>
    <mergeCell ref="G1450:K1450"/>
    <mergeCell ref="G1459:K1459"/>
    <mergeCell ref="G1460:K1460"/>
    <mergeCell ref="G1509:K1509"/>
    <mergeCell ref="G1510:K1510"/>
    <mergeCell ref="G1519:K1519"/>
    <mergeCell ref="G1239:K1239"/>
    <mergeCell ref="G1240:K1240"/>
    <mergeCell ref="G1249:K1249"/>
    <mergeCell ref="G1250:K1250"/>
    <mergeCell ref="G1259:K1259"/>
    <mergeCell ref="G1260:K1260"/>
    <mergeCell ref="G1479:K1479"/>
    <mergeCell ref="G1480:K1480"/>
    <mergeCell ref="G1500:K1500"/>
    <mergeCell ref="G1489:K1489"/>
  </mergeCells>
  <phoneticPr fontId="49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E0D8-84BD-406B-BD61-A471F0A05B24}">
  <sheetPr>
    <tabColor rgb="FFFF0000"/>
  </sheetPr>
  <dimension ref="A1:M4063"/>
  <sheetViews>
    <sheetView topLeftCell="A3081" workbookViewId="0">
      <selection activeCell="B3090" sqref="B3090"/>
    </sheetView>
  </sheetViews>
  <sheetFormatPr baseColWidth="10" defaultRowHeight="14.5" x14ac:dyDescent="0.35"/>
  <cols>
    <col min="2" max="2" width="12.08984375" bestFit="1" customWidth="1"/>
    <col min="11" max="11" width="12.08984375" bestFit="1" customWidth="1"/>
    <col min="12" max="12" width="14.54296875" style="47" bestFit="1" customWidth="1"/>
    <col min="13" max="13" width="12.1796875" bestFit="1" customWidth="1"/>
  </cols>
  <sheetData>
    <row r="1" spans="1:11" ht="15.5" thickTop="1" thickBot="1" x14ac:dyDescent="0.4">
      <c r="A1" s="335" t="s">
        <v>298</v>
      </c>
      <c r="B1" s="336"/>
      <c r="C1" s="336"/>
      <c r="D1" s="336"/>
      <c r="E1" s="337"/>
      <c r="G1" s="335" t="s">
        <v>314</v>
      </c>
      <c r="H1" s="336"/>
      <c r="I1" s="336"/>
      <c r="J1" s="336"/>
      <c r="K1" s="337"/>
    </row>
    <row r="2" spans="1:11" ht="15.5" thickTop="1" thickBot="1" x14ac:dyDescent="0.4">
      <c r="A2" s="338">
        <v>45292</v>
      </c>
      <c r="B2" s="336"/>
      <c r="C2" s="336"/>
      <c r="D2" s="336"/>
      <c r="E2" s="337"/>
      <c r="G2" s="338">
        <v>45292</v>
      </c>
      <c r="H2" s="336"/>
      <c r="I2" s="336"/>
      <c r="J2" s="336"/>
      <c r="K2" s="337"/>
    </row>
    <row r="3" spans="1:11" ht="15" thickTop="1" x14ac:dyDescent="0.35">
      <c r="A3" s="267" t="s">
        <v>159</v>
      </c>
      <c r="B3" s="267" t="s">
        <v>299</v>
      </c>
      <c r="C3" s="267" t="s">
        <v>307</v>
      </c>
      <c r="D3" s="267" t="s">
        <v>301</v>
      </c>
      <c r="E3" s="268" t="s">
        <v>308</v>
      </c>
      <c r="F3" s="232"/>
      <c r="G3" s="267" t="s">
        <v>159</v>
      </c>
      <c r="H3" s="267" t="s">
        <v>299</v>
      </c>
      <c r="I3" s="267" t="s">
        <v>307</v>
      </c>
      <c r="J3" s="267" t="s">
        <v>301</v>
      </c>
      <c r="K3" s="268" t="s">
        <v>308</v>
      </c>
    </row>
    <row r="4" spans="1:11" x14ac:dyDescent="0.35">
      <c r="A4" s="269" t="s">
        <v>316</v>
      </c>
      <c r="B4" s="270"/>
      <c r="C4" s="270"/>
      <c r="D4" s="270"/>
      <c r="E4" s="270"/>
      <c r="F4" s="229"/>
      <c r="G4" s="269" t="s">
        <v>345</v>
      </c>
      <c r="H4" s="270"/>
      <c r="I4" s="270"/>
      <c r="J4" s="270"/>
      <c r="K4" s="270"/>
    </row>
    <row r="5" spans="1:11" x14ac:dyDescent="0.35">
      <c r="A5" s="271" t="s">
        <v>309</v>
      </c>
      <c r="B5" s="272"/>
      <c r="C5" s="272"/>
      <c r="D5" s="272"/>
      <c r="E5" s="272"/>
      <c r="F5" s="229"/>
      <c r="G5" s="271" t="s">
        <v>345</v>
      </c>
      <c r="H5" s="272"/>
      <c r="I5" s="272"/>
      <c r="J5" s="272"/>
      <c r="K5" s="272"/>
    </row>
    <row r="6" spans="1:11" x14ac:dyDescent="0.35">
      <c r="A6" s="269" t="s">
        <v>310</v>
      </c>
      <c r="B6" s="270"/>
      <c r="C6" s="270"/>
      <c r="D6" s="270"/>
      <c r="E6" s="270"/>
      <c r="F6" s="229"/>
      <c r="G6" s="269" t="s">
        <v>310</v>
      </c>
      <c r="H6" s="270"/>
      <c r="I6" s="270"/>
      <c r="J6" s="270"/>
      <c r="K6" s="270"/>
    </row>
    <row r="7" spans="1:11" x14ac:dyDescent="0.35">
      <c r="A7" s="271" t="s">
        <v>317</v>
      </c>
      <c r="B7" s="272"/>
      <c r="C7" s="272"/>
      <c r="D7" s="272"/>
      <c r="E7" s="272"/>
      <c r="F7" s="229"/>
      <c r="G7" s="271" t="s">
        <v>317</v>
      </c>
      <c r="H7" s="272"/>
      <c r="I7" s="272"/>
      <c r="J7" s="272"/>
      <c r="K7" s="272"/>
    </row>
    <row r="8" spans="1:11" x14ac:dyDescent="0.35">
      <c r="A8" s="269" t="s">
        <v>311</v>
      </c>
      <c r="B8" s="270"/>
      <c r="C8" s="270"/>
      <c r="D8" s="270"/>
      <c r="E8" s="270"/>
      <c r="F8" s="229"/>
      <c r="G8" s="269" t="s">
        <v>311</v>
      </c>
      <c r="H8" s="270"/>
      <c r="I8" s="270"/>
      <c r="J8" s="270"/>
      <c r="K8" s="270"/>
    </row>
    <row r="9" spans="1:11" x14ac:dyDescent="0.35">
      <c r="A9" s="271" t="s">
        <v>312</v>
      </c>
      <c r="B9" s="272"/>
      <c r="C9" s="272"/>
      <c r="D9" s="272"/>
      <c r="E9" s="272"/>
      <c r="F9" s="229"/>
      <c r="G9" s="271" t="s">
        <v>312</v>
      </c>
      <c r="H9" s="272"/>
      <c r="I9" s="272"/>
      <c r="J9" s="272"/>
      <c r="K9" s="272"/>
    </row>
    <row r="10" spans="1:11" x14ac:dyDescent="0.35">
      <c r="A10" s="231" t="s">
        <v>34</v>
      </c>
      <c r="B10" s="230">
        <f>SUM(B4:B9)</f>
        <v>0</v>
      </c>
      <c r="C10" s="230">
        <f>SUM(C4:C9)</f>
        <v>0</v>
      </c>
      <c r="D10" s="230">
        <f>SUM(D4:D9)</f>
        <v>0</v>
      </c>
      <c r="E10" s="230">
        <f>SUM(E4:E9)</f>
        <v>0</v>
      </c>
      <c r="F10" s="229"/>
      <c r="G10" s="231" t="s">
        <v>34</v>
      </c>
      <c r="H10" s="230">
        <f>SUM(H4:H9)</f>
        <v>0</v>
      </c>
      <c r="I10" s="230">
        <f>SUM(I4:I9)</f>
        <v>0</v>
      </c>
      <c r="J10" s="230">
        <f>SUM(J4:J9)</f>
        <v>0</v>
      </c>
      <c r="K10" s="230">
        <f>SUM(K4:K9)</f>
        <v>0</v>
      </c>
    </row>
    <row r="11" spans="1:11" ht="15" thickBot="1" x14ac:dyDescent="0.4">
      <c r="A11" s="231" t="s">
        <v>313</v>
      </c>
      <c r="B11" s="230">
        <f>+B10+C10+D10+E10</f>
        <v>0</v>
      </c>
      <c r="C11" s="230"/>
      <c r="D11" s="230"/>
      <c r="E11" s="230"/>
      <c r="F11" s="229"/>
      <c r="G11" s="231" t="s">
        <v>313</v>
      </c>
      <c r="H11" s="230">
        <f>+H10+I10+J10+K10</f>
        <v>0</v>
      </c>
      <c r="I11" s="230"/>
      <c r="J11" s="230"/>
      <c r="K11" s="230"/>
    </row>
    <row r="12" spans="1:11" ht="15.5" thickTop="1" thickBot="1" x14ac:dyDescent="0.4">
      <c r="A12" s="335" t="s">
        <v>298</v>
      </c>
      <c r="B12" s="336"/>
      <c r="C12" s="336"/>
      <c r="D12" s="336"/>
      <c r="E12" s="337"/>
      <c r="F12" s="47"/>
      <c r="G12" s="335" t="s">
        <v>314</v>
      </c>
      <c r="H12" s="336"/>
      <c r="I12" s="336"/>
      <c r="J12" s="336"/>
      <c r="K12" s="337"/>
    </row>
    <row r="13" spans="1:11" ht="15.5" thickTop="1" thickBot="1" x14ac:dyDescent="0.4">
      <c r="A13" s="338">
        <v>45293</v>
      </c>
      <c r="B13" s="336"/>
      <c r="C13" s="336"/>
      <c r="D13" s="336"/>
      <c r="E13" s="337"/>
      <c r="F13" s="47"/>
      <c r="G13" s="338">
        <v>45293</v>
      </c>
      <c r="H13" s="336"/>
      <c r="I13" s="336"/>
      <c r="J13" s="336"/>
      <c r="K13" s="337"/>
    </row>
    <row r="14" spans="1:11" ht="15" thickTop="1" x14ac:dyDescent="0.35">
      <c r="A14" s="267" t="s">
        <v>159</v>
      </c>
      <c r="B14" s="267" t="s">
        <v>299</v>
      </c>
      <c r="C14" s="267" t="s">
        <v>307</v>
      </c>
      <c r="D14" s="267" t="s">
        <v>301</v>
      </c>
      <c r="E14" s="268" t="s">
        <v>308</v>
      </c>
      <c r="F14" s="47"/>
      <c r="G14" s="267" t="s">
        <v>159</v>
      </c>
      <c r="H14" s="267" t="s">
        <v>299</v>
      </c>
      <c r="I14" s="267" t="s">
        <v>307</v>
      </c>
      <c r="J14" s="267" t="s">
        <v>301</v>
      </c>
      <c r="K14" s="268" t="s">
        <v>308</v>
      </c>
    </row>
    <row r="15" spans="1:11" x14ac:dyDescent="0.35">
      <c r="A15" s="269" t="s">
        <v>316</v>
      </c>
      <c r="B15" s="270"/>
      <c r="C15" s="270"/>
      <c r="D15" s="270"/>
      <c r="E15" s="270"/>
      <c r="F15" s="47"/>
      <c r="G15" s="269" t="s">
        <v>349</v>
      </c>
      <c r="H15" s="270">
        <v>2300</v>
      </c>
      <c r="I15" s="270"/>
      <c r="J15" s="270"/>
      <c r="K15" s="270"/>
    </row>
    <row r="16" spans="1:11" x14ac:dyDescent="0.35">
      <c r="A16" s="271" t="s">
        <v>309</v>
      </c>
      <c r="B16" s="272"/>
      <c r="C16" s="272"/>
      <c r="D16" s="272"/>
      <c r="E16" s="272"/>
      <c r="F16" s="47"/>
      <c r="G16" s="271" t="s">
        <v>345</v>
      </c>
      <c r="H16" s="272"/>
      <c r="I16" s="272"/>
      <c r="J16" s="272"/>
      <c r="K16" s="272"/>
    </row>
    <row r="17" spans="1:11" x14ac:dyDescent="0.35">
      <c r="A17" s="269" t="s">
        <v>310</v>
      </c>
      <c r="B17" s="270"/>
      <c r="C17" s="270"/>
      <c r="D17" s="270"/>
      <c r="E17" s="270"/>
      <c r="F17" s="47"/>
      <c r="G17" s="269" t="s">
        <v>310</v>
      </c>
      <c r="H17" s="270"/>
      <c r="I17" s="270"/>
      <c r="J17" s="270"/>
      <c r="K17" s="270"/>
    </row>
    <row r="18" spans="1:11" x14ac:dyDescent="0.35">
      <c r="A18" s="271" t="s">
        <v>317</v>
      </c>
      <c r="B18" s="272"/>
      <c r="C18" s="272"/>
      <c r="D18" s="272"/>
      <c r="E18" s="272"/>
      <c r="F18" s="47"/>
      <c r="G18" s="271" t="s">
        <v>317</v>
      </c>
      <c r="H18" s="272"/>
      <c r="I18" s="272"/>
      <c r="J18" s="272"/>
      <c r="K18" s="272"/>
    </row>
    <row r="19" spans="1:11" x14ac:dyDescent="0.35">
      <c r="A19" s="269" t="s">
        <v>311</v>
      </c>
      <c r="B19" s="270"/>
      <c r="C19" s="270"/>
      <c r="D19" s="270"/>
      <c r="E19" s="270"/>
      <c r="F19" s="47"/>
      <c r="G19" s="269" t="s">
        <v>311</v>
      </c>
      <c r="H19" s="270"/>
      <c r="I19" s="270"/>
      <c r="J19" s="270"/>
      <c r="K19" s="270"/>
    </row>
    <row r="20" spans="1:11" x14ac:dyDescent="0.35">
      <c r="A20" s="271" t="s">
        <v>312</v>
      </c>
      <c r="B20" s="272">
        <v>3261</v>
      </c>
      <c r="C20" s="272"/>
      <c r="D20" s="272"/>
      <c r="E20" s="272"/>
      <c r="F20" s="47"/>
      <c r="G20" s="271" t="s">
        <v>312</v>
      </c>
      <c r="H20" s="272"/>
      <c r="I20" s="272"/>
      <c r="J20" s="272"/>
      <c r="K20" s="272"/>
    </row>
    <row r="21" spans="1:11" x14ac:dyDescent="0.35">
      <c r="A21" s="231" t="s">
        <v>34</v>
      </c>
      <c r="B21" s="230">
        <f>SUM(B15:B20)</f>
        <v>3261</v>
      </c>
      <c r="C21" s="230">
        <f>SUM(C15:C20)</f>
        <v>0</v>
      </c>
      <c r="D21" s="230">
        <f>SUM(D15:D20)</f>
        <v>0</v>
      </c>
      <c r="E21" s="230">
        <f>SUM(E15:E20)</f>
        <v>0</v>
      </c>
      <c r="F21" s="47"/>
      <c r="G21" s="231" t="s">
        <v>34</v>
      </c>
      <c r="H21" s="230">
        <f>SUM(H15:H20)</f>
        <v>2300</v>
      </c>
      <c r="I21" s="230">
        <f>SUM(I15:I20)</f>
        <v>0</v>
      </c>
      <c r="J21" s="230">
        <f>SUM(J15:J20)</f>
        <v>0</v>
      </c>
      <c r="K21" s="230">
        <f>SUM(K15:K20)</f>
        <v>0</v>
      </c>
    </row>
    <row r="22" spans="1:11" ht="15" thickBot="1" x14ac:dyDescent="0.4">
      <c r="A22" s="231" t="s">
        <v>313</v>
      </c>
      <c r="B22" s="230">
        <f>+B21+C21+D21+E21</f>
        <v>3261</v>
      </c>
      <c r="C22" s="230"/>
      <c r="D22" s="230"/>
      <c r="E22" s="230"/>
      <c r="F22" s="47"/>
      <c r="G22" s="231" t="s">
        <v>313</v>
      </c>
      <c r="H22" s="230">
        <f>+H21+I21+J21+K21</f>
        <v>2300</v>
      </c>
      <c r="I22" s="230"/>
      <c r="J22" s="230"/>
      <c r="K22" s="230"/>
    </row>
    <row r="23" spans="1:11" ht="15.5" thickTop="1" thickBot="1" x14ac:dyDescent="0.4">
      <c r="A23" s="335" t="s">
        <v>298</v>
      </c>
      <c r="B23" s="336"/>
      <c r="C23" s="336"/>
      <c r="D23" s="336"/>
      <c r="E23" s="337"/>
      <c r="F23" s="47"/>
      <c r="G23" s="335" t="s">
        <v>314</v>
      </c>
      <c r="H23" s="336"/>
      <c r="I23" s="336"/>
      <c r="J23" s="336"/>
      <c r="K23" s="337"/>
    </row>
    <row r="24" spans="1:11" ht="15.5" thickTop="1" thickBot="1" x14ac:dyDescent="0.4">
      <c r="A24" s="338">
        <v>45294</v>
      </c>
      <c r="B24" s="336"/>
      <c r="C24" s="336"/>
      <c r="D24" s="336"/>
      <c r="E24" s="337"/>
      <c r="F24" s="47"/>
      <c r="G24" s="338">
        <v>45294</v>
      </c>
      <c r="H24" s="336"/>
      <c r="I24" s="336"/>
      <c r="J24" s="336"/>
      <c r="K24" s="337"/>
    </row>
    <row r="25" spans="1:11" ht="15" thickTop="1" x14ac:dyDescent="0.35">
      <c r="A25" s="267" t="s">
        <v>159</v>
      </c>
      <c r="B25" s="267" t="s">
        <v>299</v>
      </c>
      <c r="C25" s="267" t="s">
        <v>307</v>
      </c>
      <c r="D25" s="267" t="s">
        <v>301</v>
      </c>
      <c r="E25" s="268" t="s">
        <v>308</v>
      </c>
      <c r="F25" s="47"/>
      <c r="G25" s="267" t="s">
        <v>159</v>
      </c>
      <c r="H25" s="267" t="s">
        <v>299</v>
      </c>
      <c r="I25" s="267" t="s">
        <v>307</v>
      </c>
      <c r="J25" s="267" t="s">
        <v>301</v>
      </c>
      <c r="K25" s="268" t="s">
        <v>308</v>
      </c>
    </row>
    <row r="26" spans="1:11" x14ac:dyDescent="0.35">
      <c r="A26" s="269" t="s">
        <v>348</v>
      </c>
      <c r="B26" s="270"/>
      <c r="C26" s="270">
        <v>8465</v>
      </c>
      <c r="D26" s="270"/>
      <c r="E26" s="270"/>
      <c r="F26" s="47"/>
      <c r="G26" s="269" t="s">
        <v>345</v>
      </c>
      <c r="H26" s="270"/>
      <c r="I26" s="270"/>
      <c r="J26" s="270"/>
      <c r="K26" s="270"/>
    </row>
    <row r="27" spans="1:11" x14ac:dyDescent="0.35">
      <c r="A27" s="271" t="s">
        <v>309</v>
      </c>
      <c r="B27" s="272"/>
      <c r="C27" s="272"/>
      <c r="D27" s="272"/>
      <c r="E27" s="272"/>
      <c r="F27" s="47"/>
      <c r="G27" s="271" t="s">
        <v>345</v>
      </c>
      <c r="H27" s="272"/>
      <c r="I27" s="272"/>
      <c r="J27" s="272"/>
      <c r="K27" s="272"/>
    </row>
    <row r="28" spans="1:11" x14ac:dyDescent="0.35">
      <c r="A28" s="269" t="s">
        <v>310</v>
      </c>
      <c r="B28" s="270"/>
      <c r="C28" s="270"/>
      <c r="D28" s="270"/>
      <c r="E28" s="270"/>
      <c r="F28" s="47"/>
      <c r="G28" s="269" t="s">
        <v>310</v>
      </c>
      <c r="H28" s="270"/>
      <c r="I28" s="270"/>
      <c r="J28" s="270"/>
      <c r="K28" s="270"/>
    </row>
    <row r="29" spans="1:11" x14ac:dyDescent="0.35">
      <c r="A29" s="271" t="s">
        <v>317</v>
      </c>
      <c r="B29" s="272"/>
      <c r="C29" s="272"/>
      <c r="D29" s="272"/>
      <c r="E29" s="272"/>
      <c r="F29" s="47"/>
      <c r="G29" s="271" t="s">
        <v>317</v>
      </c>
      <c r="H29" s="272"/>
      <c r="I29" s="272"/>
      <c r="J29" s="272"/>
      <c r="K29" s="272"/>
    </row>
    <row r="30" spans="1:11" x14ac:dyDescent="0.35">
      <c r="A30" s="269" t="s">
        <v>311</v>
      </c>
      <c r="B30" s="270"/>
      <c r="C30" s="270"/>
      <c r="D30" s="270"/>
      <c r="E30" s="270"/>
      <c r="F30" s="47"/>
      <c r="G30" s="269" t="s">
        <v>311</v>
      </c>
      <c r="H30" s="270"/>
      <c r="I30" s="270"/>
      <c r="J30" s="270"/>
      <c r="K30" s="270"/>
    </row>
    <row r="31" spans="1:11" x14ac:dyDescent="0.35">
      <c r="A31" s="271" t="s">
        <v>312</v>
      </c>
      <c r="B31" s="272"/>
      <c r="C31" s="272"/>
      <c r="D31" s="272"/>
      <c r="E31" s="272"/>
      <c r="F31" s="47"/>
      <c r="G31" s="271" t="s">
        <v>312</v>
      </c>
      <c r="H31" s="272"/>
      <c r="I31" s="272"/>
      <c r="J31" s="272"/>
      <c r="K31" s="272"/>
    </row>
    <row r="32" spans="1:11" x14ac:dyDescent="0.35">
      <c r="A32" s="231" t="s">
        <v>34</v>
      </c>
      <c r="B32" s="230">
        <f>SUM(B26:B31)</f>
        <v>0</v>
      </c>
      <c r="C32" s="230">
        <f>SUM(C26:C31)</f>
        <v>8465</v>
      </c>
      <c r="D32" s="230">
        <f>SUM(D26:D31)</f>
        <v>0</v>
      </c>
      <c r="E32" s="230">
        <f>SUM(E26:E31)</f>
        <v>0</v>
      </c>
      <c r="F32" s="47"/>
      <c r="G32" s="231" t="s">
        <v>34</v>
      </c>
      <c r="H32" s="230">
        <f>SUM(H26:H31)</f>
        <v>0</v>
      </c>
      <c r="I32" s="230">
        <f>SUM(I26:I31)</f>
        <v>0</v>
      </c>
      <c r="J32" s="230">
        <f>SUM(J26:J31)</f>
        <v>0</v>
      </c>
      <c r="K32" s="230">
        <f>SUM(K26:K31)</f>
        <v>0</v>
      </c>
    </row>
    <row r="33" spans="1:11" ht="15" thickBot="1" x14ac:dyDescent="0.4">
      <c r="A33" s="231" t="s">
        <v>313</v>
      </c>
      <c r="B33" s="230">
        <f>+B32+C32+D32+E32</f>
        <v>8465</v>
      </c>
      <c r="C33" s="230"/>
      <c r="D33" s="230"/>
      <c r="E33" s="230"/>
      <c r="F33" s="47"/>
      <c r="G33" s="231" t="s">
        <v>313</v>
      </c>
      <c r="H33" s="230">
        <f>+H32+I32+J32+K32</f>
        <v>0</v>
      </c>
      <c r="I33" s="230"/>
      <c r="J33" s="230"/>
      <c r="K33" s="230"/>
    </row>
    <row r="34" spans="1:11" ht="15.5" thickTop="1" thickBot="1" x14ac:dyDescent="0.4">
      <c r="A34" s="335" t="s">
        <v>298</v>
      </c>
      <c r="B34" s="336"/>
      <c r="C34" s="336"/>
      <c r="D34" s="336"/>
      <c r="E34" s="337"/>
      <c r="F34" s="47"/>
      <c r="G34" s="335" t="s">
        <v>314</v>
      </c>
      <c r="H34" s="336"/>
      <c r="I34" s="336"/>
      <c r="J34" s="336"/>
      <c r="K34" s="337"/>
    </row>
    <row r="35" spans="1:11" ht="15.5" thickTop="1" thickBot="1" x14ac:dyDescent="0.4">
      <c r="A35" s="338">
        <v>45295</v>
      </c>
      <c r="B35" s="336"/>
      <c r="C35" s="336"/>
      <c r="D35" s="336"/>
      <c r="E35" s="337"/>
      <c r="F35" s="47"/>
      <c r="G35" s="338">
        <v>45295</v>
      </c>
      <c r="H35" s="336"/>
      <c r="I35" s="336"/>
      <c r="J35" s="336"/>
      <c r="K35" s="337"/>
    </row>
    <row r="36" spans="1:11" ht="15" thickTop="1" x14ac:dyDescent="0.35">
      <c r="A36" s="267" t="s">
        <v>159</v>
      </c>
      <c r="B36" s="267" t="s">
        <v>299</v>
      </c>
      <c r="C36" s="267" t="s">
        <v>307</v>
      </c>
      <c r="D36" s="267" t="s">
        <v>301</v>
      </c>
      <c r="E36" s="268" t="s">
        <v>308</v>
      </c>
      <c r="F36" s="47"/>
      <c r="G36" s="267" t="s">
        <v>159</v>
      </c>
      <c r="H36" s="267" t="s">
        <v>299</v>
      </c>
      <c r="I36" s="267" t="s">
        <v>307</v>
      </c>
      <c r="J36" s="267" t="s">
        <v>301</v>
      </c>
      <c r="K36" s="268" t="s">
        <v>308</v>
      </c>
    </row>
    <row r="37" spans="1:11" x14ac:dyDescent="0.35">
      <c r="A37" s="269" t="s">
        <v>316</v>
      </c>
      <c r="B37" s="270"/>
      <c r="C37" s="270"/>
      <c r="D37" s="270"/>
      <c r="E37" s="270"/>
      <c r="F37" s="47"/>
      <c r="G37" s="269" t="s">
        <v>345</v>
      </c>
      <c r="H37" s="270"/>
      <c r="I37" s="270"/>
      <c r="J37" s="270"/>
      <c r="K37" s="270"/>
    </row>
    <row r="38" spans="1:11" x14ac:dyDescent="0.35">
      <c r="A38" s="271" t="s">
        <v>309</v>
      </c>
      <c r="B38" s="272"/>
      <c r="C38" s="272"/>
      <c r="D38" s="272"/>
      <c r="E38" s="272"/>
      <c r="F38" s="47"/>
      <c r="G38" s="271" t="s">
        <v>345</v>
      </c>
      <c r="H38" s="272"/>
      <c r="I38" s="272"/>
      <c r="J38" s="272"/>
      <c r="K38" s="272"/>
    </row>
    <row r="39" spans="1:11" x14ac:dyDescent="0.35">
      <c r="A39" s="269" t="s">
        <v>310</v>
      </c>
      <c r="B39" s="270">
        <v>2500</v>
      </c>
      <c r="C39" s="270"/>
      <c r="D39" s="270"/>
      <c r="E39" s="270"/>
      <c r="F39" s="47"/>
      <c r="G39" s="269" t="s">
        <v>310</v>
      </c>
      <c r="H39" s="270"/>
      <c r="I39" s="270"/>
      <c r="J39" s="270"/>
      <c r="K39" s="270"/>
    </row>
    <row r="40" spans="1:11" x14ac:dyDescent="0.35">
      <c r="A40" s="271" t="s">
        <v>317</v>
      </c>
      <c r="B40" s="272"/>
      <c r="C40" s="272"/>
      <c r="D40" s="272"/>
      <c r="E40" s="272"/>
      <c r="F40" s="47"/>
      <c r="G40" s="271" t="s">
        <v>317</v>
      </c>
      <c r="H40" s="272"/>
      <c r="I40" s="272"/>
      <c r="J40" s="272"/>
      <c r="K40" s="272"/>
    </row>
    <row r="41" spans="1:11" x14ac:dyDescent="0.35">
      <c r="A41" s="269" t="s">
        <v>311</v>
      </c>
      <c r="B41" s="270"/>
      <c r="C41" s="270"/>
      <c r="D41" s="270"/>
      <c r="E41" s="270"/>
      <c r="F41" s="47"/>
      <c r="G41" s="269" t="s">
        <v>311</v>
      </c>
      <c r="H41" s="270"/>
      <c r="I41" s="270"/>
      <c r="J41" s="270"/>
      <c r="K41" s="270"/>
    </row>
    <row r="42" spans="1:11" x14ac:dyDescent="0.35">
      <c r="A42" s="271" t="s">
        <v>312</v>
      </c>
      <c r="B42" s="272">
        <v>700</v>
      </c>
      <c r="C42" s="272"/>
      <c r="D42" s="272"/>
      <c r="E42" s="272"/>
      <c r="F42" s="47"/>
      <c r="G42" s="271" t="s">
        <v>312</v>
      </c>
      <c r="H42" s="272"/>
      <c r="I42" s="272"/>
      <c r="J42" s="272"/>
      <c r="K42" s="272"/>
    </row>
    <row r="43" spans="1:11" x14ac:dyDescent="0.35">
      <c r="A43" s="231" t="s">
        <v>34</v>
      </c>
      <c r="B43" s="230">
        <f>SUM(B37:B42)</f>
        <v>3200</v>
      </c>
      <c r="C43" s="230">
        <f>SUM(C37:C42)</f>
        <v>0</v>
      </c>
      <c r="D43" s="230">
        <f>SUM(D37:D42)</f>
        <v>0</v>
      </c>
      <c r="E43" s="230">
        <f>SUM(E37:E42)</f>
        <v>0</v>
      </c>
      <c r="F43" s="47"/>
      <c r="G43" s="231" t="s">
        <v>34</v>
      </c>
      <c r="H43" s="230">
        <f>SUM(H37:H42)</f>
        <v>0</v>
      </c>
      <c r="I43" s="230">
        <f>SUM(I37:I42)</f>
        <v>0</v>
      </c>
      <c r="J43" s="230">
        <f>SUM(J37:J42)</f>
        <v>0</v>
      </c>
      <c r="K43" s="230">
        <f>SUM(K37:K42)</f>
        <v>0</v>
      </c>
    </row>
    <row r="44" spans="1:11" ht="15" thickBot="1" x14ac:dyDescent="0.4">
      <c r="A44" s="231" t="s">
        <v>313</v>
      </c>
      <c r="B44" s="230">
        <f>+B43+C43+D43+E43</f>
        <v>3200</v>
      </c>
      <c r="C44" s="230"/>
      <c r="D44" s="230"/>
      <c r="E44" s="230"/>
      <c r="F44" s="47"/>
      <c r="G44" s="231" t="s">
        <v>313</v>
      </c>
      <c r="H44" s="230">
        <f>+H43+I43+J43+K43</f>
        <v>0</v>
      </c>
      <c r="I44" s="230"/>
      <c r="J44" s="230"/>
      <c r="K44" s="230"/>
    </row>
    <row r="45" spans="1:11" ht="15.5" thickTop="1" thickBot="1" x14ac:dyDescent="0.4">
      <c r="A45" s="335" t="s">
        <v>298</v>
      </c>
      <c r="B45" s="336"/>
      <c r="C45" s="336"/>
      <c r="D45" s="336"/>
      <c r="E45" s="337"/>
      <c r="F45" s="47"/>
      <c r="G45" s="335" t="s">
        <v>314</v>
      </c>
      <c r="H45" s="336"/>
      <c r="I45" s="336"/>
      <c r="J45" s="336"/>
      <c r="K45" s="337"/>
    </row>
    <row r="46" spans="1:11" ht="15.5" thickTop="1" thickBot="1" x14ac:dyDescent="0.4">
      <c r="A46" s="338">
        <v>45296</v>
      </c>
      <c r="B46" s="336"/>
      <c r="C46" s="336"/>
      <c r="D46" s="336"/>
      <c r="E46" s="337"/>
      <c r="F46" s="47"/>
      <c r="G46" s="338">
        <v>45296</v>
      </c>
      <c r="H46" s="336"/>
      <c r="I46" s="336"/>
      <c r="J46" s="336"/>
      <c r="K46" s="337"/>
    </row>
    <row r="47" spans="1:11" ht="15" thickTop="1" x14ac:dyDescent="0.35">
      <c r="A47" s="267" t="s">
        <v>159</v>
      </c>
      <c r="B47" s="267" t="s">
        <v>299</v>
      </c>
      <c r="C47" s="267" t="s">
        <v>307</v>
      </c>
      <c r="D47" s="267" t="s">
        <v>301</v>
      </c>
      <c r="E47" s="268" t="s">
        <v>308</v>
      </c>
      <c r="F47" s="47"/>
      <c r="G47" s="267" t="s">
        <v>159</v>
      </c>
      <c r="H47" s="267" t="s">
        <v>299</v>
      </c>
      <c r="I47" s="267" t="s">
        <v>307</v>
      </c>
      <c r="J47" s="267" t="s">
        <v>301</v>
      </c>
      <c r="K47" s="268" t="s">
        <v>308</v>
      </c>
    </row>
    <row r="48" spans="1:11" x14ac:dyDescent="0.35">
      <c r="A48" s="269" t="s">
        <v>316</v>
      </c>
      <c r="B48" s="270">
        <v>200</v>
      </c>
      <c r="C48" s="270"/>
      <c r="D48" s="270"/>
      <c r="E48" s="270"/>
      <c r="F48" s="47"/>
      <c r="G48" s="269" t="s">
        <v>345</v>
      </c>
      <c r="H48" s="270"/>
      <c r="I48" s="270"/>
      <c r="J48" s="270"/>
      <c r="K48" s="270"/>
    </row>
    <row r="49" spans="1:11" x14ac:dyDescent="0.35">
      <c r="A49" s="271" t="s">
        <v>309</v>
      </c>
      <c r="B49" s="272"/>
      <c r="C49" s="272"/>
      <c r="D49" s="272"/>
      <c r="E49" s="272"/>
      <c r="F49" s="47"/>
      <c r="G49" s="271" t="s">
        <v>345</v>
      </c>
      <c r="H49" s="272"/>
      <c r="I49" s="272"/>
      <c r="J49" s="272"/>
      <c r="K49" s="272"/>
    </row>
    <row r="50" spans="1:11" x14ac:dyDescent="0.35">
      <c r="A50" s="269" t="s">
        <v>310</v>
      </c>
      <c r="B50" s="270"/>
      <c r="C50" s="270"/>
      <c r="D50" s="270"/>
      <c r="E50" s="270"/>
      <c r="F50" s="47"/>
      <c r="G50" s="269" t="s">
        <v>310</v>
      </c>
      <c r="H50" s="270"/>
      <c r="I50" s="270"/>
      <c r="J50" s="270"/>
      <c r="K50" s="270"/>
    </row>
    <row r="51" spans="1:11" x14ac:dyDescent="0.35">
      <c r="A51" s="271" t="s">
        <v>317</v>
      </c>
      <c r="B51" s="272"/>
      <c r="C51" s="272"/>
      <c r="D51" s="272"/>
      <c r="E51" s="272"/>
      <c r="F51" s="47"/>
      <c r="G51" s="271" t="s">
        <v>317</v>
      </c>
      <c r="H51" s="272"/>
      <c r="I51" s="272"/>
      <c r="J51" s="272"/>
      <c r="K51" s="272"/>
    </row>
    <row r="52" spans="1:11" x14ac:dyDescent="0.35">
      <c r="A52" s="269" t="s">
        <v>311</v>
      </c>
      <c r="B52" s="270"/>
      <c r="C52" s="270"/>
      <c r="D52" s="270"/>
      <c r="E52" s="270"/>
      <c r="F52" s="47"/>
      <c r="G52" s="269" t="s">
        <v>311</v>
      </c>
      <c r="H52" s="270"/>
      <c r="I52" s="270"/>
      <c r="J52" s="270"/>
      <c r="K52" s="270"/>
    </row>
    <row r="53" spans="1:11" x14ac:dyDescent="0.35">
      <c r="A53" s="271" t="s">
        <v>312</v>
      </c>
      <c r="B53" s="272"/>
      <c r="C53" s="272"/>
      <c r="D53" s="272"/>
      <c r="E53" s="272"/>
      <c r="F53" s="47"/>
      <c r="G53" s="271" t="s">
        <v>312</v>
      </c>
      <c r="H53" s="272"/>
      <c r="I53" s="272"/>
      <c r="J53" s="272"/>
      <c r="K53" s="272"/>
    </row>
    <row r="54" spans="1:11" x14ac:dyDescent="0.35">
      <c r="A54" s="231" t="s">
        <v>34</v>
      </c>
      <c r="B54" s="230">
        <f>SUM(B48:B53)</f>
        <v>200</v>
      </c>
      <c r="C54" s="230">
        <f>SUM(C48:C53)</f>
        <v>0</v>
      </c>
      <c r="D54" s="230">
        <f>SUM(D48:D53)</f>
        <v>0</v>
      </c>
      <c r="E54" s="230">
        <f>SUM(E48:E53)</f>
        <v>0</v>
      </c>
      <c r="F54" s="47"/>
      <c r="G54" s="231" t="s">
        <v>34</v>
      </c>
      <c r="H54" s="230">
        <f>SUM(H48:H53)</f>
        <v>0</v>
      </c>
      <c r="I54" s="230">
        <f>SUM(I48:I53)</f>
        <v>0</v>
      </c>
      <c r="J54" s="230">
        <f>SUM(J48:J53)</f>
        <v>0</v>
      </c>
      <c r="K54" s="230">
        <f>SUM(K48:K53)</f>
        <v>0</v>
      </c>
    </row>
    <row r="55" spans="1:11" ht="15" thickBot="1" x14ac:dyDescent="0.4">
      <c r="A55" s="231" t="s">
        <v>313</v>
      </c>
      <c r="B55" s="230">
        <f>+B54+C54+D54+E54</f>
        <v>200</v>
      </c>
      <c r="C55" s="230"/>
      <c r="D55" s="230"/>
      <c r="E55" s="230"/>
      <c r="F55" s="47"/>
      <c r="G55" s="231" t="s">
        <v>313</v>
      </c>
      <c r="H55" s="230">
        <f>+H54+I54+J54+K54</f>
        <v>0</v>
      </c>
      <c r="I55" s="230"/>
      <c r="J55" s="230"/>
      <c r="K55" s="230"/>
    </row>
    <row r="56" spans="1:11" ht="15.5" thickTop="1" thickBot="1" x14ac:dyDescent="0.4">
      <c r="A56" s="335" t="s">
        <v>298</v>
      </c>
      <c r="B56" s="336"/>
      <c r="C56" s="336"/>
      <c r="D56" s="336"/>
      <c r="E56" s="337"/>
      <c r="F56" s="47"/>
      <c r="G56" s="335" t="s">
        <v>314</v>
      </c>
      <c r="H56" s="336"/>
      <c r="I56" s="336"/>
      <c r="J56" s="336"/>
      <c r="K56" s="337"/>
    </row>
    <row r="57" spans="1:11" ht="15.5" thickTop="1" thickBot="1" x14ac:dyDescent="0.4">
      <c r="A57" s="338">
        <v>45297</v>
      </c>
      <c r="B57" s="336"/>
      <c r="C57" s="336"/>
      <c r="D57" s="336"/>
      <c r="E57" s="337"/>
      <c r="F57" s="47"/>
      <c r="G57" s="338">
        <v>45297</v>
      </c>
      <c r="H57" s="336"/>
      <c r="I57" s="336"/>
      <c r="J57" s="336"/>
      <c r="K57" s="337"/>
    </row>
    <row r="58" spans="1:11" ht="15" thickTop="1" x14ac:dyDescent="0.35">
      <c r="A58" s="267" t="s">
        <v>159</v>
      </c>
      <c r="B58" s="267" t="s">
        <v>299</v>
      </c>
      <c r="C58" s="267" t="s">
        <v>307</v>
      </c>
      <c r="D58" s="267" t="s">
        <v>301</v>
      </c>
      <c r="E58" s="268" t="s">
        <v>308</v>
      </c>
      <c r="F58" s="47"/>
      <c r="G58" s="267" t="s">
        <v>159</v>
      </c>
      <c r="H58" s="267" t="s">
        <v>299</v>
      </c>
      <c r="I58" s="267" t="s">
        <v>307</v>
      </c>
      <c r="J58" s="267" t="s">
        <v>301</v>
      </c>
      <c r="K58" s="268" t="s">
        <v>308</v>
      </c>
    </row>
    <row r="59" spans="1:11" x14ac:dyDescent="0.35">
      <c r="A59" s="269" t="s">
        <v>345</v>
      </c>
      <c r="B59" s="270">
        <v>2500</v>
      </c>
      <c r="C59" s="270"/>
      <c r="D59" s="270"/>
      <c r="E59" s="270"/>
      <c r="F59" s="47"/>
      <c r="G59" s="269" t="s">
        <v>345</v>
      </c>
      <c r="H59" s="270">
        <v>1400</v>
      </c>
      <c r="I59" s="270"/>
      <c r="J59" s="270"/>
      <c r="K59" s="270"/>
    </row>
    <row r="60" spans="1:11" x14ac:dyDescent="0.35">
      <c r="A60" s="271" t="s">
        <v>345</v>
      </c>
      <c r="B60" s="272">
        <v>1700</v>
      </c>
      <c r="C60" s="272"/>
      <c r="D60" s="272"/>
      <c r="E60" s="272"/>
      <c r="F60" s="47"/>
      <c r="G60" s="271" t="s">
        <v>345</v>
      </c>
      <c r="H60" s="272"/>
      <c r="I60" s="272"/>
      <c r="J60" s="272"/>
      <c r="K60" s="272"/>
    </row>
    <row r="61" spans="1:11" x14ac:dyDescent="0.35">
      <c r="A61" s="269" t="s">
        <v>310</v>
      </c>
      <c r="B61" s="270">
        <v>140</v>
      </c>
      <c r="C61" s="270"/>
      <c r="D61" s="270"/>
      <c r="E61" s="270"/>
      <c r="F61" s="47"/>
      <c r="G61" s="269" t="s">
        <v>310</v>
      </c>
      <c r="H61" s="270"/>
      <c r="I61" s="270"/>
      <c r="J61" s="270"/>
      <c r="K61" s="270"/>
    </row>
    <row r="62" spans="1:11" x14ac:dyDescent="0.35">
      <c r="A62" s="271" t="s">
        <v>317</v>
      </c>
      <c r="B62" s="272"/>
      <c r="C62" s="272"/>
      <c r="D62" s="272"/>
      <c r="E62" s="272"/>
      <c r="F62" s="47"/>
      <c r="G62" s="271" t="s">
        <v>317</v>
      </c>
      <c r="H62" s="272"/>
      <c r="I62" s="272"/>
      <c r="J62" s="272"/>
      <c r="K62" s="272"/>
    </row>
    <row r="63" spans="1:11" x14ac:dyDescent="0.35">
      <c r="A63" s="269" t="s">
        <v>311</v>
      </c>
      <c r="B63" s="270"/>
      <c r="C63" s="270"/>
      <c r="D63" s="270"/>
      <c r="E63" s="270"/>
      <c r="F63" s="47"/>
      <c r="G63" s="269" t="s">
        <v>311</v>
      </c>
      <c r="H63" s="270"/>
      <c r="I63" s="270"/>
      <c r="J63" s="270"/>
      <c r="K63" s="270"/>
    </row>
    <row r="64" spans="1:11" x14ac:dyDescent="0.35">
      <c r="A64" s="271" t="s">
        <v>312</v>
      </c>
      <c r="B64" s="272"/>
      <c r="C64" s="272"/>
      <c r="D64" s="272"/>
      <c r="E64" s="272"/>
      <c r="F64" s="47"/>
      <c r="G64" s="271" t="s">
        <v>312</v>
      </c>
      <c r="H64" s="272"/>
      <c r="I64" s="272"/>
      <c r="J64" s="272"/>
      <c r="K64" s="272"/>
    </row>
    <row r="65" spans="1:11" x14ac:dyDescent="0.35">
      <c r="A65" s="231" t="s">
        <v>34</v>
      </c>
      <c r="B65" s="230">
        <f>SUM(B59:B64)</f>
        <v>4340</v>
      </c>
      <c r="C65" s="230">
        <f>SUM(C59:C64)</f>
        <v>0</v>
      </c>
      <c r="D65" s="230">
        <f>SUM(D59:D64)</f>
        <v>0</v>
      </c>
      <c r="E65" s="230">
        <f>SUM(E59:E64)</f>
        <v>0</v>
      </c>
      <c r="F65" s="47"/>
      <c r="G65" s="231" t="s">
        <v>34</v>
      </c>
      <c r="H65" s="230">
        <f>SUM(H59:H64)</f>
        <v>1400</v>
      </c>
      <c r="I65" s="230">
        <f>SUM(I59:I64)</f>
        <v>0</v>
      </c>
      <c r="J65" s="230">
        <f>SUM(J59:J64)</f>
        <v>0</v>
      </c>
      <c r="K65" s="230">
        <f>SUM(K59:K64)</f>
        <v>0</v>
      </c>
    </row>
    <row r="66" spans="1:11" ht="15" thickBot="1" x14ac:dyDescent="0.4">
      <c r="A66" s="231" t="s">
        <v>313</v>
      </c>
      <c r="B66" s="230">
        <f>+B65+C65+D65+E65</f>
        <v>4340</v>
      </c>
      <c r="C66" s="230"/>
      <c r="D66" s="230"/>
      <c r="E66" s="230"/>
      <c r="F66" s="47"/>
      <c r="G66" s="231" t="s">
        <v>313</v>
      </c>
      <c r="H66" s="230">
        <f>+H65+I65+J65+K65</f>
        <v>1400</v>
      </c>
      <c r="I66" s="230"/>
      <c r="J66" s="230"/>
      <c r="K66" s="230"/>
    </row>
    <row r="67" spans="1:11" ht="15.5" thickTop="1" thickBot="1" x14ac:dyDescent="0.4">
      <c r="A67" s="335" t="s">
        <v>298</v>
      </c>
      <c r="B67" s="336"/>
      <c r="C67" s="336"/>
      <c r="D67" s="336"/>
      <c r="E67" s="337"/>
      <c r="F67" s="47"/>
      <c r="G67" s="335" t="s">
        <v>314</v>
      </c>
      <c r="H67" s="336"/>
      <c r="I67" s="336"/>
      <c r="J67" s="336"/>
      <c r="K67" s="337"/>
    </row>
    <row r="68" spans="1:11" ht="15.5" thickTop="1" thickBot="1" x14ac:dyDescent="0.4">
      <c r="A68" s="338">
        <v>45298</v>
      </c>
      <c r="B68" s="336"/>
      <c r="C68" s="336"/>
      <c r="D68" s="336"/>
      <c r="E68" s="337"/>
      <c r="F68" s="47"/>
      <c r="G68" s="338">
        <v>45298</v>
      </c>
      <c r="H68" s="336"/>
      <c r="I68" s="336"/>
      <c r="J68" s="336"/>
      <c r="K68" s="337"/>
    </row>
    <row r="69" spans="1:11" ht="15" thickTop="1" x14ac:dyDescent="0.35">
      <c r="A69" s="267" t="s">
        <v>159</v>
      </c>
      <c r="B69" s="267" t="s">
        <v>299</v>
      </c>
      <c r="C69" s="267" t="s">
        <v>307</v>
      </c>
      <c r="D69" s="267" t="s">
        <v>301</v>
      </c>
      <c r="E69" s="268" t="s">
        <v>308</v>
      </c>
      <c r="F69" s="47"/>
      <c r="G69" s="267" t="s">
        <v>159</v>
      </c>
      <c r="H69" s="267" t="s">
        <v>299</v>
      </c>
      <c r="I69" s="267" t="s">
        <v>307</v>
      </c>
      <c r="J69" s="267" t="s">
        <v>301</v>
      </c>
      <c r="K69" s="268" t="s">
        <v>308</v>
      </c>
    </row>
    <row r="70" spans="1:11" x14ac:dyDescent="0.35">
      <c r="A70" s="269" t="s">
        <v>316</v>
      </c>
      <c r="B70" s="270">
        <v>50</v>
      </c>
      <c r="C70" s="270"/>
      <c r="D70" s="270"/>
      <c r="E70" s="270"/>
      <c r="F70" s="47"/>
      <c r="G70" s="269" t="s">
        <v>352</v>
      </c>
      <c r="H70" s="270">
        <v>129</v>
      </c>
      <c r="I70" s="270"/>
      <c r="J70" s="270"/>
      <c r="K70" s="270"/>
    </row>
    <row r="71" spans="1:11" x14ac:dyDescent="0.35">
      <c r="A71" s="271" t="s">
        <v>309</v>
      </c>
      <c r="B71" s="272"/>
      <c r="C71" s="272"/>
      <c r="D71" s="272"/>
      <c r="E71" s="272"/>
      <c r="F71" s="47"/>
      <c r="G71" s="271" t="s">
        <v>345</v>
      </c>
      <c r="H71" s="272"/>
      <c r="I71" s="272"/>
      <c r="J71" s="272"/>
      <c r="K71" s="272"/>
    </row>
    <row r="72" spans="1:11" x14ac:dyDescent="0.35">
      <c r="A72" s="269" t="s">
        <v>310</v>
      </c>
      <c r="B72" s="270"/>
      <c r="C72" s="270"/>
      <c r="D72" s="270"/>
      <c r="E72" s="270"/>
      <c r="F72" s="47"/>
      <c r="G72" s="269" t="s">
        <v>310</v>
      </c>
      <c r="H72" s="270"/>
      <c r="I72" s="270"/>
      <c r="J72" s="270"/>
      <c r="K72" s="270"/>
    </row>
    <row r="73" spans="1:11" x14ac:dyDescent="0.35">
      <c r="A73" s="271" t="s">
        <v>317</v>
      </c>
      <c r="B73" s="272"/>
      <c r="C73" s="272"/>
      <c r="D73" s="272"/>
      <c r="E73" s="272"/>
      <c r="F73" s="47"/>
      <c r="G73" s="271" t="s">
        <v>317</v>
      </c>
      <c r="H73" s="272"/>
      <c r="I73" s="272"/>
      <c r="J73" s="272"/>
      <c r="K73" s="272"/>
    </row>
    <row r="74" spans="1:11" x14ac:dyDescent="0.35">
      <c r="A74" s="269" t="s">
        <v>311</v>
      </c>
      <c r="B74" s="270"/>
      <c r="C74" s="270"/>
      <c r="D74" s="270"/>
      <c r="E74" s="270"/>
      <c r="F74" s="47"/>
      <c r="G74" s="269" t="s">
        <v>311</v>
      </c>
      <c r="H74" s="270"/>
      <c r="I74" s="270"/>
      <c r="J74" s="270"/>
      <c r="K74" s="270"/>
    </row>
    <row r="75" spans="1:11" x14ac:dyDescent="0.35">
      <c r="A75" s="271" t="s">
        <v>312</v>
      </c>
      <c r="B75" s="272">
        <v>3170</v>
      </c>
      <c r="C75" s="272"/>
      <c r="D75" s="272"/>
      <c r="E75" s="272"/>
      <c r="F75" s="47"/>
      <c r="G75" s="271" t="s">
        <v>312</v>
      </c>
      <c r="H75" s="272"/>
      <c r="I75" s="272"/>
      <c r="J75" s="272"/>
      <c r="K75" s="272"/>
    </row>
    <row r="76" spans="1:11" x14ac:dyDescent="0.35">
      <c r="A76" s="231" t="s">
        <v>34</v>
      </c>
      <c r="B76" s="230">
        <f>SUM(B70:B75)</f>
        <v>3220</v>
      </c>
      <c r="C76" s="230">
        <f>SUM(C70:C75)</f>
        <v>0</v>
      </c>
      <c r="D76" s="230">
        <f>SUM(D70:D75)</f>
        <v>0</v>
      </c>
      <c r="E76" s="230">
        <f>SUM(E70:E75)</f>
        <v>0</v>
      </c>
      <c r="F76" s="47"/>
      <c r="G76" s="231" t="s">
        <v>34</v>
      </c>
      <c r="H76" s="230">
        <f>SUM(H70:H75)</f>
        <v>129</v>
      </c>
      <c r="I76" s="230">
        <f>SUM(I70:I75)</f>
        <v>0</v>
      </c>
      <c r="J76" s="230">
        <f>SUM(J70:J75)</f>
        <v>0</v>
      </c>
      <c r="K76" s="230">
        <f>SUM(K70:K75)</f>
        <v>0</v>
      </c>
    </row>
    <row r="77" spans="1:11" ht="15" thickBot="1" x14ac:dyDescent="0.4">
      <c r="A77" s="231" t="s">
        <v>313</v>
      </c>
      <c r="B77" s="230">
        <f>+B76+C76+D76+E76</f>
        <v>3220</v>
      </c>
      <c r="C77" s="230"/>
      <c r="D77" s="230"/>
      <c r="E77" s="230"/>
      <c r="F77" s="47"/>
      <c r="G77" s="231" t="s">
        <v>313</v>
      </c>
      <c r="H77" s="230">
        <f>+H76+I76+J76+K76</f>
        <v>129</v>
      </c>
      <c r="I77" s="230"/>
      <c r="J77" s="230"/>
      <c r="K77" s="230"/>
    </row>
    <row r="78" spans="1:11" ht="15.5" thickTop="1" thickBot="1" x14ac:dyDescent="0.4">
      <c r="A78" s="335" t="s">
        <v>298</v>
      </c>
      <c r="B78" s="336"/>
      <c r="C78" s="336"/>
      <c r="D78" s="336"/>
      <c r="E78" s="337"/>
      <c r="F78" s="47"/>
      <c r="G78" s="335" t="s">
        <v>314</v>
      </c>
      <c r="H78" s="336"/>
      <c r="I78" s="336"/>
      <c r="J78" s="336"/>
      <c r="K78" s="337"/>
    </row>
    <row r="79" spans="1:11" ht="15.5" thickTop="1" thickBot="1" x14ac:dyDescent="0.4">
      <c r="A79" s="338">
        <v>45299</v>
      </c>
      <c r="B79" s="336"/>
      <c r="C79" s="336"/>
      <c r="D79" s="336"/>
      <c r="E79" s="337"/>
      <c r="F79" s="47"/>
      <c r="G79" s="338">
        <v>45299</v>
      </c>
      <c r="H79" s="336"/>
      <c r="I79" s="336"/>
      <c r="J79" s="336"/>
      <c r="K79" s="337"/>
    </row>
    <row r="80" spans="1:11" ht="15" thickTop="1" x14ac:dyDescent="0.35">
      <c r="A80" s="267" t="s">
        <v>159</v>
      </c>
      <c r="B80" s="267" t="s">
        <v>299</v>
      </c>
      <c r="C80" s="267" t="s">
        <v>307</v>
      </c>
      <c r="D80" s="267" t="s">
        <v>301</v>
      </c>
      <c r="E80" s="268" t="s">
        <v>308</v>
      </c>
      <c r="F80" s="47"/>
      <c r="G80" s="267" t="s">
        <v>159</v>
      </c>
      <c r="H80" s="267" t="s">
        <v>299</v>
      </c>
      <c r="I80" s="267" t="s">
        <v>307</v>
      </c>
      <c r="J80" s="267" t="s">
        <v>301</v>
      </c>
      <c r="K80" s="268" t="s">
        <v>308</v>
      </c>
    </row>
    <row r="81" spans="1:11" x14ac:dyDescent="0.35">
      <c r="A81" s="269" t="s">
        <v>350</v>
      </c>
      <c r="B81" s="270">
        <v>403</v>
      </c>
      <c r="C81" s="270"/>
      <c r="D81" s="270"/>
      <c r="E81" s="270"/>
      <c r="F81" s="47"/>
      <c r="G81" s="269" t="s">
        <v>351</v>
      </c>
      <c r="H81" s="270">
        <v>59</v>
      </c>
      <c r="I81" s="270"/>
      <c r="J81" s="270"/>
      <c r="K81" s="270"/>
    </row>
    <row r="82" spans="1:11" x14ac:dyDescent="0.35">
      <c r="A82" s="271" t="s">
        <v>309</v>
      </c>
      <c r="B82" s="272"/>
      <c r="C82" s="272"/>
      <c r="D82" s="272"/>
      <c r="E82" s="272"/>
      <c r="F82" s="47"/>
      <c r="G82" s="271" t="s">
        <v>345</v>
      </c>
      <c r="H82" s="272"/>
      <c r="I82" s="272"/>
      <c r="J82" s="272"/>
      <c r="K82" s="272"/>
    </row>
    <row r="83" spans="1:11" x14ac:dyDescent="0.35">
      <c r="A83" s="269" t="s">
        <v>310</v>
      </c>
      <c r="B83" s="270">
        <v>3630</v>
      </c>
      <c r="C83" s="270"/>
      <c r="D83" s="270"/>
      <c r="E83" s="270"/>
      <c r="F83" s="47"/>
      <c r="G83" s="269" t="s">
        <v>310</v>
      </c>
      <c r="H83" s="270"/>
      <c r="I83" s="270"/>
      <c r="J83" s="270"/>
      <c r="K83" s="270"/>
    </row>
    <row r="84" spans="1:11" x14ac:dyDescent="0.35">
      <c r="A84" s="271" t="s">
        <v>317</v>
      </c>
      <c r="B84" s="272"/>
      <c r="C84" s="272"/>
      <c r="D84" s="272"/>
      <c r="E84" s="272"/>
      <c r="F84" s="47"/>
      <c r="G84" s="271" t="s">
        <v>317</v>
      </c>
      <c r="H84" s="272"/>
      <c r="I84" s="272"/>
      <c r="J84" s="272"/>
      <c r="K84" s="272"/>
    </row>
    <row r="85" spans="1:11" x14ac:dyDescent="0.35">
      <c r="A85" s="269" t="s">
        <v>311</v>
      </c>
      <c r="B85" s="270"/>
      <c r="C85" s="270"/>
      <c r="D85" s="270"/>
      <c r="E85" s="270"/>
      <c r="F85" s="47"/>
      <c r="G85" s="269" t="s">
        <v>311</v>
      </c>
      <c r="H85" s="270"/>
      <c r="I85" s="270"/>
      <c r="J85" s="270"/>
      <c r="K85" s="270"/>
    </row>
    <row r="86" spans="1:11" x14ac:dyDescent="0.35">
      <c r="A86" s="271" t="s">
        <v>312</v>
      </c>
      <c r="B86" s="272"/>
      <c r="C86" s="272"/>
      <c r="D86" s="272"/>
      <c r="E86" s="272"/>
      <c r="F86" s="47"/>
      <c r="G86" s="271" t="s">
        <v>312</v>
      </c>
      <c r="H86" s="272"/>
      <c r="I86" s="272"/>
      <c r="J86" s="272"/>
      <c r="K86" s="272"/>
    </row>
    <row r="87" spans="1:11" x14ac:dyDescent="0.35">
      <c r="A87" s="231" t="s">
        <v>34</v>
      </c>
      <c r="B87" s="230">
        <f>SUM(B81:B86)</f>
        <v>4033</v>
      </c>
      <c r="C87" s="230">
        <f>SUM(C81:C86)</f>
        <v>0</v>
      </c>
      <c r="D87" s="230">
        <f>SUM(D81:D86)</f>
        <v>0</v>
      </c>
      <c r="E87" s="230">
        <f>SUM(E81:E86)</f>
        <v>0</v>
      </c>
      <c r="F87" s="47"/>
      <c r="G87" s="231" t="s">
        <v>34</v>
      </c>
      <c r="H87" s="230">
        <f>SUM(H81:H86)</f>
        <v>59</v>
      </c>
      <c r="I87" s="230">
        <f>SUM(I81:I86)</f>
        <v>0</v>
      </c>
      <c r="J87" s="230">
        <f>SUM(J81:J86)</f>
        <v>0</v>
      </c>
      <c r="K87" s="230">
        <f>SUM(K81:K86)</f>
        <v>0</v>
      </c>
    </row>
    <row r="88" spans="1:11" ht="15" thickBot="1" x14ac:dyDescent="0.4">
      <c r="A88" s="231" t="s">
        <v>313</v>
      </c>
      <c r="B88" s="230">
        <f>+B87+C87+D87+E87</f>
        <v>4033</v>
      </c>
      <c r="C88" s="230"/>
      <c r="D88" s="230"/>
      <c r="E88" s="230"/>
      <c r="F88" s="47"/>
      <c r="G88" s="231" t="s">
        <v>313</v>
      </c>
      <c r="H88" s="230">
        <f>+H87+I87+J87+K87</f>
        <v>59</v>
      </c>
      <c r="I88" s="230"/>
      <c r="J88" s="230"/>
      <c r="K88" s="230"/>
    </row>
    <row r="89" spans="1:11" ht="15.5" thickTop="1" thickBot="1" x14ac:dyDescent="0.4">
      <c r="A89" s="335" t="s">
        <v>298</v>
      </c>
      <c r="B89" s="336"/>
      <c r="C89" s="336"/>
      <c r="D89" s="336"/>
      <c r="E89" s="337"/>
      <c r="F89" s="47"/>
      <c r="G89" s="335" t="s">
        <v>314</v>
      </c>
      <c r="H89" s="336"/>
      <c r="I89" s="336"/>
      <c r="J89" s="336"/>
      <c r="K89" s="337"/>
    </row>
    <row r="90" spans="1:11" ht="15.5" thickTop="1" thickBot="1" x14ac:dyDescent="0.4">
      <c r="A90" s="338">
        <v>45300</v>
      </c>
      <c r="B90" s="336"/>
      <c r="C90" s="336"/>
      <c r="D90" s="336"/>
      <c r="E90" s="337"/>
      <c r="F90" s="47"/>
      <c r="G90" s="338">
        <v>45300</v>
      </c>
      <c r="H90" s="336"/>
      <c r="I90" s="336"/>
      <c r="J90" s="336"/>
      <c r="K90" s="337"/>
    </row>
    <row r="91" spans="1:11" ht="15" thickTop="1" x14ac:dyDescent="0.35">
      <c r="A91" s="267" t="s">
        <v>159</v>
      </c>
      <c r="B91" s="267" t="s">
        <v>299</v>
      </c>
      <c r="C91" s="267" t="s">
        <v>307</v>
      </c>
      <c r="D91" s="267" t="s">
        <v>301</v>
      </c>
      <c r="E91" s="268" t="s">
        <v>308</v>
      </c>
      <c r="F91" s="47"/>
      <c r="G91" s="267" t="s">
        <v>159</v>
      </c>
      <c r="H91" s="267" t="s">
        <v>299</v>
      </c>
      <c r="I91" s="267" t="s">
        <v>307</v>
      </c>
      <c r="J91" s="267" t="s">
        <v>301</v>
      </c>
      <c r="K91" s="268" t="s">
        <v>308</v>
      </c>
    </row>
    <row r="92" spans="1:11" x14ac:dyDescent="0.35">
      <c r="A92" s="269" t="s">
        <v>316</v>
      </c>
      <c r="B92" s="270"/>
      <c r="C92" s="270"/>
      <c r="D92" s="270"/>
      <c r="E92" s="270"/>
      <c r="F92" s="47"/>
      <c r="G92" s="269" t="s">
        <v>345</v>
      </c>
      <c r="H92" s="270"/>
      <c r="I92" s="270"/>
      <c r="J92" s="270"/>
      <c r="K92" s="270"/>
    </row>
    <row r="93" spans="1:11" x14ac:dyDescent="0.35">
      <c r="A93" s="271" t="s">
        <v>309</v>
      </c>
      <c r="B93" s="272"/>
      <c r="C93" s="272"/>
      <c r="D93" s="272"/>
      <c r="E93" s="272"/>
      <c r="F93" s="47"/>
      <c r="G93" s="271" t="s">
        <v>345</v>
      </c>
      <c r="H93" s="272"/>
      <c r="I93" s="272"/>
      <c r="J93" s="272"/>
      <c r="K93" s="272"/>
    </row>
    <row r="94" spans="1:11" x14ac:dyDescent="0.35">
      <c r="A94" s="269" t="s">
        <v>310</v>
      </c>
      <c r="B94" s="270"/>
      <c r="C94" s="270"/>
      <c r="D94" s="270"/>
      <c r="E94" s="270"/>
      <c r="F94" s="47"/>
      <c r="G94" s="269" t="s">
        <v>310</v>
      </c>
      <c r="H94" s="270"/>
      <c r="I94" s="270"/>
      <c r="J94" s="270"/>
      <c r="K94" s="270"/>
    </row>
    <row r="95" spans="1:11" x14ac:dyDescent="0.35">
      <c r="A95" s="271" t="s">
        <v>317</v>
      </c>
      <c r="B95" s="272"/>
      <c r="C95" s="272"/>
      <c r="D95" s="272"/>
      <c r="E95" s="272"/>
      <c r="F95" s="47"/>
      <c r="G95" s="271" t="s">
        <v>317</v>
      </c>
      <c r="H95" s="272"/>
      <c r="I95" s="272"/>
      <c r="J95" s="272"/>
      <c r="K95" s="272"/>
    </row>
    <row r="96" spans="1:11" x14ac:dyDescent="0.35">
      <c r="A96" s="269" t="s">
        <v>311</v>
      </c>
      <c r="B96" s="270"/>
      <c r="C96" s="270"/>
      <c r="D96" s="270"/>
      <c r="E96" s="270"/>
      <c r="F96" s="47"/>
      <c r="G96" s="269" t="s">
        <v>311</v>
      </c>
      <c r="H96" s="270"/>
      <c r="I96" s="270"/>
      <c r="J96" s="270"/>
      <c r="K96" s="270"/>
    </row>
    <row r="97" spans="1:11" x14ac:dyDescent="0.35">
      <c r="A97" s="271" t="s">
        <v>312</v>
      </c>
      <c r="B97" s="272">
        <v>6030</v>
      </c>
      <c r="C97" s="272"/>
      <c r="D97" s="272"/>
      <c r="E97" s="272"/>
      <c r="F97" s="47"/>
      <c r="G97" s="271" t="s">
        <v>312</v>
      </c>
      <c r="H97" s="272"/>
      <c r="I97" s="272"/>
      <c r="J97" s="272"/>
      <c r="K97" s="272"/>
    </row>
    <row r="98" spans="1:11" x14ac:dyDescent="0.35">
      <c r="A98" s="231" t="s">
        <v>34</v>
      </c>
      <c r="B98" s="230">
        <f>SUM(B92:B97)</f>
        <v>6030</v>
      </c>
      <c r="C98" s="230">
        <f>SUM(C92:C97)</f>
        <v>0</v>
      </c>
      <c r="D98" s="230">
        <f>SUM(D92:D97)</f>
        <v>0</v>
      </c>
      <c r="E98" s="230">
        <f>SUM(E92:E97)</f>
        <v>0</v>
      </c>
      <c r="F98" s="47"/>
      <c r="G98" s="231" t="s">
        <v>34</v>
      </c>
      <c r="H98" s="230">
        <f>SUM(H92:H97)</f>
        <v>0</v>
      </c>
      <c r="I98" s="230">
        <f>SUM(I92:I97)</f>
        <v>0</v>
      </c>
      <c r="J98" s="230">
        <f>SUM(J92:J97)</f>
        <v>0</v>
      </c>
      <c r="K98" s="230">
        <f>SUM(K92:K97)</f>
        <v>0</v>
      </c>
    </row>
    <row r="99" spans="1:11" ht="15" thickBot="1" x14ac:dyDescent="0.4">
      <c r="A99" s="231" t="s">
        <v>313</v>
      </c>
      <c r="B99" s="230">
        <f>+B98+C98+D98+E98</f>
        <v>6030</v>
      </c>
      <c r="C99" s="230"/>
      <c r="D99" s="230"/>
      <c r="E99" s="230"/>
      <c r="F99" s="47"/>
      <c r="G99" s="231" t="s">
        <v>313</v>
      </c>
      <c r="H99" s="230">
        <f>+H98+I98+J98+K98</f>
        <v>0</v>
      </c>
      <c r="I99" s="230"/>
      <c r="J99" s="230"/>
      <c r="K99" s="230"/>
    </row>
    <row r="100" spans="1:11" ht="15.5" thickTop="1" thickBot="1" x14ac:dyDescent="0.4">
      <c r="A100" s="335" t="s">
        <v>298</v>
      </c>
      <c r="B100" s="336"/>
      <c r="C100" s="336"/>
      <c r="D100" s="336"/>
      <c r="E100" s="337"/>
      <c r="F100" s="47"/>
      <c r="G100" s="335" t="s">
        <v>314</v>
      </c>
      <c r="H100" s="336"/>
      <c r="I100" s="336"/>
      <c r="J100" s="336"/>
      <c r="K100" s="337"/>
    </row>
    <row r="101" spans="1:11" ht="15.5" thickTop="1" thickBot="1" x14ac:dyDescent="0.4">
      <c r="A101" s="338">
        <v>45301</v>
      </c>
      <c r="B101" s="336"/>
      <c r="C101" s="336"/>
      <c r="D101" s="336"/>
      <c r="E101" s="337"/>
      <c r="F101" s="47"/>
      <c r="G101" s="338">
        <v>45301</v>
      </c>
      <c r="H101" s="336"/>
      <c r="I101" s="336"/>
      <c r="J101" s="336"/>
      <c r="K101" s="337"/>
    </row>
    <row r="102" spans="1:11" ht="15" thickTop="1" x14ac:dyDescent="0.35">
      <c r="A102" s="267" t="s">
        <v>159</v>
      </c>
      <c r="B102" s="267" t="s">
        <v>299</v>
      </c>
      <c r="C102" s="267" t="s">
        <v>307</v>
      </c>
      <c r="D102" s="267" t="s">
        <v>301</v>
      </c>
      <c r="E102" s="268" t="s">
        <v>308</v>
      </c>
      <c r="F102" s="47"/>
      <c r="G102" s="267" t="s">
        <v>159</v>
      </c>
      <c r="H102" s="267" t="s">
        <v>299</v>
      </c>
      <c r="I102" s="267" t="s">
        <v>307</v>
      </c>
      <c r="J102" s="267" t="s">
        <v>301</v>
      </c>
      <c r="K102" s="268" t="s">
        <v>308</v>
      </c>
    </row>
    <row r="103" spans="1:11" x14ac:dyDescent="0.35">
      <c r="A103" s="269" t="s">
        <v>316</v>
      </c>
      <c r="B103" s="270"/>
      <c r="C103" s="270"/>
      <c r="D103" s="270"/>
      <c r="E103" s="270"/>
      <c r="F103" s="47"/>
      <c r="G103" s="269" t="s">
        <v>345</v>
      </c>
      <c r="H103" s="270"/>
      <c r="I103" s="270"/>
      <c r="J103" s="270"/>
      <c r="K103" s="270"/>
    </row>
    <row r="104" spans="1:11" x14ac:dyDescent="0.35">
      <c r="A104" s="271" t="s">
        <v>309</v>
      </c>
      <c r="B104" s="272"/>
      <c r="C104" s="272"/>
      <c r="D104" s="272"/>
      <c r="E104" s="272"/>
      <c r="F104" s="47"/>
      <c r="G104" s="271" t="s">
        <v>345</v>
      </c>
      <c r="H104" s="272"/>
      <c r="I104" s="272"/>
      <c r="J104" s="272"/>
      <c r="K104" s="272"/>
    </row>
    <row r="105" spans="1:11" x14ac:dyDescent="0.35">
      <c r="A105" s="269" t="s">
        <v>310</v>
      </c>
      <c r="B105" s="270">
        <v>40</v>
      </c>
      <c r="C105" s="270"/>
      <c r="D105" s="270"/>
      <c r="E105" s="270"/>
      <c r="F105" s="47"/>
      <c r="G105" s="269" t="s">
        <v>310</v>
      </c>
      <c r="H105" s="270"/>
      <c r="I105" s="270"/>
      <c r="J105" s="270"/>
      <c r="K105" s="270"/>
    </row>
    <row r="106" spans="1:11" x14ac:dyDescent="0.35">
      <c r="A106" s="271" t="s">
        <v>317</v>
      </c>
      <c r="B106" s="272"/>
      <c r="C106" s="272"/>
      <c r="D106" s="272"/>
      <c r="E106" s="272"/>
      <c r="F106" s="47"/>
      <c r="G106" s="271" t="s">
        <v>317</v>
      </c>
      <c r="H106" s="272"/>
      <c r="I106" s="272"/>
      <c r="J106" s="272"/>
      <c r="K106" s="272"/>
    </row>
    <row r="107" spans="1:11" x14ac:dyDescent="0.35">
      <c r="A107" s="269" t="s">
        <v>311</v>
      </c>
      <c r="B107" s="270"/>
      <c r="C107" s="270"/>
      <c r="D107" s="270"/>
      <c r="E107" s="270"/>
      <c r="F107" s="47"/>
      <c r="G107" s="269" t="s">
        <v>311</v>
      </c>
      <c r="H107" s="270"/>
      <c r="I107" s="270"/>
      <c r="J107" s="270"/>
      <c r="K107" s="270"/>
    </row>
    <row r="108" spans="1:11" x14ac:dyDescent="0.35">
      <c r="A108" s="271" t="s">
        <v>312</v>
      </c>
      <c r="B108" s="272"/>
      <c r="C108" s="272"/>
      <c r="D108" s="272"/>
      <c r="E108" s="272"/>
      <c r="F108" s="47"/>
      <c r="G108" s="271" t="s">
        <v>312</v>
      </c>
      <c r="H108" s="272"/>
      <c r="I108" s="272"/>
      <c r="J108" s="272"/>
      <c r="K108" s="272"/>
    </row>
    <row r="109" spans="1:11" x14ac:dyDescent="0.35">
      <c r="A109" s="231" t="s">
        <v>34</v>
      </c>
      <c r="B109" s="230">
        <f>SUM(B103:B108)</f>
        <v>40</v>
      </c>
      <c r="C109" s="230">
        <f>SUM(C103:C108)</f>
        <v>0</v>
      </c>
      <c r="D109" s="230">
        <f>SUM(D103:D108)</f>
        <v>0</v>
      </c>
      <c r="E109" s="230">
        <f>SUM(E103:E108)</f>
        <v>0</v>
      </c>
      <c r="F109" s="47"/>
      <c r="G109" s="231" t="s">
        <v>34</v>
      </c>
      <c r="H109" s="230">
        <f>SUM(H103:H108)</f>
        <v>0</v>
      </c>
      <c r="I109" s="230">
        <f>SUM(I103:I108)</f>
        <v>0</v>
      </c>
      <c r="J109" s="230">
        <f>SUM(J103:J108)</f>
        <v>0</v>
      </c>
      <c r="K109" s="230">
        <f>SUM(K103:K108)</f>
        <v>0</v>
      </c>
    </row>
    <row r="110" spans="1:11" ht="15" thickBot="1" x14ac:dyDescent="0.4">
      <c r="A110" s="231" t="s">
        <v>313</v>
      </c>
      <c r="B110" s="230">
        <f>+B109+C109+D109+E109</f>
        <v>40</v>
      </c>
      <c r="C110" s="230"/>
      <c r="D110" s="230"/>
      <c r="E110" s="230"/>
      <c r="F110" s="47"/>
      <c r="G110" s="231" t="s">
        <v>313</v>
      </c>
      <c r="H110" s="230">
        <f>+H109+I109+J109+K109</f>
        <v>0</v>
      </c>
      <c r="I110" s="230"/>
      <c r="J110" s="230"/>
      <c r="K110" s="230"/>
    </row>
    <row r="111" spans="1:11" ht="15.5" thickTop="1" thickBot="1" x14ac:dyDescent="0.4">
      <c r="A111" s="335" t="s">
        <v>298</v>
      </c>
      <c r="B111" s="336"/>
      <c r="C111" s="336"/>
      <c r="D111" s="336"/>
      <c r="E111" s="337"/>
      <c r="F111" s="47"/>
      <c r="G111" s="335" t="s">
        <v>314</v>
      </c>
      <c r="H111" s="336"/>
      <c r="I111" s="336"/>
      <c r="J111" s="336"/>
      <c r="K111" s="337"/>
    </row>
    <row r="112" spans="1:11" ht="15.5" thickTop="1" thickBot="1" x14ac:dyDescent="0.4">
      <c r="A112" s="338">
        <v>45302</v>
      </c>
      <c r="B112" s="336"/>
      <c r="C112" s="336"/>
      <c r="D112" s="336"/>
      <c r="E112" s="337"/>
      <c r="F112" s="47"/>
      <c r="G112" s="338">
        <v>45302</v>
      </c>
      <c r="H112" s="336"/>
      <c r="I112" s="336"/>
      <c r="J112" s="336"/>
      <c r="K112" s="337"/>
    </row>
    <row r="113" spans="1:11" ht="15" thickTop="1" x14ac:dyDescent="0.35">
      <c r="A113" s="267" t="s">
        <v>159</v>
      </c>
      <c r="B113" s="267" t="s">
        <v>299</v>
      </c>
      <c r="C113" s="267" t="s">
        <v>307</v>
      </c>
      <c r="D113" s="267" t="s">
        <v>301</v>
      </c>
      <c r="E113" s="268" t="s">
        <v>308</v>
      </c>
      <c r="F113" s="47"/>
      <c r="G113" s="267" t="s">
        <v>159</v>
      </c>
      <c r="H113" s="267" t="s">
        <v>299</v>
      </c>
      <c r="I113" s="267" t="s">
        <v>307</v>
      </c>
      <c r="J113" s="267" t="s">
        <v>301</v>
      </c>
      <c r="K113" s="268" t="s">
        <v>308</v>
      </c>
    </row>
    <row r="114" spans="1:11" x14ac:dyDescent="0.35">
      <c r="A114" s="269" t="s">
        <v>316</v>
      </c>
      <c r="B114" s="270">
        <v>60</v>
      </c>
      <c r="C114" s="270"/>
      <c r="D114" s="270"/>
      <c r="E114" s="270"/>
      <c r="F114" s="47"/>
      <c r="G114" s="269" t="s">
        <v>345</v>
      </c>
      <c r="H114" s="270"/>
      <c r="I114" s="270"/>
      <c r="J114" s="270"/>
      <c r="K114" s="270"/>
    </row>
    <row r="115" spans="1:11" x14ac:dyDescent="0.35">
      <c r="A115" s="271" t="s">
        <v>369</v>
      </c>
      <c r="B115" s="272">
        <v>50</v>
      </c>
      <c r="C115" s="272"/>
      <c r="D115" s="272"/>
      <c r="E115" s="272"/>
      <c r="F115" s="47"/>
      <c r="G115" s="271" t="s">
        <v>345</v>
      </c>
      <c r="H115" s="272"/>
      <c r="I115" s="272"/>
      <c r="J115" s="272"/>
      <c r="K115" s="272"/>
    </row>
    <row r="116" spans="1:11" x14ac:dyDescent="0.35">
      <c r="A116" s="269" t="s">
        <v>310</v>
      </c>
      <c r="B116" s="270">
        <v>2200</v>
      </c>
      <c r="C116" s="270"/>
      <c r="D116" s="270"/>
      <c r="E116" s="270"/>
      <c r="F116" s="47"/>
      <c r="G116" s="269" t="s">
        <v>310</v>
      </c>
      <c r="H116" s="270"/>
      <c r="I116" s="270"/>
      <c r="J116" s="270"/>
      <c r="K116" s="270"/>
    </row>
    <row r="117" spans="1:11" x14ac:dyDescent="0.35">
      <c r="A117" s="271" t="s">
        <v>317</v>
      </c>
      <c r="B117" s="272"/>
      <c r="C117" s="272"/>
      <c r="D117" s="272"/>
      <c r="E117" s="272"/>
      <c r="F117" s="47"/>
      <c r="G117" s="271" t="s">
        <v>317</v>
      </c>
      <c r="H117" s="272"/>
      <c r="I117" s="272"/>
      <c r="J117" s="272"/>
      <c r="K117" s="272"/>
    </row>
    <row r="118" spans="1:11" x14ac:dyDescent="0.35">
      <c r="A118" s="269" t="s">
        <v>311</v>
      </c>
      <c r="B118" s="270"/>
      <c r="C118" s="270"/>
      <c r="D118" s="270"/>
      <c r="E118" s="270"/>
      <c r="F118" s="47"/>
      <c r="G118" s="269" t="s">
        <v>311</v>
      </c>
      <c r="H118" s="270"/>
      <c r="I118" s="270"/>
      <c r="J118" s="270"/>
      <c r="K118" s="270"/>
    </row>
    <row r="119" spans="1:11" x14ac:dyDescent="0.35">
      <c r="A119" s="271" t="s">
        <v>312</v>
      </c>
      <c r="B119" s="272">
        <v>4860</v>
      </c>
      <c r="C119" s="272"/>
      <c r="D119" s="272"/>
      <c r="E119" s="272"/>
      <c r="F119" s="47"/>
      <c r="G119" s="271" t="s">
        <v>312</v>
      </c>
      <c r="H119" s="272"/>
      <c r="I119" s="272"/>
      <c r="J119" s="272"/>
      <c r="K119" s="272"/>
    </row>
    <row r="120" spans="1:11" x14ac:dyDescent="0.35">
      <c r="A120" s="231" t="s">
        <v>34</v>
      </c>
      <c r="B120" s="230">
        <f>SUM(B114:B119)</f>
        <v>7170</v>
      </c>
      <c r="C120" s="230">
        <f>SUM(C114:C119)</f>
        <v>0</v>
      </c>
      <c r="D120" s="230">
        <f>SUM(D114:D119)</f>
        <v>0</v>
      </c>
      <c r="E120" s="230">
        <f>SUM(E114:E119)</f>
        <v>0</v>
      </c>
      <c r="F120" s="47"/>
      <c r="G120" s="231" t="s">
        <v>34</v>
      </c>
      <c r="H120" s="230">
        <f>SUM(H114:H119)</f>
        <v>0</v>
      </c>
      <c r="I120" s="230">
        <f>SUM(I114:I119)</f>
        <v>0</v>
      </c>
      <c r="J120" s="230">
        <f>SUM(J114:J119)</f>
        <v>0</v>
      </c>
      <c r="K120" s="230">
        <f>SUM(K114:K119)</f>
        <v>0</v>
      </c>
    </row>
    <row r="121" spans="1:11" ht="15" thickBot="1" x14ac:dyDescent="0.4">
      <c r="A121" s="231" t="s">
        <v>313</v>
      </c>
      <c r="B121" s="230">
        <f>+B120+C120+D120+E120</f>
        <v>7170</v>
      </c>
      <c r="C121" s="230"/>
      <c r="D121" s="230"/>
      <c r="E121" s="230"/>
      <c r="F121" s="47"/>
      <c r="G121" s="231" t="s">
        <v>313</v>
      </c>
      <c r="H121" s="230">
        <f>+H120+I120+J120+K120</f>
        <v>0</v>
      </c>
      <c r="I121" s="230"/>
      <c r="J121" s="230"/>
      <c r="K121" s="230"/>
    </row>
    <row r="122" spans="1:11" ht="15.5" thickTop="1" thickBot="1" x14ac:dyDescent="0.4">
      <c r="A122" s="335" t="s">
        <v>298</v>
      </c>
      <c r="B122" s="336"/>
      <c r="C122" s="336"/>
      <c r="D122" s="336"/>
      <c r="E122" s="337"/>
      <c r="F122" s="47"/>
      <c r="G122" s="335" t="s">
        <v>314</v>
      </c>
      <c r="H122" s="336"/>
      <c r="I122" s="336"/>
      <c r="J122" s="336"/>
      <c r="K122" s="337"/>
    </row>
    <row r="123" spans="1:11" ht="15.5" thickTop="1" thickBot="1" x14ac:dyDescent="0.4">
      <c r="A123" s="338">
        <v>45303</v>
      </c>
      <c r="B123" s="336"/>
      <c r="C123" s="336"/>
      <c r="D123" s="336"/>
      <c r="E123" s="337"/>
      <c r="F123" s="47"/>
      <c r="G123" s="338">
        <v>45303</v>
      </c>
      <c r="H123" s="336"/>
      <c r="I123" s="336"/>
      <c r="J123" s="336"/>
      <c r="K123" s="337"/>
    </row>
    <row r="124" spans="1:11" ht="15" thickTop="1" x14ac:dyDescent="0.35">
      <c r="A124" s="267" t="s">
        <v>159</v>
      </c>
      <c r="B124" s="267" t="s">
        <v>299</v>
      </c>
      <c r="C124" s="267" t="s">
        <v>307</v>
      </c>
      <c r="D124" s="267" t="s">
        <v>301</v>
      </c>
      <c r="E124" s="268" t="s">
        <v>308</v>
      </c>
      <c r="F124" s="47"/>
      <c r="G124" s="267" t="s">
        <v>159</v>
      </c>
      <c r="H124" s="267" t="s">
        <v>299</v>
      </c>
      <c r="I124" s="267" t="s">
        <v>307</v>
      </c>
      <c r="J124" s="267" t="s">
        <v>301</v>
      </c>
      <c r="K124" s="268" t="s">
        <v>308</v>
      </c>
    </row>
    <row r="125" spans="1:11" x14ac:dyDescent="0.35">
      <c r="A125" s="269" t="s">
        <v>363</v>
      </c>
      <c r="B125" s="270"/>
      <c r="C125" s="270"/>
      <c r="D125" s="270"/>
      <c r="E125" s="270"/>
      <c r="F125" s="47"/>
      <c r="G125" s="269" t="s">
        <v>345</v>
      </c>
      <c r="H125" s="270"/>
      <c r="I125" s="270"/>
      <c r="J125" s="270"/>
      <c r="K125" s="270"/>
    </row>
    <row r="126" spans="1:11" x14ac:dyDescent="0.35">
      <c r="A126" s="271" t="s">
        <v>309</v>
      </c>
      <c r="B126" s="272"/>
      <c r="C126" s="272"/>
      <c r="D126" s="272"/>
      <c r="E126" s="272"/>
      <c r="F126" s="47"/>
      <c r="G126" s="271" t="s">
        <v>345</v>
      </c>
      <c r="H126" s="272"/>
      <c r="I126" s="272"/>
      <c r="J126" s="272"/>
      <c r="K126" s="272"/>
    </row>
    <row r="127" spans="1:11" x14ac:dyDescent="0.35">
      <c r="A127" s="269" t="s">
        <v>310</v>
      </c>
      <c r="B127" s="270"/>
      <c r="C127" s="270"/>
      <c r="D127" s="270"/>
      <c r="E127" s="270"/>
      <c r="F127" s="47"/>
      <c r="G127" s="269" t="s">
        <v>310</v>
      </c>
      <c r="H127" s="270"/>
      <c r="I127" s="270"/>
      <c r="J127" s="270"/>
      <c r="K127" s="270"/>
    </row>
    <row r="128" spans="1:11" x14ac:dyDescent="0.35">
      <c r="A128" s="271" t="s">
        <v>317</v>
      </c>
      <c r="B128" s="272"/>
      <c r="C128" s="272"/>
      <c r="D128" s="272"/>
      <c r="E128" s="272"/>
      <c r="F128" s="47"/>
      <c r="G128" s="271" t="s">
        <v>317</v>
      </c>
      <c r="H128" s="272"/>
      <c r="I128" s="272"/>
      <c r="J128" s="272"/>
      <c r="K128" s="272"/>
    </row>
    <row r="129" spans="1:11" x14ac:dyDescent="0.35">
      <c r="A129" s="269" t="s">
        <v>311</v>
      </c>
      <c r="B129" s="270"/>
      <c r="C129" s="270"/>
      <c r="D129" s="270"/>
      <c r="E129" s="270"/>
      <c r="F129" s="47"/>
      <c r="G129" s="269" t="s">
        <v>311</v>
      </c>
      <c r="H129" s="270"/>
      <c r="I129" s="270"/>
      <c r="J129" s="270"/>
      <c r="K129" s="270"/>
    </row>
    <row r="130" spans="1:11" x14ac:dyDescent="0.35">
      <c r="A130" s="271" t="s">
        <v>312</v>
      </c>
      <c r="B130" s="272"/>
      <c r="C130" s="272"/>
      <c r="D130" s="272"/>
      <c r="E130" s="272"/>
      <c r="F130" s="47"/>
      <c r="G130" s="271" t="s">
        <v>312</v>
      </c>
      <c r="H130" s="272"/>
      <c r="I130" s="272"/>
      <c r="J130" s="272"/>
      <c r="K130" s="272"/>
    </row>
    <row r="131" spans="1:11" x14ac:dyDescent="0.35">
      <c r="A131" s="231" t="s">
        <v>34</v>
      </c>
      <c r="B131" s="230">
        <f>SUM(B125:B130)</f>
        <v>0</v>
      </c>
      <c r="C131" s="230">
        <f>SUM(C125:C130)</f>
        <v>0</v>
      </c>
      <c r="D131" s="230">
        <f>SUM(D125:D130)</f>
        <v>0</v>
      </c>
      <c r="E131" s="230">
        <f>SUM(E125:E130)</f>
        <v>0</v>
      </c>
      <c r="F131" s="47"/>
      <c r="G131" s="231" t="s">
        <v>34</v>
      </c>
      <c r="H131" s="230">
        <f>SUM(H125:H130)</f>
        <v>0</v>
      </c>
      <c r="I131" s="230">
        <f>SUM(I125:I130)</f>
        <v>0</v>
      </c>
      <c r="J131" s="230">
        <f>SUM(J125:J130)</f>
        <v>0</v>
      </c>
      <c r="K131" s="230">
        <f>SUM(K125:K130)</f>
        <v>0</v>
      </c>
    </row>
    <row r="132" spans="1:11" ht="15" thickBot="1" x14ac:dyDescent="0.4">
      <c r="A132" s="231" t="s">
        <v>313</v>
      </c>
      <c r="B132" s="230">
        <f>+B131+C131+D131+E131</f>
        <v>0</v>
      </c>
      <c r="C132" s="230"/>
      <c r="D132" s="230"/>
      <c r="E132" s="230"/>
      <c r="F132" s="47"/>
      <c r="G132" s="231" t="s">
        <v>313</v>
      </c>
      <c r="H132" s="230">
        <f>+H131+I131+J131+K131</f>
        <v>0</v>
      </c>
      <c r="I132" s="230"/>
      <c r="J132" s="230"/>
      <c r="K132" s="230"/>
    </row>
    <row r="133" spans="1:11" ht="15.5" thickTop="1" thickBot="1" x14ac:dyDescent="0.4">
      <c r="A133" s="335" t="s">
        <v>298</v>
      </c>
      <c r="B133" s="336"/>
      <c r="C133" s="336"/>
      <c r="D133" s="336"/>
      <c r="E133" s="337"/>
      <c r="F133" s="47"/>
      <c r="G133" s="335" t="s">
        <v>314</v>
      </c>
      <c r="H133" s="336"/>
      <c r="I133" s="336"/>
      <c r="J133" s="336"/>
      <c r="K133" s="337"/>
    </row>
    <row r="134" spans="1:11" ht="15.5" thickTop="1" thickBot="1" x14ac:dyDescent="0.4">
      <c r="A134" s="338">
        <v>45304</v>
      </c>
      <c r="B134" s="336"/>
      <c r="C134" s="336"/>
      <c r="D134" s="336"/>
      <c r="E134" s="337"/>
      <c r="F134" s="47"/>
      <c r="G134" s="338">
        <v>45304</v>
      </c>
      <c r="H134" s="336"/>
      <c r="I134" s="336"/>
      <c r="J134" s="336"/>
      <c r="K134" s="337"/>
    </row>
    <row r="135" spans="1:11" ht="15" thickTop="1" x14ac:dyDescent="0.35">
      <c r="A135" s="267" t="s">
        <v>159</v>
      </c>
      <c r="B135" s="267" t="s">
        <v>299</v>
      </c>
      <c r="C135" s="267" t="s">
        <v>307</v>
      </c>
      <c r="D135" s="267" t="s">
        <v>301</v>
      </c>
      <c r="E135" s="268" t="s">
        <v>308</v>
      </c>
      <c r="F135" s="47"/>
      <c r="G135" s="267" t="s">
        <v>159</v>
      </c>
      <c r="H135" s="267" t="s">
        <v>299</v>
      </c>
      <c r="I135" s="267" t="s">
        <v>307</v>
      </c>
      <c r="J135" s="267" t="s">
        <v>301</v>
      </c>
      <c r="K135" s="268" t="s">
        <v>308</v>
      </c>
    </row>
    <row r="136" spans="1:11" x14ac:dyDescent="0.35">
      <c r="A136" s="269" t="s">
        <v>345</v>
      </c>
      <c r="B136" s="270">
        <v>2500</v>
      </c>
      <c r="C136" s="270"/>
      <c r="D136" s="270"/>
      <c r="E136" s="270"/>
      <c r="F136" s="47"/>
      <c r="G136" s="269" t="s">
        <v>345</v>
      </c>
      <c r="H136" s="270">
        <v>1400</v>
      </c>
      <c r="I136" s="270"/>
      <c r="J136" s="270"/>
      <c r="K136" s="270"/>
    </row>
    <row r="137" spans="1:11" x14ac:dyDescent="0.35">
      <c r="A137" s="271" t="s">
        <v>345</v>
      </c>
      <c r="B137" s="272">
        <v>1700</v>
      </c>
      <c r="C137" s="272"/>
      <c r="D137" s="272"/>
      <c r="E137" s="272"/>
      <c r="F137" s="47"/>
      <c r="G137" s="271" t="s">
        <v>345</v>
      </c>
      <c r="H137" s="272"/>
      <c r="I137" s="272"/>
      <c r="J137" s="272"/>
      <c r="K137" s="272"/>
    </row>
    <row r="138" spans="1:11" x14ac:dyDescent="0.35">
      <c r="A138" s="269" t="s">
        <v>366</v>
      </c>
      <c r="B138" s="270">
        <v>75</v>
      </c>
      <c r="C138" s="270"/>
      <c r="D138" s="270"/>
      <c r="E138" s="270"/>
      <c r="F138" s="47"/>
      <c r="G138" s="269" t="s">
        <v>310</v>
      </c>
      <c r="H138" s="270"/>
      <c r="I138" s="270"/>
      <c r="J138" s="270"/>
      <c r="K138" s="270"/>
    </row>
    <row r="139" spans="1:11" x14ac:dyDescent="0.35">
      <c r="A139" s="271" t="s">
        <v>367</v>
      </c>
      <c r="B139" s="272">
        <v>50</v>
      </c>
      <c r="C139" s="272"/>
      <c r="D139" s="272"/>
      <c r="E139" s="272"/>
      <c r="F139" s="47"/>
      <c r="G139" s="271" t="s">
        <v>317</v>
      </c>
      <c r="H139" s="272"/>
      <c r="I139" s="272"/>
      <c r="J139" s="272"/>
      <c r="K139" s="272"/>
    </row>
    <row r="140" spans="1:11" x14ac:dyDescent="0.35">
      <c r="A140" s="269" t="s">
        <v>368</v>
      </c>
      <c r="B140" s="270">
        <v>1500</v>
      </c>
      <c r="C140" s="270"/>
      <c r="D140" s="270"/>
      <c r="E140" s="270"/>
      <c r="F140" s="47"/>
      <c r="G140" s="269" t="s">
        <v>311</v>
      </c>
      <c r="H140" s="270"/>
      <c r="I140" s="270"/>
      <c r="J140" s="270"/>
      <c r="K140" s="270"/>
    </row>
    <row r="141" spans="1:11" x14ac:dyDescent="0.35">
      <c r="A141" s="271" t="s">
        <v>312</v>
      </c>
      <c r="B141" s="272"/>
      <c r="C141" s="272"/>
      <c r="D141" s="272"/>
      <c r="E141" s="272"/>
      <c r="F141" s="47"/>
      <c r="G141" s="271" t="s">
        <v>312</v>
      </c>
      <c r="H141" s="272"/>
      <c r="I141" s="272"/>
      <c r="J141" s="272"/>
      <c r="K141" s="272"/>
    </row>
    <row r="142" spans="1:11" x14ac:dyDescent="0.35">
      <c r="A142" s="231" t="s">
        <v>34</v>
      </c>
      <c r="B142" s="230">
        <f>SUM(B136:B141)</f>
        <v>5825</v>
      </c>
      <c r="C142" s="230">
        <f>SUM(C136:C141)</f>
        <v>0</v>
      </c>
      <c r="D142" s="230">
        <f>SUM(D136:D141)</f>
        <v>0</v>
      </c>
      <c r="E142" s="230">
        <f>SUM(E136:E141)</f>
        <v>0</v>
      </c>
      <c r="F142" s="47"/>
      <c r="G142" s="231" t="s">
        <v>34</v>
      </c>
      <c r="H142" s="230">
        <f>SUM(H136:H141)</f>
        <v>1400</v>
      </c>
      <c r="I142" s="230">
        <f>SUM(I136:I141)</f>
        <v>0</v>
      </c>
      <c r="J142" s="230">
        <f>SUM(J136:J141)</f>
        <v>0</v>
      </c>
      <c r="K142" s="230">
        <f>SUM(K136:K141)</f>
        <v>0</v>
      </c>
    </row>
    <row r="143" spans="1:11" ht="15" thickBot="1" x14ac:dyDescent="0.4">
      <c r="A143" s="231" t="s">
        <v>313</v>
      </c>
      <c r="B143" s="230">
        <f>+B142+C142+D142+E142</f>
        <v>5825</v>
      </c>
      <c r="C143" s="230"/>
      <c r="D143" s="230"/>
      <c r="E143" s="230"/>
      <c r="F143" s="47"/>
      <c r="G143" s="231" t="s">
        <v>313</v>
      </c>
      <c r="H143" s="230">
        <f>+H142+I142+J142+K142</f>
        <v>1400</v>
      </c>
      <c r="I143" s="230"/>
      <c r="J143" s="230"/>
      <c r="K143" s="230"/>
    </row>
    <row r="144" spans="1:11" ht="15.5" thickTop="1" thickBot="1" x14ac:dyDescent="0.4">
      <c r="A144" s="335" t="s">
        <v>298</v>
      </c>
      <c r="B144" s="336"/>
      <c r="C144" s="336"/>
      <c r="D144" s="336"/>
      <c r="E144" s="337"/>
      <c r="F144" s="47"/>
      <c r="G144" s="335" t="s">
        <v>314</v>
      </c>
      <c r="H144" s="336"/>
      <c r="I144" s="336"/>
      <c r="J144" s="336"/>
      <c r="K144" s="337"/>
    </row>
    <row r="145" spans="1:11" ht="15.5" thickTop="1" thickBot="1" x14ac:dyDescent="0.4">
      <c r="A145" s="338">
        <v>45305</v>
      </c>
      <c r="B145" s="336"/>
      <c r="C145" s="336"/>
      <c r="D145" s="336"/>
      <c r="E145" s="337"/>
      <c r="F145" s="47"/>
      <c r="G145" s="338">
        <v>45305</v>
      </c>
      <c r="H145" s="336"/>
      <c r="I145" s="336"/>
      <c r="J145" s="336"/>
      <c r="K145" s="337"/>
    </row>
    <row r="146" spans="1:11" ht="15" thickTop="1" x14ac:dyDescent="0.35">
      <c r="A146" s="267" t="s">
        <v>159</v>
      </c>
      <c r="B146" s="267" t="s">
        <v>299</v>
      </c>
      <c r="C146" s="267" t="s">
        <v>307</v>
      </c>
      <c r="D146" s="267" t="s">
        <v>301</v>
      </c>
      <c r="E146" s="268" t="s">
        <v>308</v>
      </c>
      <c r="F146" s="47"/>
      <c r="G146" s="267" t="s">
        <v>159</v>
      </c>
      <c r="H146" s="267" t="s">
        <v>299</v>
      </c>
      <c r="I146" s="267" t="s">
        <v>307</v>
      </c>
      <c r="J146" s="267" t="s">
        <v>301</v>
      </c>
      <c r="K146" s="268" t="s">
        <v>308</v>
      </c>
    </row>
    <row r="147" spans="1:11" x14ac:dyDescent="0.35">
      <c r="A147" s="269" t="s">
        <v>316</v>
      </c>
      <c r="B147" s="270"/>
      <c r="C147" s="270"/>
      <c r="D147" s="270"/>
      <c r="E147" s="270"/>
      <c r="F147" s="47"/>
      <c r="G147" s="269" t="s">
        <v>345</v>
      </c>
      <c r="H147" s="270"/>
      <c r="I147" s="270"/>
      <c r="J147" s="270"/>
      <c r="K147" s="270"/>
    </row>
    <row r="148" spans="1:11" x14ac:dyDescent="0.35">
      <c r="A148" s="271" t="s">
        <v>309</v>
      </c>
      <c r="B148" s="272"/>
      <c r="C148" s="272"/>
      <c r="D148" s="272"/>
      <c r="E148" s="272"/>
      <c r="F148" s="47"/>
      <c r="G148" s="271" t="s">
        <v>345</v>
      </c>
      <c r="H148" s="272"/>
      <c r="I148" s="272"/>
      <c r="J148" s="272"/>
      <c r="K148" s="272"/>
    </row>
    <row r="149" spans="1:11" x14ac:dyDescent="0.35">
      <c r="A149" s="269" t="s">
        <v>310</v>
      </c>
      <c r="B149" s="270">
        <v>600</v>
      </c>
      <c r="C149" s="270"/>
      <c r="D149" s="270"/>
      <c r="E149" s="270"/>
      <c r="F149" s="47"/>
      <c r="G149" s="269" t="s">
        <v>310</v>
      </c>
      <c r="H149" s="270"/>
      <c r="I149" s="270"/>
      <c r="J149" s="270"/>
      <c r="K149" s="270"/>
    </row>
    <row r="150" spans="1:11" x14ac:dyDescent="0.35">
      <c r="A150" s="271" t="s">
        <v>317</v>
      </c>
      <c r="B150" s="272"/>
      <c r="C150" s="272"/>
      <c r="D150" s="272"/>
      <c r="E150" s="272"/>
      <c r="F150" s="47"/>
      <c r="G150" s="271" t="s">
        <v>317</v>
      </c>
      <c r="H150" s="272"/>
      <c r="I150" s="272"/>
      <c r="J150" s="272"/>
      <c r="K150" s="272"/>
    </row>
    <row r="151" spans="1:11" x14ac:dyDescent="0.35">
      <c r="A151" s="269" t="s">
        <v>311</v>
      </c>
      <c r="B151" s="270"/>
      <c r="C151" s="270"/>
      <c r="D151" s="270"/>
      <c r="E151" s="270"/>
      <c r="F151" s="47"/>
      <c r="G151" s="269" t="s">
        <v>311</v>
      </c>
      <c r="H151" s="270"/>
      <c r="I151" s="270"/>
      <c r="J151" s="270"/>
      <c r="K151" s="270"/>
    </row>
    <row r="152" spans="1:11" x14ac:dyDescent="0.35">
      <c r="A152" s="271" t="s">
        <v>312</v>
      </c>
      <c r="B152" s="272">
        <v>1920</v>
      </c>
      <c r="C152" s="272"/>
      <c r="D152" s="272"/>
      <c r="E152" s="272"/>
      <c r="F152" s="47"/>
      <c r="G152" s="271" t="s">
        <v>312</v>
      </c>
      <c r="H152" s="272"/>
      <c r="I152" s="272"/>
      <c r="J152" s="272"/>
      <c r="K152" s="272"/>
    </row>
    <row r="153" spans="1:11" x14ac:dyDescent="0.35">
      <c r="A153" s="231" t="s">
        <v>34</v>
      </c>
      <c r="B153" s="230">
        <f>SUM(B147:B152)</f>
        <v>2520</v>
      </c>
      <c r="C153" s="230">
        <f>SUM(C147:C152)</f>
        <v>0</v>
      </c>
      <c r="D153" s="230">
        <f>SUM(D147:D152)</f>
        <v>0</v>
      </c>
      <c r="E153" s="230">
        <f>SUM(E147:E152)</f>
        <v>0</v>
      </c>
      <c r="F153" s="47"/>
      <c r="G153" s="231" t="s">
        <v>34</v>
      </c>
      <c r="H153" s="230">
        <f>SUM(H147:H152)</f>
        <v>0</v>
      </c>
      <c r="I153" s="230">
        <f>SUM(I147:I152)</f>
        <v>0</v>
      </c>
      <c r="J153" s="230">
        <f>SUM(J147:J152)</f>
        <v>0</v>
      </c>
      <c r="K153" s="230">
        <f>SUM(K147:K152)</f>
        <v>0</v>
      </c>
    </row>
    <row r="154" spans="1:11" ht="15" thickBot="1" x14ac:dyDescent="0.4">
      <c r="A154" s="231" t="s">
        <v>313</v>
      </c>
      <c r="B154" s="230">
        <f>+B153+C153+D153+E153</f>
        <v>2520</v>
      </c>
      <c r="C154" s="230"/>
      <c r="D154" s="230"/>
      <c r="E154" s="230"/>
      <c r="F154" s="47"/>
      <c r="G154" s="231" t="s">
        <v>313</v>
      </c>
      <c r="H154" s="230">
        <f>+H153+I153+J153+K153</f>
        <v>0</v>
      </c>
      <c r="I154" s="230"/>
      <c r="J154" s="230"/>
      <c r="K154" s="230"/>
    </row>
    <row r="155" spans="1:11" ht="15.5" thickTop="1" thickBot="1" x14ac:dyDescent="0.4">
      <c r="A155" s="335" t="s">
        <v>298</v>
      </c>
      <c r="B155" s="336"/>
      <c r="C155" s="336"/>
      <c r="D155" s="336"/>
      <c r="E155" s="337"/>
      <c r="F155" s="47"/>
      <c r="G155" s="335" t="s">
        <v>314</v>
      </c>
      <c r="H155" s="336"/>
      <c r="I155" s="336"/>
      <c r="J155" s="336"/>
      <c r="K155" s="337"/>
    </row>
    <row r="156" spans="1:11" ht="15.5" thickTop="1" thickBot="1" x14ac:dyDescent="0.4">
      <c r="A156" s="338">
        <v>45306</v>
      </c>
      <c r="B156" s="336"/>
      <c r="C156" s="336"/>
      <c r="D156" s="336"/>
      <c r="E156" s="337"/>
      <c r="F156" s="47"/>
      <c r="G156" s="338">
        <v>45306</v>
      </c>
      <c r="H156" s="336"/>
      <c r="I156" s="336"/>
      <c r="J156" s="336"/>
      <c r="K156" s="337"/>
    </row>
    <row r="157" spans="1:11" ht="15" thickTop="1" x14ac:dyDescent="0.35">
      <c r="A157" s="267" t="s">
        <v>159</v>
      </c>
      <c r="B157" s="267" t="s">
        <v>299</v>
      </c>
      <c r="C157" s="267" t="s">
        <v>307</v>
      </c>
      <c r="D157" s="267" t="s">
        <v>301</v>
      </c>
      <c r="E157" s="268" t="s">
        <v>308</v>
      </c>
      <c r="F157" s="47"/>
      <c r="G157" s="267" t="s">
        <v>159</v>
      </c>
      <c r="H157" s="267" t="s">
        <v>299</v>
      </c>
      <c r="I157" s="267" t="s">
        <v>307</v>
      </c>
      <c r="J157" s="267" t="s">
        <v>301</v>
      </c>
      <c r="K157" s="268" t="s">
        <v>308</v>
      </c>
    </row>
    <row r="158" spans="1:11" x14ac:dyDescent="0.35">
      <c r="A158" s="269" t="s">
        <v>364</v>
      </c>
      <c r="B158" s="270">
        <v>110</v>
      </c>
      <c r="C158" s="270"/>
      <c r="D158" s="270"/>
      <c r="E158" s="270"/>
      <c r="F158" s="47"/>
      <c r="G158" s="269" t="s">
        <v>345</v>
      </c>
      <c r="H158" s="270"/>
      <c r="I158" s="270"/>
      <c r="J158" s="270"/>
      <c r="K158" s="270"/>
    </row>
    <row r="159" spans="1:11" x14ac:dyDescent="0.35">
      <c r="A159" s="271" t="s">
        <v>365</v>
      </c>
      <c r="B159" s="272">
        <v>529</v>
      </c>
      <c r="C159" s="272"/>
      <c r="D159" s="272"/>
      <c r="E159" s="272"/>
      <c r="F159" s="47"/>
      <c r="G159" s="271" t="s">
        <v>345</v>
      </c>
      <c r="H159" s="272"/>
      <c r="I159" s="272"/>
      <c r="J159" s="272"/>
      <c r="K159" s="272"/>
    </row>
    <row r="160" spans="1:11" x14ac:dyDescent="0.35">
      <c r="A160" s="269" t="s">
        <v>310</v>
      </c>
      <c r="B160" s="270"/>
      <c r="C160" s="270"/>
      <c r="D160" s="270"/>
      <c r="E160" s="270"/>
      <c r="F160" s="47"/>
      <c r="G160" s="269" t="s">
        <v>310</v>
      </c>
      <c r="H160" s="270"/>
      <c r="I160" s="270"/>
      <c r="J160" s="270"/>
      <c r="K160" s="270"/>
    </row>
    <row r="161" spans="1:11" x14ac:dyDescent="0.35">
      <c r="A161" s="271" t="s">
        <v>317</v>
      </c>
      <c r="B161" s="272"/>
      <c r="C161" s="272"/>
      <c r="D161" s="272"/>
      <c r="E161" s="272"/>
      <c r="F161" s="47"/>
      <c r="G161" s="271" t="s">
        <v>317</v>
      </c>
      <c r="H161" s="272"/>
      <c r="I161" s="272"/>
      <c r="J161" s="272"/>
      <c r="K161" s="272"/>
    </row>
    <row r="162" spans="1:11" x14ac:dyDescent="0.35">
      <c r="A162" s="269" t="s">
        <v>311</v>
      </c>
      <c r="B162" s="270"/>
      <c r="C162" s="270"/>
      <c r="D162" s="270"/>
      <c r="E162" s="270"/>
      <c r="F162" s="47"/>
      <c r="G162" s="269" t="s">
        <v>311</v>
      </c>
      <c r="H162" s="270"/>
      <c r="I162" s="270"/>
      <c r="J162" s="270"/>
      <c r="K162" s="270"/>
    </row>
    <row r="163" spans="1:11" x14ac:dyDescent="0.35">
      <c r="A163" s="271" t="s">
        <v>312</v>
      </c>
      <c r="B163" s="272"/>
      <c r="C163" s="272"/>
      <c r="D163" s="272"/>
      <c r="E163" s="272"/>
      <c r="F163" s="47"/>
      <c r="G163" s="271" t="s">
        <v>312</v>
      </c>
      <c r="H163" s="272"/>
      <c r="I163" s="272"/>
      <c r="J163" s="272"/>
      <c r="K163" s="272"/>
    </row>
    <row r="164" spans="1:11" x14ac:dyDescent="0.35">
      <c r="A164" s="231" t="s">
        <v>34</v>
      </c>
      <c r="B164" s="230">
        <f>SUM(B158:B163)</f>
        <v>639</v>
      </c>
      <c r="C164" s="230">
        <f>SUM(C158:C163)</f>
        <v>0</v>
      </c>
      <c r="D164" s="230">
        <f>SUM(D158:D163)</f>
        <v>0</v>
      </c>
      <c r="E164" s="230">
        <f>SUM(E158:E163)</f>
        <v>0</v>
      </c>
      <c r="F164" s="47"/>
      <c r="G164" s="231" t="s">
        <v>34</v>
      </c>
      <c r="H164" s="230">
        <f>SUM(H158:H163)</f>
        <v>0</v>
      </c>
      <c r="I164" s="230">
        <f>SUM(I158:I163)</f>
        <v>0</v>
      </c>
      <c r="J164" s="230">
        <f>SUM(J158:J163)</f>
        <v>0</v>
      </c>
      <c r="K164" s="230">
        <f>SUM(K158:K163)</f>
        <v>0</v>
      </c>
    </row>
    <row r="165" spans="1:11" ht="15" thickBot="1" x14ac:dyDescent="0.4">
      <c r="A165" s="231" t="s">
        <v>313</v>
      </c>
      <c r="B165" s="230">
        <f>+B164+C164+D164+E164</f>
        <v>639</v>
      </c>
      <c r="C165" s="230"/>
      <c r="D165" s="230"/>
      <c r="E165" s="230"/>
      <c r="F165" s="47"/>
      <c r="G165" s="231" t="s">
        <v>313</v>
      </c>
      <c r="H165" s="230">
        <f>+H164+I164+J164+K164</f>
        <v>0</v>
      </c>
      <c r="I165" s="230"/>
      <c r="J165" s="230"/>
      <c r="K165" s="230"/>
    </row>
    <row r="166" spans="1:11" ht="15.5" thickTop="1" thickBot="1" x14ac:dyDescent="0.4">
      <c r="A166" s="335" t="s">
        <v>298</v>
      </c>
      <c r="B166" s="336"/>
      <c r="C166" s="336"/>
      <c r="D166" s="336"/>
      <c r="E166" s="337"/>
      <c r="F166" s="47"/>
      <c r="G166" s="335" t="s">
        <v>314</v>
      </c>
      <c r="H166" s="336"/>
      <c r="I166" s="336"/>
      <c r="J166" s="336"/>
      <c r="K166" s="337"/>
    </row>
    <row r="167" spans="1:11" ht="15.5" thickTop="1" thickBot="1" x14ac:dyDescent="0.4">
      <c r="A167" s="338">
        <v>45307</v>
      </c>
      <c r="B167" s="336"/>
      <c r="C167" s="336"/>
      <c r="D167" s="336"/>
      <c r="E167" s="337"/>
      <c r="F167" s="47"/>
      <c r="G167" s="338">
        <v>45307</v>
      </c>
      <c r="H167" s="336"/>
      <c r="I167" s="336"/>
      <c r="J167" s="336"/>
      <c r="K167" s="337"/>
    </row>
    <row r="168" spans="1:11" ht="15" thickTop="1" x14ac:dyDescent="0.35">
      <c r="A168" s="267" t="s">
        <v>159</v>
      </c>
      <c r="B168" s="267" t="s">
        <v>299</v>
      </c>
      <c r="C168" s="267" t="s">
        <v>307</v>
      </c>
      <c r="D168" s="267" t="s">
        <v>301</v>
      </c>
      <c r="E168" s="268" t="s">
        <v>308</v>
      </c>
      <c r="F168" s="47"/>
      <c r="G168" s="267" t="s">
        <v>159</v>
      </c>
      <c r="H168" s="267" t="s">
        <v>299</v>
      </c>
      <c r="I168" s="267" t="s">
        <v>307</v>
      </c>
      <c r="J168" s="267" t="s">
        <v>301</v>
      </c>
      <c r="K168" s="268" t="s">
        <v>308</v>
      </c>
    </row>
    <row r="169" spans="1:11" x14ac:dyDescent="0.35">
      <c r="A169" s="269" t="s">
        <v>316</v>
      </c>
      <c r="B169" s="270"/>
      <c r="C169" s="270"/>
      <c r="D169" s="270"/>
      <c r="E169" s="270"/>
      <c r="F169" s="47"/>
      <c r="G169" s="269" t="s">
        <v>345</v>
      </c>
      <c r="H169" s="270"/>
      <c r="I169" s="270"/>
      <c r="J169" s="270"/>
      <c r="K169" s="270"/>
    </row>
    <row r="170" spans="1:11" x14ac:dyDescent="0.35">
      <c r="A170" s="271" t="s">
        <v>309</v>
      </c>
      <c r="B170" s="272"/>
      <c r="C170" s="272"/>
      <c r="D170" s="272"/>
      <c r="E170" s="272"/>
      <c r="F170" s="47"/>
      <c r="G170" s="271" t="s">
        <v>345</v>
      </c>
      <c r="H170" s="272"/>
      <c r="I170" s="272"/>
      <c r="J170" s="272"/>
      <c r="K170" s="272"/>
    </row>
    <row r="171" spans="1:11" x14ac:dyDescent="0.35">
      <c r="A171" s="269" t="s">
        <v>310</v>
      </c>
      <c r="B171" s="270">
        <v>2500</v>
      </c>
      <c r="C171" s="270"/>
      <c r="D171" s="270"/>
      <c r="E171" s="270"/>
      <c r="F171" s="47"/>
      <c r="G171" s="269" t="s">
        <v>310</v>
      </c>
      <c r="H171" s="270"/>
      <c r="I171" s="270"/>
      <c r="J171" s="270"/>
      <c r="K171" s="270"/>
    </row>
    <row r="172" spans="1:11" x14ac:dyDescent="0.35">
      <c r="A172" s="271" t="s">
        <v>317</v>
      </c>
      <c r="B172" s="272"/>
      <c r="C172" s="272"/>
      <c r="D172" s="272"/>
      <c r="E172" s="272"/>
      <c r="F172" s="47"/>
      <c r="G172" s="271" t="s">
        <v>317</v>
      </c>
      <c r="H172" s="272"/>
      <c r="I172" s="272"/>
      <c r="J172" s="272"/>
      <c r="K172" s="272"/>
    </row>
    <row r="173" spans="1:11" x14ac:dyDescent="0.35">
      <c r="A173" s="269" t="s">
        <v>311</v>
      </c>
      <c r="B173" s="270"/>
      <c r="C173" s="270"/>
      <c r="D173" s="270"/>
      <c r="E173" s="270"/>
      <c r="F173" s="47"/>
      <c r="G173" s="269" t="s">
        <v>311</v>
      </c>
      <c r="H173" s="270"/>
      <c r="I173" s="270"/>
      <c r="J173" s="270"/>
      <c r="K173" s="270"/>
    </row>
    <row r="174" spans="1:11" x14ac:dyDescent="0.35">
      <c r="A174" s="271" t="s">
        <v>312</v>
      </c>
      <c r="B174" s="272"/>
      <c r="C174" s="272"/>
      <c r="D174" s="272"/>
      <c r="E174" s="272"/>
      <c r="F174" s="47"/>
      <c r="G174" s="271" t="s">
        <v>312</v>
      </c>
      <c r="H174" s="272"/>
      <c r="I174" s="272"/>
      <c r="J174" s="272"/>
      <c r="K174" s="272"/>
    </row>
    <row r="175" spans="1:11" x14ac:dyDescent="0.35">
      <c r="A175" s="231" t="s">
        <v>34</v>
      </c>
      <c r="B175" s="230">
        <f>SUM(B169:B174)</f>
        <v>2500</v>
      </c>
      <c r="C175" s="230">
        <f>SUM(C169:C174)</f>
        <v>0</v>
      </c>
      <c r="D175" s="230">
        <f>SUM(D169:D174)</f>
        <v>0</v>
      </c>
      <c r="E175" s="230">
        <f>SUM(E169:E174)</f>
        <v>0</v>
      </c>
      <c r="F175" s="47"/>
      <c r="G175" s="231" t="s">
        <v>34</v>
      </c>
      <c r="H175" s="230">
        <f>SUM(H169:H174)</f>
        <v>0</v>
      </c>
      <c r="I175" s="230">
        <f>SUM(I169:I174)</f>
        <v>0</v>
      </c>
      <c r="J175" s="230">
        <f>SUM(J169:J174)</f>
        <v>0</v>
      </c>
      <c r="K175" s="230">
        <f>SUM(K169:K174)</f>
        <v>0</v>
      </c>
    </row>
    <row r="176" spans="1:11" ht="15" thickBot="1" x14ac:dyDescent="0.4">
      <c r="A176" s="231" t="s">
        <v>313</v>
      </c>
      <c r="B176" s="230">
        <f>+B175+C175+D175+E175</f>
        <v>2500</v>
      </c>
      <c r="C176" s="230"/>
      <c r="D176" s="230"/>
      <c r="E176" s="230"/>
      <c r="F176" s="47"/>
      <c r="G176" s="231" t="s">
        <v>313</v>
      </c>
      <c r="H176" s="230">
        <f>+H175+I175+J175+K175</f>
        <v>0</v>
      </c>
      <c r="I176" s="230"/>
      <c r="J176" s="230"/>
      <c r="K176" s="230"/>
    </row>
    <row r="177" spans="1:12" ht="15.5" thickTop="1" thickBot="1" x14ac:dyDescent="0.4">
      <c r="A177" s="335" t="s">
        <v>298</v>
      </c>
      <c r="B177" s="336"/>
      <c r="C177" s="336"/>
      <c r="D177" s="336"/>
      <c r="E177" s="337"/>
      <c r="F177" s="47"/>
      <c r="G177" s="335" t="s">
        <v>314</v>
      </c>
      <c r="H177" s="336"/>
      <c r="I177" s="336"/>
      <c r="J177" s="336"/>
      <c r="K177" s="337"/>
    </row>
    <row r="178" spans="1:12" ht="15.5" thickTop="1" thickBot="1" x14ac:dyDescent="0.4">
      <c r="A178" s="338">
        <v>45308</v>
      </c>
      <c r="B178" s="336"/>
      <c r="C178" s="336"/>
      <c r="D178" s="336"/>
      <c r="E178" s="337"/>
      <c r="F178" s="47"/>
      <c r="G178" s="338">
        <v>45308</v>
      </c>
      <c r="H178" s="336"/>
      <c r="I178" s="336"/>
      <c r="J178" s="336"/>
      <c r="K178" s="337"/>
    </row>
    <row r="179" spans="1:12" ht="15" thickTop="1" x14ac:dyDescent="0.35">
      <c r="A179" s="267" t="s">
        <v>159</v>
      </c>
      <c r="B179" s="267" t="s">
        <v>299</v>
      </c>
      <c r="C179" s="267" t="s">
        <v>307</v>
      </c>
      <c r="D179" s="267" t="s">
        <v>301</v>
      </c>
      <c r="E179" s="268" t="s">
        <v>308</v>
      </c>
      <c r="F179" s="47"/>
      <c r="G179" s="267" t="s">
        <v>159</v>
      </c>
      <c r="H179" s="267" t="s">
        <v>299</v>
      </c>
      <c r="I179" s="267" t="s">
        <v>307</v>
      </c>
      <c r="J179" s="267" t="s">
        <v>301</v>
      </c>
      <c r="K179" s="268" t="s">
        <v>308</v>
      </c>
    </row>
    <row r="180" spans="1:12" x14ac:dyDescent="0.35">
      <c r="A180" s="269" t="s">
        <v>316</v>
      </c>
      <c r="B180" s="270"/>
      <c r="C180" s="270"/>
      <c r="D180" s="270"/>
      <c r="E180" s="270"/>
      <c r="F180" s="47"/>
      <c r="G180" s="269" t="s">
        <v>345</v>
      </c>
      <c r="H180" s="270"/>
      <c r="I180" s="270"/>
      <c r="J180" s="270"/>
      <c r="K180" s="270"/>
    </row>
    <row r="181" spans="1:12" x14ac:dyDescent="0.35">
      <c r="A181" s="271" t="s">
        <v>309</v>
      </c>
      <c r="B181" s="272"/>
      <c r="C181" s="272"/>
      <c r="D181" s="272"/>
      <c r="E181" s="272"/>
      <c r="F181" s="47"/>
      <c r="G181" s="271" t="s">
        <v>345</v>
      </c>
      <c r="H181" s="272"/>
      <c r="I181" s="272"/>
      <c r="J181" s="272"/>
      <c r="K181" s="272"/>
    </row>
    <row r="182" spans="1:12" x14ac:dyDescent="0.35">
      <c r="A182" s="269" t="s">
        <v>310</v>
      </c>
      <c r="B182" s="270"/>
      <c r="C182" s="270"/>
      <c r="D182" s="270"/>
      <c r="E182" s="270"/>
      <c r="F182" s="47"/>
      <c r="G182" s="269" t="s">
        <v>310</v>
      </c>
      <c r="H182" s="270"/>
      <c r="I182" s="270"/>
      <c r="J182" s="270"/>
      <c r="K182" s="270"/>
    </row>
    <row r="183" spans="1:12" x14ac:dyDescent="0.35">
      <c r="A183" s="271" t="s">
        <v>317</v>
      </c>
      <c r="B183" s="272"/>
      <c r="C183" s="272"/>
      <c r="D183" s="272"/>
      <c r="E183" s="272"/>
      <c r="F183" s="47"/>
      <c r="G183" s="271" t="s">
        <v>317</v>
      </c>
      <c r="H183" s="272"/>
      <c r="I183" s="272"/>
      <c r="J183" s="272"/>
      <c r="K183" s="272"/>
    </row>
    <row r="184" spans="1:12" x14ac:dyDescent="0.35">
      <c r="A184" s="269" t="s">
        <v>311</v>
      </c>
      <c r="B184" s="270"/>
      <c r="C184" s="270"/>
      <c r="D184" s="270"/>
      <c r="E184" s="270"/>
      <c r="F184" s="47"/>
      <c r="G184" s="269" t="s">
        <v>311</v>
      </c>
      <c r="H184" s="270"/>
      <c r="I184" s="270"/>
      <c r="J184" s="270"/>
      <c r="K184" s="270"/>
    </row>
    <row r="185" spans="1:12" x14ac:dyDescent="0.35">
      <c r="A185" s="271" t="s">
        <v>312</v>
      </c>
      <c r="B185" s="272"/>
      <c r="C185" s="272"/>
      <c r="D185" s="272"/>
      <c r="E185" s="272"/>
      <c r="F185" s="47"/>
      <c r="G185" s="271" t="s">
        <v>312</v>
      </c>
      <c r="H185" s="272"/>
      <c r="I185" s="272"/>
      <c r="J185" s="272"/>
      <c r="K185" s="272"/>
      <c r="L185" s="47">
        <v>85004</v>
      </c>
    </row>
    <row r="186" spans="1:12" x14ac:dyDescent="0.35">
      <c r="A186" s="231" t="s">
        <v>34</v>
      </c>
      <c r="B186" s="230">
        <f>SUM(B180:B185)</f>
        <v>0</v>
      </c>
      <c r="C186" s="230">
        <f>SUM(C180:C185)</f>
        <v>0</v>
      </c>
      <c r="D186" s="230">
        <f>SUM(D180:D185)</f>
        <v>0</v>
      </c>
      <c r="E186" s="230">
        <f>SUM(E180:E185)</f>
        <v>0</v>
      </c>
      <c r="F186" s="47"/>
      <c r="G186" s="231" t="s">
        <v>34</v>
      </c>
      <c r="H186" s="230">
        <f>SUM(H180:H185)</f>
        <v>0</v>
      </c>
      <c r="I186" s="230">
        <f>SUM(I180:I185)</f>
        <v>0</v>
      </c>
      <c r="J186" s="230">
        <f>SUM(J180:J185)</f>
        <v>0</v>
      </c>
      <c r="K186" s="230">
        <f>SUM(K180:K185)</f>
        <v>0</v>
      </c>
    </row>
    <row r="187" spans="1:12" ht="15" thickBot="1" x14ac:dyDescent="0.4">
      <c r="A187" s="231" t="s">
        <v>313</v>
      </c>
      <c r="B187" s="230">
        <f>+B186+C186+D186+E186</f>
        <v>0</v>
      </c>
      <c r="C187" s="230"/>
      <c r="D187" s="230"/>
      <c r="E187" s="230"/>
      <c r="F187" s="47"/>
      <c r="G187" s="231" t="s">
        <v>313</v>
      </c>
      <c r="H187" s="230">
        <f>+H186+I186+J186+K186</f>
        <v>0</v>
      </c>
      <c r="I187" s="230"/>
      <c r="J187" s="230"/>
      <c r="K187" s="230"/>
    </row>
    <row r="188" spans="1:12" ht="15.5" thickTop="1" thickBot="1" x14ac:dyDescent="0.4">
      <c r="A188" s="335" t="s">
        <v>298</v>
      </c>
      <c r="B188" s="336"/>
      <c r="C188" s="336"/>
      <c r="D188" s="336"/>
      <c r="E188" s="337"/>
      <c r="F188" s="47"/>
      <c r="G188" s="335" t="s">
        <v>314</v>
      </c>
      <c r="H188" s="336"/>
      <c r="I188" s="336"/>
      <c r="J188" s="336"/>
      <c r="K188" s="337"/>
    </row>
    <row r="189" spans="1:12" ht="15.5" thickTop="1" thickBot="1" x14ac:dyDescent="0.4">
      <c r="A189" s="338">
        <v>45309</v>
      </c>
      <c r="B189" s="336"/>
      <c r="C189" s="336"/>
      <c r="D189" s="336"/>
      <c r="E189" s="337"/>
      <c r="F189" s="47"/>
      <c r="G189" s="338">
        <v>45309</v>
      </c>
      <c r="H189" s="336"/>
      <c r="I189" s="336"/>
      <c r="J189" s="336"/>
      <c r="K189" s="337"/>
    </row>
    <row r="190" spans="1:12" ht="15" thickTop="1" x14ac:dyDescent="0.35">
      <c r="A190" s="267" t="s">
        <v>159</v>
      </c>
      <c r="B190" s="267" t="s">
        <v>299</v>
      </c>
      <c r="C190" s="267" t="s">
        <v>307</v>
      </c>
      <c r="D190" s="267" t="s">
        <v>301</v>
      </c>
      <c r="E190" s="268" t="s">
        <v>308</v>
      </c>
      <c r="F190" s="47"/>
      <c r="G190" s="267" t="s">
        <v>159</v>
      </c>
      <c r="H190" s="267" t="s">
        <v>299</v>
      </c>
      <c r="I190" s="267" t="s">
        <v>307</v>
      </c>
      <c r="J190" s="267" t="s">
        <v>301</v>
      </c>
      <c r="K190" s="268" t="s">
        <v>308</v>
      </c>
    </row>
    <row r="191" spans="1:12" x14ac:dyDescent="0.35">
      <c r="A191" s="269" t="s">
        <v>316</v>
      </c>
      <c r="B191" s="270"/>
      <c r="C191" s="270"/>
      <c r="D191" s="270"/>
      <c r="E191" s="270"/>
      <c r="F191" s="47"/>
      <c r="G191" s="269" t="s">
        <v>345</v>
      </c>
      <c r="H191" s="270"/>
      <c r="I191" s="270"/>
      <c r="J191" s="270"/>
      <c r="K191" s="270"/>
    </row>
    <row r="192" spans="1:12" x14ac:dyDescent="0.35">
      <c r="A192" s="271" t="s">
        <v>309</v>
      </c>
      <c r="B192" s="272"/>
      <c r="C192" s="272"/>
      <c r="D192" s="272"/>
      <c r="E192" s="272"/>
      <c r="F192" s="47"/>
      <c r="G192" s="271" t="s">
        <v>345</v>
      </c>
      <c r="H192" s="272"/>
      <c r="I192" s="272"/>
      <c r="J192" s="272"/>
      <c r="K192" s="272"/>
    </row>
    <row r="193" spans="1:11" x14ac:dyDescent="0.35">
      <c r="A193" s="269" t="s">
        <v>310</v>
      </c>
      <c r="B193" s="270">
        <v>2200</v>
      </c>
      <c r="C193" s="270"/>
      <c r="D193" s="270"/>
      <c r="E193" s="270"/>
      <c r="F193" s="47"/>
      <c r="G193" s="269" t="s">
        <v>310</v>
      </c>
      <c r="H193" s="270"/>
      <c r="I193" s="270"/>
      <c r="J193" s="270"/>
      <c r="K193" s="270"/>
    </row>
    <row r="194" spans="1:11" x14ac:dyDescent="0.35">
      <c r="A194" s="271" t="s">
        <v>317</v>
      </c>
      <c r="B194" s="272"/>
      <c r="C194" s="272"/>
      <c r="D194" s="272"/>
      <c r="E194" s="272"/>
      <c r="F194" s="47"/>
      <c r="G194" s="271" t="s">
        <v>317</v>
      </c>
      <c r="H194" s="272"/>
      <c r="I194" s="272"/>
      <c r="J194" s="272"/>
      <c r="K194" s="272"/>
    </row>
    <row r="195" spans="1:11" x14ac:dyDescent="0.35">
      <c r="A195" s="269" t="s">
        <v>311</v>
      </c>
      <c r="B195" s="270"/>
      <c r="C195" s="270"/>
      <c r="D195" s="270"/>
      <c r="E195" s="270"/>
      <c r="F195" s="47"/>
      <c r="G195" s="269" t="s">
        <v>311</v>
      </c>
      <c r="H195" s="270"/>
      <c r="I195" s="270"/>
      <c r="J195" s="270"/>
      <c r="K195" s="270"/>
    </row>
    <row r="196" spans="1:11" x14ac:dyDescent="0.35">
      <c r="A196" s="271" t="s">
        <v>312</v>
      </c>
      <c r="B196" s="272">
        <v>560</v>
      </c>
      <c r="C196" s="272"/>
      <c r="D196" s="272"/>
      <c r="E196" s="272"/>
      <c r="F196" s="47"/>
      <c r="G196" s="271" t="s">
        <v>312</v>
      </c>
      <c r="H196" s="272"/>
      <c r="I196" s="272"/>
      <c r="J196" s="272"/>
      <c r="K196" s="272"/>
    </row>
    <row r="197" spans="1:11" x14ac:dyDescent="0.35">
      <c r="A197" s="231" t="s">
        <v>34</v>
      </c>
      <c r="B197" s="230">
        <f>SUM(B191:B196)</f>
        <v>2760</v>
      </c>
      <c r="C197" s="230">
        <f>SUM(C191:C196)</f>
        <v>0</v>
      </c>
      <c r="D197" s="230">
        <f>SUM(D191:D196)</f>
        <v>0</v>
      </c>
      <c r="E197" s="230">
        <f>SUM(E191:E196)</f>
        <v>0</v>
      </c>
      <c r="F197" s="47"/>
      <c r="G197" s="231" t="s">
        <v>34</v>
      </c>
      <c r="H197" s="230">
        <f>SUM(H191:H196)</f>
        <v>0</v>
      </c>
      <c r="I197" s="230">
        <f>SUM(I191:I196)</f>
        <v>0</v>
      </c>
      <c r="J197" s="230">
        <f>SUM(J191:J196)</f>
        <v>0</v>
      </c>
      <c r="K197" s="230">
        <f>SUM(K191:K196)</f>
        <v>0</v>
      </c>
    </row>
    <row r="198" spans="1:11" ht="15" thickBot="1" x14ac:dyDescent="0.4">
      <c r="A198" s="231" t="s">
        <v>313</v>
      </c>
      <c r="B198" s="230">
        <f>+B197+C197+D197+E197</f>
        <v>2760</v>
      </c>
      <c r="C198" s="230"/>
      <c r="D198" s="230"/>
      <c r="E198" s="230"/>
      <c r="F198" s="47"/>
      <c r="G198" s="231" t="s">
        <v>313</v>
      </c>
      <c r="H198" s="230">
        <f>+H197+I197+J197+K197</f>
        <v>0</v>
      </c>
      <c r="I198" s="230"/>
      <c r="J198" s="230"/>
      <c r="K198" s="230"/>
    </row>
    <row r="199" spans="1:11" ht="15.5" thickTop="1" thickBot="1" x14ac:dyDescent="0.4">
      <c r="A199" s="335" t="s">
        <v>298</v>
      </c>
      <c r="B199" s="336"/>
      <c r="C199" s="336"/>
      <c r="D199" s="336"/>
      <c r="E199" s="337"/>
      <c r="F199" s="47"/>
      <c r="G199" s="335" t="s">
        <v>314</v>
      </c>
      <c r="H199" s="336"/>
      <c r="I199" s="336"/>
      <c r="J199" s="336"/>
      <c r="K199" s="337"/>
    </row>
    <row r="200" spans="1:11" ht="15.5" thickTop="1" thickBot="1" x14ac:dyDescent="0.4">
      <c r="A200" s="338">
        <v>45310</v>
      </c>
      <c r="B200" s="336"/>
      <c r="C200" s="336"/>
      <c r="D200" s="336"/>
      <c r="E200" s="337"/>
      <c r="F200" s="47"/>
      <c r="G200" s="338">
        <v>45310</v>
      </c>
      <c r="H200" s="336"/>
      <c r="I200" s="336"/>
      <c r="J200" s="336"/>
      <c r="K200" s="337"/>
    </row>
    <row r="201" spans="1:11" ht="15" thickTop="1" x14ac:dyDescent="0.35">
      <c r="A201" s="267" t="s">
        <v>159</v>
      </c>
      <c r="B201" s="267" t="s">
        <v>299</v>
      </c>
      <c r="C201" s="267" t="s">
        <v>307</v>
      </c>
      <c r="D201" s="267" t="s">
        <v>301</v>
      </c>
      <c r="E201" s="268" t="s">
        <v>308</v>
      </c>
      <c r="F201" s="47"/>
      <c r="G201" s="267" t="s">
        <v>159</v>
      </c>
      <c r="H201" s="267" t="s">
        <v>299</v>
      </c>
      <c r="I201" s="267" t="s">
        <v>307</v>
      </c>
      <c r="J201" s="267" t="s">
        <v>301</v>
      </c>
      <c r="K201" s="268" t="s">
        <v>308</v>
      </c>
    </row>
    <row r="202" spans="1:11" x14ac:dyDescent="0.35">
      <c r="A202" s="269" t="s">
        <v>316</v>
      </c>
      <c r="B202" s="270"/>
      <c r="C202" s="270"/>
      <c r="D202" s="270"/>
      <c r="E202" s="270"/>
      <c r="F202" s="47"/>
      <c r="G202" s="269" t="s">
        <v>345</v>
      </c>
      <c r="H202" s="270"/>
      <c r="I202" s="270"/>
      <c r="J202" s="270"/>
      <c r="K202" s="270"/>
    </row>
    <row r="203" spans="1:11" x14ac:dyDescent="0.35">
      <c r="A203" s="271" t="s">
        <v>309</v>
      </c>
      <c r="B203" s="272"/>
      <c r="C203" s="272"/>
      <c r="D203" s="272"/>
      <c r="E203" s="272"/>
      <c r="F203" s="47"/>
      <c r="G203" s="271" t="s">
        <v>345</v>
      </c>
      <c r="H203" s="272"/>
      <c r="I203" s="272"/>
      <c r="J203" s="272"/>
      <c r="K203" s="272"/>
    </row>
    <row r="204" spans="1:11" x14ac:dyDescent="0.35">
      <c r="A204" s="269" t="s">
        <v>310</v>
      </c>
      <c r="B204" s="270"/>
      <c r="C204" s="270"/>
      <c r="D204" s="270"/>
      <c r="E204" s="270"/>
      <c r="F204" s="47"/>
      <c r="G204" s="269" t="s">
        <v>310</v>
      </c>
      <c r="H204" s="270"/>
      <c r="I204" s="270"/>
      <c r="J204" s="270"/>
      <c r="K204" s="270"/>
    </row>
    <row r="205" spans="1:11" x14ac:dyDescent="0.35">
      <c r="A205" s="271" t="s">
        <v>317</v>
      </c>
      <c r="B205" s="272"/>
      <c r="C205" s="272"/>
      <c r="D205" s="272"/>
      <c r="E205" s="272"/>
      <c r="F205" s="47"/>
      <c r="G205" s="271" t="s">
        <v>317</v>
      </c>
      <c r="H205" s="272"/>
      <c r="I205" s="272"/>
      <c r="J205" s="272"/>
      <c r="K205" s="272"/>
    </row>
    <row r="206" spans="1:11" x14ac:dyDescent="0.35">
      <c r="A206" s="269" t="s">
        <v>311</v>
      </c>
      <c r="B206" s="270"/>
      <c r="C206" s="270"/>
      <c r="D206" s="270"/>
      <c r="E206" s="270"/>
      <c r="F206" s="47"/>
      <c r="G206" s="269" t="s">
        <v>311</v>
      </c>
      <c r="H206" s="270"/>
      <c r="I206" s="270"/>
      <c r="J206" s="270"/>
      <c r="K206" s="270"/>
    </row>
    <row r="207" spans="1:11" x14ac:dyDescent="0.35">
      <c r="A207" s="271" t="s">
        <v>312</v>
      </c>
      <c r="B207" s="272"/>
      <c r="C207" s="272"/>
      <c r="D207" s="272"/>
      <c r="E207" s="272"/>
      <c r="F207" s="47"/>
      <c r="G207" s="271" t="s">
        <v>312</v>
      </c>
      <c r="H207" s="272"/>
      <c r="I207" s="272"/>
      <c r="J207" s="272"/>
      <c r="K207" s="272"/>
    </row>
    <row r="208" spans="1:11" x14ac:dyDescent="0.35">
      <c r="A208" s="231" t="s">
        <v>34</v>
      </c>
      <c r="B208" s="230">
        <f>SUM(B202:B207)</f>
        <v>0</v>
      </c>
      <c r="C208" s="230">
        <f>SUM(C202:C207)</f>
        <v>0</v>
      </c>
      <c r="D208" s="230">
        <f>SUM(D202:D207)</f>
        <v>0</v>
      </c>
      <c r="E208" s="230">
        <f>SUM(E202:E207)</f>
        <v>0</v>
      </c>
      <c r="F208" s="47"/>
      <c r="G208" s="231" t="s">
        <v>34</v>
      </c>
      <c r="H208" s="230">
        <f>SUM(H202:H207)</f>
        <v>0</v>
      </c>
      <c r="I208" s="230">
        <f>SUM(I202:I207)</f>
        <v>0</v>
      </c>
      <c r="J208" s="230">
        <f>SUM(J202:J207)</f>
        <v>0</v>
      </c>
      <c r="K208" s="230">
        <f>SUM(K202:K207)</f>
        <v>0</v>
      </c>
    </row>
    <row r="209" spans="1:11" ht="15" thickBot="1" x14ac:dyDescent="0.4">
      <c r="A209" s="231" t="s">
        <v>313</v>
      </c>
      <c r="B209" s="230">
        <f>+B208+C208+D208+E208</f>
        <v>0</v>
      </c>
      <c r="C209" s="230"/>
      <c r="D209" s="230"/>
      <c r="E209" s="230"/>
      <c r="F209" s="47"/>
      <c r="G209" s="231" t="s">
        <v>313</v>
      </c>
      <c r="H209" s="230">
        <f>+H208+I208+J208+K208</f>
        <v>0</v>
      </c>
      <c r="I209" s="230"/>
      <c r="J209" s="230"/>
      <c r="K209" s="230"/>
    </row>
    <row r="210" spans="1:11" ht="15.5" thickTop="1" thickBot="1" x14ac:dyDescent="0.4">
      <c r="A210" s="335" t="s">
        <v>298</v>
      </c>
      <c r="B210" s="336"/>
      <c r="C210" s="336"/>
      <c r="D210" s="336"/>
      <c r="E210" s="337"/>
      <c r="F210" s="47"/>
      <c r="G210" s="335" t="s">
        <v>314</v>
      </c>
      <c r="H210" s="336"/>
      <c r="I210" s="336"/>
      <c r="J210" s="336"/>
      <c r="K210" s="337"/>
    </row>
    <row r="211" spans="1:11" ht="15.5" thickTop="1" thickBot="1" x14ac:dyDescent="0.4">
      <c r="A211" s="338">
        <v>45311</v>
      </c>
      <c r="B211" s="336"/>
      <c r="C211" s="336"/>
      <c r="D211" s="336"/>
      <c r="E211" s="337"/>
      <c r="F211" s="47"/>
      <c r="G211" s="338">
        <v>45311</v>
      </c>
      <c r="H211" s="336"/>
      <c r="I211" s="336"/>
      <c r="J211" s="336"/>
      <c r="K211" s="337"/>
    </row>
    <row r="212" spans="1:11" ht="15" thickTop="1" x14ac:dyDescent="0.35">
      <c r="A212" s="267" t="s">
        <v>159</v>
      </c>
      <c r="B212" s="267" t="s">
        <v>299</v>
      </c>
      <c r="C212" s="267" t="s">
        <v>307</v>
      </c>
      <c r="D212" s="267" t="s">
        <v>301</v>
      </c>
      <c r="E212" s="268" t="s">
        <v>308</v>
      </c>
      <c r="F212" s="47"/>
      <c r="G212" s="267" t="s">
        <v>159</v>
      </c>
      <c r="H212" s="267" t="s">
        <v>299</v>
      </c>
      <c r="I212" s="267" t="s">
        <v>307</v>
      </c>
      <c r="J212" s="267" t="s">
        <v>301</v>
      </c>
      <c r="K212" s="268" t="s">
        <v>308</v>
      </c>
    </row>
    <row r="213" spans="1:11" x14ac:dyDescent="0.35">
      <c r="A213" s="269" t="s">
        <v>345</v>
      </c>
      <c r="B213" s="270">
        <v>2500</v>
      </c>
      <c r="C213" s="270"/>
      <c r="D213" s="270"/>
      <c r="E213" s="270"/>
      <c r="F213" s="47"/>
      <c r="G213" s="269" t="s">
        <v>345</v>
      </c>
      <c r="H213" s="270">
        <v>1400</v>
      </c>
      <c r="I213" s="270"/>
      <c r="J213" s="270"/>
      <c r="K213" s="270"/>
    </row>
    <row r="214" spans="1:11" x14ac:dyDescent="0.35">
      <c r="A214" s="271" t="s">
        <v>345</v>
      </c>
      <c r="B214" s="272">
        <v>1700</v>
      </c>
      <c r="C214" s="272"/>
      <c r="D214" s="272"/>
      <c r="E214" s="272"/>
      <c r="F214" s="47"/>
      <c r="G214" s="271" t="s">
        <v>345</v>
      </c>
      <c r="H214" s="272"/>
      <c r="I214" s="272"/>
      <c r="J214" s="272"/>
      <c r="K214" s="272"/>
    </row>
    <row r="215" spans="1:11" x14ac:dyDescent="0.35">
      <c r="A215" s="269" t="s">
        <v>310</v>
      </c>
      <c r="B215" s="270"/>
      <c r="C215" s="270"/>
      <c r="D215" s="270"/>
      <c r="E215" s="270"/>
      <c r="F215" s="47"/>
      <c r="G215" s="269" t="s">
        <v>310</v>
      </c>
      <c r="H215" s="270"/>
      <c r="I215" s="270"/>
      <c r="J215" s="270"/>
      <c r="K215" s="270"/>
    </row>
    <row r="216" spans="1:11" x14ac:dyDescent="0.35">
      <c r="A216" s="271" t="s">
        <v>317</v>
      </c>
      <c r="B216" s="272"/>
      <c r="C216" s="272"/>
      <c r="D216" s="272"/>
      <c r="E216" s="272"/>
      <c r="F216" s="47"/>
      <c r="G216" s="271" t="s">
        <v>317</v>
      </c>
      <c r="H216" s="272"/>
      <c r="I216" s="272"/>
      <c r="J216" s="272"/>
      <c r="K216" s="272"/>
    </row>
    <row r="217" spans="1:11" x14ac:dyDescent="0.35">
      <c r="A217" s="269" t="s">
        <v>311</v>
      </c>
      <c r="B217" s="270"/>
      <c r="C217" s="270"/>
      <c r="D217" s="270"/>
      <c r="E217" s="270"/>
      <c r="F217" s="47"/>
      <c r="G217" s="269" t="s">
        <v>311</v>
      </c>
      <c r="H217" s="270"/>
      <c r="I217" s="270"/>
      <c r="J217" s="270"/>
      <c r="K217" s="270"/>
    </row>
    <row r="218" spans="1:11" x14ac:dyDescent="0.35">
      <c r="A218" s="271" t="s">
        <v>312</v>
      </c>
      <c r="B218" s="272">
        <v>3020</v>
      </c>
      <c r="C218" s="272"/>
      <c r="D218" s="272"/>
      <c r="E218" s="272"/>
      <c r="F218" s="47"/>
      <c r="G218" s="271" t="s">
        <v>312</v>
      </c>
      <c r="H218" s="272"/>
      <c r="I218" s="272"/>
      <c r="J218" s="272"/>
      <c r="K218" s="272"/>
    </row>
    <row r="219" spans="1:11" x14ac:dyDescent="0.35">
      <c r="A219" s="231" t="s">
        <v>34</v>
      </c>
      <c r="B219" s="230">
        <f>SUM(B213:B218)</f>
        <v>7220</v>
      </c>
      <c r="C219" s="230">
        <f>SUM(C213:C218)</f>
        <v>0</v>
      </c>
      <c r="D219" s="230">
        <f>SUM(D213:D218)</f>
        <v>0</v>
      </c>
      <c r="E219" s="230">
        <f>SUM(E213:E218)</f>
        <v>0</v>
      </c>
      <c r="F219" s="47"/>
      <c r="G219" s="231" t="s">
        <v>34</v>
      </c>
      <c r="H219" s="230">
        <f>SUM(H213:H218)</f>
        <v>1400</v>
      </c>
      <c r="I219" s="230">
        <f>SUM(I213:I218)</f>
        <v>0</v>
      </c>
      <c r="J219" s="230">
        <f>SUM(J213:J218)</f>
        <v>0</v>
      </c>
      <c r="K219" s="230">
        <f>SUM(K213:K218)</f>
        <v>0</v>
      </c>
    </row>
    <row r="220" spans="1:11" ht="15" thickBot="1" x14ac:dyDescent="0.4">
      <c r="A220" s="231" t="s">
        <v>313</v>
      </c>
      <c r="B220" s="230">
        <f>+B219+C219+D219+E219</f>
        <v>7220</v>
      </c>
      <c r="C220" s="230"/>
      <c r="D220" s="230"/>
      <c r="E220" s="230"/>
      <c r="F220" s="47"/>
      <c r="G220" s="231" t="s">
        <v>313</v>
      </c>
      <c r="H220" s="230">
        <f>+H219+I219+J219+K219</f>
        <v>1400</v>
      </c>
      <c r="I220" s="230"/>
      <c r="J220" s="230"/>
      <c r="K220" s="230"/>
    </row>
    <row r="221" spans="1:11" ht="15.5" thickTop="1" thickBot="1" x14ac:dyDescent="0.4">
      <c r="A221" s="335" t="s">
        <v>298</v>
      </c>
      <c r="B221" s="336"/>
      <c r="C221" s="336"/>
      <c r="D221" s="336"/>
      <c r="E221" s="337"/>
      <c r="F221" s="47"/>
      <c r="G221" s="335" t="s">
        <v>314</v>
      </c>
      <c r="H221" s="336"/>
      <c r="I221" s="336"/>
      <c r="J221" s="336"/>
      <c r="K221" s="337"/>
    </row>
    <row r="222" spans="1:11" ht="15.5" thickTop="1" thickBot="1" x14ac:dyDescent="0.4">
      <c r="A222" s="338">
        <v>45312</v>
      </c>
      <c r="B222" s="336"/>
      <c r="C222" s="336"/>
      <c r="D222" s="336"/>
      <c r="E222" s="337"/>
      <c r="F222" s="47"/>
      <c r="G222" s="338">
        <v>45312</v>
      </c>
      <c r="H222" s="336"/>
      <c r="I222" s="336"/>
      <c r="J222" s="336"/>
      <c r="K222" s="337"/>
    </row>
    <row r="223" spans="1:11" ht="15" thickTop="1" x14ac:dyDescent="0.35">
      <c r="A223" s="267" t="s">
        <v>159</v>
      </c>
      <c r="B223" s="267" t="s">
        <v>299</v>
      </c>
      <c r="C223" s="267" t="s">
        <v>307</v>
      </c>
      <c r="D223" s="267" t="s">
        <v>301</v>
      </c>
      <c r="E223" s="268" t="s">
        <v>308</v>
      </c>
      <c r="F223" s="47"/>
      <c r="G223" s="267" t="s">
        <v>159</v>
      </c>
      <c r="H223" s="267" t="s">
        <v>299</v>
      </c>
      <c r="I223" s="267" t="s">
        <v>307</v>
      </c>
      <c r="J223" s="267" t="s">
        <v>301</v>
      </c>
      <c r="K223" s="268" t="s">
        <v>308</v>
      </c>
    </row>
    <row r="224" spans="1:11" x14ac:dyDescent="0.35">
      <c r="A224" s="269" t="s">
        <v>370</v>
      </c>
      <c r="B224" s="270">
        <v>150</v>
      </c>
      <c r="C224" s="270"/>
      <c r="D224" s="270"/>
      <c r="E224" s="270"/>
      <c r="F224" s="47"/>
      <c r="G224" s="269" t="s">
        <v>345</v>
      </c>
      <c r="H224" s="270"/>
      <c r="I224" s="270"/>
      <c r="J224" s="270"/>
      <c r="K224" s="270"/>
    </row>
    <row r="225" spans="1:11" x14ac:dyDescent="0.35">
      <c r="A225" s="271" t="s">
        <v>309</v>
      </c>
      <c r="B225" s="272"/>
      <c r="C225" s="272"/>
      <c r="D225" s="272"/>
      <c r="E225" s="272"/>
      <c r="F225" s="47"/>
      <c r="G225" s="271" t="s">
        <v>345</v>
      </c>
      <c r="H225" s="272"/>
      <c r="I225" s="272"/>
      <c r="J225" s="272"/>
      <c r="K225" s="272"/>
    </row>
    <row r="226" spans="1:11" x14ac:dyDescent="0.35">
      <c r="A226" s="269" t="s">
        <v>310</v>
      </c>
      <c r="B226" s="270"/>
      <c r="C226" s="270"/>
      <c r="D226" s="270"/>
      <c r="E226" s="270"/>
      <c r="F226" s="47"/>
      <c r="G226" s="269" t="s">
        <v>310</v>
      </c>
      <c r="H226" s="270"/>
      <c r="I226" s="270"/>
      <c r="J226" s="270"/>
      <c r="K226" s="270"/>
    </row>
    <row r="227" spans="1:11" x14ac:dyDescent="0.35">
      <c r="A227" s="271" t="s">
        <v>317</v>
      </c>
      <c r="B227" s="272"/>
      <c r="C227" s="272"/>
      <c r="D227" s="272"/>
      <c r="E227" s="272"/>
      <c r="F227" s="47"/>
      <c r="G227" s="271" t="s">
        <v>317</v>
      </c>
      <c r="H227" s="272"/>
      <c r="I227" s="272"/>
      <c r="J227" s="272"/>
      <c r="K227" s="272"/>
    </row>
    <row r="228" spans="1:11" x14ac:dyDescent="0.35">
      <c r="A228" s="269" t="s">
        <v>311</v>
      </c>
      <c r="B228" s="270"/>
      <c r="C228" s="270"/>
      <c r="D228" s="270"/>
      <c r="E228" s="270"/>
      <c r="F228" s="47"/>
      <c r="G228" s="269" t="s">
        <v>311</v>
      </c>
      <c r="H228" s="270"/>
      <c r="I228" s="270"/>
      <c r="J228" s="270"/>
      <c r="K228" s="270"/>
    </row>
    <row r="229" spans="1:11" x14ac:dyDescent="0.35">
      <c r="A229" s="271" t="s">
        <v>312</v>
      </c>
      <c r="B229" s="272"/>
      <c r="C229" s="272"/>
      <c r="D229" s="272"/>
      <c r="E229" s="272"/>
      <c r="F229" s="47"/>
      <c r="G229" s="271" t="s">
        <v>312</v>
      </c>
      <c r="H229" s="272"/>
      <c r="I229" s="272"/>
      <c r="J229" s="272"/>
      <c r="K229" s="272"/>
    </row>
    <row r="230" spans="1:11" x14ac:dyDescent="0.35">
      <c r="A230" s="231" t="s">
        <v>34</v>
      </c>
      <c r="B230" s="230">
        <f>SUM(B224:B229)</f>
        <v>150</v>
      </c>
      <c r="C230" s="230">
        <f>SUM(C224:C229)</f>
        <v>0</v>
      </c>
      <c r="D230" s="230">
        <f>SUM(D224:D229)</f>
        <v>0</v>
      </c>
      <c r="E230" s="230">
        <f>SUM(E224:E229)</f>
        <v>0</v>
      </c>
      <c r="F230" s="47"/>
      <c r="G230" s="231" t="s">
        <v>34</v>
      </c>
      <c r="H230" s="230">
        <f>SUM(H224:H229)</f>
        <v>0</v>
      </c>
      <c r="I230" s="230">
        <f>SUM(I224:I229)</f>
        <v>0</v>
      </c>
      <c r="J230" s="230">
        <f>SUM(J224:J229)</f>
        <v>0</v>
      </c>
      <c r="K230" s="230">
        <f>SUM(K224:K229)</f>
        <v>0</v>
      </c>
    </row>
    <row r="231" spans="1:11" ht="15" thickBot="1" x14ac:dyDescent="0.4">
      <c r="A231" s="231" t="s">
        <v>313</v>
      </c>
      <c r="B231" s="230">
        <f>+B230+C230+D230+E230</f>
        <v>150</v>
      </c>
      <c r="C231" s="230"/>
      <c r="D231" s="230"/>
      <c r="E231" s="230"/>
      <c r="F231" s="47"/>
      <c r="G231" s="231" t="s">
        <v>313</v>
      </c>
      <c r="H231" s="230">
        <f>+H230+I230+J230+K230</f>
        <v>0</v>
      </c>
      <c r="I231" s="230"/>
      <c r="J231" s="230"/>
      <c r="K231" s="230"/>
    </row>
    <row r="232" spans="1:11" ht="15.5" thickTop="1" thickBot="1" x14ac:dyDescent="0.4">
      <c r="A232" s="335" t="s">
        <v>298</v>
      </c>
      <c r="B232" s="336"/>
      <c r="C232" s="336"/>
      <c r="D232" s="336"/>
      <c r="E232" s="337"/>
      <c r="F232" s="47"/>
      <c r="G232" s="335" t="s">
        <v>314</v>
      </c>
      <c r="H232" s="336"/>
      <c r="I232" s="336"/>
      <c r="J232" s="336"/>
      <c r="K232" s="337"/>
    </row>
    <row r="233" spans="1:11" ht="15.5" thickTop="1" thickBot="1" x14ac:dyDescent="0.4">
      <c r="A233" s="338">
        <v>45313</v>
      </c>
      <c r="B233" s="336"/>
      <c r="C233" s="336"/>
      <c r="D233" s="336"/>
      <c r="E233" s="337"/>
      <c r="F233" s="47"/>
      <c r="G233" s="338">
        <v>45313</v>
      </c>
      <c r="H233" s="336"/>
      <c r="I233" s="336"/>
      <c r="J233" s="336"/>
      <c r="K233" s="337"/>
    </row>
    <row r="234" spans="1:11" ht="15" thickTop="1" x14ac:dyDescent="0.35">
      <c r="A234" s="267" t="s">
        <v>159</v>
      </c>
      <c r="B234" s="267" t="s">
        <v>299</v>
      </c>
      <c r="C234" s="267" t="s">
        <v>307</v>
      </c>
      <c r="D234" s="267" t="s">
        <v>301</v>
      </c>
      <c r="E234" s="268" t="s">
        <v>308</v>
      </c>
      <c r="F234" s="47"/>
      <c r="G234" s="267" t="s">
        <v>159</v>
      </c>
      <c r="H234" s="267" t="s">
        <v>299</v>
      </c>
      <c r="I234" s="267" t="s">
        <v>307</v>
      </c>
      <c r="J234" s="267" t="s">
        <v>301</v>
      </c>
      <c r="K234" s="268" t="s">
        <v>308</v>
      </c>
    </row>
    <row r="235" spans="1:11" x14ac:dyDescent="0.35">
      <c r="A235" s="269" t="s">
        <v>316</v>
      </c>
      <c r="B235" s="270"/>
      <c r="C235" s="270"/>
      <c r="D235" s="270"/>
      <c r="E235" s="270"/>
      <c r="F235" s="47"/>
      <c r="G235" s="269" t="s">
        <v>345</v>
      </c>
      <c r="H235" s="270"/>
      <c r="I235" s="270"/>
      <c r="J235" s="270"/>
      <c r="K235" s="270"/>
    </row>
    <row r="236" spans="1:11" x14ac:dyDescent="0.35">
      <c r="A236" s="271" t="s">
        <v>309</v>
      </c>
      <c r="B236" s="272"/>
      <c r="C236" s="272"/>
      <c r="D236" s="272"/>
      <c r="E236" s="272"/>
      <c r="F236" s="47"/>
      <c r="G236" s="271" t="s">
        <v>345</v>
      </c>
      <c r="H236" s="272"/>
      <c r="I236" s="272"/>
      <c r="J236" s="272"/>
      <c r="K236" s="272"/>
    </row>
    <row r="237" spans="1:11" x14ac:dyDescent="0.35">
      <c r="A237" s="269" t="s">
        <v>310</v>
      </c>
      <c r="B237" s="270"/>
      <c r="C237" s="270"/>
      <c r="D237" s="270"/>
      <c r="E237" s="270"/>
      <c r="F237" s="47"/>
      <c r="G237" s="269" t="s">
        <v>310</v>
      </c>
      <c r="H237" s="270"/>
      <c r="I237" s="270"/>
      <c r="J237" s="270"/>
      <c r="K237" s="270"/>
    </row>
    <row r="238" spans="1:11" x14ac:dyDescent="0.35">
      <c r="A238" s="271" t="s">
        <v>317</v>
      </c>
      <c r="B238" s="272"/>
      <c r="C238" s="272"/>
      <c r="D238" s="272"/>
      <c r="E238" s="272"/>
      <c r="F238" s="47"/>
      <c r="G238" s="271" t="s">
        <v>317</v>
      </c>
      <c r="H238" s="272"/>
      <c r="I238" s="272"/>
      <c r="J238" s="272"/>
      <c r="K238" s="272"/>
    </row>
    <row r="239" spans="1:11" x14ac:dyDescent="0.35">
      <c r="A239" s="269" t="s">
        <v>311</v>
      </c>
      <c r="B239" s="270"/>
      <c r="C239" s="270"/>
      <c r="D239" s="270"/>
      <c r="E239" s="270"/>
      <c r="F239" s="47"/>
      <c r="G239" s="269" t="s">
        <v>311</v>
      </c>
      <c r="H239" s="270"/>
      <c r="I239" s="270"/>
      <c r="J239" s="270"/>
      <c r="K239" s="270"/>
    </row>
    <row r="240" spans="1:11" x14ac:dyDescent="0.35">
      <c r="A240" s="271" t="s">
        <v>312</v>
      </c>
      <c r="B240" s="272"/>
      <c r="C240" s="272"/>
      <c r="D240" s="272"/>
      <c r="E240" s="272"/>
      <c r="F240" s="47"/>
      <c r="G240" s="271" t="s">
        <v>312</v>
      </c>
      <c r="H240" s="272"/>
      <c r="I240" s="272"/>
      <c r="J240" s="272"/>
      <c r="K240" s="272"/>
    </row>
    <row r="241" spans="1:11" x14ac:dyDescent="0.35">
      <c r="A241" s="231" t="s">
        <v>34</v>
      </c>
      <c r="B241" s="230">
        <f>SUM(B235:B240)</f>
        <v>0</v>
      </c>
      <c r="C241" s="230">
        <f>SUM(C235:C240)</f>
        <v>0</v>
      </c>
      <c r="D241" s="230">
        <f>SUM(D235:D240)</f>
        <v>0</v>
      </c>
      <c r="E241" s="230">
        <f>SUM(E235:E240)</f>
        <v>0</v>
      </c>
      <c r="F241" s="47"/>
      <c r="G241" s="231" t="s">
        <v>34</v>
      </c>
      <c r="H241" s="230">
        <f>SUM(H235:H240)</f>
        <v>0</v>
      </c>
      <c r="I241" s="230">
        <f>SUM(I235:I240)</f>
        <v>0</v>
      </c>
      <c r="J241" s="230">
        <f>SUM(J235:J240)</f>
        <v>0</v>
      </c>
      <c r="K241" s="230">
        <f>SUM(K235:K240)</f>
        <v>0</v>
      </c>
    </row>
    <row r="242" spans="1:11" ht="15" thickBot="1" x14ac:dyDescent="0.4">
      <c r="A242" s="231" t="s">
        <v>313</v>
      </c>
      <c r="B242" s="230">
        <f>+B241+C241+D241+E241</f>
        <v>0</v>
      </c>
      <c r="C242" s="230"/>
      <c r="D242" s="230"/>
      <c r="E242" s="230"/>
      <c r="F242" s="47"/>
      <c r="G242" s="231" t="s">
        <v>313</v>
      </c>
      <c r="H242" s="230">
        <f>+H241+I241+J241+K241</f>
        <v>0</v>
      </c>
      <c r="I242" s="230"/>
      <c r="J242" s="230"/>
      <c r="K242" s="230"/>
    </row>
    <row r="243" spans="1:11" ht="15.5" thickTop="1" thickBot="1" x14ac:dyDescent="0.4">
      <c r="A243" s="335" t="s">
        <v>298</v>
      </c>
      <c r="B243" s="336"/>
      <c r="C243" s="336"/>
      <c r="D243" s="336"/>
      <c r="E243" s="337"/>
      <c r="F243" s="47"/>
      <c r="G243" s="335" t="s">
        <v>314</v>
      </c>
      <c r="H243" s="336"/>
      <c r="I243" s="336"/>
      <c r="J243" s="336"/>
      <c r="K243" s="337"/>
    </row>
    <row r="244" spans="1:11" ht="15.5" thickTop="1" thickBot="1" x14ac:dyDescent="0.4">
      <c r="A244" s="338">
        <v>45314</v>
      </c>
      <c r="B244" s="336"/>
      <c r="C244" s="336"/>
      <c r="D244" s="336"/>
      <c r="E244" s="337"/>
      <c r="F244" s="47"/>
      <c r="G244" s="338">
        <v>45314</v>
      </c>
      <c r="H244" s="336"/>
      <c r="I244" s="336"/>
      <c r="J244" s="336"/>
      <c r="K244" s="337"/>
    </row>
    <row r="245" spans="1:11" ht="15" thickTop="1" x14ac:dyDescent="0.35">
      <c r="A245" s="267" t="s">
        <v>159</v>
      </c>
      <c r="B245" s="267" t="s">
        <v>299</v>
      </c>
      <c r="C245" s="267" t="s">
        <v>307</v>
      </c>
      <c r="D245" s="267" t="s">
        <v>301</v>
      </c>
      <c r="E245" s="268" t="s">
        <v>308</v>
      </c>
      <c r="F245" s="47"/>
      <c r="G245" s="267" t="s">
        <v>159</v>
      </c>
      <c r="H245" s="267" t="s">
        <v>299</v>
      </c>
      <c r="I245" s="267" t="s">
        <v>307</v>
      </c>
      <c r="J245" s="267" t="s">
        <v>301</v>
      </c>
      <c r="K245" s="268" t="s">
        <v>308</v>
      </c>
    </row>
    <row r="246" spans="1:11" x14ac:dyDescent="0.35">
      <c r="A246" s="269" t="s">
        <v>316</v>
      </c>
      <c r="B246" s="270"/>
      <c r="C246" s="270"/>
      <c r="D246" s="270"/>
      <c r="E246" s="270"/>
      <c r="F246" s="47"/>
      <c r="G246" s="269" t="s">
        <v>345</v>
      </c>
      <c r="H246" s="270"/>
      <c r="I246" s="270"/>
      <c r="J246" s="270"/>
      <c r="K246" s="270"/>
    </row>
    <row r="247" spans="1:11" x14ac:dyDescent="0.35">
      <c r="A247" s="271" t="s">
        <v>309</v>
      </c>
      <c r="B247" s="272"/>
      <c r="C247" s="272"/>
      <c r="D247" s="272"/>
      <c r="E247" s="272"/>
      <c r="F247" s="47"/>
      <c r="G247" s="271" t="s">
        <v>345</v>
      </c>
      <c r="H247" s="272"/>
      <c r="I247" s="272"/>
      <c r="J247" s="272"/>
      <c r="K247" s="272"/>
    </row>
    <row r="248" spans="1:11" x14ac:dyDescent="0.35">
      <c r="A248" s="269" t="s">
        <v>310</v>
      </c>
      <c r="B248" s="270">
        <v>2500</v>
      </c>
      <c r="C248" s="270"/>
      <c r="D248" s="270"/>
      <c r="E248" s="270"/>
      <c r="F248" s="47"/>
      <c r="G248" s="269" t="s">
        <v>310</v>
      </c>
      <c r="H248" s="270"/>
      <c r="I248" s="270"/>
      <c r="J248" s="270"/>
      <c r="K248" s="270"/>
    </row>
    <row r="249" spans="1:11" x14ac:dyDescent="0.35">
      <c r="A249" s="271" t="s">
        <v>317</v>
      </c>
      <c r="B249" s="272"/>
      <c r="C249" s="272"/>
      <c r="D249" s="272"/>
      <c r="E249" s="272"/>
      <c r="F249" s="47"/>
      <c r="G249" s="271" t="s">
        <v>317</v>
      </c>
      <c r="H249" s="272"/>
      <c r="I249" s="272"/>
      <c r="J249" s="272"/>
      <c r="K249" s="272"/>
    </row>
    <row r="250" spans="1:11" x14ac:dyDescent="0.35">
      <c r="A250" s="269" t="s">
        <v>311</v>
      </c>
      <c r="B250" s="270"/>
      <c r="C250" s="270"/>
      <c r="D250" s="270"/>
      <c r="E250" s="270"/>
      <c r="F250" s="47"/>
      <c r="G250" s="269" t="s">
        <v>311</v>
      </c>
      <c r="H250" s="270"/>
      <c r="I250" s="270"/>
      <c r="J250" s="270"/>
      <c r="K250" s="270"/>
    </row>
    <row r="251" spans="1:11" x14ac:dyDescent="0.35">
      <c r="A251" s="271" t="s">
        <v>312</v>
      </c>
      <c r="B251" s="272">
        <v>17630</v>
      </c>
      <c r="C251" s="272"/>
      <c r="D251" s="272"/>
      <c r="E251" s="272"/>
      <c r="F251" s="47"/>
      <c r="G251" s="271" t="s">
        <v>312</v>
      </c>
      <c r="H251" s="272"/>
      <c r="I251" s="272"/>
      <c r="J251" s="272"/>
      <c r="K251" s="272"/>
    </row>
    <row r="252" spans="1:11" x14ac:dyDescent="0.35">
      <c r="A252" s="231" t="s">
        <v>34</v>
      </c>
      <c r="B252" s="230">
        <f>SUM(B246:B251)</f>
        <v>20130</v>
      </c>
      <c r="C252" s="230">
        <f>SUM(C246:C251)</f>
        <v>0</v>
      </c>
      <c r="D252" s="230">
        <f>SUM(D246:D251)</f>
        <v>0</v>
      </c>
      <c r="E252" s="230">
        <f>SUM(E246:E251)</f>
        <v>0</v>
      </c>
      <c r="F252" s="47"/>
      <c r="G252" s="231" t="s">
        <v>34</v>
      </c>
      <c r="H252" s="230">
        <f>SUM(H246:H251)</f>
        <v>0</v>
      </c>
      <c r="I252" s="230">
        <f>SUM(I246:I251)</f>
        <v>0</v>
      </c>
      <c r="J252" s="230">
        <f>SUM(J246:J251)</f>
        <v>0</v>
      </c>
      <c r="K252" s="230">
        <f>SUM(K246:K251)</f>
        <v>0</v>
      </c>
    </row>
    <row r="253" spans="1:11" ht="15" thickBot="1" x14ac:dyDescent="0.4">
      <c r="A253" s="231" t="s">
        <v>313</v>
      </c>
      <c r="B253" s="230">
        <f>+B252+C252+D252+E252</f>
        <v>20130</v>
      </c>
      <c r="C253" s="230"/>
      <c r="D253" s="230"/>
      <c r="E253" s="230"/>
      <c r="F253" s="47"/>
      <c r="G253" s="231" t="s">
        <v>313</v>
      </c>
      <c r="H253" s="230">
        <f>+H252+I252+J252+K252</f>
        <v>0</v>
      </c>
      <c r="I253" s="230"/>
      <c r="J253" s="230"/>
      <c r="K253" s="230"/>
    </row>
    <row r="254" spans="1:11" ht="15.5" thickTop="1" thickBot="1" x14ac:dyDescent="0.4">
      <c r="A254" s="335" t="s">
        <v>298</v>
      </c>
      <c r="B254" s="336"/>
      <c r="C254" s="336"/>
      <c r="D254" s="336"/>
      <c r="E254" s="337"/>
      <c r="F254" s="47"/>
      <c r="G254" s="335" t="s">
        <v>314</v>
      </c>
      <c r="H254" s="336"/>
      <c r="I254" s="336"/>
      <c r="J254" s="336"/>
      <c r="K254" s="337"/>
    </row>
    <row r="255" spans="1:11" ht="15.5" thickTop="1" thickBot="1" x14ac:dyDescent="0.4">
      <c r="A255" s="338">
        <v>45315</v>
      </c>
      <c r="B255" s="336"/>
      <c r="C255" s="336"/>
      <c r="D255" s="336"/>
      <c r="E255" s="337"/>
      <c r="F255" s="47"/>
      <c r="G255" s="338">
        <v>45315</v>
      </c>
      <c r="H255" s="336"/>
      <c r="I255" s="336"/>
      <c r="J255" s="336"/>
      <c r="K255" s="337"/>
    </row>
    <row r="256" spans="1:11" ht="15" thickTop="1" x14ac:dyDescent="0.35">
      <c r="A256" s="267" t="s">
        <v>159</v>
      </c>
      <c r="B256" s="267" t="s">
        <v>299</v>
      </c>
      <c r="C256" s="267" t="s">
        <v>307</v>
      </c>
      <c r="D256" s="267" t="s">
        <v>301</v>
      </c>
      <c r="E256" s="268" t="s">
        <v>308</v>
      </c>
      <c r="F256" s="47"/>
      <c r="G256" s="267" t="s">
        <v>159</v>
      </c>
      <c r="H256" s="267" t="s">
        <v>299</v>
      </c>
      <c r="I256" s="267" t="s">
        <v>307</v>
      </c>
      <c r="J256" s="267" t="s">
        <v>301</v>
      </c>
      <c r="K256" s="268" t="s">
        <v>308</v>
      </c>
    </row>
    <row r="257" spans="1:11" x14ac:dyDescent="0.35">
      <c r="A257" s="269" t="s">
        <v>364</v>
      </c>
      <c r="B257" s="270">
        <v>176</v>
      </c>
      <c r="C257" s="270"/>
      <c r="D257" s="270"/>
      <c r="E257" s="270"/>
      <c r="F257" s="47"/>
      <c r="G257" s="269" t="s">
        <v>345</v>
      </c>
      <c r="H257" s="270"/>
      <c r="I257" s="270"/>
      <c r="J257" s="270"/>
      <c r="K257" s="270"/>
    </row>
    <row r="258" spans="1:11" x14ac:dyDescent="0.35">
      <c r="A258" s="271" t="s">
        <v>369</v>
      </c>
      <c r="B258" s="272">
        <v>105</v>
      </c>
      <c r="C258" s="272"/>
      <c r="D258" s="272"/>
      <c r="E258" s="272"/>
      <c r="F258" s="47"/>
      <c r="G258" s="271" t="s">
        <v>345</v>
      </c>
      <c r="H258" s="272"/>
      <c r="I258" s="272"/>
      <c r="J258" s="272"/>
      <c r="K258" s="272"/>
    </row>
    <row r="259" spans="1:11" x14ac:dyDescent="0.35">
      <c r="A259" s="269" t="s">
        <v>310</v>
      </c>
      <c r="B259" s="270">
        <v>162</v>
      </c>
      <c r="C259" s="270"/>
      <c r="D259" s="270"/>
      <c r="E259" s="270"/>
      <c r="F259" s="47"/>
      <c r="G259" s="269" t="s">
        <v>310</v>
      </c>
      <c r="H259" s="270"/>
      <c r="I259" s="270"/>
      <c r="J259" s="270"/>
      <c r="K259" s="270"/>
    </row>
    <row r="260" spans="1:11" x14ac:dyDescent="0.35">
      <c r="A260" s="271" t="s">
        <v>371</v>
      </c>
      <c r="B260" s="272">
        <v>1600</v>
      </c>
      <c r="C260" s="272"/>
      <c r="D260" s="272"/>
      <c r="E260" s="272"/>
      <c r="F260" s="47"/>
      <c r="G260" s="271" t="s">
        <v>317</v>
      </c>
      <c r="H260" s="272"/>
      <c r="I260" s="272"/>
      <c r="J260" s="272"/>
      <c r="K260" s="272"/>
    </row>
    <row r="261" spans="1:11" x14ac:dyDescent="0.35">
      <c r="A261" s="269" t="s">
        <v>311</v>
      </c>
      <c r="B261" s="270"/>
      <c r="C261" s="270"/>
      <c r="D261" s="270"/>
      <c r="E261" s="270"/>
      <c r="F261" s="47"/>
      <c r="G261" s="269" t="s">
        <v>311</v>
      </c>
      <c r="H261" s="270"/>
      <c r="I261" s="270"/>
      <c r="J261" s="270"/>
      <c r="K261" s="270"/>
    </row>
    <row r="262" spans="1:11" x14ac:dyDescent="0.35">
      <c r="A262" s="271" t="s">
        <v>312</v>
      </c>
      <c r="B262" s="272"/>
      <c r="C262" s="272"/>
      <c r="D262" s="272"/>
      <c r="E262" s="272"/>
      <c r="F262" s="47"/>
      <c r="G262" s="271" t="s">
        <v>312</v>
      </c>
      <c r="H262" s="272"/>
      <c r="I262" s="272"/>
      <c r="J262" s="272"/>
      <c r="K262" s="272"/>
    </row>
    <row r="263" spans="1:11" x14ac:dyDescent="0.35">
      <c r="A263" s="231" t="s">
        <v>34</v>
      </c>
      <c r="B263" s="230">
        <f>SUM(B257:B262)</f>
        <v>2043</v>
      </c>
      <c r="C263" s="230">
        <f>SUM(C257:C262)</f>
        <v>0</v>
      </c>
      <c r="D263" s="230">
        <f>SUM(D257:D262)</f>
        <v>0</v>
      </c>
      <c r="E263" s="230">
        <f>SUM(E257:E262)</f>
        <v>0</v>
      </c>
      <c r="F263" s="47"/>
      <c r="G263" s="231" t="s">
        <v>34</v>
      </c>
      <c r="H263" s="230">
        <f>SUM(H257:H262)</f>
        <v>0</v>
      </c>
      <c r="I263" s="230">
        <f>SUM(I257:I262)</f>
        <v>0</v>
      </c>
      <c r="J263" s="230">
        <f>SUM(J257:J262)</f>
        <v>0</v>
      </c>
      <c r="K263" s="230">
        <f>SUM(K257:K262)</f>
        <v>0</v>
      </c>
    </row>
    <row r="264" spans="1:11" ht="15" thickBot="1" x14ac:dyDescent="0.4">
      <c r="A264" s="231" t="s">
        <v>313</v>
      </c>
      <c r="B264" s="230">
        <f>+B263+C263+D263+E263</f>
        <v>2043</v>
      </c>
      <c r="C264" s="230"/>
      <c r="D264" s="230"/>
      <c r="E264" s="230"/>
      <c r="F264" s="47"/>
      <c r="G264" s="231" t="s">
        <v>313</v>
      </c>
      <c r="H264" s="230">
        <f>+H263+I263+J263+K263</f>
        <v>0</v>
      </c>
      <c r="I264" s="230"/>
      <c r="J264" s="230"/>
      <c r="K264" s="230"/>
    </row>
    <row r="265" spans="1:11" ht="15.5" thickTop="1" thickBot="1" x14ac:dyDescent="0.4">
      <c r="A265" s="335" t="s">
        <v>298</v>
      </c>
      <c r="B265" s="336"/>
      <c r="C265" s="336"/>
      <c r="D265" s="336"/>
      <c r="E265" s="337"/>
      <c r="F265" s="47"/>
      <c r="G265" s="335" t="s">
        <v>314</v>
      </c>
      <c r="H265" s="336"/>
      <c r="I265" s="336"/>
      <c r="J265" s="336"/>
      <c r="K265" s="337"/>
    </row>
    <row r="266" spans="1:11" ht="15.5" thickTop="1" thickBot="1" x14ac:dyDescent="0.4">
      <c r="A266" s="338">
        <v>45316</v>
      </c>
      <c r="B266" s="336"/>
      <c r="C266" s="336"/>
      <c r="D266" s="336"/>
      <c r="E266" s="337"/>
      <c r="F266" s="47"/>
      <c r="G266" s="338">
        <v>45316</v>
      </c>
      <c r="H266" s="336"/>
      <c r="I266" s="336"/>
      <c r="J266" s="336"/>
      <c r="K266" s="337"/>
    </row>
    <row r="267" spans="1:11" ht="15" thickTop="1" x14ac:dyDescent="0.35">
      <c r="A267" s="267" t="s">
        <v>159</v>
      </c>
      <c r="B267" s="267" t="s">
        <v>299</v>
      </c>
      <c r="C267" s="267" t="s">
        <v>307</v>
      </c>
      <c r="D267" s="267" t="s">
        <v>301</v>
      </c>
      <c r="E267" s="268" t="s">
        <v>308</v>
      </c>
      <c r="F267" s="47"/>
      <c r="G267" s="267" t="s">
        <v>159</v>
      </c>
      <c r="H267" s="267" t="s">
        <v>299</v>
      </c>
      <c r="I267" s="267" t="s">
        <v>307</v>
      </c>
      <c r="J267" s="267" t="s">
        <v>301</v>
      </c>
      <c r="K267" s="268" t="s">
        <v>308</v>
      </c>
    </row>
    <row r="268" spans="1:11" x14ac:dyDescent="0.35">
      <c r="A268" s="269" t="s">
        <v>316</v>
      </c>
      <c r="B268" s="270">
        <v>130</v>
      </c>
      <c r="C268" s="270"/>
      <c r="D268" s="270"/>
      <c r="E268" s="270"/>
      <c r="F268" s="47"/>
      <c r="G268" s="269" t="s">
        <v>366</v>
      </c>
      <c r="H268" s="270">
        <v>200</v>
      </c>
      <c r="I268" s="270"/>
      <c r="J268" s="270"/>
      <c r="K268" s="270"/>
    </row>
    <row r="269" spans="1:11" x14ac:dyDescent="0.35">
      <c r="A269" s="271" t="s">
        <v>309</v>
      </c>
      <c r="B269" s="272"/>
      <c r="C269" s="272"/>
      <c r="D269" s="272"/>
      <c r="E269" s="272"/>
      <c r="F269" s="47"/>
      <c r="G269" s="271" t="s">
        <v>345</v>
      </c>
      <c r="H269" s="272"/>
      <c r="I269" s="272"/>
      <c r="J269" s="272"/>
      <c r="K269" s="272"/>
    </row>
    <row r="270" spans="1:11" x14ac:dyDescent="0.35">
      <c r="A270" s="269" t="s">
        <v>310</v>
      </c>
      <c r="B270" s="270"/>
      <c r="C270" s="270"/>
      <c r="D270" s="270"/>
      <c r="E270" s="270"/>
      <c r="F270" s="47"/>
      <c r="G270" s="269" t="s">
        <v>310</v>
      </c>
      <c r="H270" s="270"/>
      <c r="I270" s="270"/>
      <c r="J270" s="270"/>
      <c r="K270" s="270"/>
    </row>
    <row r="271" spans="1:11" x14ac:dyDescent="0.35">
      <c r="A271" s="271" t="s">
        <v>317</v>
      </c>
      <c r="B271" s="272"/>
      <c r="C271" s="272"/>
      <c r="D271" s="272"/>
      <c r="E271" s="272"/>
      <c r="F271" s="47"/>
      <c r="G271" s="271" t="s">
        <v>317</v>
      </c>
      <c r="H271" s="272"/>
      <c r="I271" s="272"/>
      <c r="J271" s="272"/>
      <c r="K271" s="272"/>
    </row>
    <row r="272" spans="1:11" x14ac:dyDescent="0.35">
      <c r="A272" s="269" t="s">
        <v>311</v>
      </c>
      <c r="B272" s="270"/>
      <c r="C272" s="270"/>
      <c r="D272" s="270"/>
      <c r="E272" s="270"/>
      <c r="F272" s="47"/>
      <c r="G272" s="269" t="s">
        <v>311</v>
      </c>
      <c r="H272" s="270"/>
      <c r="I272" s="270"/>
      <c r="J272" s="270"/>
      <c r="K272" s="270"/>
    </row>
    <row r="273" spans="1:11" x14ac:dyDescent="0.35">
      <c r="A273" s="271" t="s">
        <v>312</v>
      </c>
      <c r="B273" s="272">
        <v>7057</v>
      </c>
      <c r="C273" s="272"/>
      <c r="D273" s="272"/>
      <c r="E273" s="272"/>
      <c r="F273" s="47"/>
      <c r="G273" s="271" t="s">
        <v>312</v>
      </c>
      <c r="H273" s="272"/>
      <c r="I273" s="272"/>
      <c r="J273" s="272"/>
      <c r="K273" s="272"/>
    </row>
    <row r="274" spans="1:11" x14ac:dyDescent="0.35">
      <c r="A274" s="231" t="s">
        <v>34</v>
      </c>
      <c r="B274" s="230">
        <f>SUM(B268:B273)</f>
        <v>7187</v>
      </c>
      <c r="C274" s="230">
        <f>SUM(C268:C273)</f>
        <v>0</v>
      </c>
      <c r="D274" s="230">
        <f>SUM(D268:D273)</f>
        <v>0</v>
      </c>
      <c r="E274" s="230">
        <f>SUM(E268:E273)</f>
        <v>0</v>
      </c>
      <c r="F274" s="47"/>
      <c r="G274" s="231" t="s">
        <v>34</v>
      </c>
      <c r="H274" s="230">
        <f>SUM(H268:H273)</f>
        <v>200</v>
      </c>
      <c r="I274" s="230">
        <f>SUM(I268:I273)</f>
        <v>0</v>
      </c>
      <c r="J274" s="230">
        <f>SUM(J268:J273)</f>
        <v>0</v>
      </c>
      <c r="K274" s="230">
        <f>SUM(K268:K273)</f>
        <v>0</v>
      </c>
    </row>
    <row r="275" spans="1:11" ht="15" thickBot="1" x14ac:dyDescent="0.4">
      <c r="A275" s="231" t="s">
        <v>313</v>
      </c>
      <c r="B275" s="230">
        <f>+B274+C274+D274+E274</f>
        <v>7187</v>
      </c>
      <c r="C275" s="230"/>
      <c r="D275" s="230"/>
      <c r="E275" s="230"/>
      <c r="F275" s="47"/>
      <c r="G275" s="231" t="s">
        <v>313</v>
      </c>
      <c r="H275" s="230">
        <f>+H274+I274+J274+K274</f>
        <v>200</v>
      </c>
      <c r="I275" s="230"/>
      <c r="J275" s="230"/>
      <c r="K275" s="230"/>
    </row>
    <row r="276" spans="1:11" ht="15.5" thickTop="1" thickBot="1" x14ac:dyDescent="0.4">
      <c r="A276" s="335" t="s">
        <v>298</v>
      </c>
      <c r="B276" s="336"/>
      <c r="C276" s="336"/>
      <c r="D276" s="336"/>
      <c r="E276" s="337"/>
      <c r="F276" s="47"/>
      <c r="G276" s="335" t="s">
        <v>314</v>
      </c>
      <c r="H276" s="336"/>
      <c r="I276" s="336"/>
      <c r="J276" s="336"/>
      <c r="K276" s="337"/>
    </row>
    <row r="277" spans="1:11" ht="15.5" thickTop="1" thickBot="1" x14ac:dyDescent="0.4">
      <c r="A277" s="338">
        <v>45317</v>
      </c>
      <c r="B277" s="336"/>
      <c r="C277" s="336"/>
      <c r="D277" s="336"/>
      <c r="E277" s="337"/>
      <c r="F277" s="47"/>
      <c r="G277" s="338">
        <v>45317</v>
      </c>
      <c r="H277" s="336"/>
      <c r="I277" s="336"/>
      <c r="J277" s="336"/>
      <c r="K277" s="337"/>
    </row>
    <row r="278" spans="1:11" ht="15" thickTop="1" x14ac:dyDescent="0.35">
      <c r="A278" s="267" t="s">
        <v>159</v>
      </c>
      <c r="B278" s="267" t="s">
        <v>299</v>
      </c>
      <c r="C278" s="267" t="s">
        <v>307</v>
      </c>
      <c r="D278" s="267" t="s">
        <v>301</v>
      </c>
      <c r="E278" s="268" t="s">
        <v>308</v>
      </c>
      <c r="F278" s="47"/>
      <c r="G278" s="267" t="s">
        <v>159</v>
      </c>
      <c r="H278" s="267" t="s">
        <v>299</v>
      </c>
      <c r="I278" s="267" t="s">
        <v>307</v>
      </c>
      <c r="J278" s="267" t="s">
        <v>301</v>
      </c>
      <c r="K278" s="268" t="s">
        <v>308</v>
      </c>
    </row>
    <row r="279" spans="1:11" x14ac:dyDescent="0.35">
      <c r="A279" s="269" t="s">
        <v>316</v>
      </c>
      <c r="B279" s="270"/>
      <c r="C279" s="270"/>
      <c r="D279" s="270"/>
      <c r="E279" s="270"/>
      <c r="F279" s="47"/>
      <c r="G279" s="269" t="s">
        <v>345</v>
      </c>
      <c r="H279" s="270"/>
      <c r="I279" s="270"/>
      <c r="J279" s="270"/>
      <c r="K279" s="270"/>
    </row>
    <row r="280" spans="1:11" x14ac:dyDescent="0.35">
      <c r="A280" s="271" t="s">
        <v>309</v>
      </c>
      <c r="B280" s="272"/>
      <c r="C280" s="272"/>
      <c r="D280" s="272"/>
      <c r="E280" s="272"/>
      <c r="F280" s="47"/>
      <c r="G280" s="271" t="s">
        <v>345</v>
      </c>
      <c r="H280" s="272"/>
      <c r="I280" s="272"/>
      <c r="J280" s="272"/>
      <c r="K280" s="272"/>
    </row>
    <row r="281" spans="1:11" x14ac:dyDescent="0.35">
      <c r="A281" s="269" t="s">
        <v>310</v>
      </c>
      <c r="B281" s="270"/>
      <c r="C281" s="270"/>
      <c r="D281" s="270"/>
      <c r="E281" s="270"/>
      <c r="F281" s="47"/>
      <c r="G281" s="269" t="s">
        <v>310</v>
      </c>
      <c r="H281" s="270"/>
      <c r="I281" s="270"/>
      <c r="J281" s="270"/>
      <c r="K281" s="270"/>
    </row>
    <row r="282" spans="1:11" x14ac:dyDescent="0.35">
      <c r="A282" s="271" t="s">
        <v>317</v>
      </c>
      <c r="B282" s="272"/>
      <c r="C282" s="272"/>
      <c r="D282" s="272"/>
      <c r="E282" s="272"/>
      <c r="F282" s="47"/>
      <c r="G282" s="271" t="s">
        <v>317</v>
      </c>
      <c r="H282" s="272"/>
      <c r="I282" s="272"/>
      <c r="J282" s="272"/>
      <c r="K282" s="272"/>
    </row>
    <row r="283" spans="1:11" x14ac:dyDescent="0.35">
      <c r="A283" s="269" t="s">
        <v>311</v>
      </c>
      <c r="B283" s="270"/>
      <c r="C283" s="270"/>
      <c r="D283" s="270"/>
      <c r="E283" s="270"/>
      <c r="F283" s="47"/>
      <c r="G283" s="269" t="s">
        <v>311</v>
      </c>
      <c r="H283" s="270"/>
      <c r="I283" s="270"/>
      <c r="J283" s="270"/>
      <c r="K283" s="270"/>
    </row>
    <row r="284" spans="1:11" x14ac:dyDescent="0.35">
      <c r="A284" s="271" t="s">
        <v>312</v>
      </c>
      <c r="B284" s="272"/>
      <c r="C284" s="272"/>
      <c r="D284" s="272"/>
      <c r="E284" s="272"/>
      <c r="F284" s="47"/>
      <c r="G284" s="271" t="s">
        <v>312</v>
      </c>
      <c r="H284" s="272"/>
      <c r="I284" s="272"/>
      <c r="J284" s="272"/>
      <c r="K284" s="272"/>
    </row>
    <row r="285" spans="1:11" x14ac:dyDescent="0.35">
      <c r="A285" s="231" t="s">
        <v>34</v>
      </c>
      <c r="B285" s="230">
        <f>SUM(B279:B284)</f>
        <v>0</v>
      </c>
      <c r="C285" s="230">
        <f>SUM(C279:C284)</f>
        <v>0</v>
      </c>
      <c r="D285" s="230">
        <f>SUM(D279:D284)</f>
        <v>0</v>
      </c>
      <c r="E285" s="230">
        <f>SUM(E279:E284)</f>
        <v>0</v>
      </c>
      <c r="F285" s="47"/>
      <c r="G285" s="231" t="s">
        <v>34</v>
      </c>
      <c r="H285" s="230">
        <f>SUM(H279:H284)</f>
        <v>0</v>
      </c>
      <c r="I285" s="230">
        <f>SUM(I279:I284)</f>
        <v>0</v>
      </c>
      <c r="J285" s="230">
        <f>SUM(J279:J284)</f>
        <v>0</v>
      </c>
      <c r="K285" s="230">
        <f>SUM(K279:K284)</f>
        <v>0</v>
      </c>
    </row>
    <row r="286" spans="1:11" ht="15" thickBot="1" x14ac:dyDescent="0.4">
      <c r="A286" s="231" t="s">
        <v>313</v>
      </c>
      <c r="B286" s="230">
        <f>+B285+C285+D285+E285</f>
        <v>0</v>
      </c>
      <c r="C286" s="230"/>
      <c r="D286" s="230"/>
      <c r="E286" s="230"/>
      <c r="F286" s="47"/>
      <c r="G286" s="231" t="s">
        <v>313</v>
      </c>
      <c r="H286" s="230">
        <f>+H285+I285+J285+K285</f>
        <v>0</v>
      </c>
      <c r="I286" s="230"/>
      <c r="J286" s="230"/>
      <c r="K286" s="230"/>
    </row>
    <row r="287" spans="1:11" ht="15.5" thickTop="1" thickBot="1" x14ac:dyDescent="0.4">
      <c r="A287" s="335" t="s">
        <v>298</v>
      </c>
      <c r="B287" s="336"/>
      <c r="C287" s="336"/>
      <c r="D287" s="336"/>
      <c r="E287" s="337"/>
      <c r="F287" s="47"/>
      <c r="G287" s="335" t="s">
        <v>314</v>
      </c>
      <c r="H287" s="336"/>
      <c r="I287" s="336"/>
      <c r="J287" s="336"/>
      <c r="K287" s="337"/>
    </row>
    <row r="288" spans="1:11" ht="15.5" thickTop="1" thickBot="1" x14ac:dyDescent="0.4">
      <c r="A288" s="338">
        <v>45318</v>
      </c>
      <c r="B288" s="336"/>
      <c r="C288" s="336"/>
      <c r="D288" s="336"/>
      <c r="E288" s="337"/>
      <c r="F288" s="47"/>
      <c r="G288" s="338">
        <v>45318</v>
      </c>
      <c r="H288" s="336"/>
      <c r="I288" s="336"/>
      <c r="J288" s="336"/>
      <c r="K288" s="337"/>
    </row>
    <row r="289" spans="1:11" ht="15" thickTop="1" x14ac:dyDescent="0.35">
      <c r="A289" s="267" t="s">
        <v>159</v>
      </c>
      <c r="B289" s="267" t="s">
        <v>299</v>
      </c>
      <c r="C289" s="267" t="s">
        <v>307</v>
      </c>
      <c r="D289" s="267" t="s">
        <v>301</v>
      </c>
      <c r="E289" s="268" t="s">
        <v>308</v>
      </c>
      <c r="F289" s="47"/>
      <c r="G289" s="267" t="s">
        <v>159</v>
      </c>
      <c r="H289" s="267" t="s">
        <v>299</v>
      </c>
      <c r="I289" s="267" t="s">
        <v>307</v>
      </c>
      <c r="J289" s="267" t="s">
        <v>301</v>
      </c>
      <c r="K289" s="268" t="s">
        <v>308</v>
      </c>
    </row>
    <row r="290" spans="1:11" x14ac:dyDescent="0.35">
      <c r="A290" s="269" t="s">
        <v>345</v>
      </c>
      <c r="B290" s="270">
        <v>2500</v>
      </c>
      <c r="C290" s="270"/>
      <c r="D290" s="270"/>
      <c r="E290" s="270"/>
      <c r="F290" s="47"/>
      <c r="G290" s="269" t="s">
        <v>345</v>
      </c>
      <c r="H290" s="270">
        <v>1400</v>
      </c>
      <c r="I290" s="270"/>
      <c r="J290" s="270"/>
      <c r="K290" s="270"/>
    </row>
    <row r="291" spans="1:11" x14ac:dyDescent="0.35">
      <c r="A291" s="271" t="s">
        <v>345</v>
      </c>
      <c r="B291" s="272">
        <v>1700</v>
      </c>
      <c r="C291" s="272"/>
      <c r="D291" s="272"/>
      <c r="E291" s="272"/>
      <c r="F291" s="47"/>
      <c r="G291" s="271" t="s">
        <v>352</v>
      </c>
      <c r="H291" s="272">
        <v>51</v>
      </c>
      <c r="I291" s="272"/>
      <c r="J291" s="272"/>
      <c r="K291" s="272"/>
    </row>
    <row r="292" spans="1:11" x14ac:dyDescent="0.35">
      <c r="A292" s="269" t="s">
        <v>310</v>
      </c>
      <c r="B292" s="270"/>
      <c r="C292" s="270"/>
      <c r="D292" s="270"/>
      <c r="E292" s="270"/>
      <c r="F292" s="47"/>
      <c r="G292" s="269" t="s">
        <v>310</v>
      </c>
      <c r="H292" s="270">
        <v>2200</v>
      </c>
      <c r="I292" s="270"/>
      <c r="J292" s="270"/>
      <c r="K292" s="270"/>
    </row>
    <row r="293" spans="1:11" x14ac:dyDescent="0.35">
      <c r="A293" s="271" t="s">
        <v>317</v>
      </c>
      <c r="B293" s="272"/>
      <c r="C293" s="272"/>
      <c r="D293" s="272"/>
      <c r="E293" s="272"/>
      <c r="F293" s="47"/>
      <c r="G293" s="271" t="s">
        <v>317</v>
      </c>
      <c r="H293" s="272"/>
      <c r="I293" s="272"/>
      <c r="J293" s="272"/>
      <c r="K293" s="272"/>
    </row>
    <row r="294" spans="1:11" x14ac:dyDescent="0.35">
      <c r="A294" s="269" t="s">
        <v>311</v>
      </c>
      <c r="B294" s="270"/>
      <c r="C294" s="270"/>
      <c r="D294" s="270"/>
      <c r="E294" s="270"/>
      <c r="F294" s="47"/>
      <c r="G294" s="269" t="s">
        <v>311</v>
      </c>
      <c r="H294" s="270"/>
      <c r="I294" s="270"/>
      <c r="J294" s="270"/>
      <c r="K294" s="270"/>
    </row>
    <row r="295" spans="1:11" x14ac:dyDescent="0.35">
      <c r="A295" s="271" t="s">
        <v>312</v>
      </c>
      <c r="B295" s="272"/>
      <c r="C295" s="272"/>
      <c r="D295" s="272"/>
      <c r="E295" s="272"/>
      <c r="F295" s="47"/>
      <c r="G295" s="271" t="s">
        <v>312</v>
      </c>
      <c r="H295" s="272"/>
      <c r="I295" s="272"/>
      <c r="J295" s="272"/>
      <c r="K295" s="272"/>
    </row>
    <row r="296" spans="1:11" x14ac:dyDescent="0.35">
      <c r="A296" s="231" t="s">
        <v>34</v>
      </c>
      <c r="B296" s="230">
        <f>SUM(B290:B295)</f>
        <v>4200</v>
      </c>
      <c r="C296" s="230">
        <f>SUM(C290:C295)</f>
        <v>0</v>
      </c>
      <c r="D296" s="230">
        <f>SUM(D290:D295)</f>
        <v>0</v>
      </c>
      <c r="E296" s="230">
        <f>SUM(E290:E295)</f>
        <v>0</v>
      </c>
      <c r="F296" s="47"/>
      <c r="G296" s="231" t="s">
        <v>34</v>
      </c>
      <c r="H296" s="230">
        <f>SUM(H290:H295)</f>
        <v>3651</v>
      </c>
      <c r="I296" s="230">
        <f>SUM(I290:I295)</f>
        <v>0</v>
      </c>
      <c r="J296" s="230">
        <f>SUM(J290:J295)</f>
        <v>0</v>
      </c>
      <c r="K296" s="230">
        <f>SUM(K290:K295)</f>
        <v>0</v>
      </c>
    </row>
    <row r="297" spans="1:11" ht="15" thickBot="1" x14ac:dyDescent="0.4">
      <c r="A297" s="231" t="s">
        <v>313</v>
      </c>
      <c r="B297" s="230">
        <f>+B296+C296+D296+E296</f>
        <v>4200</v>
      </c>
      <c r="C297" s="230"/>
      <c r="D297" s="230"/>
      <c r="E297" s="230"/>
      <c r="F297" s="47"/>
      <c r="G297" s="231" t="s">
        <v>313</v>
      </c>
      <c r="H297" s="230">
        <f>+H296+I296+J296+K296</f>
        <v>3651</v>
      </c>
      <c r="I297" s="230"/>
      <c r="J297" s="230"/>
      <c r="K297" s="230"/>
    </row>
    <row r="298" spans="1:11" ht="15.5" thickTop="1" thickBot="1" x14ac:dyDescent="0.4">
      <c r="A298" s="335" t="s">
        <v>298</v>
      </c>
      <c r="B298" s="336"/>
      <c r="C298" s="336"/>
      <c r="D298" s="336"/>
      <c r="E298" s="337"/>
      <c r="F298" s="47"/>
      <c r="G298" s="335" t="s">
        <v>314</v>
      </c>
      <c r="H298" s="336"/>
      <c r="I298" s="336"/>
      <c r="J298" s="336"/>
      <c r="K298" s="337"/>
    </row>
    <row r="299" spans="1:11" ht="15.5" thickTop="1" thickBot="1" x14ac:dyDescent="0.4">
      <c r="A299" s="338">
        <v>45319</v>
      </c>
      <c r="B299" s="336"/>
      <c r="C299" s="336"/>
      <c r="D299" s="336"/>
      <c r="E299" s="337"/>
      <c r="F299" s="47"/>
      <c r="G299" s="338">
        <v>45319</v>
      </c>
      <c r="H299" s="336"/>
      <c r="I299" s="336"/>
      <c r="J299" s="336"/>
      <c r="K299" s="337"/>
    </row>
    <row r="300" spans="1:11" ht="15" thickTop="1" x14ac:dyDescent="0.35">
      <c r="A300" s="267" t="s">
        <v>159</v>
      </c>
      <c r="B300" s="267" t="s">
        <v>299</v>
      </c>
      <c r="C300" s="267" t="s">
        <v>307</v>
      </c>
      <c r="D300" s="267" t="s">
        <v>301</v>
      </c>
      <c r="E300" s="268" t="s">
        <v>308</v>
      </c>
      <c r="F300" s="47"/>
      <c r="G300" s="267" t="s">
        <v>159</v>
      </c>
      <c r="H300" s="267" t="s">
        <v>299</v>
      </c>
      <c r="I300" s="267" t="s">
        <v>307</v>
      </c>
      <c r="J300" s="267" t="s">
        <v>301</v>
      </c>
      <c r="K300" s="268" t="s">
        <v>308</v>
      </c>
    </row>
    <row r="301" spans="1:11" x14ac:dyDescent="0.35">
      <c r="A301" s="269" t="s">
        <v>378</v>
      </c>
      <c r="B301" s="270">
        <v>3400</v>
      </c>
      <c r="C301" s="270"/>
      <c r="D301" s="270"/>
      <c r="E301" s="270"/>
      <c r="F301" s="47"/>
      <c r="G301" s="269" t="s">
        <v>366</v>
      </c>
      <c r="H301" s="270">
        <v>70</v>
      </c>
      <c r="I301" s="270"/>
      <c r="J301" s="270"/>
      <c r="K301" s="270"/>
    </row>
    <row r="302" spans="1:11" x14ac:dyDescent="0.35">
      <c r="A302" s="271" t="s">
        <v>309</v>
      </c>
      <c r="B302" s="272"/>
      <c r="C302" s="272"/>
      <c r="D302" s="272"/>
      <c r="E302" s="272"/>
      <c r="F302" s="47"/>
      <c r="G302" s="271" t="s">
        <v>345</v>
      </c>
      <c r="H302" s="272"/>
      <c r="I302" s="272"/>
      <c r="J302" s="272"/>
      <c r="K302" s="272"/>
    </row>
    <row r="303" spans="1:11" x14ac:dyDescent="0.35">
      <c r="A303" s="269" t="s">
        <v>310</v>
      </c>
      <c r="B303" s="270"/>
      <c r="C303" s="270"/>
      <c r="D303" s="270"/>
      <c r="E303" s="270"/>
      <c r="F303" s="47"/>
      <c r="G303" s="269" t="s">
        <v>310</v>
      </c>
      <c r="H303" s="270"/>
      <c r="I303" s="270"/>
      <c r="J303" s="270"/>
      <c r="K303" s="270"/>
    </row>
    <row r="304" spans="1:11" x14ac:dyDescent="0.35">
      <c r="A304" s="271" t="s">
        <v>317</v>
      </c>
      <c r="B304" s="272"/>
      <c r="C304" s="272"/>
      <c r="D304" s="272"/>
      <c r="E304" s="272"/>
      <c r="F304" s="47"/>
      <c r="G304" s="271" t="s">
        <v>317</v>
      </c>
      <c r="H304" s="272"/>
      <c r="I304" s="272"/>
      <c r="J304" s="272"/>
      <c r="K304" s="272"/>
    </row>
    <row r="305" spans="1:11" x14ac:dyDescent="0.35">
      <c r="A305" s="269" t="s">
        <v>311</v>
      </c>
      <c r="B305" s="270"/>
      <c r="C305" s="270"/>
      <c r="D305" s="270"/>
      <c r="E305" s="270"/>
      <c r="F305" s="47"/>
      <c r="G305" s="269" t="s">
        <v>311</v>
      </c>
      <c r="H305" s="270"/>
      <c r="I305" s="270"/>
      <c r="J305" s="270"/>
      <c r="K305" s="270"/>
    </row>
    <row r="306" spans="1:11" x14ac:dyDescent="0.35">
      <c r="A306" s="271" t="s">
        <v>312</v>
      </c>
      <c r="B306" s="272">
        <v>2030</v>
      </c>
      <c r="C306" s="272"/>
      <c r="D306" s="272"/>
      <c r="E306" s="272"/>
      <c r="F306" s="47"/>
      <c r="G306" s="271" t="s">
        <v>312</v>
      </c>
      <c r="H306" s="272"/>
      <c r="I306" s="272"/>
      <c r="J306" s="272"/>
      <c r="K306" s="272"/>
    </row>
    <row r="307" spans="1:11" x14ac:dyDescent="0.35">
      <c r="A307" s="231" t="s">
        <v>34</v>
      </c>
      <c r="B307" s="230">
        <f>SUM(B301:B306)</f>
        <v>5430</v>
      </c>
      <c r="C307" s="230">
        <f>SUM(C301:C306)</f>
        <v>0</v>
      </c>
      <c r="D307" s="230">
        <f>SUM(D301:D306)</f>
        <v>0</v>
      </c>
      <c r="E307" s="230">
        <f>SUM(E301:E306)</f>
        <v>0</v>
      </c>
      <c r="F307" s="47"/>
      <c r="G307" s="231" t="s">
        <v>34</v>
      </c>
      <c r="H307" s="230">
        <f>SUM(H301:H306)</f>
        <v>70</v>
      </c>
      <c r="I307" s="230">
        <f>SUM(I301:I306)</f>
        <v>0</v>
      </c>
      <c r="J307" s="230">
        <f>SUM(J301:J306)</f>
        <v>0</v>
      </c>
      <c r="K307" s="230">
        <f>SUM(K301:K306)</f>
        <v>0</v>
      </c>
    </row>
    <row r="308" spans="1:11" ht="15" thickBot="1" x14ac:dyDescent="0.4">
      <c r="A308" s="231" t="s">
        <v>313</v>
      </c>
      <c r="B308" s="230">
        <f>+B307+C307+D307+E307</f>
        <v>5430</v>
      </c>
      <c r="C308" s="230"/>
      <c r="D308" s="230"/>
      <c r="E308" s="230"/>
      <c r="F308" s="47"/>
      <c r="G308" s="231" t="s">
        <v>313</v>
      </c>
      <c r="H308" s="230">
        <f>+H307+I307+J307+K307</f>
        <v>70</v>
      </c>
      <c r="I308" s="230"/>
      <c r="J308" s="230"/>
      <c r="K308" s="230"/>
    </row>
    <row r="309" spans="1:11" ht="15.5" thickTop="1" thickBot="1" x14ac:dyDescent="0.4">
      <c r="A309" s="335" t="s">
        <v>298</v>
      </c>
      <c r="B309" s="336"/>
      <c r="C309" s="336"/>
      <c r="D309" s="336"/>
      <c r="E309" s="337"/>
      <c r="F309" s="47"/>
      <c r="G309" s="335" t="s">
        <v>314</v>
      </c>
      <c r="H309" s="336"/>
      <c r="I309" s="336"/>
      <c r="J309" s="336"/>
      <c r="K309" s="337"/>
    </row>
    <row r="310" spans="1:11" ht="15.5" thickTop="1" thickBot="1" x14ac:dyDescent="0.4">
      <c r="A310" s="338">
        <v>45320</v>
      </c>
      <c r="B310" s="336"/>
      <c r="C310" s="336"/>
      <c r="D310" s="336"/>
      <c r="E310" s="337"/>
      <c r="F310" s="47"/>
      <c r="G310" s="338">
        <v>45320</v>
      </c>
      <c r="H310" s="336"/>
      <c r="I310" s="336"/>
      <c r="J310" s="336"/>
      <c r="K310" s="337"/>
    </row>
    <row r="311" spans="1:11" ht="15" thickTop="1" x14ac:dyDescent="0.35">
      <c r="A311" s="267" t="s">
        <v>159</v>
      </c>
      <c r="B311" s="267" t="s">
        <v>299</v>
      </c>
      <c r="C311" s="267" t="s">
        <v>307</v>
      </c>
      <c r="D311" s="267" t="s">
        <v>301</v>
      </c>
      <c r="E311" s="268" t="s">
        <v>308</v>
      </c>
      <c r="F311" s="47"/>
      <c r="G311" s="267" t="s">
        <v>159</v>
      </c>
      <c r="H311" s="267" t="s">
        <v>299</v>
      </c>
      <c r="I311" s="267" t="s">
        <v>307</v>
      </c>
      <c r="J311" s="267" t="s">
        <v>301</v>
      </c>
      <c r="K311" s="268" t="s">
        <v>308</v>
      </c>
    </row>
    <row r="312" spans="1:11" x14ac:dyDescent="0.35">
      <c r="A312" s="269" t="s">
        <v>364</v>
      </c>
      <c r="B312" s="270">
        <v>100</v>
      </c>
      <c r="C312" s="270"/>
      <c r="D312" s="270"/>
      <c r="E312" s="270"/>
      <c r="F312" s="47"/>
      <c r="G312" s="269" t="s">
        <v>345</v>
      </c>
      <c r="H312" s="270"/>
      <c r="I312" s="270"/>
      <c r="J312" s="270"/>
      <c r="K312" s="270"/>
    </row>
    <row r="313" spans="1:11" x14ac:dyDescent="0.35">
      <c r="A313" s="271" t="s">
        <v>309</v>
      </c>
      <c r="B313" s="272"/>
      <c r="C313" s="272"/>
      <c r="D313" s="272"/>
      <c r="E313" s="272"/>
      <c r="F313" s="47"/>
      <c r="G313" s="271" t="s">
        <v>345</v>
      </c>
      <c r="H313" s="272"/>
      <c r="I313" s="272"/>
      <c r="J313" s="272"/>
      <c r="K313" s="272"/>
    </row>
    <row r="314" spans="1:11" x14ac:dyDescent="0.35">
      <c r="A314" s="269" t="s">
        <v>310</v>
      </c>
      <c r="B314" s="270">
        <v>2500</v>
      </c>
      <c r="C314" s="270"/>
      <c r="D314" s="270"/>
      <c r="E314" s="270"/>
      <c r="F314" s="47"/>
      <c r="G314" s="269" t="s">
        <v>310</v>
      </c>
      <c r="H314" s="270"/>
      <c r="I314" s="270"/>
      <c r="J314" s="270"/>
      <c r="K314" s="270"/>
    </row>
    <row r="315" spans="1:11" x14ac:dyDescent="0.35">
      <c r="A315" s="271" t="s">
        <v>317</v>
      </c>
      <c r="B315" s="272"/>
      <c r="C315" s="272"/>
      <c r="D315" s="272"/>
      <c r="E315" s="272"/>
      <c r="F315" s="47"/>
      <c r="G315" s="271" t="s">
        <v>317</v>
      </c>
      <c r="H315" s="272"/>
      <c r="I315" s="272"/>
      <c r="J315" s="272"/>
      <c r="K315" s="272"/>
    </row>
    <row r="316" spans="1:11" x14ac:dyDescent="0.35">
      <c r="A316" s="269" t="s">
        <v>311</v>
      </c>
      <c r="B316" s="270"/>
      <c r="C316" s="270"/>
      <c r="D316" s="270"/>
      <c r="E316" s="270"/>
      <c r="F316" s="47"/>
      <c r="G316" s="269" t="s">
        <v>311</v>
      </c>
      <c r="H316" s="270"/>
      <c r="I316" s="270"/>
      <c r="J316" s="270"/>
      <c r="K316" s="270"/>
    </row>
    <row r="317" spans="1:11" x14ac:dyDescent="0.35">
      <c r="A317" s="271" t="s">
        <v>312</v>
      </c>
      <c r="B317" s="272"/>
      <c r="C317" s="272"/>
      <c r="D317" s="272"/>
      <c r="E317" s="272"/>
      <c r="F317" s="47"/>
      <c r="G317" s="271" t="s">
        <v>312</v>
      </c>
      <c r="H317" s="272"/>
      <c r="I317" s="272"/>
      <c r="J317" s="272"/>
      <c r="K317" s="272"/>
    </row>
    <row r="318" spans="1:11" x14ac:dyDescent="0.35">
      <c r="A318" s="231" t="s">
        <v>34</v>
      </c>
      <c r="B318" s="230">
        <f>SUM(B312:B317)</f>
        <v>2600</v>
      </c>
      <c r="C318" s="230">
        <f>SUM(C312:C317)</f>
        <v>0</v>
      </c>
      <c r="D318" s="230">
        <f>SUM(D312:D317)</f>
        <v>0</v>
      </c>
      <c r="E318" s="230">
        <f>SUM(E312:E317)</f>
        <v>0</v>
      </c>
      <c r="F318" s="47"/>
      <c r="G318" s="231" t="s">
        <v>34</v>
      </c>
      <c r="H318" s="230">
        <f>SUM(H312:H317)</f>
        <v>0</v>
      </c>
      <c r="I318" s="230">
        <f>SUM(I312:I317)</f>
        <v>0</v>
      </c>
      <c r="J318" s="230">
        <f>SUM(J312:J317)</f>
        <v>0</v>
      </c>
      <c r="K318" s="230">
        <f>SUM(K312:K317)</f>
        <v>0</v>
      </c>
    </row>
    <row r="319" spans="1:11" ht="15" thickBot="1" x14ac:dyDescent="0.4">
      <c r="A319" s="231" t="s">
        <v>313</v>
      </c>
      <c r="B319" s="230">
        <f>+B318+C318+D318+E318</f>
        <v>2600</v>
      </c>
      <c r="C319" s="230"/>
      <c r="D319" s="230"/>
      <c r="E319" s="230"/>
      <c r="F319" s="47"/>
      <c r="G319" s="231" t="s">
        <v>313</v>
      </c>
      <c r="H319" s="230">
        <f>+H318+I318+J318+K318</f>
        <v>0</v>
      </c>
      <c r="I319" s="230"/>
      <c r="J319" s="230"/>
      <c r="K319" s="230"/>
    </row>
    <row r="320" spans="1:11" ht="15.5" thickTop="1" thickBot="1" x14ac:dyDescent="0.4">
      <c r="A320" s="335" t="s">
        <v>298</v>
      </c>
      <c r="B320" s="336"/>
      <c r="C320" s="336"/>
      <c r="D320" s="336"/>
      <c r="E320" s="337"/>
      <c r="F320" s="47"/>
      <c r="G320" s="335" t="s">
        <v>314</v>
      </c>
      <c r="H320" s="336"/>
      <c r="I320" s="336"/>
      <c r="J320" s="336"/>
      <c r="K320" s="337"/>
    </row>
    <row r="321" spans="1:11" ht="15.5" thickTop="1" thickBot="1" x14ac:dyDescent="0.4">
      <c r="A321" s="338">
        <v>45321</v>
      </c>
      <c r="B321" s="336"/>
      <c r="C321" s="336"/>
      <c r="D321" s="336"/>
      <c r="E321" s="337"/>
      <c r="F321" s="47"/>
      <c r="G321" s="338">
        <v>45321</v>
      </c>
      <c r="H321" s="336"/>
      <c r="I321" s="336"/>
      <c r="J321" s="336"/>
      <c r="K321" s="337"/>
    </row>
    <row r="322" spans="1:11" ht="15" thickTop="1" x14ac:dyDescent="0.35">
      <c r="A322" s="267" t="s">
        <v>159</v>
      </c>
      <c r="B322" s="267" t="s">
        <v>299</v>
      </c>
      <c r="C322" s="267" t="s">
        <v>307</v>
      </c>
      <c r="D322" s="267" t="s">
        <v>301</v>
      </c>
      <c r="E322" s="268" t="s">
        <v>308</v>
      </c>
      <c r="F322" s="47"/>
      <c r="G322" s="267" t="s">
        <v>159</v>
      </c>
      <c r="H322" s="267" t="s">
        <v>299</v>
      </c>
      <c r="I322" s="267" t="s">
        <v>307</v>
      </c>
      <c r="J322" s="267" t="s">
        <v>301</v>
      </c>
      <c r="K322" s="268" t="s">
        <v>308</v>
      </c>
    </row>
    <row r="323" spans="1:11" x14ac:dyDescent="0.35">
      <c r="A323" s="269" t="s">
        <v>316</v>
      </c>
      <c r="B323" s="270"/>
      <c r="C323" s="270"/>
      <c r="D323" s="270"/>
      <c r="E323" s="270"/>
      <c r="F323" s="47"/>
      <c r="G323" s="269" t="s">
        <v>345</v>
      </c>
      <c r="H323" s="270"/>
      <c r="I323" s="270"/>
      <c r="J323" s="270"/>
      <c r="K323" s="270"/>
    </row>
    <row r="324" spans="1:11" x14ac:dyDescent="0.35">
      <c r="A324" s="271" t="s">
        <v>309</v>
      </c>
      <c r="B324" s="272"/>
      <c r="C324" s="272"/>
      <c r="D324" s="272"/>
      <c r="E324" s="272"/>
      <c r="F324" s="47"/>
      <c r="G324" s="271" t="s">
        <v>345</v>
      </c>
      <c r="H324" s="272"/>
      <c r="I324" s="272"/>
      <c r="J324" s="272"/>
      <c r="K324" s="272"/>
    </row>
    <row r="325" spans="1:11" x14ac:dyDescent="0.35">
      <c r="A325" s="269" t="s">
        <v>310</v>
      </c>
      <c r="B325" s="270"/>
      <c r="C325" s="270"/>
      <c r="D325" s="270"/>
      <c r="E325" s="270"/>
      <c r="F325" s="47"/>
      <c r="G325" s="269" t="s">
        <v>310</v>
      </c>
      <c r="H325" s="270"/>
      <c r="I325" s="270"/>
      <c r="J325" s="270"/>
      <c r="K325" s="270"/>
    </row>
    <row r="326" spans="1:11" x14ac:dyDescent="0.35">
      <c r="A326" s="271" t="s">
        <v>317</v>
      </c>
      <c r="B326" s="272"/>
      <c r="C326" s="272"/>
      <c r="D326" s="272"/>
      <c r="E326" s="272"/>
      <c r="F326" s="47"/>
      <c r="G326" s="271" t="s">
        <v>317</v>
      </c>
      <c r="H326" s="272"/>
      <c r="I326" s="272"/>
      <c r="J326" s="272"/>
      <c r="K326" s="272"/>
    </row>
    <row r="327" spans="1:11" x14ac:dyDescent="0.35">
      <c r="A327" s="269" t="s">
        <v>311</v>
      </c>
      <c r="B327" s="270"/>
      <c r="C327" s="270"/>
      <c r="D327" s="270"/>
      <c r="E327" s="270"/>
      <c r="F327" s="47"/>
      <c r="G327" s="269" t="s">
        <v>311</v>
      </c>
      <c r="H327" s="270"/>
      <c r="I327" s="270"/>
      <c r="J327" s="270"/>
      <c r="K327" s="270"/>
    </row>
    <row r="328" spans="1:11" x14ac:dyDescent="0.35">
      <c r="A328" s="271" t="s">
        <v>312</v>
      </c>
      <c r="B328" s="272"/>
      <c r="C328" s="272"/>
      <c r="D328" s="272"/>
      <c r="E328" s="272"/>
      <c r="F328" s="47"/>
      <c r="G328" s="271" t="s">
        <v>312</v>
      </c>
      <c r="H328" s="272"/>
      <c r="I328" s="272"/>
      <c r="J328" s="272"/>
      <c r="K328" s="272"/>
    </row>
    <row r="329" spans="1:11" x14ac:dyDescent="0.35">
      <c r="A329" s="231" t="s">
        <v>34</v>
      </c>
      <c r="B329" s="230">
        <f>SUM(B323:B328)</f>
        <v>0</v>
      </c>
      <c r="C329" s="230">
        <f>SUM(C323:C328)</f>
        <v>0</v>
      </c>
      <c r="D329" s="230">
        <f>SUM(D323:D328)</f>
        <v>0</v>
      </c>
      <c r="E329" s="230">
        <f>SUM(E323:E328)</f>
        <v>0</v>
      </c>
      <c r="F329" s="47"/>
      <c r="G329" s="231" t="s">
        <v>34</v>
      </c>
      <c r="H329" s="230">
        <f>SUM(H323:H328)</f>
        <v>0</v>
      </c>
      <c r="I329" s="230">
        <f>SUM(I323:I328)</f>
        <v>0</v>
      </c>
      <c r="J329" s="230">
        <f>SUM(J323:J328)</f>
        <v>0</v>
      </c>
      <c r="K329" s="230">
        <f>SUM(K323:K328)</f>
        <v>0</v>
      </c>
    </row>
    <row r="330" spans="1:11" ht="15" thickBot="1" x14ac:dyDescent="0.4">
      <c r="A330" s="231" t="s">
        <v>313</v>
      </c>
      <c r="B330" s="230">
        <f>+B329+C329+D329+E329</f>
        <v>0</v>
      </c>
      <c r="C330" s="230"/>
      <c r="D330" s="230"/>
      <c r="E330" s="230"/>
      <c r="F330" s="47"/>
      <c r="G330" s="231" t="s">
        <v>313</v>
      </c>
      <c r="H330" s="230">
        <f>+H329+I329+J329+K329</f>
        <v>0</v>
      </c>
      <c r="I330" s="230"/>
      <c r="J330" s="230"/>
      <c r="K330" s="230"/>
    </row>
    <row r="331" spans="1:11" ht="15.5" thickTop="1" thickBot="1" x14ac:dyDescent="0.4">
      <c r="A331" s="335" t="s">
        <v>298</v>
      </c>
      <c r="B331" s="336"/>
      <c r="C331" s="336"/>
      <c r="D331" s="336"/>
      <c r="E331" s="337"/>
      <c r="F331" s="47"/>
      <c r="G331" s="335" t="s">
        <v>314</v>
      </c>
      <c r="H331" s="336"/>
      <c r="I331" s="336"/>
      <c r="J331" s="336"/>
      <c r="K331" s="337"/>
    </row>
    <row r="332" spans="1:11" ht="15.5" thickTop="1" thickBot="1" x14ac:dyDescent="0.4">
      <c r="A332" s="338">
        <v>45322</v>
      </c>
      <c r="B332" s="336"/>
      <c r="C332" s="336"/>
      <c r="D332" s="336"/>
      <c r="E332" s="337"/>
      <c r="F332" s="47"/>
      <c r="G332" s="338">
        <v>45322</v>
      </c>
      <c r="H332" s="336"/>
      <c r="I332" s="336"/>
      <c r="J332" s="336"/>
      <c r="K332" s="337"/>
    </row>
    <row r="333" spans="1:11" ht="15" thickTop="1" x14ac:dyDescent="0.35">
      <c r="A333" s="267" t="s">
        <v>159</v>
      </c>
      <c r="B333" s="267" t="s">
        <v>299</v>
      </c>
      <c r="C333" s="267" t="s">
        <v>307</v>
      </c>
      <c r="D333" s="267" t="s">
        <v>301</v>
      </c>
      <c r="E333" s="268" t="s">
        <v>308</v>
      </c>
      <c r="F333" s="47"/>
      <c r="G333" s="267" t="s">
        <v>159</v>
      </c>
      <c r="H333" s="267" t="s">
        <v>299</v>
      </c>
      <c r="I333" s="267" t="s">
        <v>307</v>
      </c>
      <c r="J333" s="267" t="s">
        <v>301</v>
      </c>
      <c r="K333" s="268" t="s">
        <v>308</v>
      </c>
    </row>
    <row r="334" spans="1:11" x14ac:dyDescent="0.35">
      <c r="A334" s="269" t="s">
        <v>316</v>
      </c>
      <c r="B334" s="270"/>
      <c r="C334" s="270"/>
      <c r="D334" s="270"/>
      <c r="E334" s="270"/>
      <c r="F334" s="47"/>
      <c r="G334" s="269" t="s">
        <v>345</v>
      </c>
      <c r="H334" s="270"/>
      <c r="I334" s="270"/>
      <c r="J334" s="270"/>
      <c r="K334" s="270"/>
    </row>
    <row r="335" spans="1:11" x14ac:dyDescent="0.35">
      <c r="A335" s="271" t="s">
        <v>309</v>
      </c>
      <c r="B335" s="272"/>
      <c r="C335" s="272"/>
      <c r="D335" s="272"/>
      <c r="E335" s="272"/>
      <c r="F335" s="47"/>
      <c r="G335" s="271" t="s">
        <v>345</v>
      </c>
      <c r="H335" s="272"/>
      <c r="I335" s="272"/>
      <c r="J335" s="272"/>
      <c r="K335" s="272"/>
    </row>
    <row r="336" spans="1:11" x14ac:dyDescent="0.35">
      <c r="A336" s="269" t="s">
        <v>310</v>
      </c>
      <c r="B336" s="270"/>
      <c r="C336" s="270"/>
      <c r="D336" s="270"/>
      <c r="E336" s="270"/>
      <c r="F336" s="47"/>
      <c r="G336" s="269" t="s">
        <v>310</v>
      </c>
      <c r="H336" s="270"/>
      <c r="I336" s="270"/>
      <c r="J336" s="270"/>
      <c r="K336" s="270"/>
    </row>
    <row r="337" spans="1:13" x14ac:dyDescent="0.35">
      <c r="A337" s="271" t="s">
        <v>317</v>
      </c>
      <c r="B337" s="272"/>
      <c r="C337" s="272"/>
      <c r="D337" s="272"/>
      <c r="E337" s="272"/>
      <c r="F337" s="47"/>
      <c r="G337" s="271" t="s">
        <v>317</v>
      </c>
      <c r="H337" s="272"/>
      <c r="I337" s="272"/>
      <c r="J337" s="272"/>
      <c r="K337" s="272"/>
    </row>
    <row r="338" spans="1:13" x14ac:dyDescent="0.35">
      <c r="A338" s="269" t="s">
        <v>311</v>
      </c>
      <c r="B338" s="270"/>
      <c r="C338" s="270"/>
      <c r="D338" s="270"/>
      <c r="E338" s="270"/>
      <c r="F338" s="47"/>
      <c r="G338" s="269" t="s">
        <v>311</v>
      </c>
      <c r="H338" s="270"/>
      <c r="I338" s="270"/>
      <c r="J338" s="270"/>
      <c r="K338" s="270"/>
    </row>
    <row r="339" spans="1:13" x14ac:dyDescent="0.35">
      <c r="A339" s="271" t="s">
        <v>312</v>
      </c>
      <c r="B339" s="272"/>
      <c r="C339" s="272"/>
      <c r="D339" s="272"/>
      <c r="E339" s="272"/>
      <c r="F339" s="47"/>
      <c r="G339" s="271" t="s">
        <v>312</v>
      </c>
      <c r="H339" s="272"/>
      <c r="I339" s="272"/>
      <c r="J339" s="272"/>
      <c r="K339" s="272"/>
    </row>
    <row r="340" spans="1:13" x14ac:dyDescent="0.35">
      <c r="A340" s="231" t="s">
        <v>34</v>
      </c>
      <c r="B340" s="230">
        <f>SUM(B334:B339)</f>
        <v>0</v>
      </c>
      <c r="C340" s="230">
        <f>SUM(C334:C339)</f>
        <v>0</v>
      </c>
      <c r="D340" s="230">
        <f>SUM(D334:D339)</f>
        <v>0</v>
      </c>
      <c r="E340" s="230">
        <f>SUM(E334:E339)</f>
        <v>0</v>
      </c>
      <c r="F340" s="47"/>
      <c r="G340" s="231" t="s">
        <v>34</v>
      </c>
      <c r="H340" s="230">
        <f>SUM(H334:H339)</f>
        <v>0</v>
      </c>
      <c r="I340" s="230">
        <f>SUM(I334:I339)</f>
        <v>0</v>
      </c>
      <c r="J340" s="230">
        <f>SUM(J334:J339)</f>
        <v>0</v>
      </c>
      <c r="K340" s="230">
        <f>SUM(K334:K339)</f>
        <v>0</v>
      </c>
    </row>
    <row r="341" spans="1:13" x14ac:dyDescent="0.35">
      <c r="A341" s="231" t="s">
        <v>313</v>
      </c>
      <c r="B341" s="230">
        <f>+B340+C340+D340+E340</f>
        <v>0</v>
      </c>
      <c r="C341" s="230"/>
      <c r="D341" s="230"/>
      <c r="E341" s="230"/>
      <c r="F341" s="47"/>
      <c r="G341" s="231" t="s">
        <v>313</v>
      </c>
      <c r="H341" s="230">
        <f>+H340+I340+J340+K340</f>
        <v>0</v>
      </c>
      <c r="I341" s="230"/>
      <c r="J341" s="230"/>
      <c r="K341" s="230"/>
    </row>
    <row r="343" spans="1:13" ht="15" thickBot="1" x14ac:dyDescent="0.4"/>
    <row r="344" spans="1:13" ht="30" customHeight="1" thickBot="1" x14ac:dyDescent="0.4">
      <c r="A344" s="327" t="s">
        <v>346</v>
      </c>
      <c r="B344" s="328"/>
      <c r="C344" s="328"/>
      <c r="D344" s="328"/>
      <c r="E344" s="328"/>
      <c r="F344" s="329"/>
      <c r="G344" s="330">
        <f>SUMIF($A1:M$341,"*"&amp;K344&amp;"*",$B1:N$341)</f>
        <v>113772</v>
      </c>
      <c r="H344" s="331"/>
      <c r="I344" s="331"/>
      <c r="J344" s="332"/>
      <c r="K344" s="333" t="s">
        <v>313</v>
      </c>
      <c r="L344" s="334"/>
      <c r="M344" s="233">
        <f>+G344</f>
        <v>113772</v>
      </c>
    </row>
    <row r="345" spans="1:13" ht="15" thickBot="1" x14ac:dyDescent="0.4"/>
    <row r="346" spans="1:13" ht="15.5" thickTop="1" thickBot="1" x14ac:dyDescent="0.4">
      <c r="A346" s="335" t="s">
        <v>298</v>
      </c>
      <c r="B346" s="336"/>
      <c r="C346" s="336"/>
      <c r="D346" s="336"/>
      <c r="E346" s="337"/>
      <c r="G346" s="335" t="s">
        <v>298</v>
      </c>
      <c r="H346" s="336"/>
      <c r="I346" s="336"/>
      <c r="J346" s="336"/>
      <c r="K346" s="337"/>
    </row>
    <row r="347" spans="1:13" ht="15.5" thickTop="1" thickBot="1" x14ac:dyDescent="0.4">
      <c r="A347" s="338">
        <v>45323</v>
      </c>
      <c r="B347" s="336"/>
      <c r="C347" s="336"/>
      <c r="D347" s="336"/>
      <c r="E347" s="337"/>
      <c r="G347" s="338">
        <v>45323</v>
      </c>
      <c r="H347" s="336"/>
      <c r="I347" s="336"/>
      <c r="J347" s="336"/>
      <c r="K347" s="337"/>
    </row>
    <row r="348" spans="1:13" ht="15" thickTop="1" x14ac:dyDescent="0.35">
      <c r="A348" s="267" t="s">
        <v>159</v>
      </c>
      <c r="B348" s="267" t="s">
        <v>299</v>
      </c>
      <c r="C348" s="267" t="s">
        <v>307</v>
      </c>
      <c r="D348" s="267" t="s">
        <v>301</v>
      </c>
      <c r="E348" s="268" t="s">
        <v>308</v>
      </c>
      <c r="G348" s="267" t="s">
        <v>159</v>
      </c>
      <c r="H348" s="267" t="s">
        <v>299</v>
      </c>
      <c r="I348" s="267" t="s">
        <v>307</v>
      </c>
      <c r="J348" s="267" t="s">
        <v>301</v>
      </c>
      <c r="K348" s="268" t="s">
        <v>308</v>
      </c>
    </row>
    <row r="349" spans="1:13" x14ac:dyDescent="0.35">
      <c r="A349" s="269" t="s">
        <v>316</v>
      </c>
      <c r="B349" s="270">
        <v>70</v>
      </c>
      <c r="C349" s="270"/>
      <c r="D349" s="270"/>
      <c r="E349" s="270"/>
      <c r="G349" s="269" t="s">
        <v>316</v>
      </c>
      <c r="H349" s="270"/>
      <c r="I349" s="270"/>
      <c r="J349" s="270"/>
      <c r="K349" s="270"/>
    </row>
    <row r="350" spans="1:13" x14ac:dyDescent="0.35">
      <c r="A350" s="271" t="s">
        <v>309</v>
      </c>
      <c r="B350" s="272"/>
      <c r="C350" s="272"/>
      <c r="D350" s="272"/>
      <c r="E350" s="272"/>
      <c r="G350" s="271" t="s">
        <v>309</v>
      </c>
      <c r="H350" s="272"/>
      <c r="I350" s="272"/>
      <c r="J350" s="272"/>
      <c r="K350" s="272"/>
    </row>
    <row r="351" spans="1:13" x14ac:dyDescent="0.35">
      <c r="A351" s="269" t="s">
        <v>310</v>
      </c>
      <c r="B351" s="270">
        <v>5912</v>
      </c>
      <c r="C351" s="270"/>
      <c r="D351" s="270"/>
      <c r="E351" s="270"/>
      <c r="G351" s="269" t="s">
        <v>310</v>
      </c>
      <c r="H351" s="270"/>
      <c r="I351" s="270"/>
      <c r="J351" s="270"/>
      <c r="K351" s="270"/>
    </row>
    <row r="352" spans="1:13" x14ac:dyDescent="0.35">
      <c r="A352" s="271" t="s">
        <v>317</v>
      </c>
      <c r="B352" s="272"/>
      <c r="C352" s="272"/>
      <c r="D352" s="272"/>
      <c r="E352" s="272"/>
      <c r="G352" s="271" t="s">
        <v>317</v>
      </c>
      <c r="H352" s="272"/>
      <c r="I352" s="272"/>
      <c r="J352" s="272"/>
      <c r="K352" s="272"/>
    </row>
    <row r="353" spans="1:11" x14ac:dyDescent="0.35">
      <c r="A353" s="269" t="s">
        <v>311</v>
      </c>
      <c r="B353" s="270"/>
      <c r="C353" s="270"/>
      <c r="D353" s="270"/>
      <c r="E353" s="270"/>
      <c r="G353" s="269" t="s">
        <v>311</v>
      </c>
      <c r="H353" s="270"/>
      <c r="I353" s="270"/>
      <c r="J353" s="270"/>
      <c r="K353" s="270"/>
    </row>
    <row r="354" spans="1:11" x14ac:dyDescent="0.35">
      <c r="A354" s="271" t="s">
        <v>312</v>
      </c>
      <c r="B354" s="272">
        <v>520</v>
      </c>
      <c r="C354" s="272"/>
      <c r="D354" s="272"/>
      <c r="E354" s="272"/>
      <c r="G354" s="271" t="s">
        <v>312</v>
      </c>
      <c r="H354" s="272"/>
      <c r="I354" s="272"/>
      <c r="J354" s="272"/>
      <c r="K354" s="272"/>
    </row>
    <row r="355" spans="1:11" x14ac:dyDescent="0.35">
      <c r="A355" s="231" t="s">
        <v>34</v>
      </c>
      <c r="B355" s="230">
        <f>SUM(B349:B354)</f>
        <v>6502</v>
      </c>
      <c r="C355" s="230">
        <f>SUM(C349:C354)</f>
        <v>0</v>
      </c>
      <c r="D355" s="230">
        <f>SUM(D349:D354)</f>
        <v>0</v>
      </c>
      <c r="E355" s="230">
        <f>SUM(E349:E354)</f>
        <v>0</v>
      </c>
      <c r="G355" s="231" t="s">
        <v>34</v>
      </c>
      <c r="H355" s="230">
        <f>SUM(H349:H354)</f>
        <v>0</v>
      </c>
      <c r="I355" s="230">
        <f>SUM(I349:I354)</f>
        <v>0</v>
      </c>
      <c r="J355" s="230">
        <f>SUM(J349:J354)</f>
        <v>0</v>
      </c>
      <c r="K355" s="230">
        <f>SUM(K349:K354)</f>
        <v>0</v>
      </c>
    </row>
    <row r="356" spans="1:11" ht="15" thickBot="1" x14ac:dyDescent="0.4">
      <c r="A356" s="231" t="s">
        <v>313</v>
      </c>
      <c r="B356" s="230">
        <f>+B355+C355+D355+E355</f>
        <v>6502</v>
      </c>
      <c r="C356" s="230"/>
      <c r="D356" s="230"/>
      <c r="E356" s="230"/>
      <c r="G356" s="231" t="s">
        <v>313</v>
      </c>
      <c r="H356" s="230">
        <f>+H355+I355+J355+K355</f>
        <v>0</v>
      </c>
      <c r="I356" s="230"/>
      <c r="J356" s="230"/>
      <c r="K356" s="230"/>
    </row>
    <row r="357" spans="1:11" ht="15.5" thickTop="1" thickBot="1" x14ac:dyDescent="0.4">
      <c r="A357" s="335" t="s">
        <v>298</v>
      </c>
      <c r="B357" s="336"/>
      <c r="C357" s="336"/>
      <c r="D357" s="336"/>
      <c r="E357" s="337"/>
      <c r="G357" s="335" t="s">
        <v>298</v>
      </c>
      <c r="H357" s="336"/>
      <c r="I357" s="336"/>
      <c r="J357" s="336"/>
      <c r="K357" s="337"/>
    </row>
    <row r="358" spans="1:11" ht="15.5" thickTop="1" thickBot="1" x14ac:dyDescent="0.4">
      <c r="A358" s="338">
        <v>45324</v>
      </c>
      <c r="B358" s="336"/>
      <c r="C358" s="336"/>
      <c r="D358" s="336"/>
      <c r="E358" s="337"/>
      <c r="G358" s="338">
        <v>45324</v>
      </c>
      <c r="H358" s="336"/>
      <c r="I358" s="336"/>
      <c r="J358" s="336"/>
      <c r="K358" s="337"/>
    </row>
    <row r="359" spans="1:11" ht="15" thickTop="1" x14ac:dyDescent="0.35">
      <c r="A359" s="267" t="s">
        <v>159</v>
      </c>
      <c r="B359" s="267" t="s">
        <v>299</v>
      </c>
      <c r="C359" s="267" t="s">
        <v>307</v>
      </c>
      <c r="D359" s="267" t="s">
        <v>301</v>
      </c>
      <c r="E359" s="268" t="s">
        <v>308</v>
      </c>
      <c r="G359" s="267" t="s">
        <v>159</v>
      </c>
      <c r="H359" s="267" t="s">
        <v>299</v>
      </c>
      <c r="I359" s="267" t="s">
        <v>307</v>
      </c>
      <c r="J359" s="267" t="s">
        <v>301</v>
      </c>
      <c r="K359" s="268" t="s">
        <v>308</v>
      </c>
    </row>
    <row r="360" spans="1:11" x14ac:dyDescent="0.35">
      <c r="A360" s="269" t="s">
        <v>316</v>
      </c>
      <c r="B360" s="270"/>
      <c r="C360" s="270"/>
      <c r="D360" s="270"/>
      <c r="E360" s="270"/>
      <c r="G360" s="269" t="s">
        <v>316</v>
      </c>
      <c r="H360" s="270"/>
      <c r="I360" s="270"/>
      <c r="J360" s="270"/>
      <c r="K360" s="270"/>
    </row>
    <row r="361" spans="1:11" x14ac:dyDescent="0.35">
      <c r="A361" s="271" t="s">
        <v>309</v>
      </c>
      <c r="B361" s="272"/>
      <c r="C361" s="272"/>
      <c r="D361" s="272"/>
      <c r="E361" s="272"/>
      <c r="G361" s="271" t="s">
        <v>309</v>
      </c>
      <c r="H361" s="272"/>
      <c r="I361" s="272"/>
      <c r="J361" s="272"/>
      <c r="K361" s="272"/>
    </row>
    <row r="362" spans="1:11" x14ac:dyDescent="0.35">
      <c r="A362" s="269" t="s">
        <v>310</v>
      </c>
      <c r="B362" s="270"/>
      <c r="C362" s="270"/>
      <c r="D362" s="270"/>
      <c r="E362" s="270"/>
      <c r="G362" s="269" t="s">
        <v>310</v>
      </c>
      <c r="H362" s="270"/>
      <c r="I362" s="270"/>
      <c r="J362" s="270"/>
      <c r="K362" s="270"/>
    </row>
    <row r="363" spans="1:11" x14ac:dyDescent="0.35">
      <c r="A363" s="271" t="s">
        <v>317</v>
      </c>
      <c r="B363" s="272"/>
      <c r="C363" s="272"/>
      <c r="D363" s="272"/>
      <c r="E363" s="272"/>
      <c r="G363" s="271" t="s">
        <v>317</v>
      </c>
      <c r="H363" s="272"/>
      <c r="I363" s="272"/>
      <c r="J363" s="272"/>
      <c r="K363" s="272"/>
    </row>
    <row r="364" spans="1:11" x14ac:dyDescent="0.35">
      <c r="A364" s="269" t="s">
        <v>311</v>
      </c>
      <c r="B364" s="270"/>
      <c r="C364" s="270"/>
      <c r="D364" s="270"/>
      <c r="E364" s="270"/>
      <c r="G364" s="269" t="s">
        <v>311</v>
      </c>
      <c r="H364" s="270"/>
      <c r="I364" s="270"/>
      <c r="J364" s="270"/>
      <c r="K364" s="270"/>
    </row>
    <row r="365" spans="1:11" x14ac:dyDescent="0.35">
      <c r="A365" s="271" t="s">
        <v>312</v>
      </c>
      <c r="B365" s="272"/>
      <c r="C365" s="272"/>
      <c r="D365" s="272"/>
      <c r="E365" s="272"/>
      <c r="G365" s="271" t="s">
        <v>312</v>
      </c>
      <c r="H365" s="272"/>
      <c r="I365" s="272"/>
      <c r="J365" s="272"/>
      <c r="K365" s="272"/>
    </row>
    <row r="366" spans="1:11" x14ac:dyDescent="0.35">
      <c r="A366" s="231" t="s">
        <v>34</v>
      </c>
      <c r="B366" s="230">
        <f>SUM(B360:B365)</f>
        <v>0</v>
      </c>
      <c r="C366" s="230">
        <f>SUM(C360:C365)</f>
        <v>0</v>
      </c>
      <c r="D366" s="230">
        <f>SUM(D360:D365)</f>
        <v>0</v>
      </c>
      <c r="E366" s="230">
        <f>SUM(E360:E365)</f>
        <v>0</v>
      </c>
      <c r="G366" s="231" t="s">
        <v>34</v>
      </c>
      <c r="H366" s="230">
        <f>SUM(H360:H365)</f>
        <v>0</v>
      </c>
      <c r="I366" s="230">
        <f>SUM(I360:I365)</f>
        <v>0</v>
      </c>
      <c r="J366" s="230">
        <f>SUM(J360:J365)</f>
        <v>0</v>
      </c>
      <c r="K366" s="230">
        <f>SUM(K360:K365)</f>
        <v>0</v>
      </c>
    </row>
    <row r="367" spans="1:11" ht="15" thickBot="1" x14ac:dyDescent="0.4">
      <c r="A367" s="231" t="s">
        <v>313</v>
      </c>
      <c r="B367" s="230">
        <f>+B366+C366+D366+E366</f>
        <v>0</v>
      </c>
      <c r="C367" s="230"/>
      <c r="D367" s="230"/>
      <c r="E367" s="230"/>
      <c r="G367" s="231" t="s">
        <v>313</v>
      </c>
      <c r="H367" s="230">
        <f>+H366+I366+J366+K366</f>
        <v>0</v>
      </c>
      <c r="I367" s="230"/>
      <c r="J367" s="230"/>
      <c r="K367" s="230"/>
    </row>
    <row r="368" spans="1:11" ht="15.5" thickTop="1" thickBot="1" x14ac:dyDescent="0.4">
      <c r="A368" s="335" t="s">
        <v>298</v>
      </c>
      <c r="B368" s="336"/>
      <c r="C368" s="336"/>
      <c r="D368" s="336"/>
      <c r="E368" s="337"/>
      <c r="G368" s="335" t="s">
        <v>298</v>
      </c>
      <c r="H368" s="336"/>
      <c r="I368" s="336"/>
      <c r="J368" s="336"/>
      <c r="K368" s="337"/>
    </row>
    <row r="369" spans="1:11" ht="15.5" thickTop="1" thickBot="1" x14ac:dyDescent="0.4">
      <c r="A369" s="338">
        <v>45325</v>
      </c>
      <c r="B369" s="336"/>
      <c r="C369" s="336"/>
      <c r="D369" s="336"/>
      <c r="E369" s="337"/>
      <c r="G369" s="338">
        <v>45325</v>
      </c>
      <c r="H369" s="336"/>
      <c r="I369" s="336"/>
      <c r="J369" s="336"/>
      <c r="K369" s="337"/>
    </row>
    <row r="370" spans="1:11" ht="15" thickTop="1" x14ac:dyDescent="0.35">
      <c r="A370" s="267" t="s">
        <v>159</v>
      </c>
      <c r="B370" s="267" t="s">
        <v>299</v>
      </c>
      <c r="C370" s="267" t="s">
        <v>307</v>
      </c>
      <c r="D370" s="267" t="s">
        <v>301</v>
      </c>
      <c r="E370" s="268" t="s">
        <v>308</v>
      </c>
      <c r="G370" s="267" t="s">
        <v>159</v>
      </c>
      <c r="H370" s="267" t="s">
        <v>299</v>
      </c>
      <c r="I370" s="267" t="s">
        <v>307</v>
      </c>
      <c r="J370" s="267" t="s">
        <v>301</v>
      </c>
      <c r="K370" s="268" t="s">
        <v>308</v>
      </c>
    </row>
    <row r="371" spans="1:11" x14ac:dyDescent="0.35">
      <c r="A371" s="269" t="s">
        <v>379</v>
      </c>
      <c r="B371" s="270">
        <v>2500</v>
      </c>
      <c r="C371" s="270"/>
      <c r="D371" s="270"/>
      <c r="E371" s="270"/>
      <c r="G371" s="269" t="s">
        <v>379</v>
      </c>
      <c r="H371" s="270">
        <v>1400</v>
      </c>
      <c r="I371" s="270"/>
      <c r="J371" s="270"/>
      <c r="K371" s="270"/>
    </row>
    <row r="372" spans="1:11" x14ac:dyDescent="0.35">
      <c r="A372" s="271" t="s">
        <v>379</v>
      </c>
      <c r="B372" s="272">
        <v>1700</v>
      </c>
      <c r="C372" s="272"/>
      <c r="D372" s="272"/>
      <c r="E372" s="272"/>
      <c r="G372" s="271" t="s">
        <v>309</v>
      </c>
      <c r="H372" s="272"/>
      <c r="I372" s="272"/>
      <c r="J372" s="272"/>
      <c r="K372" s="272"/>
    </row>
    <row r="373" spans="1:11" x14ac:dyDescent="0.35">
      <c r="A373" s="269" t="s">
        <v>310</v>
      </c>
      <c r="B373" s="270"/>
      <c r="C373" s="270"/>
      <c r="D373" s="270"/>
      <c r="E373" s="270"/>
      <c r="G373" s="269" t="s">
        <v>310</v>
      </c>
      <c r="H373" s="270"/>
      <c r="I373" s="270"/>
      <c r="J373" s="270"/>
      <c r="K373" s="270"/>
    </row>
    <row r="374" spans="1:11" x14ac:dyDescent="0.35">
      <c r="A374" s="271" t="s">
        <v>317</v>
      </c>
      <c r="B374" s="272"/>
      <c r="C374" s="272"/>
      <c r="D374" s="272"/>
      <c r="E374" s="272"/>
      <c r="G374" s="271" t="s">
        <v>317</v>
      </c>
      <c r="H374" s="272"/>
      <c r="I374" s="272"/>
      <c r="J374" s="272"/>
      <c r="K374" s="272"/>
    </row>
    <row r="375" spans="1:11" x14ac:dyDescent="0.35">
      <c r="A375" s="269" t="s">
        <v>311</v>
      </c>
      <c r="B375" s="270"/>
      <c r="C375" s="270"/>
      <c r="D375" s="270"/>
      <c r="E375" s="270"/>
      <c r="G375" s="269" t="s">
        <v>311</v>
      </c>
      <c r="H375" s="270"/>
      <c r="I375" s="270"/>
      <c r="J375" s="270"/>
      <c r="K375" s="270"/>
    </row>
    <row r="376" spans="1:11" x14ac:dyDescent="0.35">
      <c r="A376" s="271" t="s">
        <v>312</v>
      </c>
      <c r="B376" s="272"/>
      <c r="C376" s="272"/>
      <c r="D376" s="272"/>
      <c r="E376" s="272"/>
      <c r="G376" s="271" t="s">
        <v>312</v>
      </c>
      <c r="H376" s="272"/>
      <c r="I376" s="272"/>
      <c r="J376" s="272"/>
      <c r="K376" s="272"/>
    </row>
    <row r="377" spans="1:11" x14ac:dyDescent="0.35">
      <c r="A377" s="231" t="s">
        <v>34</v>
      </c>
      <c r="B377" s="230">
        <f>SUM(B371:B376)</f>
        <v>4200</v>
      </c>
      <c r="C377" s="230">
        <f>SUM(C371:C376)</f>
        <v>0</v>
      </c>
      <c r="D377" s="230">
        <f>SUM(D371:D376)</f>
        <v>0</v>
      </c>
      <c r="E377" s="230">
        <f>SUM(E371:E376)</f>
        <v>0</v>
      </c>
      <c r="G377" s="231" t="s">
        <v>34</v>
      </c>
      <c r="H377" s="230">
        <f>SUM(H371:H376)</f>
        <v>1400</v>
      </c>
      <c r="I377" s="230">
        <f>SUM(I371:I376)</f>
        <v>0</v>
      </c>
      <c r="J377" s="230">
        <f>SUM(J371:J376)</f>
        <v>0</v>
      </c>
      <c r="K377" s="230">
        <f>SUM(K371:K376)</f>
        <v>0</v>
      </c>
    </row>
    <row r="378" spans="1:11" ht="15" thickBot="1" x14ac:dyDescent="0.4">
      <c r="A378" s="231" t="s">
        <v>313</v>
      </c>
      <c r="B378" s="230">
        <f>+B377+C377+D377+E377</f>
        <v>4200</v>
      </c>
      <c r="C378" s="230"/>
      <c r="D378" s="230"/>
      <c r="E378" s="230"/>
      <c r="G378" s="231" t="s">
        <v>313</v>
      </c>
      <c r="H378" s="230">
        <f>+H377+I377+J377+K377</f>
        <v>1400</v>
      </c>
      <c r="I378" s="230"/>
      <c r="J378" s="230"/>
      <c r="K378" s="230"/>
    </row>
    <row r="379" spans="1:11" ht="15.5" thickTop="1" thickBot="1" x14ac:dyDescent="0.4">
      <c r="A379" s="335" t="s">
        <v>298</v>
      </c>
      <c r="B379" s="336"/>
      <c r="C379" s="336"/>
      <c r="D379" s="336"/>
      <c r="E379" s="337"/>
      <c r="G379" s="335" t="s">
        <v>298</v>
      </c>
      <c r="H379" s="336"/>
      <c r="I379" s="336"/>
      <c r="J379" s="336"/>
      <c r="K379" s="337"/>
    </row>
    <row r="380" spans="1:11" ht="15.5" thickTop="1" thickBot="1" x14ac:dyDescent="0.4">
      <c r="A380" s="338">
        <v>45326</v>
      </c>
      <c r="B380" s="336"/>
      <c r="C380" s="336"/>
      <c r="D380" s="336"/>
      <c r="E380" s="337"/>
      <c r="G380" s="338">
        <v>45326</v>
      </c>
      <c r="H380" s="336"/>
      <c r="I380" s="336"/>
      <c r="J380" s="336"/>
      <c r="K380" s="337"/>
    </row>
    <row r="381" spans="1:11" ht="15" thickTop="1" x14ac:dyDescent="0.35">
      <c r="A381" s="267" t="s">
        <v>159</v>
      </c>
      <c r="B381" s="267" t="s">
        <v>299</v>
      </c>
      <c r="C381" s="267" t="s">
        <v>307</v>
      </c>
      <c r="D381" s="267" t="s">
        <v>301</v>
      </c>
      <c r="E381" s="268" t="s">
        <v>308</v>
      </c>
      <c r="G381" s="267" t="s">
        <v>159</v>
      </c>
      <c r="H381" s="267" t="s">
        <v>299</v>
      </c>
      <c r="I381" s="267" t="s">
        <v>307</v>
      </c>
      <c r="J381" s="267" t="s">
        <v>301</v>
      </c>
      <c r="K381" s="268" t="s">
        <v>308</v>
      </c>
    </row>
    <row r="382" spans="1:11" x14ac:dyDescent="0.35">
      <c r="A382" s="269" t="s">
        <v>316</v>
      </c>
      <c r="B382" s="270"/>
      <c r="C382" s="270"/>
      <c r="D382" s="270"/>
      <c r="E382" s="270"/>
      <c r="G382" s="269" t="s">
        <v>316</v>
      </c>
      <c r="H382" s="270"/>
      <c r="I382" s="270"/>
      <c r="J382" s="270"/>
      <c r="K382" s="270"/>
    </row>
    <row r="383" spans="1:11" x14ac:dyDescent="0.35">
      <c r="A383" s="271" t="s">
        <v>309</v>
      </c>
      <c r="B383" s="272"/>
      <c r="C383" s="272"/>
      <c r="D383" s="272"/>
      <c r="E383" s="272"/>
      <c r="G383" s="271" t="s">
        <v>309</v>
      </c>
      <c r="H383" s="272"/>
      <c r="I383" s="272"/>
      <c r="J383" s="272"/>
      <c r="K383" s="272"/>
    </row>
    <row r="384" spans="1:11" x14ac:dyDescent="0.35">
      <c r="A384" s="269" t="s">
        <v>310</v>
      </c>
      <c r="B384" s="270"/>
      <c r="C384" s="270"/>
      <c r="D384" s="270"/>
      <c r="E384" s="270"/>
      <c r="G384" s="269" t="s">
        <v>310</v>
      </c>
      <c r="H384" s="270"/>
      <c r="I384" s="270"/>
      <c r="J384" s="270"/>
      <c r="K384" s="270"/>
    </row>
    <row r="385" spans="1:11" x14ac:dyDescent="0.35">
      <c r="A385" s="271" t="s">
        <v>317</v>
      </c>
      <c r="B385" s="272"/>
      <c r="C385" s="272"/>
      <c r="D385" s="272"/>
      <c r="E385" s="272"/>
      <c r="G385" s="271" t="s">
        <v>317</v>
      </c>
      <c r="H385" s="272"/>
      <c r="I385" s="272"/>
      <c r="J385" s="272"/>
      <c r="K385" s="272"/>
    </row>
    <row r="386" spans="1:11" x14ac:dyDescent="0.35">
      <c r="A386" s="269" t="s">
        <v>311</v>
      </c>
      <c r="B386" s="270"/>
      <c r="C386" s="270"/>
      <c r="D386" s="270"/>
      <c r="E386" s="270"/>
      <c r="G386" s="269" t="s">
        <v>311</v>
      </c>
      <c r="H386" s="270"/>
      <c r="I386" s="270"/>
      <c r="J386" s="270"/>
      <c r="K386" s="270"/>
    </row>
    <row r="387" spans="1:11" x14ac:dyDescent="0.35">
      <c r="A387" s="271" t="s">
        <v>312</v>
      </c>
      <c r="B387" s="272"/>
      <c r="C387" s="272"/>
      <c r="D387" s="272"/>
      <c r="E387" s="272"/>
      <c r="G387" s="271" t="s">
        <v>312</v>
      </c>
      <c r="H387" s="272"/>
      <c r="I387" s="272"/>
      <c r="J387" s="272"/>
      <c r="K387" s="272"/>
    </row>
    <row r="388" spans="1:11" x14ac:dyDescent="0.35">
      <c r="A388" s="231" t="s">
        <v>34</v>
      </c>
      <c r="B388" s="230">
        <f>SUM(B382:B387)</f>
        <v>0</v>
      </c>
      <c r="C388" s="230">
        <f>SUM(C382:C387)</f>
        <v>0</v>
      </c>
      <c r="D388" s="230">
        <f>SUM(D382:D387)</f>
        <v>0</v>
      </c>
      <c r="E388" s="230">
        <f>SUM(E382:E387)</f>
        <v>0</v>
      </c>
      <c r="G388" s="231" t="s">
        <v>34</v>
      </c>
      <c r="H388" s="230">
        <f>SUM(H382:H387)</f>
        <v>0</v>
      </c>
      <c r="I388" s="230">
        <f>SUM(I382:I387)</f>
        <v>0</v>
      </c>
      <c r="J388" s="230">
        <f>SUM(J382:J387)</f>
        <v>0</v>
      </c>
      <c r="K388" s="230">
        <f>SUM(K382:K387)</f>
        <v>0</v>
      </c>
    </row>
    <row r="389" spans="1:11" ht="15" thickBot="1" x14ac:dyDescent="0.4">
      <c r="A389" s="231" t="s">
        <v>313</v>
      </c>
      <c r="B389" s="230">
        <f>+B388+C388+D388+E388</f>
        <v>0</v>
      </c>
      <c r="C389" s="230"/>
      <c r="D389" s="230"/>
      <c r="E389" s="230"/>
      <c r="G389" s="231" t="s">
        <v>313</v>
      </c>
      <c r="H389" s="230">
        <f>+H388+I388+J388+K388</f>
        <v>0</v>
      </c>
      <c r="I389" s="230"/>
      <c r="J389" s="230"/>
      <c r="K389" s="230"/>
    </row>
    <row r="390" spans="1:11" ht="15.5" thickTop="1" thickBot="1" x14ac:dyDescent="0.4">
      <c r="A390" s="335" t="s">
        <v>298</v>
      </c>
      <c r="B390" s="336"/>
      <c r="C390" s="336"/>
      <c r="D390" s="336"/>
      <c r="E390" s="337"/>
      <c r="G390" s="335" t="s">
        <v>298</v>
      </c>
      <c r="H390" s="336"/>
      <c r="I390" s="336"/>
      <c r="J390" s="336"/>
      <c r="K390" s="337"/>
    </row>
    <row r="391" spans="1:11" ht="15.5" thickTop="1" thickBot="1" x14ac:dyDescent="0.4">
      <c r="A391" s="338">
        <v>45327</v>
      </c>
      <c r="B391" s="336"/>
      <c r="C391" s="336"/>
      <c r="D391" s="336"/>
      <c r="E391" s="337"/>
      <c r="G391" s="338">
        <v>45327</v>
      </c>
      <c r="H391" s="336"/>
      <c r="I391" s="336"/>
      <c r="J391" s="336"/>
      <c r="K391" s="337"/>
    </row>
    <row r="392" spans="1:11" ht="15" thickTop="1" x14ac:dyDescent="0.35">
      <c r="A392" s="267" t="s">
        <v>159</v>
      </c>
      <c r="B392" s="267" t="s">
        <v>299</v>
      </c>
      <c r="C392" s="267" t="s">
        <v>307</v>
      </c>
      <c r="D392" s="267" t="s">
        <v>301</v>
      </c>
      <c r="E392" s="268" t="s">
        <v>308</v>
      </c>
      <c r="G392" s="267" t="s">
        <v>159</v>
      </c>
      <c r="H392" s="267" t="s">
        <v>299</v>
      </c>
      <c r="I392" s="267" t="s">
        <v>307</v>
      </c>
      <c r="J392" s="267" t="s">
        <v>301</v>
      </c>
      <c r="K392" s="268" t="s">
        <v>308</v>
      </c>
    </row>
    <row r="393" spans="1:11" x14ac:dyDescent="0.35">
      <c r="A393" s="269" t="s">
        <v>316</v>
      </c>
      <c r="B393" s="270"/>
      <c r="C393" s="270"/>
      <c r="D393" s="270"/>
      <c r="E393" s="270"/>
      <c r="G393" s="269" t="s">
        <v>316</v>
      </c>
      <c r="H393" s="270"/>
      <c r="I393" s="270"/>
      <c r="J393" s="270"/>
      <c r="K393" s="270"/>
    </row>
    <row r="394" spans="1:11" x14ac:dyDescent="0.35">
      <c r="A394" s="271" t="s">
        <v>309</v>
      </c>
      <c r="B394" s="272"/>
      <c r="C394" s="272"/>
      <c r="D394" s="272"/>
      <c r="E394" s="272"/>
      <c r="G394" s="271" t="s">
        <v>309</v>
      </c>
      <c r="H394" s="272"/>
      <c r="I394" s="272"/>
      <c r="J394" s="272"/>
      <c r="K394" s="272"/>
    </row>
    <row r="395" spans="1:11" x14ac:dyDescent="0.35">
      <c r="A395" s="269" t="s">
        <v>310</v>
      </c>
      <c r="B395" s="270"/>
      <c r="C395" s="270"/>
      <c r="D395" s="270"/>
      <c r="E395" s="270"/>
      <c r="G395" s="269" t="s">
        <v>310</v>
      </c>
      <c r="H395" s="270"/>
      <c r="I395" s="270"/>
      <c r="J395" s="270"/>
      <c r="K395" s="270"/>
    </row>
    <row r="396" spans="1:11" x14ac:dyDescent="0.35">
      <c r="A396" s="271" t="s">
        <v>317</v>
      </c>
      <c r="B396" s="272"/>
      <c r="C396" s="272"/>
      <c r="D396" s="272"/>
      <c r="E396" s="272"/>
      <c r="G396" s="271" t="s">
        <v>317</v>
      </c>
      <c r="H396" s="272"/>
      <c r="I396" s="272"/>
      <c r="J396" s="272"/>
      <c r="K396" s="272"/>
    </row>
    <row r="397" spans="1:11" x14ac:dyDescent="0.35">
      <c r="A397" s="269" t="s">
        <v>311</v>
      </c>
      <c r="B397" s="270"/>
      <c r="C397" s="270"/>
      <c r="D397" s="270"/>
      <c r="E397" s="270"/>
      <c r="G397" s="269" t="s">
        <v>311</v>
      </c>
      <c r="H397" s="270"/>
      <c r="I397" s="270"/>
      <c r="J397" s="270"/>
      <c r="K397" s="270"/>
    </row>
    <row r="398" spans="1:11" x14ac:dyDescent="0.35">
      <c r="A398" s="271" t="s">
        <v>312</v>
      </c>
      <c r="B398" s="272"/>
      <c r="C398" s="272"/>
      <c r="D398" s="272"/>
      <c r="E398" s="272"/>
      <c r="G398" s="271" t="s">
        <v>312</v>
      </c>
      <c r="H398" s="272"/>
      <c r="I398" s="272"/>
      <c r="J398" s="272"/>
      <c r="K398" s="272"/>
    </row>
    <row r="399" spans="1:11" x14ac:dyDescent="0.35">
      <c r="A399" s="231" t="s">
        <v>34</v>
      </c>
      <c r="B399" s="230">
        <f>SUM(B393:B398)</f>
        <v>0</v>
      </c>
      <c r="C399" s="230">
        <f>SUM(C393:C398)</f>
        <v>0</v>
      </c>
      <c r="D399" s="230">
        <f>SUM(D393:D398)</f>
        <v>0</v>
      </c>
      <c r="E399" s="230">
        <f>SUM(E393:E398)</f>
        <v>0</v>
      </c>
      <c r="G399" s="231" t="s">
        <v>34</v>
      </c>
      <c r="H399" s="230">
        <f>SUM(H393:H398)</f>
        <v>0</v>
      </c>
      <c r="I399" s="230">
        <f>SUM(I393:I398)</f>
        <v>0</v>
      </c>
      <c r="J399" s="230">
        <f>SUM(J393:J398)</f>
        <v>0</v>
      </c>
      <c r="K399" s="230">
        <f>SUM(K393:K398)</f>
        <v>0</v>
      </c>
    </row>
    <row r="400" spans="1:11" ht="15" thickBot="1" x14ac:dyDescent="0.4">
      <c r="A400" s="231" t="s">
        <v>313</v>
      </c>
      <c r="B400" s="230">
        <f>+B399+C399+D399+E399</f>
        <v>0</v>
      </c>
      <c r="C400" s="230"/>
      <c r="D400" s="230"/>
      <c r="E400" s="230"/>
      <c r="G400" s="231" t="s">
        <v>313</v>
      </c>
      <c r="H400" s="230">
        <f>+H399+I399+J399+K399</f>
        <v>0</v>
      </c>
      <c r="I400" s="230"/>
      <c r="J400" s="230"/>
      <c r="K400" s="230"/>
    </row>
    <row r="401" spans="1:11" ht="15.5" thickTop="1" thickBot="1" x14ac:dyDescent="0.4">
      <c r="A401" s="335" t="s">
        <v>298</v>
      </c>
      <c r="B401" s="336"/>
      <c r="C401" s="336"/>
      <c r="D401" s="336"/>
      <c r="E401" s="337"/>
      <c r="G401" s="335" t="s">
        <v>298</v>
      </c>
      <c r="H401" s="336"/>
      <c r="I401" s="336"/>
      <c r="J401" s="336"/>
      <c r="K401" s="337"/>
    </row>
    <row r="402" spans="1:11" ht="15.5" thickTop="1" thickBot="1" x14ac:dyDescent="0.4">
      <c r="A402" s="338">
        <v>45328</v>
      </c>
      <c r="B402" s="336"/>
      <c r="C402" s="336"/>
      <c r="D402" s="336"/>
      <c r="E402" s="337"/>
      <c r="G402" s="338">
        <v>45328</v>
      </c>
      <c r="H402" s="336"/>
      <c r="I402" s="336"/>
      <c r="J402" s="336"/>
      <c r="K402" s="337"/>
    </row>
    <row r="403" spans="1:11" ht="15" thickTop="1" x14ac:dyDescent="0.35">
      <c r="A403" s="267" t="s">
        <v>159</v>
      </c>
      <c r="B403" s="267" t="s">
        <v>299</v>
      </c>
      <c r="C403" s="267" t="s">
        <v>307</v>
      </c>
      <c r="D403" s="267" t="s">
        <v>301</v>
      </c>
      <c r="E403" s="268" t="s">
        <v>308</v>
      </c>
      <c r="G403" s="267" t="s">
        <v>159</v>
      </c>
      <c r="H403" s="267" t="s">
        <v>299</v>
      </c>
      <c r="I403" s="267" t="s">
        <v>307</v>
      </c>
      <c r="J403" s="267" t="s">
        <v>301</v>
      </c>
      <c r="K403" s="268" t="s">
        <v>308</v>
      </c>
    </row>
    <row r="404" spans="1:11" x14ac:dyDescent="0.35">
      <c r="A404" s="269" t="s">
        <v>377</v>
      </c>
      <c r="B404" s="270">
        <v>1200</v>
      </c>
      <c r="C404" s="270"/>
      <c r="D404" s="270"/>
      <c r="E404" s="270"/>
      <c r="G404" s="269" t="s">
        <v>378</v>
      </c>
      <c r="H404" s="270">
        <v>2300</v>
      </c>
      <c r="I404" s="270"/>
      <c r="J404" s="270"/>
      <c r="K404" s="270"/>
    </row>
    <row r="405" spans="1:11" x14ac:dyDescent="0.35">
      <c r="A405" s="271" t="s">
        <v>376</v>
      </c>
      <c r="B405" s="272">
        <v>1200</v>
      </c>
      <c r="C405" s="272"/>
      <c r="D405" s="272"/>
      <c r="E405" s="272"/>
      <c r="G405" s="271"/>
      <c r="H405" s="272"/>
      <c r="I405" s="272"/>
      <c r="J405" s="272"/>
      <c r="K405" s="272"/>
    </row>
    <row r="406" spans="1:11" x14ac:dyDescent="0.35">
      <c r="A406" s="269" t="s">
        <v>310</v>
      </c>
      <c r="B406" s="270"/>
      <c r="C406" s="270"/>
      <c r="D406" s="270"/>
      <c r="E406" s="270"/>
      <c r="G406" s="269" t="s">
        <v>310</v>
      </c>
      <c r="H406" s="270"/>
      <c r="I406" s="270"/>
      <c r="J406" s="270"/>
      <c r="K406" s="270"/>
    </row>
    <row r="407" spans="1:11" x14ac:dyDescent="0.35">
      <c r="A407" s="271" t="s">
        <v>317</v>
      </c>
      <c r="B407" s="272"/>
      <c r="C407" s="272"/>
      <c r="D407" s="272"/>
      <c r="E407" s="272"/>
      <c r="G407" s="271" t="s">
        <v>317</v>
      </c>
      <c r="H407" s="272"/>
      <c r="I407" s="272"/>
      <c r="J407" s="272"/>
      <c r="K407" s="272"/>
    </row>
    <row r="408" spans="1:11" x14ac:dyDescent="0.35">
      <c r="A408" s="269" t="s">
        <v>311</v>
      </c>
      <c r="B408" s="270"/>
      <c r="C408" s="270"/>
      <c r="D408" s="270"/>
      <c r="E408" s="270"/>
      <c r="G408" s="269" t="s">
        <v>311</v>
      </c>
      <c r="H408" s="270"/>
      <c r="I408" s="270"/>
      <c r="J408" s="270"/>
      <c r="K408" s="270"/>
    </row>
    <row r="409" spans="1:11" x14ac:dyDescent="0.35">
      <c r="A409" s="271" t="s">
        <v>312</v>
      </c>
      <c r="B409" s="272">
        <v>5980</v>
      </c>
      <c r="C409" s="272"/>
      <c r="D409" s="272"/>
      <c r="E409" s="272"/>
      <c r="G409" s="271" t="s">
        <v>312</v>
      </c>
      <c r="H409" s="272"/>
      <c r="I409" s="272"/>
      <c r="J409" s="272"/>
      <c r="K409" s="272"/>
    </row>
    <row r="410" spans="1:11" x14ac:dyDescent="0.35">
      <c r="A410" s="231" t="s">
        <v>34</v>
      </c>
      <c r="B410" s="230">
        <f>SUM(B404:B409)</f>
        <v>8380</v>
      </c>
      <c r="C410" s="230">
        <f>SUM(C404:C409)</f>
        <v>0</v>
      </c>
      <c r="D410" s="230">
        <f>SUM(D404:D409)</f>
        <v>0</v>
      </c>
      <c r="E410" s="230">
        <f>SUM(E404:E409)</f>
        <v>0</v>
      </c>
      <c r="G410" s="231" t="s">
        <v>34</v>
      </c>
      <c r="H410" s="230">
        <f>SUM(H404:H409)</f>
        <v>2300</v>
      </c>
      <c r="I410" s="230">
        <f>SUM(I404:I409)</f>
        <v>0</v>
      </c>
      <c r="J410" s="230">
        <f>SUM(J404:J409)</f>
        <v>0</v>
      </c>
      <c r="K410" s="230">
        <f>SUM(K404:K409)</f>
        <v>0</v>
      </c>
    </row>
    <row r="411" spans="1:11" ht="15" thickBot="1" x14ac:dyDescent="0.4">
      <c r="A411" s="231" t="s">
        <v>313</v>
      </c>
      <c r="B411" s="230">
        <f>+B410+C410+D410+E410</f>
        <v>8380</v>
      </c>
      <c r="C411" s="230"/>
      <c r="D411" s="230"/>
      <c r="E411" s="230"/>
      <c r="G411" s="231" t="s">
        <v>313</v>
      </c>
      <c r="H411" s="230">
        <f>+H410+I410+J410+K410</f>
        <v>2300</v>
      </c>
      <c r="I411" s="230"/>
      <c r="J411" s="230"/>
      <c r="K411" s="230"/>
    </row>
    <row r="412" spans="1:11" ht="15.5" thickTop="1" thickBot="1" x14ac:dyDescent="0.4">
      <c r="A412" s="335" t="s">
        <v>298</v>
      </c>
      <c r="B412" s="336"/>
      <c r="C412" s="336"/>
      <c r="D412" s="336"/>
      <c r="E412" s="337"/>
      <c r="G412" s="335" t="s">
        <v>298</v>
      </c>
      <c r="H412" s="336"/>
      <c r="I412" s="336"/>
      <c r="J412" s="336"/>
      <c r="K412" s="337"/>
    </row>
    <row r="413" spans="1:11" ht="15.5" thickTop="1" thickBot="1" x14ac:dyDescent="0.4">
      <c r="A413" s="338">
        <v>45329</v>
      </c>
      <c r="B413" s="336"/>
      <c r="C413" s="336"/>
      <c r="D413" s="336"/>
      <c r="E413" s="337"/>
      <c r="G413" s="338">
        <v>45329</v>
      </c>
      <c r="H413" s="336"/>
      <c r="I413" s="336"/>
      <c r="J413" s="336"/>
      <c r="K413" s="337"/>
    </row>
    <row r="414" spans="1:11" ht="15" thickTop="1" x14ac:dyDescent="0.35">
      <c r="A414" s="267" t="s">
        <v>159</v>
      </c>
      <c r="B414" s="267" t="s">
        <v>299</v>
      </c>
      <c r="C414" s="267" t="s">
        <v>307</v>
      </c>
      <c r="D414" s="267" t="s">
        <v>301</v>
      </c>
      <c r="E414" s="268" t="s">
        <v>308</v>
      </c>
      <c r="G414" s="267" t="s">
        <v>159</v>
      </c>
      <c r="H414" s="267" t="s">
        <v>299</v>
      </c>
      <c r="I414" s="267" t="s">
        <v>307</v>
      </c>
      <c r="J414" s="267" t="s">
        <v>301</v>
      </c>
      <c r="K414" s="268" t="s">
        <v>308</v>
      </c>
    </row>
    <row r="415" spans="1:11" x14ac:dyDescent="0.35">
      <c r="A415" s="269" t="s">
        <v>316</v>
      </c>
      <c r="B415" s="270"/>
      <c r="C415" s="270"/>
      <c r="D415" s="270"/>
      <c r="E415" s="270"/>
      <c r="G415" s="269" t="s">
        <v>316</v>
      </c>
      <c r="H415" s="270"/>
      <c r="I415" s="270"/>
      <c r="J415" s="270"/>
      <c r="K415" s="270"/>
    </row>
    <row r="416" spans="1:11" x14ac:dyDescent="0.35">
      <c r="A416" s="271" t="s">
        <v>309</v>
      </c>
      <c r="B416" s="272"/>
      <c r="C416" s="272"/>
      <c r="D416" s="272"/>
      <c r="E416" s="272"/>
      <c r="G416" s="271" t="s">
        <v>309</v>
      </c>
      <c r="H416" s="272"/>
      <c r="I416" s="272"/>
      <c r="J416" s="272"/>
      <c r="K416" s="272"/>
    </row>
    <row r="417" spans="1:11" x14ac:dyDescent="0.35">
      <c r="A417" s="269" t="s">
        <v>310</v>
      </c>
      <c r="B417" s="270"/>
      <c r="C417" s="270"/>
      <c r="D417" s="270"/>
      <c r="E417" s="270"/>
      <c r="G417" s="269" t="s">
        <v>310</v>
      </c>
      <c r="H417" s="270"/>
      <c r="I417" s="270"/>
      <c r="J417" s="270"/>
      <c r="K417" s="270"/>
    </row>
    <row r="418" spans="1:11" x14ac:dyDescent="0.35">
      <c r="A418" s="271" t="s">
        <v>317</v>
      </c>
      <c r="B418" s="272"/>
      <c r="C418" s="272"/>
      <c r="D418" s="272"/>
      <c r="E418" s="272"/>
      <c r="G418" s="271" t="s">
        <v>317</v>
      </c>
      <c r="H418" s="272"/>
      <c r="I418" s="272"/>
      <c r="J418" s="272"/>
      <c r="K418" s="272"/>
    </row>
    <row r="419" spans="1:11" x14ac:dyDescent="0.35">
      <c r="A419" s="269" t="s">
        <v>311</v>
      </c>
      <c r="B419" s="270"/>
      <c r="C419" s="270"/>
      <c r="D419" s="270"/>
      <c r="E419" s="270"/>
      <c r="G419" s="269" t="s">
        <v>311</v>
      </c>
      <c r="H419" s="270"/>
      <c r="I419" s="270"/>
      <c r="J419" s="270"/>
      <c r="K419" s="270"/>
    </row>
    <row r="420" spans="1:11" x14ac:dyDescent="0.35">
      <c r="A420" s="271" t="s">
        <v>312</v>
      </c>
      <c r="B420" s="272"/>
      <c r="C420" s="272"/>
      <c r="D420" s="272"/>
      <c r="E420" s="272"/>
      <c r="G420" s="271" t="s">
        <v>312</v>
      </c>
      <c r="H420" s="272"/>
      <c r="I420" s="272"/>
      <c r="J420" s="272"/>
      <c r="K420" s="272"/>
    </row>
    <row r="421" spans="1:11" x14ac:dyDescent="0.35">
      <c r="A421" s="231" t="s">
        <v>34</v>
      </c>
      <c r="B421" s="230">
        <f>SUM(B415:B420)</f>
        <v>0</v>
      </c>
      <c r="C421" s="230">
        <f>SUM(C415:C420)</f>
        <v>0</v>
      </c>
      <c r="D421" s="230">
        <f>SUM(D415:D420)</f>
        <v>0</v>
      </c>
      <c r="E421" s="230">
        <f>SUM(E415:E420)</f>
        <v>0</v>
      </c>
      <c r="G421" s="231" t="s">
        <v>34</v>
      </c>
      <c r="H421" s="230">
        <f>SUM(H415:H420)</f>
        <v>0</v>
      </c>
      <c r="I421" s="230">
        <f>SUM(I415:I420)</f>
        <v>0</v>
      </c>
      <c r="J421" s="230">
        <f>SUM(J415:J420)</f>
        <v>0</v>
      </c>
      <c r="K421" s="230">
        <f>SUM(K415:K420)</f>
        <v>0</v>
      </c>
    </row>
    <row r="422" spans="1:11" ht="15" thickBot="1" x14ac:dyDescent="0.4">
      <c r="A422" s="231" t="s">
        <v>313</v>
      </c>
      <c r="B422" s="230">
        <f>+B421+C421+D421+E421</f>
        <v>0</v>
      </c>
      <c r="C422" s="230"/>
      <c r="D422" s="230"/>
      <c r="E422" s="230"/>
      <c r="G422" s="231" t="s">
        <v>313</v>
      </c>
      <c r="H422" s="230">
        <f>+H421+I421+J421+K421</f>
        <v>0</v>
      </c>
      <c r="I422" s="230"/>
      <c r="J422" s="230"/>
      <c r="K422" s="230"/>
    </row>
    <row r="423" spans="1:11" ht="15.5" thickTop="1" thickBot="1" x14ac:dyDescent="0.4">
      <c r="A423" s="335" t="s">
        <v>298</v>
      </c>
      <c r="B423" s="336"/>
      <c r="C423" s="336"/>
      <c r="D423" s="336"/>
      <c r="E423" s="337"/>
      <c r="G423" s="335" t="s">
        <v>298</v>
      </c>
      <c r="H423" s="336"/>
      <c r="I423" s="336"/>
      <c r="J423" s="336"/>
      <c r="K423" s="337"/>
    </row>
    <row r="424" spans="1:11" ht="15.5" thickTop="1" thickBot="1" x14ac:dyDescent="0.4">
      <c r="A424" s="338">
        <v>45330</v>
      </c>
      <c r="B424" s="336"/>
      <c r="C424" s="336"/>
      <c r="D424" s="336"/>
      <c r="E424" s="337"/>
      <c r="G424" s="338">
        <v>45330</v>
      </c>
      <c r="H424" s="336"/>
      <c r="I424" s="336"/>
      <c r="J424" s="336"/>
      <c r="K424" s="337"/>
    </row>
    <row r="425" spans="1:11" ht="15" thickTop="1" x14ac:dyDescent="0.35">
      <c r="A425" s="267" t="s">
        <v>159</v>
      </c>
      <c r="B425" s="267" t="s">
        <v>299</v>
      </c>
      <c r="C425" s="267" t="s">
        <v>307</v>
      </c>
      <c r="D425" s="267" t="s">
        <v>301</v>
      </c>
      <c r="E425" s="268" t="s">
        <v>308</v>
      </c>
      <c r="G425" s="267" t="s">
        <v>159</v>
      </c>
      <c r="H425" s="267" t="s">
        <v>299</v>
      </c>
      <c r="I425" s="267" t="s">
        <v>307</v>
      </c>
      <c r="J425" s="267" t="s">
        <v>301</v>
      </c>
      <c r="K425" s="268" t="s">
        <v>308</v>
      </c>
    </row>
    <row r="426" spans="1:11" x14ac:dyDescent="0.35">
      <c r="A426" s="269" t="s">
        <v>316</v>
      </c>
      <c r="B426" s="270"/>
      <c r="C426" s="270"/>
      <c r="D426" s="270"/>
      <c r="E426" s="270"/>
      <c r="G426" s="269" t="s">
        <v>316</v>
      </c>
      <c r="H426" s="270"/>
      <c r="I426" s="270"/>
      <c r="J426" s="270"/>
      <c r="K426" s="270"/>
    </row>
    <row r="427" spans="1:11" x14ac:dyDescent="0.35">
      <c r="A427" s="271" t="s">
        <v>309</v>
      </c>
      <c r="B427" s="272"/>
      <c r="C427" s="272"/>
      <c r="D427" s="272"/>
      <c r="E427" s="272"/>
      <c r="G427" s="271" t="s">
        <v>309</v>
      </c>
      <c r="H427" s="272"/>
      <c r="I427" s="272"/>
      <c r="J427" s="272"/>
      <c r="K427" s="272"/>
    </row>
    <row r="428" spans="1:11" x14ac:dyDescent="0.35">
      <c r="A428" s="269" t="s">
        <v>310</v>
      </c>
      <c r="B428" s="270"/>
      <c r="C428" s="270"/>
      <c r="D428" s="270"/>
      <c r="E428" s="270"/>
      <c r="G428" s="269" t="s">
        <v>310</v>
      </c>
      <c r="H428" s="270"/>
      <c r="I428" s="270"/>
      <c r="J428" s="270"/>
      <c r="K428" s="270"/>
    </row>
    <row r="429" spans="1:11" x14ac:dyDescent="0.35">
      <c r="A429" s="271" t="s">
        <v>317</v>
      </c>
      <c r="B429" s="272"/>
      <c r="C429" s="272"/>
      <c r="D429" s="272"/>
      <c r="E429" s="272"/>
      <c r="G429" s="271" t="s">
        <v>317</v>
      </c>
      <c r="H429" s="272"/>
      <c r="I429" s="272"/>
      <c r="J429" s="272"/>
      <c r="K429" s="272"/>
    </row>
    <row r="430" spans="1:11" x14ac:dyDescent="0.35">
      <c r="A430" s="269" t="s">
        <v>311</v>
      </c>
      <c r="B430" s="270"/>
      <c r="C430" s="270"/>
      <c r="D430" s="270"/>
      <c r="E430" s="270"/>
      <c r="G430" s="269" t="s">
        <v>311</v>
      </c>
      <c r="H430" s="270"/>
      <c r="I430" s="270"/>
      <c r="J430" s="270"/>
      <c r="K430" s="270"/>
    </row>
    <row r="431" spans="1:11" x14ac:dyDescent="0.35">
      <c r="A431" s="271" t="s">
        <v>312</v>
      </c>
      <c r="B431" s="272">
        <v>609</v>
      </c>
      <c r="C431" s="272"/>
      <c r="D431" s="272"/>
      <c r="E431" s="272"/>
      <c r="G431" s="271" t="s">
        <v>312</v>
      </c>
      <c r="H431" s="272"/>
      <c r="I431" s="272"/>
      <c r="J431" s="272"/>
      <c r="K431" s="272"/>
    </row>
    <row r="432" spans="1:11" x14ac:dyDescent="0.35">
      <c r="A432" s="231" t="s">
        <v>34</v>
      </c>
      <c r="B432" s="230">
        <f>SUM(B426:B431)</f>
        <v>609</v>
      </c>
      <c r="C432" s="230">
        <f>SUM(C426:C431)</f>
        <v>0</v>
      </c>
      <c r="D432" s="230">
        <f>SUM(D426:D431)</f>
        <v>0</v>
      </c>
      <c r="E432" s="230">
        <f>SUM(E426:E431)</f>
        <v>0</v>
      </c>
      <c r="G432" s="231" t="s">
        <v>34</v>
      </c>
      <c r="H432" s="230">
        <f>SUM(H426:H431)</f>
        <v>0</v>
      </c>
      <c r="I432" s="230">
        <f>SUM(I426:I431)</f>
        <v>0</v>
      </c>
      <c r="J432" s="230">
        <f>SUM(J426:J431)</f>
        <v>0</v>
      </c>
      <c r="K432" s="230">
        <f>SUM(K426:K431)</f>
        <v>0</v>
      </c>
    </row>
    <row r="433" spans="1:11" ht="15" thickBot="1" x14ac:dyDescent="0.4">
      <c r="A433" s="231" t="s">
        <v>313</v>
      </c>
      <c r="B433" s="230">
        <f>+B432+C432+D432+E432</f>
        <v>609</v>
      </c>
      <c r="C433" s="230"/>
      <c r="D433" s="230"/>
      <c r="E433" s="230"/>
      <c r="G433" s="231" t="s">
        <v>313</v>
      </c>
      <c r="H433" s="230">
        <f>+H432+I432+J432+K432</f>
        <v>0</v>
      </c>
      <c r="I433" s="230"/>
      <c r="J433" s="230"/>
      <c r="K433" s="230"/>
    </row>
    <row r="434" spans="1:11" ht="15.5" thickTop="1" thickBot="1" x14ac:dyDescent="0.4">
      <c r="A434" s="335" t="s">
        <v>298</v>
      </c>
      <c r="B434" s="336"/>
      <c r="C434" s="336"/>
      <c r="D434" s="336"/>
      <c r="E434" s="337"/>
      <c r="G434" s="335" t="s">
        <v>298</v>
      </c>
      <c r="H434" s="336"/>
      <c r="I434" s="336"/>
      <c r="J434" s="336"/>
      <c r="K434" s="337"/>
    </row>
    <row r="435" spans="1:11" ht="15.5" thickTop="1" thickBot="1" x14ac:dyDescent="0.4">
      <c r="A435" s="338">
        <v>45331</v>
      </c>
      <c r="B435" s="336"/>
      <c r="C435" s="336"/>
      <c r="D435" s="336"/>
      <c r="E435" s="337"/>
      <c r="G435" s="338">
        <v>45331</v>
      </c>
      <c r="H435" s="336"/>
      <c r="I435" s="336"/>
      <c r="J435" s="336"/>
      <c r="K435" s="337"/>
    </row>
    <row r="436" spans="1:11" ht="15" thickTop="1" x14ac:dyDescent="0.35">
      <c r="A436" s="267" t="s">
        <v>159</v>
      </c>
      <c r="B436" s="267" t="s">
        <v>299</v>
      </c>
      <c r="C436" s="267" t="s">
        <v>307</v>
      </c>
      <c r="D436" s="267" t="s">
        <v>301</v>
      </c>
      <c r="E436" s="268" t="s">
        <v>308</v>
      </c>
      <c r="G436" s="267" t="s">
        <v>159</v>
      </c>
      <c r="H436" s="267" t="s">
        <v>299</v>
      </c>
      <c r="I436" s="267" t="s">
        <v>307</v>
      </c>
      <c r="J436" s="267" t="s">
        <v>301</v>
      </c>
      <c r="K436" s="268" t="s">
        <v>308</v>
      </c>
    </row>
    <row r="437" spans="1:11" x14ac:dyDescent="0.35">
      <c r="A437" s="269" t="s">
        <v>381</v>
      </c>
      <c r="B437" s="270">
        <v>637</v>
      </c>
      <c r="C437" s="270"/>
      <c r="D437" s="270"/>
      <c r="E437" s="270"/>
      <c r="G437" s="269" t="s">
        <v>316</v>
      </c>
      <c r="H437" s="270">
        <v>75</v>
      </c>
      <c r="I437" s="270"/>
      <c r="J437" s="270"/>
      <c r="K437" s="270"/>
    </row>
    <row r="438" spans="1:11" x14ac:dyDescent="0.35">
      <c r="A438" s="271" t="s">
        <v>309</v>
      </c>
      <c r="B438" s="272"/>
      <c r="C438" s="272"/>
      <c r="D438" s="272"/>
      <c r="E438" s="272"/>
      <c r="G438" s="271" t="s">
        <v>309</v>
      </c>
      <c r="H438" s="272"/>
      <c r="I438" s="272"/>
      <c r="J438" s="272"/>
      <c r="K438" s="272"/>
    </row>
    <row r="439" spans="1:11" x14ac:dyDescent="0.35">
      <c r="A439" s="269" t="s">
        <v>310</v>
      </c>
      <c r="B439" s="270">
        <v>2300</v>
      </c>
      <c r="C439" s="270"/>
      <c r="D439" s="270"/>
      <c r="E439" s="270"/>
      <c r="G439" s="269" t="s">
        <v>310</v>
      </c>
      <c r="H439" s="270"/>
      <c r="I439" s="270"/>
      <c r="J439" s="270"/>
      <c r="K439" s="270"/>
    </row>
    <row r="440" spans="1:11" x14ac:dyDescent="0.35">
      <c r="A440" s="271" t="s">
        <v>317</v>
      </c>
      <c r="B440" s="272"/>
      <c r="C440" s="272"/>
      <c r="D440" s="272"/>
      <c r="E440" s="272"/>
      <c r="G440" s="271" t="s">
        <v>317</v>
      </c>
      <c r="H440" s="272"/>
      <c r="I440" s="272"/>
      <c r="J440" s="272"/>
      <c r="K440" s="272"/>
    </row>
    <row r="441" spans="1:11" x14ac:dyDescent="0.35">
      <c r="A441" s="269" t="s">
        <v>311</v>
      </c>
      <c r="B441" s="270"/>
      <c r="C441" s="270"/>
      <c r="D441" s="270"/>
      <c r="E441" s="270"/>
      <c r="G441" s="269" t="s">
        <v>311</v>
      </c>
      <c r="H441" s="270"/>
      <c r="I441" s="270"/>
      <c r="J441" s="270"/>
      <c r="K441" s="270"/>
    </row>
    <row r="442" spans="1:11" x14ac:dyDescent="0.35">
      <c r="A442" s="271" t="s">
        <v>312</v>
      </c>
      <c r="B442" s="272">
        <v>10000</v>
      </c>
      <c r="C442" s="272"/>
      <c r="D442" s="272"/>
      <c r="E442" s="272"/>
      <c r="G442" s="271" t="s">
        <v>312</v>
      </c>
      <c r="H442" s="272"/>
      <c r="I442" s="272"/>
      <c r="J442" s="272"/>
      <c r="K442" s="272"/>
    </row>
    <row r="443" spans="1:11" x14ac:dyDescent="0.35">
      <c r="A443" s="231" t="s">
        <v>34</v>
      </c>
      <c r="B443" s="230">
        <f>SUM(B437:B442)</f>
        <v>12937</v>
      </c>
      <c r="C443" s="230">
        <f>SUM(C437:C442)</f>
        <v>0</v>
      </c>
      <c r="D443" s="230">
        <f>SUM(D437:D442)</f>
        <v>0</v>
      </c>
      <c r="E443" s="230">
        <f>SUM(E437:E442)</f>
        <v>0</v>
      </c>
      <c r="G443" s="231" t="s">
        <v>34</v>
      </c>
      <c r="H443" s="230">
        <f>SUM(H437:H442)</f>
        <v>75</v>
      </c>
      <c r="I443" s="230">
        <f>SUM(I437:I442)</f>
        <v>0</v>
      </c>
      <c r="J443" s="230">
        <f>SUM(J437:J442)</f>
        <v>0</v>
      </c>
      <c r="K443" s="230">
        <f>SUM(K437:K442)</f>
        <v>0</v>
      </c>
    </row>
    <row r="444" spans="1:11" ht="15" thickBot="1" x14ac:dyDescent="0.4">
      <c r="A444" s="231" t="s">
        <v>313</v>
      </c>
      <c r="B444" s="230">
        <f>+B443+C443+D443+E443</f>
        <v>12937</v>
      </c>
      <c r="C444" s="230"/>
      <c r="D444" s="230"/>
      <c r="E444" s="230"/>
      <c r="G444" s="231" t="s">
        <v>313</v>
      </c>
      <c r="H444" s="230">
        <f>+H443+I443+J443+K443</f>
        <v>75</v>
      </c>
      <c r="I444" s="230"/>
      <c r="J444" s="230"/>
      <c r="K444" s="230"/>
    </row>
    <row r="445" spans="1:11" ht="15.5" thickTop="1" thickBot="1" x14ac:dyDescent="0.4">
      <c r="A445" s="335" t="s">
        <v>298</v>
      </c>
      <c r="B445" s="336"/>
      <c r="C445" s="336"/>
      <c r="D445" s="336"/>
      <c r="E445" s="337"/>
      <c r="G445" s="335" t="s">
        <v>298</v>
      </c>
      <c r="H445" s="336"/>
      <c r="I445" s="336"/>
      <c r="J445" s="336"/>
      <c r="K445" s="337"/>
    </row>
    <row r="446" spans="1:11" ht="15.5" thickTop="1" thickBot="1" x14ac:dyDescent="0.4">
      <c r="A446" s="338">
        <v>45332</v>
      </c>
      <c r="B446" s="336"/>
      <c r="C446" s="336"/>
      <c r="D446" s="336"/>
      <c r="E446" s="337"/>
      <c r="G446" s="338">
        <v>45332</v>
      </c>
      <c r="H446" s="336"/>
      <c r="I446" s="336"/>
      <c r="J446" s="336"/>
      <c r="K446" s="337"/>
    </row>
    <row r="447" spans="1:11" ht="15" thickTop="1" x14ac:dyDescent="0.35">
      <c r="A447" s="267" t="s">
        <v>159</v>
      </c>
      <c r="B447" s="267" t="s">
        <v>299</v>
      </c>
      <c r="C447" s="267" t="s">
        <v>307</v>
      </c>
      <c r="D447" s="267" t="s">
        <v>301</v>
      </c>
      <c r="E447" s="268" t="s">
        <v>308</v>
      </c>
      <c r="G447" s="267" t="s">
        <v>159</v>
      </c>
      <c r="H447" s="267" t="s">
        <v>299</v>
      </c>
      <c r="I447" s="267" t="s">
        <v>307</v>
      </c>
      <c r="J447" s="267" t="s">
        <v>301</v>
      </c>
      <c r="K447" s="268" t="s">
        <v>308</v>
      </c>
    </row>
    <row r="448" spans="1:11" x14ac:dyDescent="0.35">
      <c r="A448" s="269" t="s">
        <v>379</v>
      </c>
      <c r="B448" s="270">
        <v>2500</v>
      </c>
      <c r="C448" s="270"/>
      <c r="D448" s="270"/>
      <c r="E448" s="270"/>
      <c r="G448" s="269" t="s">
        <v>379</v>
      </c>
      <c r="H448" s="270">
        <v>1631</v>
      </c>
      <c r="I448" s="270"/>
      <c r="J448" s="270"/>
      <c r="K448" s="270"/>
    </row>
    <row r="449" spans="1:11" x14ac:dyDescent="0.35">
      <c r="A449" s="271" t="s">
        <v>379</v>
      </c>
      <c r="B449" s="272">
        <v>1983</v>
      </c>
      <c r="C449" s="272"/>
      <c r="D449" s="272"/>
      <c r="E449" s="272"/>
      <c r="G449" s="271" t="s">
        <v>379</v>
      </c>
      <c r="H449" s="272"/>
      <c r="I449" s="272"/>
      <c r="J449" s="272"/>
      <c r="K449" s="272"/>
    </row>
    <row r="450" spans="1:11" x14ac:dyDescent="0.35">
      <c r="A450" s="269" t="s">
        <v>310</v>
      </c>
      <c r="B450" s="270"/>
      <c r="C450" s="270"/>
      <c r="D450" s="270"/>
      <c r="E450" s="270"/>
      <c r="G450" s="269" t="s">
        <v>310</v>
      </c>
      <c r="H450" s="270">
        <v>1060</v>
      </c>
      <c r="I450" s="270"/>
      <c r="J450" s="270"/>
      <c r="K450" s="270"/>
    </row>
    <row r="451" spans="1:11" x14ac:dyDescent="0.35">
      <c r="A451" s="271" t="s">
        <v>317</v>
      </c>
      <c r="B451" s="272"/>
      <c r="C451" s="272"/>
      <c r="D451" s="272"/>
      <c r="E451" s="272"/>
      <c r="G451" s="271" t="s">
        <v>367</v>
      </c>
      <c r="H451" s="272">
        <v>108</v>
      </c>
      <c r="I451" s="272"/>
      <c r="J451" s="272"/>
      <c r="K451" s="272"/>
    </row>
    <row r="452" spans="1:11" x14ac:dyDescent="0.35">
      <c r="A452" s="269" t="s">
        <v>311</v>
      </c>
      <c r="B452" s="270"/>
      <c r="C452" s="270"/>
      <c r="D452" s="270"/>
      <c r="E452" s="270"/>
      <c r="G452" s="269" t="s">
        <v>380</v>
      </c>
      <c r="H452" s="270">
        <v>1600</v>
      </c>
      <c r="I452" s="270"/>
      <c r="J452" s="270"/>
      <c r="K452" s="270"/>
    </row>
    <row r="453" spans="1:11" x14ac:dyDescent="0.35">
      <c r="A453" s="271" t="s">
        <v>312</v>
      </c>
      <c r="B453" s="272"/>
      <c r="C453" s="272"/>
      <c r="D453" s="272"/>
      <c r="E453" s="272"/>
      <c r="G453" s="271" t="s">
        <v>312</v>
      </c>
      <c r="H453" s="272"/>
      <c r="I453" s="272"/>
      <c r="J453" s="272"/>
      <c r="K453" s="272"/>
    </row>
    <row r="454" spans="1:11" x14ac:dyDescent="0.35">
      <c r="A454" s="231" t="s">
        <v>34</v>
      </c>
      <c r="B454" s="230">
        <f>SUM(B448:B453)</f>
        <v>4483</v>
      </c>
      <c r="C454" s="230">
        <f>SUM(C448:C453)</f>
        <v>0</v>
      </c>
      <c r="D454" s="230">
        <f>SUM(D448:D453)</f>
        <v>0</v>
      </c>
      <c r="E454" s="230">
        <f>SUM(E448:E453)</f>
        <v>0</v>
      </c>
      <c r="G454" s="231" t="s">
        <v>34</v>
      </c>
      <c r="H454" s="230">
        <f>SUM(H448:H453)</f>
        <v>4399</v>
      </c>
      <c r="I454" s="230">
        <f>SUM(I448:I453)</f>
        <v>0</v>
      </c>
      <c r="J454" s="230">
        <f>SUM(J448:J453)</f>
        <v>0</v>
      </c>
      <c r="K454" s="230">
        <f>SUM(K448:K453)</f>
        <v>0</v>
      </c>
    </row>
    <row r="455" spans="1:11" ht="15" thickBot="1" x14ac:dyDescent="0.4">
      <c r="A455" s="231" t="s">
        <v>313</v>
      </c>
      <c r="B455" s="230">
        <f>+B454+C454+D454+E454</f>
        <v>4483</v>
      </c>
      <c r="C455" s="230"/>
      <c r="D455" s="230"/>
      <c r="E455" s="230"/>
      <c r="G455" s="231" t="s">
        <v>313</v>
      </c>
      <c r="H455" s="230">
        <f>+H454+I454+J454+K454</f>
        <v>4399</v>
      </c>
      <c r="I455" s="230"/>
      <c r="J455" s="230"/>
      <c r="K455" s="230"/>
    </row>
    <row r="456" spans="1:11" ht="15.5" thickTop="1" thickBot="1" x14ac:dyDescent="0.4">
      <c r="A456" s="335" t="s">
        <v>298</v>
      </c>
      <c r="B456" s="336"/>
      <c r="C456" s="336"/>
      <c r="D456" s="336"/>
      <c r="E456" s="337"/>
      <c r="G456" s="335" t="s">
        <v>298</v>
      </c>
      <c r="H456" s="336"/>
      <c r="I456" s="336"/>
      <c r="J456" s="336"/>
      <c r="K456" s="337"/>
    </row>
    <row r="457" spans="1:11" ht="15.5" thickTop="1" thickBot="1" x14ac:dyDescent="0.4">
      <c r="A457" s="338">
        <v>45333</v>
      </c>
      <c r="B457" s="336"/>
      <c r="C457" s="336"/>
      <c r="D457" s="336"/>
      <c r="E457" s="337"/>
      <c r="G457" s="338">
        <v>45333</v>
      </c>
      <c r="H457" s="336"/>
      <c r="I457" s="336"/>
      <c r="J457" s="336"/>
      <c r="K457" s="337"/>
    </row>
    <row r="458" spans="1:11" ht="15" thickTop="1" x14ac:dyDescent="0.35">
      <c r="A458" s="267" t="s">
        <v>159</v>
      </c>
      <c r="B458" s="267" t="s">
        <v>299</v>
      </c>
      <c r="C458" s="267" t="s">
        <v>307</v>
      </c>
      <c r="D458" s="267" t="s">
        <v>301</v>
      </c>
      <c r="E458" s="268" t="s">
        <v>308</v>
      </c>
      <c r="G458" s="267" t="s">
        <v>159</v>
      </c>
      <c r="H458" s="267" t="s">
        <v>299</v>
      </c>
      <c r="I458" s="267" t="s">
        <v>307</v>
      </c>
      <c r="J458" s="267" t="s">
        <v>301</v>
      </c>
      <c r="K458" s="268" t="s">
        <v>308</v>
      </c>
    </row>
    <row r="459" spans="1:11" x14ac:dyDescent="0.35">
      <c r="A459" s="269" t="s">
        <v>316</v>
      </c>
      <c r="B459" s="270"/>
      <c r="C459" s="270"/>
      <c r="D459" s="270"/>
      <c r="E459" s="270"/>
      <c r="G459" s="269" t="s">
        <v>316</v>
      </c>
      <c r="H459" s="270"/>
      <c r="I459" s="270"/>
      <c r="J459" s="270"/>
      <c r="K459" s="270"/>
    </row>
    <row r="460" spans="1:11" x14ac:dyDescent="0.35">
      <c r="A460" s="271" t="s">
        <v>309</v>
      </c>
      <c r="B460" s="272"/>
      <c r="C460" s="272"/>
      <c r="D460" s="272"/>
      <c r="E460" s="272"/>
      <c r="G460" s="271" t="s">
        <v>309</v>
      </c>
      <c r="H460" s="272"/>
      <c r="I460" s="272"/>
      <c r="J460" s="272"/>
      <c r="K460" s="272"/>
    </row>
    <row r="461" spans="1:11" x14ac:dyDescent="0.35">
      <c r="A461" s="269" t="s">
        <v>310</v>
      </c>
      <c r="B461" s="270"/>
      <c r="C461" s="270"/>
      <c r="D461" s="270"/>
      <c r="E461" s="270"/>
      <c r="G461" s="269" t="s">
        <v>310</v>
      </c>
      <c r="H461" s="270"/>
      <c r="I461" s="270"/>
      <c r="J461" s="270"/>
      <c r="K461" s="270"/>
    </row>
    <row r="462" spans="1:11" x14ac:dyDescent="0.35">
      <c r="A462" s="271" t="s">
        <v>317</v>
      </c>
      <c r="B462" s="272"/>
      <c r="C462" s="272"/>
      <c r="D462" s="272"/>
      <c r="E462" s="272"/>
      <c r="G462" s="271" t="s">
        <v>317</v>
      </c>
      <c r="H462" s="272"/>
      <c r="I462" s="272"/>
      <c r="J462" s="272"/>
      <c r="K462" s="272"/>
    </row>
    <row r="463" spans="1:11" x14ac:dyDescent="0.35">
      <c r="A463" s="269" t="s">
        <v>311</v>
      </c>
      <c r="B463" s="270"/>
      <c r="C463" s="270"/>
      <c r="D463" s="270"/>
      <c r="E463" s="270"/>
      <c r="G463" s="269" t="s">
        <v>311</v>
      </c>
      <c r="H463" s="270"/>
      <c r="I463" s="270"/>
      <c r="J463" s="270"/>
      <c r="K463" s="270"/>
    </row>
    <row r="464" spans="1:11" x14ac:dyDescent="0.35">
      <c r="A464" s="271" t="s">
        <v>312</v>
      </c>
      <c r="B464" s="272">
        <v>600</v>
      </c>
      <c r="C464" s="272"/>
      <c r="D464" s="272"/>
      <c r="E464" s="272"/>
      <c r="G464" s="271" t="s">
        <v>312</v>
      </c>
      <c r="H464" s="272"/>
      <c r="I464" s="272"/>
      <c r="J464" s="272"/>
      <c r="K464" s="272"/>
    </row>
    <row r="465" spans="1:11" x14ac:dyDescent="0.35">
      <c r="A465" s="231" t="s">
        <v>34</v>
      </c>
      <c r="B465" s="230">
        <f>SUM(B459:B464)</f>
        <v>600</v>
      </c>
      <c r="C465" s="230">
        <f>SUM(C459:C464)</f>
        <v>0</v>
      </c>
      <c r="D465" s="230">
        <f>SUM(D459:D464)</f>
        <v>0</v>
      </c>
      <c r="E465" s="230">
        <f>SUM(E459:E464)</f>
        <v>0</v>
      </c>
      <c r="G465" s="231" t="s">
        <v>34</v>
      </c>
      <c r="H465" s="230">
        <f>SUM(H459:H464)</f>
        <v>0</v>
      </c>
      <c r="I465" s="230">
        <f>SUM(I459:I464)</f>
        <v>0</v>
      </c>
      <c r="J465" s="230">
        <f>SUM(J459:J464)</f>
        <v>0</v>
      </c>
      <c r="K465" s="230">
        <f>SUM(K459:K464)</f>
        <v>0</v>
      </c>
    </row>
    <row r="466" spans="1:11" ht="15" thickBot="1" x14ac:dyDescent="0.4">
      <c r="A466" s="231" t="s">
        <v>313</v>
      </c>
      <c r="B466" s="230">
        <f>+B465+C465+D465+E465</f>
        <v>600</v>
      </c>
      <c r="C466" s="230"/>
      <c r="D466" s="230"/>
      <c r="E466" s="230"/>
      <c r="G466" s="231" t="s">
        <v>313</v>
      </c>
      <c r="H466" s="230">
        <f>+H465+I465+J465+K465</f>
        <v>0</v>
      </c>
      <c r="I466" s="230"/>
      <c r="J466" s="230"/>
      <c r="K466" s="230"/>
    </row>
    <row r="467" spans="1:11" ht="15.5" thickTop="1" thickBot="1" x14ac:dyDescent="0.4">
      <c r="A467" s="335" t="s">
        <v>298</v>
      </c>
      <c r="B467" s="336"/>
      <c r="C467" s="336"/>
      <c r="D467" s="336"/>
      <c r="E467" s="337"/>
      <c r="G467" s="335" t="s">
        <v>298</v>
      </c>
      <c r="H467" s="336"/>
      <c r="I467" s="336"/>
      <c r="J467" s="336"/>
      <c r="K467" s="337"/>
    </row>
    <row r="468" spans="1:11" ht="15.5" thickTop="1" thickBot="1" x14ac:dyDescent="0.4">
      <c r="A468" s="338">
        <v>45334</v>
      </c>
      <c r="B468" s="336"/>
      <c r="C468" s="336"/>
      <c r="D468" s="336"/>
      <c r="E468" s="337"/>
      <c r="G468" s="338">
        <v>45334</v>
      </c>
      <c r="H468" s="336"/>
      <c r="I468" s="336"/>
      <c r="J468" s="336"/>
      <c r="K468" s="337"/>
    </row>
    <row r="469" spans="1:11" ht="15" thickTop="1" x14ac:dyDescent="0.35">
      <c r="A469" s="267" t="s">
        <v>159</v>
      </c>
      <c r="B469" s="267" t="s">
        <v>299</v>
      </c>
      <c r="C469" s="267" t="s">
        <v>307</v>
      </c>
      <c r="D469" s="267" t="s">
        <v>301</v>
      </c>
      <c r="E469" s="268" t="s">
        <v>308</v>
      </c>
      <c r="G469" s="267" t="s">
        <v>159</v>
      </c>
      <c r="H469" s="267" t="s">
        <v>299</v>
      </c>
      <c r="I469" s="267" t="s">
        <v>307</v>
      </c>
      <c r="J469" s="267" t="s">
        <v>301</v>
      </c>
      <c r="K469" s="268" t="s">
        <v>308</v>
      </c>
    </row>
    <row r="470" spans="1:11" x14ac:dyDescent="0.35">
      <c r="A470" s="269" t="s">
        <v>316</v>
      </c>
      <c r="B470" s="270"/>
      <c r="C470" s="270"/>
      <c r="D470" s="270"/>
      <c r="E470" s="270"/>
      <c r="G470" s="269" t="s">
        <v>316</v>
      </c>
      <c r="H470" s="270"/>
      <c r="I470" s="270"/>
      <c r="J470" s="270"/>
      <c r="K470" s="270"/>
    </row>
    <row r="471" spans="1:11" x14ac:dyDescent="0.35">
      <c r="A471" s="271" t="s">
        <v>309</v>
      </c>
      <c r="B471" s="272"/>
      <c r="C471" s="272"/>
      <c r="D471" s="272"/>
      <c r="E471" s="272"/>
      <c r="G471" s="271" t="s">
        <v>309</v>
      </c>
      <c r="H471" s="272"/>
      <c r="I471" s="272"/>
      <c r="J471" s="272"/>
      <c r="K471" s="272"/>
    </row>
    <row r="472" spans="1:11" x14ac:dyDescent="0.35">
      <c r="A472" s="269" t="s">
        <v>310</v>
      </c>
      <c r="B472" s="270"/>
      <c r="C472" s="270"/>
      <c r="D472" s="270"/>
      <c r="E472" s="270"/>
      <c r="G472" s="269" t="s">
        <v>310</v>
      </c>
      <c r="H472" s="270"/>
      <c r="I472" s="270"/>
      <c r="J472" s="270"/>
      <c r="K472" s="270"/>
    </row>
    <row r="473" spans="1:11" x14ac:dyDescent="0.35">
      <c r="A473" s="271" t="s">
        <v>317</v>
      </c>
      <c r="B473" s="272"/>
      <c r="C473" s="272"/>
      <c r="D473" s="272"/>
      <c r="E473" s="272"/>
      <c r="G473" s="271" t="s">
        <v>317</v>
      </c>
      <c r="H473" s="272"/>
      <c r="I473" s="272"/>
      <c r="J473" s="272"/>
      <c r="K473" s="272"/>
    </row>
    <row r="474" spans="1:11" x14ac:dyDescent="0.35">
      <c r="A474" s="269" t="s">
        <v>364</v>
      </c>
      <c r="B474" s="270">
        <v>100</v>
      </c>
      <c r="C474" s="270"/>
      <c r="D474" s="270"/>
      <c r="E474" s="270"/>
      <c r="G474" s="269" t="s">
        <v>311</v>
      </c>
      <c r="H474" s="270"/>
      <c r="I474" s="270"/>
      <c r="J474" s="270"/>
      <c r="K474" s="270"/>
    </row>
    <row r="475" spans="1:11" x14ac:dyDescent="0.35">
      <c r="A475" s="271" t="s">
        <v>312</v>
      </c>
      <c r="B475" s="272">
        <v>20247</v>
      </c>
      <c r="C475" s="272"/>
      <c r="D475" s="272"/>
      <c r="E475" s="272"/>
      <c r="G475" s="271" t="s">
        <v>312</v>
      </c>
      <c r="H475" s="272"/>
      <c r="I475" s="272"/>
      <c r="J475" s="272"/>
      <c r="K475" s="272"/>
    </row>
    <row r="476" spans="1:11" x14ac:dyDescent="0.35">
      <c r="A476" s="231" t="s">
        <v>34</v>
      </c>
      <c r="B476" s="230">
        <f>SUM(B470:B475)</f>
        <v>20347</v>
      </c>
      <c r="C476" s="230">
        <f>SUM(C470:C475)</f>
        <v>0</v>
      </c>
      <c r="D476" s="230">
        <f>SUM(D470:D475)</f>
        <v>0</v>
      </c>
      <c r="E476" s="230">
        <f>SUM(E470:E475)</f>
        <v>0</v>
      </c>
      <c r="G476" s="231" t="s">
        <v>34</v>
      </c>
      <c r="H476" s="230">
        <f>SUM(H470:H475)</f>
        <v>0</v>
      </c>
      <c r="I476" s="230">
        <f>SUM(I470:I475)</f>
        <v>0</v>
      </c>
      <c r="J476" s="230">
        <f>SUM(J470:J475)</f>
        <v>0</v>
      </c>
      <c r="K476" s="230">
        <f>SUM(K470:K475)</f>
        <v>0</v>
      </c>
    </row>
    <row r="477" spans="1:11" ht="15" thickBot="1" x14ac:dyDescent="0.4">
      <c r="A477" s="231" t="s">
        <v>313</v>
      </c>
      <c r="B477" s="230">
        <f>+B476+C476+D476+E476</f>
        <v>20347</v>
      </c>
      <c r="C477" s="230"/>
      <c r="D477" s="230"/>
      <c r="E477" s="230"/>
      <c r="G477" s="231" t="s">
        <v>313</v>
      </c>
      <c r="H477" s="230">
        <f>+H476+I476+J476+K476</f>
        <v>0</v>
      </c>
      <c r="I477" s="230"/>
      <c r="J477" s="230"/>
      <c r="K477" s="230"/>
    </row>
    <row r="478" spans="1:11" ht="15.5" thickTop="1" thickBot="1" x14ac:dyDescent="0.4">
      <c r="A478" s="335" t="s">
        <v>298</v>
      </c>
      <c r="B478" s="336"/>
      <c r="C478" s="336"/>
      <c r="D478" s="336"/>
      <c r="E478" s="337"/>
      <c r="G478" s="335" t="s">
        <v>298</v>
      </c>
      <c r="H478" s="336"/>
      <c r="I478" s="336"/>
      <c r="J478" s="336"/>
      <c r="K478" s="337"/>
    </row>
    <row r="479" spans="1:11" ht="15.5" thickTop="1" thickBot="1" x14ac:dyDescent="0.4">
      <c r="A479" s="338">
        <v>45335</v>
      </c>
      <c r="B479" s="336"/>
      <c r="C479" s="336"/>
      <c r="D479" s="336"/>
      <c r="E479" s="337"/>
      <c r="G479" s="338">
        <v>45335</v>
      </c>
      <c r="H479" s="336"/>
      <c r="I479" s="336"/>
      <c r="J479" s="336"/>
      <c r="K479" s="337"/>
    </row>
    <row r="480" spans="1:11" ht="15" thickTop="1" x14ac:dyDescent="0.35">
      <c r="A480" s="267" t="s">
        <v>159</v>
      </c>
      <c r="B480" s="267" t="s">
        <v>299</v>
      </c>
      <c r="C480" s="267" t="s">
        <v>307</v>
      </c>
      <c r="D480" s="267" t="s">
        <v>301</v>
      </c>
      <c r="E480" s="268" t="s">
        <v>308</v>
      </c>
      <c r="G480" s="267" t="s">
        <v>159</v>
      </c>
      <c r="H480" s="267" t="s">
        <v>299</v>
      </c>
      <c r="I480" s="267" t="s">
        <v>307</v>
      </c>
      <c r="J480" s="267" t="s">
        <v>301</v>
      </c>
      <c r="K480" s="268" t="s">
        <v>308</v>
      </c>
    </row>
    <row r="481" spans="1:11" x14ac:dyDescent="0.35">
      <c r="A481" s="269" t="s">
        <v>316</v>
      </c>
      <c r="B481" s="270"/>
      <c r="C481" s="270"/>
      <c r="D481" s="270"/>
      <c r="E481" s="270"/>
      <c r="G481" s="269" t="s">
        <v>316</v>
      </c>
      <c r="H481" s="270"/>
      <c r="I481" s="270"/>
      <c r="J481" s="270"/>
      <c r="K481" s="270"/>
    </row>
    <row r="482" spans="1:11" x14ac:dyDescent="0.35">
      <c r="A482" s="271" t="s">
        <v>309</v>
      </c>
      <c r="B482" s="272"/>
      <c r="C482" s="272"/>
      <c r="D482" s="272"/>
      <c r="E482" s="272"/>
      <c r="G482" s="271" t="s">
        <v>309</v>
      </c>
      <c r="H482" s="272"/>
      <c r="I482" s="272"/>
      <c r="J482" s="272"/>
      <c r="K482" s="272"/>
    </row>
    <row r="483" spans="1:11" x14ac:dyDescent="0.35">
      <c r="A483" s="269" t="s">
        <v>310</v>
      </c>
      <c r="B483" s="270"/>
      <c r="C483" s="270"/>
      <c r="D483" s="270"/>
      <c r="E483" s="270"/>
      <c r="G483" s="269" t="s">
        <v>310</v>
      </c>
      <c r="H483" s="270"/>
      <c r="I483" s="270"/>
      <c r="J483" s="270"/>
      <c r="K483" s="270"/>
    </row>
    <row r="484" spans="1:11" x14ac:dyDescent="0.35">
      <c r="A484" s="271" t="s">
        <v>317</v>
      </c>
      <c r="B484" s="272"/>
      <c r="C484" s="272"/>
      <c r="D484" s="272"/>
      <c r="E484" s="272"/>
      <c r="G484" s="271" t="s">
        <v>317</v>
      </c>
      <c r="H484" s="272"/>
      <c r="I484" s="272"/>
      <c r="J484" s="272"/>
      <c r="K484" s="272"/>
    </row>
    <row r="485" spans="1:11" x14ac:dyDescent="0.35">
      <c r="A485" s="269" t="s">
        <v>311</v>
      </c>
      <c r="B485" s="270"/>
      <c r="C485" s="270"/>
      <c r="D485" s="270"/>
      <c r="E485" s="270"/>
      <c r="G485" s="269" t="s">
        <v>311</v>
      </c>
      <c r="H485" s="270"/>
      <c r="I485" s="270"/>
      <c r="J485" s="270"/>
      <c r="K485" s="270"/>
    </row>
    <row r="486" spans="1:11" x14ac:dyDescent="0.35">
      <c r="A486" s="271" t="s">
        <v>312</v>
      </c>
      <c r="B486" s="272">
        <v>14912</v>
      </c>
      <c r="C486" s="272"/>
      <c r="D486" s="272"/>
      <c r="E486" s="272"/>
      <c r="G486" s="271" t="s">
        <v>312</v>
      </c>
      <c r="H486" s="272"/>
      <c r="I486" s="272"/>
      <c r="J486" s="272"/>
      <c r="K486" s="272"/>
    </row>
    <row r="487" spans="1:11" x14ac:dyDescent="0.35">
      <c r="A487" s="231" t="s">
        <v>34</v>
      </c>
      <c r="B487" s="230">
        <f>SUM(B481:B486)</f>
        <v>14912</v>
      </c>
      <c r="C487" s="230">
        <f>SUM(C481:C486)</f>
        <v>0</v>
      </c>
      <c r="D487" s="230">
        <f>SUM(D481:D486)</f>
        <v>0</v>
      </c>
      <c r="E487" s="230">
        <f>SUM(E481:E486)</f>
        <v>0</v>
      </c>
      <c r="G487" s="231" t="s">
        <v>34</v>
      </c>
      <c r="H487" s="230">
        <f>SUM(H481:H486)</f>
        <v>0</v>
      </c>
      <c r="I487" s="230">
        <f>SUM(I481:I486)</f>
        <v>0</v>
      </c>
      <c r="J487" s="230">
        <f>SUM(J481:J486)</f>
        <v>0</v>
      </c>
      <c r="K487" s="230">
        <f>SUM(K481:K486)</f>
        <v>0</v>
      </c>
    </row>
    <row r="488" spans="1:11" ht="15" thickBot="1" x14ac:dyDescent="0.4">
      <c r="A488" s="231" t="s">
        <v>313</v>
      </c>
      <c r="B488" s="230">
        <f>+B487+C487+D487+E487</f>
        <v>14912</v>
      </c>
      <c r="C488" s="230"/>
      <c r="D488" s="230"/>
      <c r="E488" s="230"/>
      <c r="G488" s="231" t="s">
        <v>313</v>
      </c>
      <c r="H488" s="230">
        <f>+H487+I487+J487+K487</f>
        <v>0</v>
      </c>
      <c r="I488" s="230"/>
      <c r="J488" s="230"/>
      <c r="K488" s="230"/>
    </row>
    <row r="489" spans="1:11" ht="15.5" thickTop="1" thickBot="1" x14ac:dyDescent="0.4">
      <c r="A489" s="335" t="s">
        <v>298</v>
      </c>
      <c r="B489" s="336"/>
      <c r="C489" s="336"/>
      <c r="D489" s="336"/>
      <c r="E489" s="337"/>
      <c r="G489" s="335" t="s">
        <v>298</v>
      </c>
      <c r="H489" s="336"/>
      <c r="I489" s="336"/>
      <c r="J489" s="336"/>
      <c r="K489" s="337"/>
    </row>
    <row r="490" spans="1:11" ht="15.5" thickTop="1" thickBot="1" x14ac:dyDescent="0.4">
      <c r="A490" s="338">
        <v>45336</v>
      </c>
      <c r="B490" s="336"/>
      <c r="C490" s="336"/>
      <c r="D490" s="336"/>
      <c r="E490" s="337"/>
      <c r="G490" s="338">
        <v>45336</v>
      </c>
      <c r="H490" s="336"/>
      <c r="I490" s="336"/>
      <c r="J490" s="336"/>
      <c r="K490" s="337"/>
    </row>
    <row r="491" spans="1:11" ht="15" thickTop="1" x14ac:dyDescent="0.35">
      <c r="A491" s="267" t="s">
        <v>159</v>
      </c>
      <c r="B491" s="267" t="s">
        <v>299</v>
      </c>
      <c r="C491" s="267" t="s">
        <v>307</v>
      </c>
      <c r="D491" s="267" t="s">
        <v>301</v>
      </c>
      <c r="E491" s="268" t="s">
        <v>308</v>
      </c>
      <c r="G491" s="267" t="s">
        <v>159</v>
      </c>
      <c r="H491" s="267" t="s">
        <v>299</v>
      </c>
      <c r="I491" s="267" t="s">
        <v>307</v>
      </c>
      <c r="J491" s="267" t="s">
        <v>301</v>
      </c>
      <c r="K491" s="268" t="s">
        <v>308</v>
      </c>
    </row>
    <row r="492" spans="1:11" x14ac:dyDescent="0.35">
      <c r="A492" s="269" t="s">
        <v>364</v>
      </c>
      <c r="B492" s="270">
        <v>50</v>
      </c>
      <c r="C492" s="270"/>
      <c r="D492" s="270"/>
      <c r="E492" s="270"/>
      <c r="G492" s="269" t="s">
        <v>316</v>
      </c>
      <c r="H492" s="270"/>
      <c r="I492" s="270"/>
      <c r="J492" s="270"/>
      <c r="K492" s="270"/>
    </row>
    <row r="493" spans="1:11" x14ac:dyDescent="0.35">
      <c r="A493" s="271" t="s">
        <v>309</v>
      </c>
      <c r="B493" s="272"/>
      <c r="C493" s="272"/>
      <c r="D493" s="272"/>
      <c r="E493" s="272"/>
      <c r="G493" s="271" t="s">
        <v>309</v>
      </c>
      <c r="H493" s="272"/>
      <c r="I493" s="272"/>
      <c r="J493" s="272"/>
      <c r="K493" s="272"/>
    </row>
    <row r="494" spans="1:11" x14ac:dyDescent="0.35">
      <c r="A494" s="269" t="s">
        <v>310</v>
      </c>
      <c r="B494" s="270">
        <v>580</v>
      </c>
      <c r="C494" s="270"/>
      <c r="D494" s="270"/>
      <c r="E494" s="270"/>
      <c r="G494" s="269" t="s">
        <v>310</v>
      </c>
      <c r="H494" s="270"/>
      <c r="I494" s="270"/>
      <c r="J494" s="270"/>
      <c r="K494" s="270"/>
    </row>
    <row r="495" spans="1:11" x14ac:dyDescent="0.35">
      <c r="A495" s="271" t="s">
        <v>317</v>
      </c>
      <c r="B495" s="272"/>
      <c r="C495" s="272"/>
      <c r="D495" s="272"/>
      <c r="E495" s="272"/>
      <c r="G495" s="271" t="s">
        <v>317</v>
      </c>
      <c r="H495" s="272"/>
      <c r="I495" s="272"/>
      <c r="J495" s="272"/>
      <c r="K495" s="272"/>
    </row>
    <row r="496" spans="1:11" x14ac:dyDescent="0.35">
      <c r="A496" s="269" t="s">
        <v>311</v>
      </c>
      <c r="B496" s="270"/>
      <c r="C496" s="270"/>
      <c r="D496" s="270"/>
      <c r="E496" s="270"/>
      <c r="G496" s="269" t="s">
        <v>311</v>
      </c>
      <c r="H496" s="270"/>
      <c r="I496" s="270"/>
      <c r="J496" s="270"/>
      <c r="K496" s="270"/>
    </row>
    <row r="497" spans="1:11" x14ac:dyDescent="0.35">
      <c r="A497" s="271" t="s">
        <v>312</v>
      </c>
      <c r="B497" s="272"/>
      <c r="C497" s="272"/>
      <c r="D497" s="272"/>
      <c r="E497" s="272"/>
      <c r="G497" s="271" t="s">
        <v>312</v>
      </c>
      <c r="H497" s="272"/>
      <c r="I497" s="272"/>
      <c r="J497" s="272"/>
      <c r="K497" s="272"/>
    </row>
    <row r="498" spans="1:11" x14ac:dyDescent="0.35">
      <c r="A498" s="231" t="s">
        <v>34</v>
      </c>
      <c r="B498" s="230">
        <f>SUM(B492:B497)</f>
        <v>630</v>
      </c>
      <c r="C498" s="230">
        <f>SUM(C492:C497)</f>
        <v>0</v>
      </c>
      <c r="D498" s="230">
        <f>SUM(D492:D497)</f>
        <v>0</v>
      </c>
      <c r="E498" s="230">
        <f>SUM(E492:E497)</f>
        <v>0</v>
      </c>
      <c r="G498" s="231" t="s">
        <v>34</v>
      </c>
      <c r="H498" s="230">
        <f>SUM(H492:H497)</f>
        <v>0</v>
      </c>
      <c r="I498" s="230">
        <f>SUM(I492:I497)</f>
        <v>0</v>
      </c>
      <c r="J498" s="230">
        <f>SUM(J492:J497)</f>
        <v>0</v>
      </c>
      <c r="K498" s="230">
        <f>SUM(K492:K497)</f>
        <v>0</v>
      </c>
    </row>
    <row r="499" spans="1:11" ht="15" thickBot="1" x14ac:dyDescent="0.4">
      <c r="A499" s="231" t="s">
        <v>313</v>
      </c>
      <c r="B499" s="230">
        <f>+B498+C498+D498+E498</f>
        <v>630</v>
      </c>
      <c r="C499" s="230"/>
      <c r="D499" s="230"/>
      <c r="E499" s="230"/>
      <c r="G499" s="231" t="s">
        <v>313</v>
      </c>
      <c r="H499" s="230">
        <f>+H498+I498+J498+K498</f>
        <v>0</v>
      </c>
      <c r="I499" s="230"/>
      <c r="J499" s="230"/>
      <c r="K499" s="230"/>
    </row>
    <row r="500" spans="1:11" ht="15.5" thickTop="1" thickBot="1" x14ac:dyDescent="0.4">
      <c r="A500" s="335" t="s">
        <v>298</v>
      </c>
      <c r="B500" s="336"/>
      <c r="C500" s="336"/>
      <c r="D500" s="336"/>
      <c r="E500" s="337"/>
      <c r="G500" s="335" t="s">
        <v>298</v>
      </c>
      <c r="H500" s="336"/>
      <c r="I500" s="336"/>
      <c r="J500" s="336"/>
      <c r="K500" s="337"/>
    </row>
    <row r="501" spans="1:11" ht="15.5" thickTop="1" thickBot="1" x14ac:dyDescent="0.4">
      <c r="A501" s="338">
        <v>45337</v>
      </c>
      <c r="B501" s="336"/>
      <c r="C501" s="336"/>
      <c r="D501" s="336"/>
      <c r="E501" s="337"/>
      <c r="G501" s="338">
        <v>45337</v>
      </c>
      <c r="H501" s="336"/>
      <c r="I501" s="336"/>
      <c r="J501" s="336"/>
      <c r="K501" s="337"/>
    </row>
    <row r="502" spans="1:11" ht="15" thickTop="1" x14ac:dyDescent="0.35">
      <c r="A502" s="267" t="s">
        <v>159</v>
      </c>
      <c r="B502" s="267" t="s">
        <v>299</v>
      </c>
      <c r="C502" s="267" t="s">
        <v>307</v>
      </c>
      <c r="D502" s="267" t="s">
        <v>301</v>
      </c>
      <c r="E502" s="268" t="s">
        <v>308</v>
      </c>
      <c r="G502" s="267" t="s">
        <v>159</v>
      </c>
      <c r="H502" s="267" t="s">
        <v>299</v>
      </c>
      <c r="I502" s="267" t="s">
        <v>307</v>
      </c>
      <c r="J502" s="267" t="s">
        <v>301</v>
      </c>
      <c r="K502" s="268" t="s">
        <v>308</v>
      </c>
    </row>
    <row r="503" spans="1:11" x14ac:dyDescent="0.35">
      <c r="A503" s="269" t="s">
        <v>316</v>
      </c>
      <c r="B503" s="270">
        <v>75</v>
      </c>
      <c r="C503" s="270"/>
      <c r="D503" s="270"/>
      <c r="E503" s="270"/>
      <c r="G503" s="269" t="s">
        <v>316</v>
      </c>
      <c r="H503" s="270"/>
      <c r="I503" s="270"/>
      <c r="J503" s="270"/>
      <c r="K503" s="270"/>
    </row>
    <row r="504" spans="1:11" x14ac:dyDescent="0.35">
      <c r="A504" s="271" t="s">
        <v>309</v>
      </c>
      <c r="B504" s="272"/>
      <c r="C504" s="272"/>
      <c r="D504" s="272"/>
      <c r="E504" s="272"/>
      <c r="G504" s="271" t="s">
        <v>309</v>
      </c>
      <c r="H504" s="272"/>
      <c r="I504" s="272"/>
      <c r="J504" s="272"/>
      <c r="K504" s="272"/>
    </row>
    <row r="505" spans="1:11" x14ac:dyDescent="0.35">
      <c r="A505" s="269" t="s">
        <v>310</v>
      </c>
      <c r="B505" s="270">
        <v>2300</v>
      </c>
      <c r="C505" s="270"/>
      <c r="D505" s="270"/>
      <c r="E505" s="270"/>
      <c r="G505" s="269" t="s">
        <v>310</v>
      </c>
      <c r="H505" s="270"/>
      <c r="I505" s="270"/>
      <c r="J505" s="270"/>
      <c r="K505" s="270"/>
    </row>
    <row r="506" spans="1:11" x14ac:dyDescent="0.35">
      <c r="A506" s="271" t="s">
        <v>317</v>
      </c>
      <c r="B506" s="272"/>
      <c r="C506" s="272"/>
      <c r="D506" s="272"/>
      <c r="E506" s="272"/>
      <c r="G506" s="271" t="s">
        <v>317</v>
      </c>
      <c r="H506" s="272"/>
      <c r="I506" s="272"/>
      <c r="J506" s="272"/>
      <c r="K506" s="272"/>
    </row>
    <row r="507" spans="1:11" x14ac:dyDescent="0.35">
      <c r="A507" s="269" t="s">
        <v>311</v>
      </c>
      <c r="B507" s="270"/>
      <c r="C507" s="270"/>
      <c r="D507" s="270"/>
      <c r="E507" s="270"/>
      <c r="G507" s="269" t="s">
        <v>311</v>
      </c>
      <c r="H507" s="270"/>
      <c r="I507" s="270"/>
      <c r="J507" s="270"/>
      <c r="K507" s="270"/>
    </row>
    <row r="508" spans="1:11" x14ac:dyDescent="0.35">
      <c r="A508" s="271" t="s">
        <v>312</v>
      </c>
      <c r="B508" s="272">
        <v>6680</v>
      </c>
      <c r="C508" s="272"/>
      <c r="D508" s="272"/>
      <c r="E508" s="272"/>
      <c r="G508" s="271" t="s">
        <v>312</v>
      </c>
      <c r="H508" s="272"/>
      <c r="I508" s="272"/>
      <c r="J508" s="272"/>
      <c r="K508" s="272"/>
    </row>
    <row r="509" spans="1:11" x14ac:dyDescent="0.35">
      <c r="A509" s="231" t="s">
        <v>34</v>
      </c>
      <c r="B509" s="230">
        <f>SUM(B503:B508)</f>
        <v>9055</v>
      </c>
      <c r="C509" s="230">
        <f>SUM(C503:C508)</f>
        <v>0</v>
      </c>
      <c r="D509" s="230">
        <f>SUM(D503:D508)</f>
        <v>0</v>
      </c>
      <c r="E509" s="230">
        <f>SUM(E503:E508)</f>
        <v>0</v>
      </c>
      <c r="G509" s="231" t="s">
        <v>34</v>
      </c>
      <c r="H509" s="230">
        <f>SUM(H503:H508)</f>
        <v>0</v>
      </c>
      <c r="I509" s="230">
        <f>SUM(I503:I508)</f>
        <v>0</v>
      </c>
      <c r="J509" s="230">
        <f>SUM(J503:J508)</f>
        <v>0</v>
      </c>
      <c r="K509" s="230">
        <f>SUM(K503:K508)</f>
        <v>0</v>
      </c>
    </row>
    <row r="510" spans="1:11" ht="15" thickBot="1" x14ac:dyDescent="0.4">
      <c r="A510" s="231" t="s">
        <v>313</v>
      </c>
      <c r="B510" s="230">
        <f>+B509+C509+D509+E509</f>
        <v>9055</v>
      </c>
      <c r="C510" s="230"/>
      <c r="D510" s="230"/>
      <c r="E510" s="230"/>
      <c r="G510" s="231" t="s">
        <v>313</v>
      </c>
      <c r="H510" s="230">
        <f>+H509+I509+J509+K509</f>
        <v>0</v>
      </c>
      <c r="I510" s="230"/>
      <c r="J510" s="230"/>
      <c r="K510" s="230"/>
    </row>
    <row r="511" spans="1:11" ht="15.5" thickTop="1" thickBot="1" x14ac:dyDescent="0.4">
      <c r="A511" s="335" t="s">
        <v>298</v>
      </c>
      <c r="B511" s="336"/>
      <c r="C511" s="336"/>
      <c r="D511" s="336"/>
      <c r="E511" s="337"/>
      <c r="G511" s="335" t="s">
        <v>298</v>
      </c>
      <c r="H511" s="336"/>
      <c r="I511" s="336"/>
      <c r="J511" s="336"/>
      <c r="K511" s="337"/>
    </row>
    <row r="512" spans="1:11" ht="15.5" thickTop="1" thickBot="1" x14ac:dyDescent="0.4">
      <c r="A512" s="338">
        <v>45338</v>
      </c>
      <c r="B512" s="336"/>
      <c r="C512" s="336"/>
      <c r="D512" s="336"/>
      <c r="E512" s="337"/>
      <c r="G512" s="338">
        <v>45338</v>
      </c>
      <c r="H512" s="336"/>
      <c r="I512" s="336"/>
      <c r="J512" s="336"/>
      <c r="K512" s="337"/>
    </row>
    <row r="513" spans="1:11" ht="15" thickTop="1" x14ac:dyDescent="0.35">
      <c r="A513" s="267" t="s">
        <v>159</v>
      </c>
      <c r="B513" s="267" t="s">
        <v>299</v>
      </c>
      <c r="C513" s="267" t="s">
        <v>307</v>
      </c>
      <c r="D513" s="267" t="s">
        <v>301</v>
      </c>
      <c r="E513" s="268" t="s">
        <v>308</v>
      </c>
      <c r="G513" s="267" t="s">
        <v>159</v>
      </c>
      <c r="H513" s="267" t="s">
        <v>299</v>
      </c>
      <c r="I513" s="267" t="s">
        <v>307</v>
      </c>
      <c r="J513" s="267" t="s">
        <v>301</v>
      </c>
      <c r="K513" s="268" t="s">
        <v>308</v>
      </c>
    </row>
    <row r="514" spans="1:11" x14ac:dyDescent="0.35">
      <c r="A514" s="269" t="s">
        <v>316</v>
      </c>
      <c r="B514" s="270"/>
      <c r="C514" s="270"/>
      <c r="D514" s="270"/>
      <c r="E514" s="270"/>
      <c r="G514" s="269" t="s">
        <v>316</v>
      </c>
      <c r="H514" s="270"/>
      <c r="I514" s="270"/>
      <c r="J514" s="270"/>
      <c r="K514" s="270"/>
    </row>
    <row r="515" spans="1:11" x14ac:dyDescent="0.35">
      <c r="A515" s="271" t="s">
        <v>309</v>
      </c>
      <c r="B515" s="272"/>
      <c r="C515" s="272"/>
      <c r="D515" s="272"/>
      <c r="E515" s="272"/>
      <c r="G515" s="271" t="s">
        <v>309</v>
      </c>
      <c r="H515" s="272"/>
      <c r="I515" s="272"/>
      <c r="J515" s="272"/>
      <c r="K515" s="272"/>
    </row>
    <row r="516" spans="1:11" x14ac:dyDescent="0.35">
      <c r="A516" s="269" t="s">
        <v>310</v>
      </c>
      <c r="B516" s="270"/>
      <c r="C516" s="270"/>
      <c r="D516" s="270"/>
      <c r="E516" s="270"/>
      <c r="G516" s="269" t="s">
        <v>310</v>
      </c>
      <c r="H516" s="270"/>
      <c r="I516" s="270"/>
      <c r="J516" s="270"/>
      <c r="K516" s="270"/>
    </row>
    <row r="517" spans="1:11" x14ac:dyDescent="0.35">
      <c r="A517" s="271" t="s">
        <v>317</v>
      </c>
      <c r="B517" s="272"/>
      <c r="C517" s="272"/>
      <c r="D517" s="272"/>
      <c r="E517" s="272"/>
      <c r="G517" s="271" t="s">
        <v>317</v>
      </c>
      <c r="H517" s="272"/>
      <c r="I517" s="272"/>
      <c r="J517" s="272"/>
      <c r="K517" s="272"/>
    </row>
    <row r="518" spans="1:11" x14ac:dyDescent="0.35">
      <c r="A518" s="269" t="s">
        <v>311</v>
      </c>
      <c r="B518" s="270"/>
      <c r="C518" s="270"/>
      <c r="D518" s="270"/>
      <c r="E518" s="270"/>
      <c r="G518" s="269" t="s">
        <v>311</v>
      </c>
      <c r="H518" s="270"/>
      <c r="I518" s="270"/>
      <c r="J518" s="270"/>
      <c r="K518" s="270"/>
    </row>
    <row r="519" spans="1:11" x14ac:dyDescent="0.35">
      <c r="A519" s="271" t="s">
        <v>312</v>
      </c>
      <c r="B519" s="272"/>
      <c r="C519" s="272"/>
      <c r="D519" s="272"/>
      <c r="E519" s="272"/>
      <c r="G519" s="271" t="s">
        <v>312</v>
      </c>
      <c r="H519" s="272"/>
      <c r="I519" s="272"/>
      <c r="J519" s="272"/>
      <c r="K519" s="272"/>
    </row>
    <row r="520" spans="1:11" x14ac:dyDescent="0.35">
      <c r="A520" s="231" t="s">
        <v>34</v>
      </c>
      <c r="B520" s="230">
        <f>SUM(B514:B519)</f>
        <v>0</v>
      </c>
      <c r="C520" s="230">
        <f>SUM(C514:C519)</f>
        <v>0</v>
      </c>
      <c r="D520" s="230">
        <f>SUM(D514:D519)</f>
        <v>0</v>
      </c>
      <c r="E520" s="230">
        <f>SUM(E514:E519)</f>
        <v>0</v>
      </c>
      <c r="G520" s="231" t="s">
        <v>34</v>
      </c>
      <c r="H520" s="230">
        <f>SUM(H514:H519)</f>
        <v>0</v>
      </c>
      <c r="I520" s="230">
        <f>SUM(I514:I519)</f>
        <v>0</v>
      </c>
      <c r="J520" s="230">
        <f>SUM(J514:J519)</f>
        <v>0</v>
      </c>
      <c r="K520" s="230">
        <f>SUM(K514:K519)</f>
        <v>0</v>
      </c>
    </row>
    <row r="521" spans="1:11" ht="15" thickBot="1" x14ac:dyDescent="0.4">
      <c r="A521" s="231" t="s">
        <v>313</v>
      </c>
      <c r="B521" s="230">
        <f>+B520+C520+D520+E520</f>
        <v>0</v>
      </c>
      <c r="C521" s="230"/>
      <c r="D521" s="230"/>
      <c r="E521" s="230"/>
      <c r="G521" s="231" t="s">
        <v>313</v>
      </c>
      <c r="H521" s="230">
        <f>+H520+I520+J520+K520</f>
        <v>0</v>
      </c>
      <c r="I521" s="230"/>
      <c r="J521" s="230"/>
      <c r="K521" s="230"/>
    </row>
    <row r="522" spans="1:11" ht="15.5" thickTop="1" thickBot="1" x14ac:dyDescent="0.4">
      <c r="A522" s="335" t="s">
        <v>298</v>
      </c>
      <c r="B522" s="336"/>
      <c r="C522" s="336"/>
      <c r="D522" s="336"/>
      <c r="E522" s="337"/>
      <c r="G522" s="335" t="s">
        <v>298</v>
      </c>
      <c r="H522" s="336"/>
      <c r="I522" s="336"/>
      <c r="J522" s="336"/>
      <c r="K522" s="337"/>
    </row>
    <row r="523" spans="1:11" ht="15.5" thickTop="1" thickBot="1" x14ac:dyDescent="0.4">
      <c r="A523" s="338">
        <v>45339</v>
      </c>
      <c r="B523" s="336"/>
      <c r="C523" s="336"/>
      <c r="D523" s="336"/>
      <c r="E523" s="337"/>
      <c r="G523" s="338">
        <v>45339</v>
      </c>
      <c r="H523" s="336"/>
      <c r="I523" s="336"/>
      <c r="J523" s="336"/>
      <c r="K523" s="337"/>
    </row>
    <row r="524" spans="1:11" ht="15" thickTop="1" x14ac:dyDescent="0.35">
      <c r="A524" s="267" t="s">
        <v>159</v>
      </c>
      <c r="B524" s="267" t="s">
        <v>299</v>
      </c>
      <c r="C524" s="267" t="s">
        <v>307</v>
      </c>
      <c r="D524" s="267" t="s">
        <v>301</v>
      </c>
      <c r="E524" s="268" t="s">
        <v>308</v>
      </c>
      <c r="G524" s="267" t="s">
        <v>159</v>
      </c>
      <c r="H524" s="267" t="s">
        <v>299</v>
      </c>
      <c r="I524" s="267" t="s">
        <v>307</v>
      </c>
      <c r="J524" s="267" t="s">
        <v>301</v>
      </c>
      <c r="K524" s="268" t="s">
        <v>308</v>
      </c>
    </row>
    <row r="525" spans="1:11" x14ac:dyDescent="0.35">
      <c r="A525" s="269" t="s">
        <v>379</v>
      </c>
      <c r="B525" s="270">
        <v>2500</v>
      </c>
      <c r="C525" s="270"/>
      <c r="D525" s="270"/>
      <c r="E525" s="270"/>
      <c r="G525" s="269" t="s">
        <v>379</v>
      </c>
      <c r="H525" s="270">
        <v>1400</v>
      </c>
      <c r="I525" s="270"/>
      <c r="J525" s="270"/>
      <c r="K525" s="270"/>
    </row>
    <row r="526" spans="1:11" x14ac:dyDescent="0.35">
      <c r="A526" s="271" t="s">
        <v>379</v>
      </c>
      <c r="B526" s="272">
        <v>1700</v>
      </c>
      <c r="C526" s="272"/>
      <c r="D526" s="272"/>
      <c r="E526" s="272"/>
      <c r="G526" s="271" t="s">
        <v>309</v>
      </c>
      <c r="H526" s="272"/>
      <c r="I526" s="272"/>
      <c r="J526" s="272"/>
      <c r="K526" s="272"/>
    </row>
    <row r="527" spans="1:11" x14ac:dyDescent="0.35">
      <c r="A527" s="269" t="s">
        <v>310</v>
      </c>
      <c r="B527" s="270">
        <v>130</v>
      </c>
      <c r="C527" s="270"/>
      <c r="D527" s="270"/>
      <c r="E527" s="270"/>
      <c r="G527" s="269" t="s">
        <v>310</v>
      </c>
      <c r="H527" s="270"/>
      <c r="I527" s="270"/>
      <c r="J527" s="270"/>
      <c r="K527" s="270"/>
    </row>
    <row r="528" spans="1:11" x14ac:dyDescent="0.35">
      <c r="A528" s="271" t="s">
        <v>317</v>
      </c>
      <c r="B528" s="272"/>
      <c r="C528" s="272"/>
      <c r="D528" s="272"/>
      <c r="E528" s="272"/>
      <c r="G528" s="271" t="s">
        <v>317</v>
      </c>
      <c r="H528" s="272"/>
      <c r="I528" s="272"/>
      <c r="J528" s="272"/>
      <c r="K528" s="272"/>
    </row>
    <row r="529" spans="1:11" x14ac:dyDescent="0.35">
      <c r="A529" s="269" t="s">
        <v>311</v>
      </c>
      <c r="B529" s="270"/>
      <c r="C529" s="270"/>
      <c r="D529" s="270"/>
      <c r="E529" s="270"/>
      <c r="G529" s="269" t="s">
        <v>311</v>
      </c>
      <c r="H529" s="270"/>
      <c r="I529" s="270"/>
      <c r="J529" s="270"/>
      <c r="K529" s="270"/>
    </row>
    <row r="530" spans="1:11" x14ac:dyDescent="0.35">
      <c r="A530" s="271" t="s">
        <v>312</v>
      </c>
      <c r="B530" s="272"/>
      <c r="C530" s="272"/>
      <c r="D530" s="272"/>
      <c r="E530" s="272"/>
      <c r="G530" s="271" t="s">
        <v>312</v>
      </c>
      <c r="H530" s="272"/>
      <c r="I530" s="272"/>
      <c r="J530" s="272"/>
      <c r="K530" s="272"/>
    </row>
    <row r="531" spans="1:11" x14ac:dyDescent="0.35">
      <c r="A531" s="231" t="s">
        <v>34</v>
      </c>
      <c r="B531" s="230">
        <f>SUM(B525:B530)</f>
        <v>4330</v>
      </c>
      <c r="C531" s="230">
        <f>SUM(C525:C530)</f>
        <v>0</v>
      </c>
      <c r="D531" s="230">
        <f>SUM(D525:D530)</f>
        <v>0</v>
      </c>
      <c r="E531" s="230">
        <f>SUM(E525:E530)</f>
        <v>0</v>
      </c>
      <c r="G531" s="231" t="s">
        <v>34</v>
      </c>
      <c r="H531" s="230">
        <f>SUM(H525:H530)</f>
        <v>1400</v>
      </c>
      <c r="I531" s="230">
        <f>SUM(I525:I530)</f>
        <v>0</v>
      </c>
      <c r="J531" s="230">
        <f>SUM(J525:J530)</f>
        <v>0</v>
      </c>
      <c r="K531" s="230">
        <f>SUM(K525:K530)</f>
        <v>0</v>
      </c>
    </row>
    <row r="532" spans="1:11" ht="15" thickBot="1" x14ac:dyDescent="0.4">
      <c r="A532" s="231" t="s">
        <v>313</v>
      </c>
      <c r="B532" s="230">
        <f>+B531+C531+D531+E531</f>
        <v>4330</v>
      </c>
      <c r="C532" s="230"/>
      <c r="D532" s="230"/>
      <c r="E532" s="230"/>
      <c r="G532" s="231" t="s">
        <v>313</v>
      </c>
      <c r="H532" s="230">
        <f>+H531+I531+J531+K531</f>
        <v>1400</v>
      </c>
      <c r="I532" s="230"/>
      <c r="J532" s="230"/>
      <c r="K532" s="230"/>
    </row>
    <row r="533" spans="1:11" ht="15.5" thickTop="1" thickBot="1" x14ac:dyDescent="0.4">
      <c r="A533" s="335" t="s">
        <v>298</v>
      </c>
      <c r="B533" s="336"/>
      <c r="C533" s="336"/>
      <c r="D533" s="336"/>
      <c r="E533" s="337"/>
      <c r="G533" s="335" t="s">
        <v>298</v>
      </c>
      <c r="H533" s="336"/>
      <c r="I533" s="336"/>
      <c r="J533" s="336"/>
      <c r="K533" s="337"/>
    </row>
    <row r="534" spans="1:11" ht="15.5" thickTop="1" thickBot="1" x14ac:dyDescent="0.4">
      <c r="A534" s="338">
        <v>45340</v>
      </c>
      <c r="B534" s="336"/>
      <c r="C534" s="336"/>
      <c r="D534" s="336"/>
      <c r="E534" s="337"/>
      <c r="G534" s="338">
        <v>45340</v>
      </c>
      <c r="H534" s="336"/>
      <c r="I534" s="336"/>
      <c r="J534" s="336"/>
      <c r="K534" s="337"/>
    </row>
    <row r="535" spans="1:11" ht="15" thickTop="1" x14ac:dyDescent="0.35">
      <c r="A535" s="267" t="s">
        <v>159</v>
      </c>
      <c r="B535" s="267" t="s">
        <v>299</v>
      </c>
      <c r="C535" s="267" t="s">
        <v>307</v>
      </c>
      <c r="D535" s="267" t="s">
        <v>301</v>
      </c>
      <c r="E535" s="268" t="s">
        <v>308</v>
      </c>
      <c r="G535" s="267" t="s">
        <v>159</v>
      </c>
      <c r="H535" s="267" t="s">
        <v>299</v>
      </c>
      <c r="I535" s="267" t="s">
        <v>307</v>
      </c>
      <c r="J535" s="267" t="s">
        <v>301</v>
      </c>
      <c r="K535" s="268" t="s">
        <v>308</v>
      </c>
    </row>
    <row r="536" spans="1:11" x14ac:dyDescent="0.35">
      <c r="A536" s="269" t="s">
        <v>316</v>
      </c>
      <c r="B536" s="270"/>
      <c r="C536" s="270"/>
      <c r="D536" s="270"/>
      <c r="E536" s="270"/>
      <c r="G536" s="269" t="s">
        <v>316</v>
      </c>
      <c r="H536" s="270"/>
      <c r="I536" s="270"/>
      <c r="J536" s="270"/>
      <c r="K536" s="270"/>
    </row>
    <row r="537" spans="1:11" x14ac:dyDescent="0.35">
      <c r="A537" s="271" t="s">
        <v>309</v>
      </c>
      <c r="B537" s="272"/>
      <c r="C537" s="272"/>
      <c r="D537" s="272"/>
      <c r="E537" s="272"/>
      <c r="G537" s="271" t="s">
        <v>309</v>
      </c>
      <c r="H537" s="272"/>
      <c r="I537" s="272"/>
      <c r="J537" s="272"/>
      <c r="K537" s="272"/>
    </row>
    <row r="538" spans="1:11" x14ac:dyDescent="0.35">
      <c r="A538" s="269" t="s">
        <v>310</v>
      </c>
      <c r="B538" s="270">
        <v>25</v>
      </c>
      <c r="C538" s="270"/>
      <c r="D538" s="270"/>
      <c r="E538" s="270"/>
      <c r="G538" s="269" t="s">
        <v>310</v>
      </c>
      <c r="H538" s="270"/>
      <c r="I538" s="270"/>
      <c r="J538" s="270"/>
      <c r="K538" s="270"/>
    </row>
    <row r="539" spans="1:11" x14ac:dyDescent="0.35">
      <c r="A539" s="271" t="s">
        <v>317</v>
      </c>
      <c r="B539" s="272"/>
      <c r="C539" s="272"/>
      <c r="D539" s="272"/>
      <c r="E539" s="272"/>
      <c r="G539" s="271" t="s">
        <v>317</v>
      </c>
      <c r="H539" s="272"/>
      <c r="I539" s="272"/>
      <c r="J539" s="272"/>
      <c r="K539" s="272"/>
    </row>
    <row r="540" spans="1:11" x14ac:dyDescent="0.35">
      <c r="A540" s="269" t="s">
        <v>311</v>
      </c>
      <c r="B540" s="270"/>
      <c r="C540" s="270"/>
      <c r="D540" s="270"/>
      <c r="E540" s="270"/>
      <c r="G540" s="269" t="s">
        <v>311</v>
      </c>
      <c r="H540" s="270"/>
      <c r="I540" s="270"/>
      <c r="J540" s="270"/>
      <c r="K540" s="270"/>
    </row>
    <row r="541" spans="1:11" x14ac:dyDescent="0.35">
      <c r="A541" s="271" t="s">
        <v>312</v>
      </c>
      <c r="B541" s="272">
        <v>25910</v>
      </c>
      <c r="C541" s="272"/>
      <c r="D541" s="272"/>
      <c r="E541" s="272"/>
      <c r="G541" s="271" t="s">
        <v>312</v>
      </c>
      <c r="H541" s="272"/>
      <c r="I541" s="272"/>
      <c r="J541" s="272"/>
      <c r="K541" s="272"/>
    </row>
    <row r="542" spans="1:11" x14ac:dyDescent="0.35">
      <c r="A542" s="231" t="s">
        <v>34</v>
      </c>
      <c r="B542" s="230">
        <f>SUM(B536:B541)</f>
        <v>25935</v>
      </c>
      <c r="C542" s="230">
        <f>SUM(C536:C541)</f>
        <v>0</v>
      </c>
      <c r="D542" s="230">
        <f>SUM(D536:D541)</f>
        <v>0</v>
      </c>
      <c r="E542" s="230">
        <f>SUM(E536:E541)</f>
        <v>0</v>
      </c>
      <c r="G542" s="231" t="s">
        <v>34</v>
      </c>
      <c r="H542" s="230">
        <f>SUM(H536:H541)</f>
        <v>0</v>
      </c>
      <c r="I542" s="230">
        <f>SUM(I536:I541)</f>
        <v>0</v>
      </c>
      <c r="J542" s="230">
        <f>SUM(J536:J541)</f>
        <v>0</v>
      </c>
      <c r="K542" s="230">
        <f>SUM(K536:K541)</f>
        <v>0</v>
      </c>
    </row>
    <row r="543" spans="1:11" ht="15" thickBot="1" x14ac:dyDescent="0.4">
      <c r="A543" s="231" t="s">
        <v>313</v>
      </c>
      <c r="B543" s="230">
        <f>+B542+C542+D542+E542</f>
        <v>25935</v>
      </c>
      <c r="C543" s="230"/>
      <c r="D543" s="230"/>
      <c r="E543" s="230"/>
      <c r="G543" s="231" t="s">
        <v>313</v>
      </c>
      <c r="H543" s="230">
        <f>+H542+I542+J542+K542</f>
        <v>0</v>
      </c>
      <c r="I543" s="230"/>
      <c r="J543" s="230"/>
      <c r="K543" s="230"/>
    </row>
    <row r="544" spans="1:11" ht="15.5" thickTop="1" thickBot="1" x14ac:dyDescent="0.4">
      <c r="A544" s="335" t="s">
        <v>298</v>
      </c>
      <c r="B544" s="336"/>
      <c r="C544" s="336"/>
      <c r="D544" s="336"/>
      <c r="E544" s="337"/>
      <c r="G544" s="335" t="s">
        <v>298</v>
      </c>
      <c r="H544" s="336"/>
      <c r="I544" s="336"/>
      <c r="J544" s="336"/>
      <c r="K544" s="337"/>
    </row>
    <row r="545" spans="1:11" ht="15.5" thickTop="1" thickBot="1" x14ac:dyDescent="0.4">
      <c r="A545" s="338">
        <v>45341</v>
      </c>
      <c r="B545" s="336"/>
      <c r="C545" s="336"/>
      <c r="D545" s="336"/>
      <c r="E545" s="337"/>
      <c r="G545" s="338">
        <v>45341</v>
      </c>
      <c r="H545" s="336"/>
      <c r="I545" s="336"/>
      <c r="J545" s="336"/>
      <c r="K545" s="337"/>
    </row>
    <row r="546" spans="1:11" ht="15" thickTop="1" x14ac:dyDescent="0.35">
      <c r="A546" s="267" t="s">
        <v>159</v>
      </c>
      <c r="B546" s="267" t="s">
        <v>299</v>
      </c>
      <c r="C546" s="267" t="s">
        <v>307</v>
      </c>
      <c r="D546" s="267" t="s">
        <v>301</v>
      </c>
      <c r="E546" s="268" t="s">
        <v>308</v>
      </c>
      <c r="G546" s="267" t="s">
        <v>159</v>
      </c>
      <c r="H546" s="267" t="s">
        <v>299</v>
      </c>
      <c r="I546" s="267" t="s">
        <v>307</v>
      </c>
      <c r="J546" s="267" t="s">
        <v>301</v>
      </c>
      <c r="K546" s="268" t="s">
        <v>308</v>
      </c>
    </row>
    <row r="547" spans="1:11" x14ac:dyDescent="0.35">
      <c r="A547" s="269" t="s">
        <v>364</v>
      </c>
      <c r="B547" s="270">
        <v>653</v>
      </c>
      <c r="C547" s="270"/>
      <c r="D547" s="270"/>
      <c r="E547" s="270"/>
      <c r="G547" s="269" t="s">
        <v>316</v>
      </c>
      <c r="H547" s="270"/>
      <c r="I547" s="270"/>
      <c r="J547" s="270"/>
      <c r="K547" s="270"/>
    </row>
    <row r="548" spans="1:11" x14ac:dyDescent="0.35">
      <c r="A548" s="271" t="s">
        <v>309</v>
      </c>
      <c r="B548" s="272"/>
      <c r="C548" s="272"/>
      <c r="D548" s="272"/>
      <c r="E548" s="272"/>
      <c r="G548" s="271" t="s">
        <v>309</v>
      </c>
      <c r="H548" s="272"/>
      <c r="I548" s="272"/>
      <c r="J548" s="272"/>
      <c r="K548" s="272"/>
    </row>
    <row r="549" spans="1:11" x14ac:dyDescent="0.35">
      <c r="A549" s="269" t="s">
        <v>310</v>
      </c>
      <c r="B549" s="270"/>
      <c r="C549" s="270"/>
      <c r="D549" s="270"/>
      <c r="E549" s="270"/>
      <c r="G549" s="269" t="s">
        <v>310</v>
      </c>
      <c r="H549" s="270"/>
      <c r="I549" s="270"/>
      <c r="J549" s="270"/>
      <c r="K549" s="270"/>
    </row>
    <row r="550" spans="1:11" x14ac:dyDescent="0.35">
      <c r="A550" s="271" t="s">
        <v>317</v>
      </c>
      <c r="B550" s="272"/>
      <c r="C550" s="272"/>
      <c r="D550" s="272"/>
      <c r="E550" s="272"/>
      <c r="G550" s="271" t="s">
        <v>317</v>
      </c>
      <c r="H550" s="272"/>
      <c r="I550" s="272"/>
      <c r="J550" s="272"/>
      <c r="K550" s="272"/>
    </row>
    <row r="551" spans="1:11" x14ac:dyDescent="0.35">
      <c r="A551" s="269" t="s">
        <v>311</v>
      </c>
      <c r="B551" s="270"/>
      <c r="C551" s="270"/>
      <c r="D551" s="270"/>
      <c r="E551" s="270"/>
      <c r="G551" s="269" t="s">
        <v>311</v>
      </c>
      <c r="H551" s="270"/>
      <c r="I551" s="270"/>
      <c r="J551" s="270"/>
      <c r="K551" s="270"/>
    </row>
    <row r="552" spans="1:11" x14ac:dyDescent="0.35">
      <c r="A552" s="271" t="s">
        <v>312</v>
      </c>
      <c r="B552" s="272">
        <v>5675</v>
      </c>
      <c r="C552" s="272"/>
      <c r="D552" s="272"/>
      <c r="E552" s="272"/>
      <c r="G552" s="271" t="s">
        <v>312</v>
      </c>
      <c r="H552" s="272"/>
      <c r="I552" s="272"/>
      <c r="J552" s="272"/>
      <c r="K552" s="272"/>
    </row>
    <row r="553" spans="1:11" x14ac:dyDescent="0.35">
      <c r="A553" s="231" t="s">
        <v>34</v>
      </c>
      <c r="B553" s="230">
        <f>SUM(B547:B552)</f>
        <v>6328</v>
      </c>
      <c r="C553" s="230">
        <f>SUM(C547:C552)</f>
        <v>0</v>
      </c>
      <c r="D553" s="230">
        <f>SUM(D547:D552)</f>
        <v>0</v>
      </c>
      <c r="E553" s="230">
        <f>SUM(E547:E552)</f>
        <v>0</v>
      </c>
      <c r="G553" s="231" t="s">
        <v>34</v>
      </c>
      <c r="H553" s="230">
        <f>SUM(H547:H552)</f>
        <v>0</v>
      </c>
      <c r="I553" s="230">
        <f>SUM(I547:I552)</f>
        <v>0</v>
      </c>
      <c r="J553" s="230">
        <f>SUM(J547:J552)</f>
        <v>0</v>
      </c>
      <c r="K553" s="230">
        <f>SUM(K547:K552)</f>
        <v>0</v>
      </c>
    </row>
    <row r="554" spans="1:11" ht="15" thickBot="1" x14ac:dyDescent="0.4">
      <c r="A554" s="231" t="s">
        <v>313</v>
      </c>
      <c r="B554" s="230">
        <f>+B553+C553+D553+E553</f>
        <v>6328</v>
      </c>
      <c r="C554" s="230"/>
      <c r="D554" s="230"/>
      <c r="E554" s="230"/>
      <c r="G554" s="231" t="s">
        <v>313</v>
      </c>
      <c r="H554" s="230">
        <f>+H553+I553+J553+K553</f>
        <v>0</v>
      </c>
      <c r="I554" s="230"/>
      <c r="J554" s="230"/>
      <c r="K554" s="230"/>
    </row>
    <row r="555" spans="1:11" ht="15.5" thickTop="1" thickBot="1" x14ac:dyDescent="0.4">
      <c r="A555" s="335" t="s">
        <v>298</v>
      </c>
      <c r="B555" s="336"/>
      <c r="C555" s="336"/>
      <c r="D555" s="336"/>
      <c r="E555" s="337"/>
      <c r="G555" s="335" t="s">
        <v>298</v>
      </c>
      <c r="H555" s="336"/>
      <c r="I555" s="336"/>
      <c r="J555" s="336"/>
      <c r="K555" s="337"/>
    </row>
    <row r="556" spans="1:11" ht="15.5" thickTop="1" thickBot="1" x14ac:dyDescent="0.4">
      <c r="A556" s="338">
        <v>45342</v>
      </c>
      <c r="B556" s="336"/>
      <c r="C556" s="336"/>
      <c r="D556" s="336"/>
      <c r="E556" s="337"/>
      <c r="G556" s="338">
        <v>45342</v>
      </c>
      <c r="H556" s="336"/>
      <c r="I556" s="336"/>
      <c r="J556" s="336"/>
      <c r="K556" s="337"/>
    </row>
    <row r="557" spans="1:11" ht="15" thickTop="1" x14ac:dyDescent="0.35">
      <c r="A557" s="267" t="s">
        <v>159</v>
      </c>
      <c r="B557" s="267" t="s">
        <v>299</v>
      </c>
      <c r="C557" s="267" t="s">
        <v>307</v>
      </c>
      <c r="D557" s="267" t="s">
        <v>301</v>
      </c>
      <c r="E557" s="268" t="s">
        <v>308</v>
      </c>
      <c r="G557" s="267" t="s">
        <v>159</v>
      </c>
      <c r="H557" s="267" t="s">
        <v>299</v>
      </c>
      <c r="I557" s="267" t="s">
        <v>307</v>
      </c>
      <c r="J557" s="267" t="s">
        <v>301</v>
      </c>
      <c r="K557" s="268" t="s">
        <v>308</v>
      </c>
    </row>
    <row r="558" spans="1:11" x14ac:dyDescent="0.35">
      <c r="A558" s="269" t="s">
        <v>316</v>
      </c>
      <c r="B558" s="270"/>
      <c r="C558" s="270"/>
      <c r="D558" s="270"/>
      <c r="E558" s="270"/>
      <c r="G558" s="269" t="s">
        <v>316</v>
      </c>
      <c r="H558" s="270"/>
      <c r="I558" s="270"/>
      <c r="J558" s="270"/>
      <c r="K558" s="270"/>
    </row>
    <row r="559" spans="1:11" x14ac:dyDescent="0.35">
      <c r="A559" s="271" t="s">
        <v>309</v>
      </c>
      <c r="B559" s="272"/>
      <c r="C559" s="272"/>
      <c r="D559" s="272"/>
      <c r="E559" s="272"/>
      <c r="G559" s="271" t="s">
        <v>309</v>
      </c>
      <c r="H559" s="272"/>
      <c r="I559" s="272"/>
      <c r="J559" s="272"/>
      <c r="K559" s="272"/>
    </row>
    <row r="560" spans="1:11" x14ac:dyDescent="0.35">
      <c r="A560" s="269" t="s">
        <v>310</v>
      </c>
      <c r="B560" s="270">
        <v>5000</v>
      </c>
      <c r="C560" s="270"/>
      <c r="D560" s="270"/>
      <c r="E560" s="270"/>
      <c r="G560" s="269" t="s">
        <v>310</v>
      </c>
      <c r="H560" s="270"/>
      <c r="I560" s="270"/>
      <c r="J560" s="270"/>
      <c r="K560" s="270"/>
    </row>
    <row r="561" spans="1:11" x14ac:dyDescent="0.35">
      <c r="A561" s="271" t="s">
        <v>317</v>
      </c>
      <c r="B561" s="272"/>
      <c r="C561" s="272"/>
      <c r="D561" s="272"/>
      <c r="E561" s="272"/>
      <c r="G561" s="271" t="s">
        <v>317</v>
      </c>
      <c r="H561" s="272"/>
      <c r="I561" s="272"/>
      <c r="J561" s="272"/>
      <c r="K561" s="272"/>
    </row>
    <row r="562" spans="1:11" x14ac:dyDescent="0.35">
      <c r="A562" s="269" t="s">
        <v>311</v>
      </c>
      <c r="B562" s="270"/>
      <c r="C562" s="270"/>
      <c r="D562" s="270"/>
      <c r="E562" s="270"/>
      <c r="G562" s="269" t="s">
        <v>311</v>
      </c>
      <c r="H562" s="270"/>
      <c r="I562" s="270"/>
      <c r="J562" s="270"/>
      <c r="K562" s="270"/>
    </row>
    <row r="563" spans="1:11" x14ac:dyDescent="0.35">
      <c r="A563" s="271" t="s">
        <v>312</v>
      </c>
      <c r="B563" s="272">
        <v>3000</v>
      </c>
      <c r="C563" s="272"/>
      <c r="D563" s="272"/>
      <c r="E563" s="272"/>
      <c r="G563" s="271" t="s">
        <v>312</v>
      </c>
      <c r="H563" s="272"/>
      <c r="I563" s="272"/>
      <c r="J563" s="272"/>
      <c r="K563" s="272"/>
    </row>
    <row r="564" spans="1:11" x14ac:dyDescent="0.35">
      <c r="A564" s="231" t="s">
        <v>34</v>
      </c>
      <c r="B564" s="230">
        <f>SUM(B558:B563)</f>
        <v>8000</v>
      </c>
      <c r="C564" s="230">
        <f>SUM(C558:C563)</f>
        <v>0</v>
      </c>
      <c r="D564" s="230">
        <f>SUM(D558:D563)</f>
        <v>0</v>
      </c>
      <c r="E564" s="230">
        <f>SUM(E558:E563)</f>
        <v>0</v>
      </c>
      <c r="G564" s="231" t="s">
        <v>34</v>
      </c>
      <c r="H564" s="230">
        <f>SUM(H558:H563)</f>
        <v>0</v>
      </c>
      <c r="I564" s="230">
        <f>SUM(I558:I563)</f>
        <v>0</v>
      </c>
      <c r="J564" s="230">
        <f>SUM(J558:J563)</f>
        <v>0</v>
      </c>
      <c r="K564" s="230">
        <f>SUM(K558:K563)</f>
        <v>0</v>
      </c>
    </row>
    <row r="565" spans="1:11" ht="15" thickBot="1" x14ac:dyDescent="0.4">
      <c r="A565" s="231" t="s">
        <v>313</v>
      </c>
      <c r="B565" s="230">
        <f>+B564+C564+D564+E564</f>
        <v>8000</v>
      </c>
      <c r="C565" s="230"/>
      <c r="D565" s="230"/>
      <c r="E565" s="230"/>
      <c r="G565" s="231" t="s">
        <v>313</v>
      </c>
      <c r="H565" s="230">
        <f>+H564+I564+J564+K564</f>
        <v>0</v>
      </c>
      <c r="I565" s="230"/>
      <c r="J565" s="230"/>
      <c r="K565" s="230"/>
    </row>
    <row r="566" spans="1:11" ht="15.5" thickTop="1" thickBot="1" x14ac:dyDescent="0.4">
      <c r="A566" s="335" t="s">
        <v>298</v>
      </c>
      <c r="B566" s="336"/>
      <c r="C566" s="336"/>
      <c r="D566" s="336"/>
      <c r="E566" s="337"/>
      <c r="G566" s="335" t="s">
        <v>298</v>
      </c>
      <c r="H566" s="336"/>
      <c r="I566" s="336"/>
      <c r="J566" s="336"/>
      <c r="K566" s="337"/>
    </row>
    <row r="567" spans="1:11" ht="15.5" thickTop="1" thickBot="1" x14ac:dyDescent="0.4">
      <c r="A567" s="338">
        <v>45343</v>
      </c>
      <c r="B567" s="336"/>
      <c r="C567" s="336"/>
      <c r="D567" s="336"/>
      <c r="E567" s="337"/>
      <c r="G567" s="338">
        <v>45343</v>
      </c>
      <c r="H567" s="336"/>
      <c r="I567" s="336"/>
      <c r="J567" s="336"/>
      <c r="K567" s="337"/>
    </row>
    <row r="568" spans="1:11" ht="15" thickTop="1" x14ac:dyDescent="0.35">
      <c r="A568" s="267" t="s">
        <v>159</v>
      </c>
      <c r="B568" s="267" t="s">
        <v>299</v>
      </c>
      <c r="C568" s="267" t="s">
        <v>307</v>
      </c>
      <c r="D568" s="267" t="s">
        <v>301</v>
      </c>
      <c r="E568" s="268" t="s">
        <v>308</v>
      </c>
      <c r="G568" s="267" t="s">
        <v>159</v>
      </c>
      <c r="H568" s="267" t="s">
        <v>299</v>
      </c>
      <c r="I568" s="267" t="s">
        <v>307</v>
      </c>
      <c r="J568" s="267" t="s">
        <v>301</v>
      </c>
      <c r="K568" s="268" t="s">
        <v>308</v>
      </c>
    </row>
    <row r="569" spans="1:11" x14ac:dyDescent="0.35">
      <c r="A569" s="269" t="s">
        <v>316</v>
      </c>
      <c r="B569" s="270"/>
      <c r="C569" s="270"/>
      <c r="D569" s="270"/>
      <c r="E569" s="270"/>
      <c r="G569" s="269" t="s">
        <v>316</v>
      </c>
      <c r="H569" s="270"/>
      <c r="I569" s="270"/>
      <c r="J569" s="270"/>
      <c r="K569" s="270"/>
    </row>
    <row r="570" spans="1:11" x14ac:dyDescent="0.35">
      <c r="A570" s="271" t="s">
        <v>309</v>
      </c>
      <c r="B570" s="272"/>
      <c r="C570" s="272"/>
      <c r="D570" s="272"/>
      <c r="E570" s="272"/>
      <c r="G570" s="271" t="s">
        <v>309</v>
      </c>
      <c r="H570" s="272"/>
      <c r="I570" s="272"/>
      <c r="J570" s="272"/>
      <c r="K570" s="272"/>
    </row>
    <row r="571" spans="1:11" x14ac:dyDescent="0.35">
      <c r="A571" s="269" t="s">
        <v>310</v>
      </c>
      <c r="B571" s="270">
        <v>200</v>
      </c>
      <c r="C571" s="270"/>
      <c r="D571" s="270"/>
      <c r="E571" s="270"/>
      <c r="G571" s="269" t="s">
        <v>310</v>
      </c>
      <c r="H571" s="270"/>
      <c r="I571" s="270"/>
      <c r="J571" s="270"/>
      <c r="K571" s="270"/>
    </row>
    <row r="572" spans="1:11" x14ac:dyDescent="0.35">
      <c r="A572" s="271" t="s">
        <v>317</v>
      </c>
      <c r="B572" s="272"/>
      <c r="C572" s="272"/>
      <c r="D572" s="272"/>
      <c r="E572" s="272"/>
      <c r="G572" s="271" t="s">
        <v>317</v>
      </c>
      <c r="H572" s="272"/>
      <c r="I572" s="272"/>
      <c r="J572" s="272"/>
      <c r="K572" s="272"/>
    </row>
    <row r="573" spans="1:11" x14ac:dyDescent="0.35">
      <c r="A573" s="269" t="s">
        <v>311</v>
      </c>
      <c r="B573" s="270"/>
      <c r="C573" s="270"/>
      <c r="D573" s="270"/>
      <c r="E573" s="270"/>
      <c r="G573" s="269" t="s">
        <v>311</v>
      </c>
      <c r="H573" s="270"/>
      <c r="I573" s="270"/>
      <c r="J573" s="270"/>
      <c r="K573" s="270"/>
    </row>
    <row r="574" spans="1:11" x14ac:dyDescent="0.35">
      <c r="A574" s="271" t="s">
        <v>312</v>
      </c>
      <c r="B574" s="272"/>
      <c r="C574" s="272"/>
      <c r="D574" s="272"/>
      <c r="E574" s="272"/>
      <c r="G574" s="271" t="s">
        <v>312</v>
      </c>
      <c r="H574" s="272"/>
      <c r="I574" s="272"/>
      <c r="J574" s="272"/>
      <c r="K574" s="272"/>
    </row>
    <row r="575" spans="1:11" x14ac:dyDescent="0.35">
      <c r="A575" s="231" t="s">
        <v>34</v>
      </c>
      <c r="B575" s="230">
        <f>SUM(B569:B574)</f>
        <v>200</v>
      </c>
      <c r="C575" s="230">
        <f>SUM(C569:C574)</f>
        <v>0</v>
      </c>
      <c r="D575" s="230">
        <f>SUM(D569:D574)</f>
        <v>0</v>
      </c>
      <c r="E575" s="230">
        <f>SUM(E569:E574)</f>
        <v>0</v>
      </c>
      <c r="G575" s="231" t="s">
        <v>34</v>
      </c>
      <c r="H575" s="230">
        <f>SUM(H569:H574)</f>
        <v>0</v>
      </c>
      <c r="I575" s="230">
        <f>SUM(I569:I574)</f>
        <v>0</v>
      </c>
      <c r="J575" s="230">
        <f>SUM(J569:J574)</f>
        <v>0</v>
      </c>
      <c r="K575" s="230">
        <f>SUM(K569:K574)</f>
        <v>0</v>
      </c>
    </row>
    <row r="576" spans="1:11" ht="15" thickBot="1" x14ac:dyDescent="0.4">
      <c r="A576" s="231" t="s">
        <v>313</v>
      </c>
      <c r="B576" s="230">
        <f>+B575+C575+D575+E575</f>
        <v>200</v>
      </c>
      <c r="C576" s="230"/>
      <c r="D576" s="230"/>
      <c r="E576" s="230"/>
      <c r="G576" s="231" t="s">
        <v>313</v>
      </c>
      <c r="H576" s="230">
        <f>+H575+I575+J575+K575</f>
        <v>0</v>
      </c>
      <c r="I576" s="230"/>
      <c r="J576" s="230"/>
      <c r="K576" s="230"/>
    </row>
    <row r="577" spans="1:11" ht="15.5" thickTop="1" thickBot="1" x14ac:dyDescent="0.4">
      <c r="A577" s="335" t="s">
        <v>298</v>
      </c>
      <c r="B577" s="336"/>
      <c r="C577" s="336"/>
      <c r="D577" s="336"/>
      <c r="E577" s="337"/>
      <c r="G577" s="335" t="s">
        <v>298</v>
      </c>
      <c r="H577" s="336"/>
      <c r="I577" s="336"/>
      <c r="J577" s="336"/>
      <c r="K577" s="337"/>
    </row>
    <row r="578" spans="1:11" ht="15.5" thickTop="1" thickBot="1" x14ac:dyDescent="0.4">
      <c r="A578" s="338">
        <v>45344</v>
      </c>
      <c r="B578" s="336"/>
      <c r="C578" s="336"/>
      <c r="D578" s="336"/>
      <c r="E578" s="337"/>
      <c r="G578" s="338">
        <v>45344</v>
      </c>
      <c r="H578" s="336"/>
      <c r="I578" s="336"/>
      <c r="J578" s="336"/>
      <c r="K578" s="337"/>
    </row>
    <row r="579" spans="1:11" ht="15" thickTop="1" x14ac:dyDescent="0.35">
      <c r="A579" s="267" t="s">
        <v>159</v>
      </c>
      <c r="B579" s="267" t="s">
        <v>299</v>
      </c>
      <c r="C579" s="267" t="s">
        <v>307</v>
      </c>
      <c r="D579" s="267" t="s">
        <v>301</v>
      </c>
      <c r="E579" s="268" t="s">
        <v>308</v>
      </c>
      <c r="G579" s="267" t="s">
        <v>159</v>
      </c>
      <c r="H579" s="267" t="s">
        <v>299</v>
      </c>
      <c r="I579" s="267" t="s">
        <v>307</v>
      </c>
      <c r="J579" s="267" t="s">
        <v>301</v>
      </c>
      <c r="K579" s="268" t="s">
        <v>308</v>
      </c>
    </row>
    <row r="580" spans="1:11" x14ac:dyDescent="0.35">
      <c r="A580" s="269" t="s">
        <v>316</v>
      </c>
      <c r="B580" s="270">
        <v>125</v>
      </c>
      <c r="C580" s="270"/>
      <c r="D580" s="270"/>
      <c r="E580" s="270"/>
      <c r="G580" s="269" t="s">
        <v>316</v>
      </c>
      <c r="H580" s="270">
        <v>270</v>
      </c>
      <c r="I580" s="270"/>
      <c r="J580" s="270"/>
      <c r="K580" s="270"/>
    </row>
    <row r="581" spans="1:11" x14ac:dyDescent="0.35">
      <c r="A581" s="271" t="s">
        <v>309</v>
      </c>
      <c r="B581" s="272"/>
      <c r="C581" s="272"/>
      <c r="D581" s="272"/>
      <c r="E581" s="272"/>
      <c r="G581" s="271" t="s">
        <v>309</v>
      </c>
      <c r="H581" s="272"/>
      <c r="I581" s="272"/>
      <c r="J581" s="272"/>
      <c r="K581" s="272"/>
    </row>
    <row r="582" spans="1:11" x14ac:dyDescent="0.35">
      <c r="A582" s="269" t="s">
        <v>310</v>
      </c>
      <c r="B582" s="270">
        <v>5008</v>
      </c>
      <c r="C582" s="270"/>
      <c r="D582" s="270"/>
      <c r="E582" s="270"/>
      <c r="G582" s="269" t="s">
        <v>310</v>
      </c>
      <c r="H582" s="270"/>
      <c r="I582" s="270"/>
      <c r="J582" s="270"/>
      <c r="K582" s="270"/>
    </row>
    <row r="583" spans="1:11" x14ac:dyDescent="0.35">
      <c r="A583" s="271" t="s">
        <v>317</v>
      </c>
      <c r="B583" s="272"/>
      <c r="C583" s="272"/>
      <c r="D583" s="272"/>
      <c r="E583" s="272"/>
      <c r="G583" s="271" t="s">
        <v>317</v>
      </c>
      <c r="H583" s="272"/>
      <c r="I583" s="272"/>
      <c r="J583" s="272"/>
      <c r="K583" s="272"/>
    </row>
    <row r="584" spans="1:11" x14ac:dyDescent="0.35">
      <c r="A584" s="269" t="s">
        <v>311</v>
      </c>
      <c r="B584" s="270"/>
      <c r="C584" s="270"/>
      <c r="D584" s="270"/>
      <c r="E584" s="270"/>
      <c r="G584" s="269" t="s">
        <v>311</v>
      </c>
      <c r="H584" s="270"/>
      <c r="I584" s="270"/>
      <c r="J584" s="270"/>
      <c r="K584" s="270"/>
    </row>
    <row r="585" spans="1:11" x14ac:dyDescent="0.35">
      <c r="A585" s="271" t="s">
        <v>312</v>
      </c>
      <c r="B585" s="272">
        <v>7131</v>
      </c>
      <c r="C585" s="272"/>
      <c r="D585" s="272"/>
      <c r="E585" s="272"/>
      <c r="G585" s="271" t="s">
        <v>312</v>
      </c>
      <c r="H585" s="272"/>
      <c r="I585" s="272"/>
      <c r="J585" s="272"/>
      <c r="K585" s="272"/>
    </row>
    <row r="586" spans="1:11" x14ac:dyDescent="0.35">
      <c r="A586" s="231" t="s">
        <v>34</v>
      </c>
      <c r="B586" s="230">
        <f>SUM(B580:B585)</f>
        <v>12264</v>
      </c>
      <c r="C586" s="230">
        <f>SUM(C580:C585)</f>
        <v>0</v>
      </c>
      <c r="D586" s="230">
        <f>SUM(D580:D585)</f>
        <v>0</v>
      </c>
      <c r="E586" s="230">
        <f>SUM(E580:E585)</f>
        <v>0</v>
      </c>
      <c r="G586" s="231" t="s">
        <v>34</v>
      </c>
      <c r="H586" s="230">
        <f>SUM(H580:H585)</f>
        <v>270</v>
      </c>
      <c r="I586" s="230">
        <f>SUM(I580:I585)</f>
        <v>0</v>
      </c>
      <c r="J586" s="230">
        <f>SUM(J580:J585)</f>
        <v>0</v>
      </c>
      <c r="K586" s="230">
        <f>SUM(K580:K585)</f>
        <v>0</v>
      </c>
    </row>
    <row r="587" spans="1:11" ht="15" thickBot="1" x14ac:dyDescent="0.4">
      <c r="A587" s="231" t="s">
        <v>313</v>
      </c>
      <c r="B587" s="230">
        <f>+B586+C586+D586+E586</f>
        <v>12264</v>
      </c>
      <c r="C587" s="230"/>
      <c r="D587" s="230"/>
      <c r="E587" s="230"/>
      <c r="G587" s="231" t="s">
        <v>313</v>
      </c>
      <c r="H587" s="230">
        <f>+H586+I586+J586+K586</f>
        <v>270</v>
      </c>
      <c r="I587" s="230"/>
      <c r="J587" s="230"/>
      <c r="K587" s="230"/>
    </row>
    <row r="588" spans="1:11" ht="15.5" thickTop="1" thickBot="1" x14ac:dyDescent="0.4">
      <c r="A588" s="335" t="s">
        <v>298</v>
      </c>
      <c r="B588" s="336"/>
      <c r="C588" s="336"/>
      <c r="D588" s="336"/>
      <c r="E588" s="337"/>
      <c r="G588" s="335" t="s">
        <v>298</v>
      </c>
      <c r="H588" s="336"/>
      <c r="I588" s="336"/>
      <c r="J588" s="336"/>
      <c r="K588" s="337"/>
    </row>
    <row r="589" spans="1:11" ht="15.5" thickTop="1" thickBot="1" x14ac:dyDescent="0.4">
      <c r="A589" s="338">
        <v>45345</v>
      </c>
      <c r="B589" s="336"/>
      <c r="C589" s="336"/>
      <c r="D589" s="336"/>
      <c r="E589" s="337"/>
      <c r="G589" s="338">
        <v>45345</v>
      </c>
      <c r="H589" s="336"/>
      <c r="I589" s="336"/>
      <c r="J589" s="336"/>
      <c r="K589" s="337"/>
    </row>
    <row r="590" spans="1:11" ht="15" thickTop="1" x14ac:dyDescent="0.35">
      <c r="A590" s="267" t="s">
        <v>159</v>
      </c>
      <c r="B590" s="267" t="s">
        <v>299</v>
      </c>
      <c r="C590" s="267" t="s">
        <v>307</v>
      </c>
      <c r="D590" s="267" t="s">
        <v>301</v>
      </c>
      <c r="E590" s="268" t="s">
        <v>308</v>
      </c>
      <c r="G590" s="267" t="s">
        <v>159</v>
      </c>
      <c r="H590" s="267" t="s">
        <v>299</v>
      </c>
      <c r="I590" s="267" t="s">
        <v>307</v>
      </c>
      <c r="J590" s="267" t="s">
        <v>301</v>
      </c>
      <c r="K590" s="268" t="s">
        <v>308</v>
      </c>
    </row>
    <row r="591" spans="1:11" x14ac:dyDescent="0.35">
      <c r="A591" s="269" t="s">
        <v>316</v>
      </c>
      <c r="B591" s="270"/>
      <c r="C591" s="270"/>
      <c r="D591" s="270"/>
      <c r="E591" s="270"/>
      <c r="G591" s="269" t="s">
        <v>316</v>
      </c>
      <c r="H591" s="270"/>
      <c r="I591" s="270"/>
      <c r="J591" s="270"/>
      <c r="K591" s="270"/>
    </row>
    <row r="592" spans="1:11" x14ac:dyDescent="0.35">
      <c r="A592" s="271" t="s">
        <v>309</v>
      </c>
      <c r="B592" s="272"/>
      <c r="C592" s="272"/>
      <c r="D592" s="272"/>
      <c r="E592" s="272"/>
      <c r="G592" s="271" t="s">
        <v>309</v>
      </c>
      <c r="H592" s="272"/>
      <c r="I592" s="272"/>
      <c r="J592" s="272"/>
      <c r="K592" s="272"/>
    </row>
    <row r="593" spans="1:11" x14ac:dyDescent="0.35">
      <c r="A593" s="269" t="s">
        <v>310</v>
      </c>
      <c r="B593" s="270"/>
      <c r="C593" s="270"/>
      <c r="D593" s="270"/>
      <c r="E593" s="270"/>
      <c r="G593" s="269" t="s">
        <v>310</v>
      </c>
      <c r="H593" s="270"/>
      <c r="I593" s="270"/>
      <c r="J593" s="270"/>
      <c r="K593" s="270"/>
    </row>
    <row r="594" spans="1:11" x14ac:dyDescent="0.35">
      <c r="A594" s="271" t="s">
        <v>317</v>
      </c>
      <c r="B594" s="272"/>
      <c r="C594" s="272"/>
      <c r="D594" s="272"/>
      <c r="E594" s="272"/>
      <c r="G594" s="271" t="s">
        <v>317</v>
      </c>
      <c r="H594" s="272"/>
      <c r="I594" s="272"/>
      <c r="J594" s="272"/>
      <c r="K594" s="272"/>
    </row>
    <row r="595" spans="1:11" x14ac:dyDescent="0.35">
      <c r="A595" s="269" t="s">
        <v>311</v>
      </c>
      <c r="B595" s="270"/>
      <c r="C595" s="270"/>
      <c r="D595" s="270"/>
      <c r="E595" s="270"/>
      <c r="G595" s="269" t="s">
        <v>311</v>
      </c>
      <c r="H595" s="270"/>
      <c r="I595" s="270"/>
      <c r="J595" s="270"/>
      <c r="K595" s="270"/>
    </row>
    <row r="596" spans="1:11" x14ac:dyDescent="0.35">
      <c r="A596" s="271" t="s">
        <v>312</v>
      </c>
      <c r="B596" s="272"/>
      <c r="C596" s="272"/>
      <c r="D596" s="272"/>
      <c r="E596" s="272"/>
      <c r="G596" s="271" t="s">
        <v>312</v>
      </c>
      <c r="H596" s="272"/>
      <c r="I596" s="272"/>
      <c r="J596" s="272"/>
      <c r="K596" s="272"/>
    </row>
    <row r="597" spans="1:11" x14ac:dyDescent="0.35">
      <c r="A597" s="231" t="s">
        <v>34</v>
      </c>
      <c r="B597" s="230">
        <f>SUM(B591:B596)</f>
        <v>0</v>
      </c>
      <c r="C597" s="230">
        <f>SUM(C591:C596)</f>
        <v>0</v>
      </c>
      <c r="D597" s="230">
        <f>SUM(D591:D596)</f>
        <v>0</v>
      </c>
      <c r="E597" s="230">
        <f>SUM(E591:E596)</f>
        <v>0</v>
      </c>
      <c r="G597" s="231" t="s">
        <v>34</v>
      </c>
      <c r="H597" s="230">
        <f>SUM(H591:H596)</f>
        <v>0</v>
      </c>
      <c r="I597" s="230">
        <f>SUM(I591:I596)</f>
        <v>0</v>
      </c>
      <c r="J597" s="230">
        <f>SUM(J591:J596)</f>
        <v>0</v>
      </c>
      <c r="K597" s="230">
        <f>SUM(K591:K596)</f>
        <v>0</v>
      </c>
    </row>
    <row r="598" spans="1:11" ht="15" thickBot="1" x14ac:dyDescent="0.4">
      <c r="A598" s="231" t="s">
        <v>313</v>
      </c>
      <c r="B598" s="230">
        <f>+B597+C597+D597+E597</f>
        <v>0</v>
      </c>
      <c r="C598" s="230"/>
      <c r="D598" s="230"/>
      <c r="E598" s="230"/>
      <c r="G598" s="231" t="s">
        <v>313</v>
      </c>
      <c r="H598" s="230">
        <f>+H597+I597+J597+K597</f>
        <v>0</v>
      </c>
      <c r="I598" s="230"/>
      <c r="J598" s="230"/>
      <c r="K598" s="230"/>
    </row>
    <row r="599" spans="1:11" ht="15.5" thickTop="1" thickBot="1" x14ac:dyDescent="0.4">
      <c r="A599" s="335" t="s">
        <v>298</v>
      </c>
      <c r="B599" s="336"/>
      <c r="C599" s="336"/>
      <c r="D599" s="336"/>
      <c r="E599" s="337"/>
      <c r="G599" s="335" t="s">
        <v>298</v>
      </c>
      <c r="H599" s="336"/>
      <c r="I599" s="336"/>
      <c r="J599" s="336"/>
      <c r="K599" s="337"/>
    </row>
    <row r="600" spans="1:11" ht="15.5" thickTop="1" thickBot="1" x14ac:dyDescent="0.4">
      <c r="A600" s="338">
        <v>45346</v>
      </c>
      <c r="B600" s="336"/>
      <c r="C600" s="336"/>
      <c r="D600" s="336"/>
      <c r="E600" s="337"/>
      <c r="G600" s="338">
        <v>45346</v>
      </c>
      <c r="H600" s="336"/>
      <c r="I600" s="336"/>
      <c r="J600" s="336"/>
      <c r="K600" s="337"/>
    </row>
    <row r="601" spans="1:11" ht="15" thickTop="1" x14ac:dyDescent="0.35">
      <c r="A601" s="267" t="s">
        <v>159</v>
      </c>
      <c r="B601" s="267" t="s">
        <v>299</v>
      </c>
      <c r="C601" s="267" t="s">
        <v>307</v>
      </c>
      <c r="D601" s="267" t="s">
        <v>301</v>
      </c>
      <c r="E601" s="268" t="s">
        <v>308</v>
      </c>
      <c r="G601" s="267" t="s">
        <v>159</v>
      </c>
      <c r="H601" s="267" t="s">
        <v>299</v>
      </c>
      <c r="I601" s="267" t="s">
        <v>307</v>
      </c>
      <c r="J601" s="267" t="s">
        <v>301</v>
      </c>
      <c r="K601" s="268" t="s">
        <v>308</v>
      </c>
    </row>
    <row r="602" spans="1:11" x14ac:dyDescent="0.35">
      <c r="A602" s="269" t="s">
        <v>379</v>
      </c>
      <c r="B602" s="270">
        <v>2500</v>
      </c>
      <c r="C602" s="270"/>
      <c r="D602" s="270"/>
      <c r="E602" s="270"/>
      <c r="G602" s="269" t="s">
        <v>379</v>
      </c>
      <c r="H602" s="270">
        <v>1400</v>
      </c>
      <c r="I602" s="270"/>
      <c r="J602" s="270"/>
      <c r="K602" s="270"/>
    </row>
    <row r="603" spans="1:11" x14ac:dyDescent="0.35">
      <c r="A603" s="271" t="s">
        <v>379</v>
      </c>
      <c r="B603" s="272">
        <v>1700</v>
      </c>
      <c r="C603" s="272"/>
      <c r="D603" s="272"/>
      <c r="E603" s="272"/>
      <c r="G603" s="271" t="s">
        <v>309</v>
      </c>
      <c r="H603" s="272"/>
      <c r="I603" s="272"/>
      <c r="J603" s="272"/>
      <c r="K603" s="272"/>
    </row>
    <row r="604" spans="1:11" x14ac:dyDescent="0.35">
      <c r="A604" s="269" t="s">
        <v>310</v>
      </c>
      <c r="B604" s="270">
        <v>60</v>
      </c>
      <c r="C604" s="270"/>
      <c r="D604" s="270"/>
      <c r="E604" s="270"/>
      <c r="G604" s="269" t="s">
        <v>310</v>
      </c>
      <c r="H604" s="270"/>
      <c r="I604" s="270"/>
      <c r="J604" s="270"/>
      <c r="K604" s="270"/>
    </row>
    <row r="605" spans="1:11" x14ac:dyDescent="0.35">
      <c r="A605" s="271" t="s">
        <v>316</v>
      </c>
      <c r="B605" s="272">
        <v>75</v>
      </c>
      <c r="C605" s="272"/>
      <c r="D605" s="272"/>
      <c r="E605" s="272"/>
      <c r="G605" s="271" t="s">
        <v>317</v>
      </c>
      <c r="H605" s="272"/>
      <c r="I605" s="272"/>
      <c r="J605" s="272"/>
      <c r="K605" s="272"/>
    </row>
    <row r="606" spans="1:11" x14ac:dyDescent="0.35">
      <c r="A606" s="269" t="s">
        <v>311</v>
      </c>
      <c r="B606" s="270"/>
      <c r="C606" s="270"/>
      <c r="D606" s="270"/>
      <c r="E606" s="270"/>
      <c r="G606" s="269" t="s">
        <v>311</v>
      </c>
      <c r="H606" s="270"/>
      <c r="I606" s="270"/>
      <c r="J606" s="270"/>
      <c r="K606" s="270"/>
    </row>
    <row r="607" spans="1:11" x14ac:dyDescent="0.35">
      <c r="A607" s="271" t="s">
        <v>312</v>
      </c>
      <c r="B607" s="272">
        <v>26300</v>
      </c>
      <c r="C607" s="272"/>
      <c r="D607" s="272"/>
      <c r="E607" s="272"/>
      <c r="G607" s="271" t="s">
        <v>312</v>
      </c>
      <c r="H607" s="272"/>
      <c r="I607" s="272"/>
      <c r="J607" s="272"/>
      <c r="K607" s="272"/>
    </row>
    <row r="608" spans="1:11" x14ac:dyDescent="0.35">
      <c r="A608" s="231" t="s">
        <v>34</v>
      </c>
      <c r="B608" s="230">
        <f>SUM(B602:B607)</f>
        <v>30635</v>
      </c>
      <c r="C608" s="230">
        <f>SUM(C602:C607)</f>
        <v>0</v>
      </c>
      <c r="D608" s="230">
        <f>SUM(D602:D607)</f>
        <v>0</v>
      </c>
      <c r="E608" s="230">
        <f>SUM(E602:E607)</f>
        <v>0</v>
      </c>
      <c r="G608" s="231" t="s">
        <v>34</v>
      </c>
      <c r="H608" s="230">
        <f>SUM(H602:H607)</f>
        <v>1400</v>
      </c>
      <c r="I608" s="230">
        <f>SUM(I602:I607)</f>
        <v>0</v>
      </c>
      <c r="J608" s="230">
        <f>SUM(J602:J607)</f>
        <v>0</v>
      </c>
      <c r="K608" s="230">
        <f>SUM(K602:K607)</f>
        <v>0</v>
      </c>
    </row>
    <row r="609" spans="1:11" ht="15" thickBot="1" x14ac:dyDescent="0.4">
      <c r="A609" s="231" t="s">
        <v>313</v>
      </c>
      <c r="B609" s="230">
        <f>+B608+C608+D608+E608</f>
        <v>30635</v>
      </c>
      <c r="C609" s="230"/>
      <c r="D609" s="230"/>
      <c r="E609" s="230"/>
      <c r="G609" s="231" t="s">
        <v>313</v>
      </c>
      <c r="H609" s="230">
        <f>+H608+I608+J608+K608</f>
        <v>1400</v>
      </c>
      <c r="I609" s="230"/>
      <c r="J609" s="230"/>
      <c r="K609" s="230"/>
    </row>
    <row r="610" spans="1:11" ht="15.5" thickTop="1" thickBot="1" x14ac:dyDescent="0.4">
      <c r="A610" s="335" t="s">
        <v>298</v>
      </c>
      <c r="B610" s="336"/>
      <c r="C610" s="336"/>
      <c r="D610" s="336"/>
      <c r="E610" s="337"/>
      <c r="G610" s="335" t="s">
        <v>298</v>
      </c>
      <c r="H610" s="336"/>
      <c r="I610" s="336"/>
      <c r="J610" s="336"/>
      <c r="K610" s="337"/>
    </row>
    <row r="611" spans="1:11" ht="15.5" thickTop="1" thickBot="1" x14ac:dyDescent="0.4">
      <c r="A611" s="338">
        <v>45347</v>
      </c>
      <c r="B611" s="336"/>
      <c r="C611" s="336"/>
      <c r="D611" s="336"/>
      <c r="E611" s="337"/>
      <c r="G611" s="338">
        <v>45347</v>
      </c>
      <c r="H611" s="336"/>
      <c r="I611" s="336"/>
      <c r="J611" s="336"/>
      <c r="K611" s="337"/>
    </row>
    <row r="612" spans="1:11" ht="15" thickTop="1" x14ac:dyDescent="0.35">
      <c r="A612" s="267" t="s">
        <v>159</v>
      </c>
      <c r="B612" s="267" t="s">
        <v>299</v>
      </c>
      <c r="C612" s="267" t="s">
        <v>307</v>
      </c>
      <c r="D612" s="267" t="s">
        <v>301</v>
      </c>
      <c r="E612" s="268" t="s">
        <v>308</v>
      </c>
      <c r="G612" s="267" t="s">
        <v>159</v>
      </c>
      <c r="H612" s="267" t="s">
        <v>299</v>
      </c>
      <c r="I612" s="267" t="s">
        <v>307</v>
      </c>
      <c r="J612" s="267" t="s">
        <v>301</v>
      </c>
      <c r="K612" s="268" t="s">
        <v>308</v>
      </c>
    </row>
    <row r="613" spans="1:11" x14ac:dyDescent="0.35">
      <c r="A613" s="269" t="s">
        <v>316</v>
      </c>
      <c r="B613" s="270"/>
      <c r="C613" s="270"/>
      <c r="D613" s="270"/>
      <c r="E613" s="270"/>
      <c r="G613" s="269" t="s">
        <v>316</v>
      </c>
      <c r="H613" s="270"/>
      <c r="I613" s="270"/>
      <c r="J613" s="270"/>
      <c r="K613" s="270"/>
    </row>
    <row r="614" spans="1:11" x14ac:dyDescent="0.35">
      <c r="A614" s="271" t="s">
        <v>309</v>
      </c>
      <c r="B614" s="272"/>
      <c r="C614" s="272"/>
      <c r="D614" s="272"/>
      <c r="E614" s="272"/>
      <c r="G614" s="271" t="s">
        <v>309</v>
      </c>
      <c r="H614" s="272"/>
      <c r="I614" s="272"/>
      <c r="J614" s="272"/>
      <c r="K614" s="272"/>
    </row>
    <row r="615" spans="1:11" x14ac:dyDescent="0.35">
      <c r="A615" s="269" t="s">
        <v>310</v>
      </c>
      <c r="B615" s="270"/>
      <c r="C615" s="270"/>
      <c r="D615" s="270"/>
      <c r="E615" s="270"/>
      <c r="G615" s="269" t="s">
        <v>310</v>
      </c>
      <c r="H615" s="270"/>
      <c r="I615" s="270"/>
      <c r="J615" s="270"/>
      <c r="K615" s="270"/>
    </row>
    <row r="616" spans="1:11" x14ac:dyDescent="0.35">
      <c r="A616" s="271" t="s">
        <v>317</v>
      </c>
      <c r="B616" s="272"/>
      <c r="C616" s="272"/>
      <c r="D616" s="272"/>
      <c r="E616" s="272"/>
      <c r="G616" s="271" t="s">
        <v>317</v>
      </c>
      <c r="H616" s="272"/>
      <c r="I616" s="272"/>
      <c r="J616" s="272"/>
      <c r="K616" s="272"/>
    </row>
    <row r="617" spans="1:11" x14ac:dyDescent="0.35">
      <c r="A617" s="269" t="s">
        <v>311</v>
      </c>
      <c r="B617" s="270"/>
      <c r="C617" s="270"/>
      <c r="D617" s="270"/>
      <c r="E617" s="270"/>
      <c r="G617" s="269" t="s">
        <v>311</v>
      </c>
      <c r="H617" s="270"/>
      <c r="I617" s="270"/>
      <c r="J617" s="270"/>
      <c r="K617" s="270"/>
    </row>
    <row r="618" spans="1:11" x14ac:dyDescent="0.35">
      <c r="A618" s="271" t="s">
        <v>312</v>
      </c>
      <c r="B618" s="272"/>
      <c r="C618" s="272"/>
      <c r="D618" s="272"/>
      <c r="E618" s="272"/>
      <c r="G618" s="271" t="s">
        <v>312</v>
      </c>
      <c r="H618" s="272"/>
      <c r="I618" s="272"/>
      <c r="J618" s="272"/>
      <c r="K618" s="272"/>
    </row>
    <row r="619" spans="1:11" x14ac:dyDescent="0.35">
      <c r="A619" s="231" t="s">
        <v>34</v>
      </c>
      <c r="B619" s="230">
        <f>SUM(B613:B618)</f>
        <v>0</v>
      </c>
      <c r="C619" s="230">
        <f>SUM(C613:C618)</f>
        <v>0</v>
      </c>
      <c r="D619" s="230">
        <f>SUM(D613:D618)</f>
        <v>0</v>
      </c>
      <c r="E619" s="230">
        <f>SUM(E613:E618)</f>
        <v>0</v>
      </c>
      <c r="G619" s="231" t="s">
        <v>34</v>
      </c>
      <c r="H619" s="230">
        <f>SUM(H613:H618)</f>
        <v>0</v>
      </c>
      <c r="I619" s="230">
        <f>SUM(I613:I618)</f>
        <v>0</v>
      </c>
      <c r="J619" s="230">
        <f>SUM(J613:J618)</f>
        <v>0</v>
      </c>
      <c r="K619" s="230">
        <f>SUM(K613:K618)</f>
        <v>0</v>
      </c>
    </row>
    <row r="620" spans="1:11" ht="15" thickBot="1" x14ac:dyDescent="0.4">
      <c r="A620" s="231" t="s">
        <v>313</v>
      </c>
      <c r="B620" s="230">
        <f>+B619+C619+D619+E619</f>
        <v>0</v>
      </c>
      <c r="C620" s="230"/>
      <c r="D620" s="230"/>
      <c r="E620" s="230"/>
      <c r="G620" s="231" t="s">
        <v>313</v>
      </c>
      <c r="H620" s="230">
        <f>+H619+I619+J619+K619</f>
        <v>0</v>
      </c>
      <c r="I620" s="230"/>
      <c r="J620" s="230"/>
      <c r="K620" s="230"/>
    </row>
    <row r="621" spans="1:11" ht="15.5" thickTop="1" thickBot="1" x14ac:dyDescent="0.4">
      <c r="A621" s="335" t="s">
        <v>298</v>
      </c>
      <c r="B621" s="336"/>
      <c r="C621" s="336"/>
      <c r="D621" s="336"/>
      <c r="E621" s="337"/>
      <c r="G621" s="335" t="s">
        <v>298</v>
      </c>
      <c r="H621" s="336"/>
      <c r="I621" s="336"/>
      <c r="J621" s="336"/>
      <c r="K621" s="337"/>
    </row>
    <row r="622" spans="1:11" ht="15.5" thickTop="1" thickBot="1" x14ac:dyDescent="0.4">
      <c r="A622" s="338">
        <v>45348</v>
      </c>
      <c r="B622" s="336"/>
      <c r="C622" s="336"/>
      <c r="D622" s="336"/>
      <c r="E622" s="337"/>
      <c r="G622" s="338">
        <v>45348</v>
      </c>
      <c r="H622" s="336"/>
      <c r="I622" s="336"/>
      <c r="J622" s="336"/>
      <c r="K622" s="337"/>
    </row>
    <row r="623" spans="1:11" ht="15" thickTop="1" x14ac:dyDescent="0.35">
      <c r="A623" s="267" t="s">
        <v>159</v>
      </c>
      <c r="B623" s="267" t="s">
        <v>299</v>
      </c>
      <c r="C623" s="267" t="s">
        <v>307</v>
      </c>
      <c r="D623" s="267" t="s">
        <v>301</v>
      </c>
      <c r="E623" s="268" t="s">
        <v>308</v>
      </c>
      <c r="G623" s="267" t="s">
        <v>159</v>
      </c>
      <c r="H623" s="267" t="s">
        <v>299</v>
      </c>
      <c r="I623" s="267" t="s">
        <v>307</v>
      </c>
      <c r="J623" s="267" t="s">
        <v>301</v>
      </c>
      <c r="K623" s="268" t="s">
        <v>308</v>
      </c>
    </row>
    <row r="624" spans="1:11" x14ac:dyDescent="0.35">
      <c r="A624" s="269" t="s">
        <v>316</v>
      </c>
      <c r="B624" s="270"/>
      <c r="C624" s="270"/>
      <c r="D624" s="270"/>
      <c r="E624" s="270"/>
      <c r="G624" s="269" t="s">
        <v>316</v>
      </c>
      <c r="H624" s="270"/>
      <c r="I624" s="270"/>
      <c r="J624" s="270"/>
      <c r="K624" s="270"/>
    </row>
    <row r="625" spans="1:11" x14ac:dyDescent="0.35">
      <c r="A625" s="271" t="s">
        <v>309</v>
      </c>
      <c r="B625" s="272"/>
      <c r="C625" s="272"/>
      <c r="D625" s="272"/>
      <c r="E625" s="272"/>
      <c r="G625" s="271" t="s">
        <v>309</v>
      </c>
      <c r="H625" s="272"/>
      <c r="I625" s="272"/>
      <c r="J625" s="272"/>
      <c r="K625" s="272"/>
    </row>
    <row r="626" spans="1:11" x14ac:dyDescent="0.35">
      <c r="A626" s="269" t="s">
        <v>310</v>
      </c>
      <c r="B626" s="270">
        <v>5000</v>
      </c>
      <c r="C626" s="270"/>
      <c r="D626" s="270"/>
      <c r="E626" s="270"/>
      <c r="G626" s="269" t="s">
        <v>310</v>
      </c>
      <c r="H626" s="270"/>
      <c r="I626" s="270"/>
      <c r="J626" s="270"/>
      <c r="K626" s="270"/>
    </row>
    <row r="627" spans="1:11" x14ac:dyDescent="0.35">
      <c r="A627" s="271" t="s">
        <v>364</v>
      </c>
      <c r="B627" s="272">
        <v>100</v>
      </c>
      <c r="C627" s="272"/>
      <c r="D627" s="272"/>
      <c r="E627" s="272"/>
      <c r="G627" s="271" t="s">
        <v>317</v>
      </c>
      <c r="H627" s="272"/>
      <c r="I627" s="272"/>
      <c r="J627" s="272"/>
      <c r="K627" s="272"/>
    </row>
    <row r="628" spans="1:11" x14ac:dyDescent="0.35">
      <c r="A628" s="269" t="s">
        <v>311</v>
      </c>
      <c r="B628" s="270"/>
      <c r="C628" s="270"/>
      <c r="D628" s="270"/>
      <c r="E628" s="270"/>
      <c r="G628" s="269" t="s">
        <v>311</v>
      </c>
      <c r="H628" s="270"/>
      <c r="I628" s="270"/>
      <c r="J628" s="270"/>
      <c r="K628" s="270"/>
    </row>
    <row r="629" spans="1:11" x14ac:dyDescent="0.35">
      <c r="A629" s="271" t="s">
        <v>312</v>
      </c>
      <c r="B629" s="272"/>
      <c r="C629" s="272"/>
      <c r="D629" s="272"/>
      <c r="E629" s="272"/>
      <c r="G629" s="271" t="s">
        <v>312</v>
      </c>
      <c r="H629" s="272"/>
      <c r="I629" s="272"/>
      <c r="J629" s="272"/>
      <c r="K629" s="272"/>
    </row>
    <row r="630" spans="1:11" x14ac:dyDescent="0.35">
      <c r="A630" s="231" t="s">
        <v>34</v>
      </c>
      <c r="B630" s="230">
        <f>SUM(B624:B629)</f>
        <v>5100</v>
      </c>
      <c r="C630" s="230">
        <f>SUM(C624:C629)</f>
        <v>0</v>
      </c>
      <c r="D630" s="230">
        <f>SUM(D624:D629)</f>
        <v>0</v>
      </c>
      <c r="E630" s="230">
        <f>SUM(E624:E629)</f>
        <v>0</v>
      </c>
      <c r="G630" s="231" t="s">
        <v>34</v>
      </c>
      <c r="H630" s="230">
        <f>SUM(H624:H629)</f>
        <v>0</v>
      </c>
      <c r="I630" s="230">
        <f>SUM(I624:I629)</f>
        <v>0</v>
      </c>
      <c r="J630" s="230">
        <f>SUM(J624:J629)</f>
        <v>0</v>
      </c>
      <c r="K630" s="230">
        <f>SUM(K624:K629)</f>
        <v>0</v>
      </c>
    </row>
    <row r="631" spans="1:11" ht="15" thickBot="1" x14ac:dyDescent="0.4">
      <c r="A631" s="231" t="s">
        <v>313</v>
      </c>
      <c r="B631" s="230">
        <f>+B630+C630+D630+E630</f>
        <v>5100</v>
      </c>
      <c r="C631" s="230"/>
      <c r="D631" s="230"/>
      <c r="E631" s="230"/>
      <c r="G631" s="231" t="s">
        <v>313</v>
      </c>
      <c r="H631" s="230">
        <f>+H630+I630+J630+K630</f>
        <v>0</v>
      </c>
      <c r="I631" s="230"/>
      <c r="J631" s="230"/>
      <c r="K631" s="230"/>
    </row>
    <row r="632" spans="1:11" ht="15.5" thickTop="1" thickBot="1" x14ac:dyDescent="0.4">
      <c r="A632" s="335" t="s">
        <v>298</v>
      </c>
      <c r="B632" s="336"/>
      <c r="C632" s="336"/>
      <c r="D632" s="336"/>
      <c r="E632" s="337"/>
      <c r="G632" s="335" t="s">
        <v>298</v>
      </c>
      <c r="H632" s="336"/>
      <c r="I632" s="336"/>
      <c r="J632" s="336"/>
      <c r="K632" s="337"/>
    </row>
    <row r="633" spans="1:11" ht="15.5" thickTop="1" thickBot="1" x14ac:dyDescent="0.4">
      <c r="A633" s="338">
        <v>45349</v>
      </c>
      <c r="B633" s="336"/>
      <c r="C633" s="336"/>
      <c r="D633" s="336"/>
      <c r="E633" s="337"/>
      <c r="G633" s="338">
        <v>45349</v>
      </c>
      <c r="H633" s="336"/>
      <c r="I633" s="336"/>
      <c r="J633" s="336"/>
      <c r="K633" s="337"/>
    </row>
    <row r="634" spans="1:11" ht="15" thickTop="1" x14ac:dyDescent="0.35">
      <c r="A634" s="267" t="s">
        <v>159</v>
      </c>
      <c r="B634" s="267" t="s">
        <v>299</v>
      </c>
      <c r="C634" s="267" t="s">
        <v>307</v>
      </c>
      <c r="D634" s="267" t="s">
        <v>301</v>
      </c>
      <c r="E634" s="268" t="s">
        <v>308</v>
      </c>
      <c r="G634" s="267" t="s">
        <v>159</v>
      </c>
      <c r="H634" s="267" t="s">
        <v>299</v>
      </c>
      <c r="I634" s="267" t="s">
        <v>307</v>
      </c>
      <c r="J634" s="267" t="s">
        <v>301</v>
      </c>
      <c r="K634" s="268" t="s">
        <v>308</v>
      </c>
    </row>
    <row r="635" spans="1:11" x14ac:dyDescent="0.35">
      <c r="A635" s="269" t="s">
        <v>316</v>
      </c>
      <c r="B635" s="270">
        <v>100</v>
      </c>
      <c r="C635" s="270"/>
      <c r="D635" s="270"/>
      <c r="E635" s="270"/>
      <c r="G635" s="269" t="s">
        <v>316</v>
      </c>
      <c r="H635" s="270"/>
      <c r="I635" s="270"/>
      <c r="J635" s="270"/>
      <c r="K635" s="270"/>
    </row>
    <row r="636" spans="1:11" x14ac:dyDescent="0.35">
      <c r="A636" s="271" t="s">
        <v>309</v>
      </c>
      <c r="B636" s="272"/>
      <c r="C636" s="272"/>
      <c r="D636" s="272"/>
      <c r="E636" s="272"/>
      <c r="G636" s="271" t="s">
        <v>309</v>
      </c>
      <c r="H636" s="272"/>
      <c r="I636" s="272"/>
      <c r="J636" s="272"/>
      <c r="K636" s="272"/>
    </row>
    <row r="637" spans="1:11" x14ac:dyDescent="0.35">
      <c r="A637" s="269" t="s">
        <v>310</v>
      </c>
      <c r="B637" s="270">
        <v>75</v>
      </c>
      <c r="C637" s="270"/>
      <c r="D637" s="270"/>
      <c r="E637" s="270"/>
      <c r="G637" s="269" t="s">
        <v>310</v>
      </c>
      <c r="H637" s="270"/>
      <c r="I637" s="270"/>
      <c r="J637" s="270"/>
      <c r="K637" s="270"/>
    </row>
    <row r="638" spans="1:11" x14ac:dyDescent="0.35">
      <c r="A638" s="271" t="s">
        <v>317</v>
      </c>
      <c r="B638" s="272"/>
      <c r="C638" s="272"/>
      <c r="D638" s="272"/>
      <c r="E638" s="272"/>
      <c r="G638" s="271" t="s">
        <v>317</v>
      </c>
      <c r="H638" s="272"/>
      <c r="I638" s="272"/>
      <c r="J638" s="272"/>
      <c r="K638" s="272"/>
    </row>
    <row r="639" spans="1:11" x14ac:dyDescent="0.35">
      <c r="A639" s="269" t="s">
        <v>311</v>
      </c>
      <c r="B639" s="270"/>
      <c r="C639" s="270"/>
      <c r="D639" s="270"/>
      <c r="E639" s="270"/>
      <c r="G639" s="269" t="s">
        <v>311</v>
      </c>
      <c r="H639" s="270"/>
      <c r="I639" s="270"/>
      <c r="J639" s="270"/>
      <c r="K639" s="270"/>
    </row>
    <row r="640" spans="1:11" x14ac:dyDescent="0.35">
      <c r="A640" s="271" t="s">
        <v>312</v>
      </c>
      <c r="B640" s="272"/>
      <c r="C640" s="272"/>
      <c r="D640" s="272"/>
      <c r="E640" s="272"/>
      <c r="G640" s="271" t="s">
        <v>312</v>
      </c>
      <c r="H640" s="272"/>
      <c r="I640" s="272"/>
      <c r="J640" s="272"/>
      <c r="K640" s="272"/>
    </row>
    <row r="641" spans="1:13" x14ac:dyDescent="0.35">
      <c r="A641" s="231" t="s">
        <v>34</v>
      </c>
      <c r="B641" s="230">
        <f>SUM(B635:B640)</f>
        <v>175</v>
      </c>
      <c r="C641" s="230">
        <f>SUM(C635:C640)</f>
        <v>0</v>
      </c>
      <c r="D641" s="230">
        <f>SUM(D635:D640)</f>
        <v>0</v>
      </c>
      <c r="E641" s="230">
        <f>SUM(E635:E640)</f>
        <v>0</v>
      </c>
      <c r="G641" s="231" t="s">
        <v>34</v>
      </c>
      <c r="H641" s="230">
        <f>SUM(H635:H640)</f>
        <v>0</v>
      </c>
      <c r="I641" s="230">
        <f>SUM(I635:I640)</f>
        <v>0</v>
      </c>
      <c r="J641" s="230">
        <f>SUM(J635:J640)</f>
        <v>0</v>
      </c>
      <c r="K641" s="230">
        <f>SUM(K635:K640)</f>
        <v>0</v>
      </c>
    </row>
    <row r="642" spans="1:13" ht="15" thickBot="1" x14ac:dyDescent="0.4">
      <c r="A642" s="231" t="s">
        <v>313</v>
      </c>
      <c r="B642" s="230">
        <f>+B641+C641+D641+E641</f>
        <v>175</v>
      </c>
      <c r="C642" s="230"/>
      <c r="D642" s="230"/>
      <c r="E642" s="230"/>
      <c r="G642" s="231" t="s">
        <v>313</v>
      </c>
      <c r="H642" s="230">
        <f>+H641+I641+J641+K641</f>
        <v>0</v>
      </c>
      <c r="I642" s="230"/>
      <c r="J642" s="230"/>
      <c r="K642" s="230"/>
    </row>
    <row r="643" spans="1:13" ht="15.5" thickTop="1" thickBot="1" x14ac:dyDescent="0.4">
      <c r="A643" s="335" t="s">
        <v>298</v>
      </c>
      <c r="B643" s="336"/>
      <c r="C643" s="336"/>
      <c r="D643" s="336"/>
      <c r="E643" s="337"/>
      <c r="G643" s="335" t="s">
        <v>298</v>
      </c>
      <c r="H643" s="336"/>
      <c r="I643" s="336"/>
      <c r="J643" s="336"/>
      <c r="K643" s="337"/>
    </row>
    <row r="644" spans="1:13" ht="15.5" thickTop="1" thickBot="1" x14ac:dyDescent="0.4">
      <c r="A644" s="338">
        <v>45350</v>
      </c>
      <c r="B644" s="336"/>
      <c r="C644" s="336"/>
      <c r="D644" s="336"/>
      <c r="E644" s="337"/>
      <c r="G644" s="338">
        <v>45350</v>
      </c>
      <c r="H644" s="336"/>
      <c r="I644" s="336"/>
      <c r="J644" s="336"/>
      <c r="K644" s="337"/>
    </row>
    <row r="645" spans="1:13" ht="15" thickTop="1" x14ac:dyDescent="0.35">
      <c r="A645" s="267" t="s">
        <v>159</v>
      </c>
      <c r="B645" s="267" t="s">
        <v>299</v>
      </c>
      <c r="C645" s="267" t="s">
        <v>307</v>
      </c>
      <c r="D645" s="267" t="s">
        <v>301</v>
      </c>
      <c r="E645" s="268" t="s">
        <v>308</v>
      </c>
      <c r="G645" s="267" t="s">
        <v>159</v>
      </c>
      <c r="H645" s="267" t="s">
        <v>299</v>
      </c>
      <c r="I645" s="267" t="s">
        <v>307</v>
      </c>
      <c r="J645" s="267" t="s">
        <v>301</v>
      </c>
      <c r="K645" s="268" t="s">
        <v>308</v>
      </c>
    </row>
    <row r="646" spans="1:13" x14ac:dyDescent="0.35">
      <c r="A646" s="269" t="s">
        <v>316</v>
      </c>
      <c r="B646" s="270"/>
      <c r="C646" s="270"/>
      <c r="D646" s="270"/>
      <c r="E646" s="270"/>
      <c r="G646" s="269" t="s">
        <v>500</v>
      </c>
      <c r="H646" s="270">
        <v>653</v>
      </c>
      <c r="I646" s="270"/>
      <c r="J646" s="270"/>
      <c r="K646" s="270"/>
    </row>
    <row r="647" spans="1:13" x14ac:dyDescent="0.35">
      <c r="A647" s="271" t="s">
        <v>309</v>
      </c>
      <c r="B647" s="272"/>
      <c r="C647" s="272"/>
      <c r="D647" s="272"/>
      <c r="E647" s="272"/>
      <c r="G647" s="271" t="s">
        <v>309</v>
      </c>
      <c r="H647" s="272"/>
      <c r="I647" s="272"/>
      <c r="J647" s="272"/>
      <c r="K647" s="272"/>
    </row>
    <row r="648" spans="1:13" x14ac:dyDescent="0.35">
      <c r="A648" s="269" t="s">
        <v>310</v>
      </c>
      <c r="B648" s="270">
        <v>2300</v>
      </c>
      <c r="C648" s="270"/>
      <c r="D648" s="270"/>
      <c r="E648" s="270"/>
      <c r="G648" s="269" t="s">
        <v>310</v>
      </c>
      <c r="H648" s="270"/>
      <c r="I648" s="270"/>
      <c r="J648" s="270"/>
      <c r="K648" s="270"/>
    </row>
    <row r="649" spans="1:13" x14ac:dyDescent="0.35">
      <c r="A649" s="271" t="s">
        <v>317</v>
      </c>
      <c r="B649" s="272"/>
      <c r="C649" s="272"/>
      <c r="D649" s="272"/>
      <c r="E649" s="272"/>
      <c r="G649" s="271" t="s">
        <v>317</v>
      </c>
      <c r="H649" s="272"/>
      <c r="I649" s="272"/>
      <c r="J649" s="272"/>
      <c r="K649" s="272"/>
    </row>
    <row r="650" spans="1:13" x14ac:dyDescent="0.35">
      <c r="A650" s="269" t="s">
        <v>311</v>
      </c>
      <c r="B650" s="270"/>
      <c r="C650" s="270"/>
      <c r="D650" s="270"/>
      <c r="E650" s="270"/>
      <c r="G650" s="269" t="s">
        <v>311</v>
      </c>
      <c r="H650" s="270"/>
      <c r="I650" s="270"/>
      <c r="J650" s="270"/>
      <c r="K650" s="270"/>
    </row>
    <row r="651" spans="1:13" x14ac:dyDescent="0.35">
      <c r="A651" s="271" t="s">
        <v>312</v>
      </c>
      <c r="B651" s="272"/>
      <c r="C651" s="272"/>
      <c r="D651" s="272"/>
      <c r="E651" s="272"/>
      <c r="G651" s="271" t="s">
        <v>312</v>
      </c>
      <c r="H651" s="272"/>
      <c r="I651" s="272"/>
      <c r="J651" s="272"/>
      <c r="K651" s="272"/>
    </row>
    <row r="652" spans="1:13" x14ac:dyDescent="0.35">
      <c r="A652" s="231" t="s">
        <v>34</v>
      </c>
      <c r="B652" s="230">
        <f>SUM(B646:B651)</f>
        <v>2300</v>
      </c>
      <c r="C652" s="230">
        <f>SUM(C646:C651)</f>
        <v>0</v>
      </c>
      <c r="D652" s="230">
        <f>SUM(D646:D651)</f>
        <v>0</v>
      </c>
      <c r="E652" s="230">
        <f>SUM(E646:E651)</f>
        <v>0</v>
      </c>
      <c r="G652" s="231" t="s">
        <v>34</v>
      </c>
      <c r="H652" s="230">
        <f>SUM(H646:H651)</f>
        <v>653</v>
      </c>
      <c r="I652" s="230">
        <f>SUM(I646:I651)</f>
        <v>0</v>
      </c>
      <c r="J652" s="230">
        <f>SUM(J646:J651)</f>
        <v>0</v>
      </c>
      <c r="K652" s="230">
        <f>SUM(K646:K651)</f>
        <v>0</v>
      </c>
    </row>
    <row r="653" spans="1:13" x14ac:dyDescent="0.35">
      <c r="A653" s="231" t="s">
        <v>313</v>
      </c>
      <c r="B653" s="230">
        <f>+B652+C652+D652+E652</f>
        <v>2300</v>
      </c>
      <c r="C653" s="230"/>
      <c r="D653" s="230"/>
      <c r="E653" s="230"/>
      <c r="G653" s="231" t="s">
        <v>313</v>
      </c>
      <c r="H653" s="230">
        <f>+H652+I652+J652+K652</f>
        <v>653</v>
      </c>
      <c r="I653" s="230"/>
      <c r="J653" s="230"/>
      <c r="K653" s="230"/>
    </row>
    <row r="655" spans="1:13" ht="15" thickBot="1" x14ac:dyDescent="0.4"/>
    <row r="656" spans="1:13" ht="30" customHeight="1" thickBot="1" x14ac:dyDescent="0.4">
      <c r="A656" s="327" t="s">
        <v>347</v>
      </c>
      <c r="B656" s="328"/>
      <c r="C656" s="328"/>
      <c r="D656" s="328"/>
      <c r="E656" s="328"/>
      <c r="F656" s="329"/>
      <c r="G656" s="330">
        <f>SUMIF($A346:M$654,"*"&amp;K656&amp;"*",$B346:N$654)</f>
        <v>189819</v>
      </c>
      <c r="H656" s="331"/>
      <c r="I656" s="331"/>
      <c r="J656" s="332"/>
      <c r="K656" s="333" t="s">
        <v>313</v>
      </c>
      <c r="L656" s="334"/>
      <c r="M656" s="233">
        <f>+G656</f>
        <v>189819</v>
      </c>
    </row>
    <row r="657" spans="1:13" ht="15" thickBot="1" x14ac:dyDescent="0.4"/>
    <row r="658" spans="1:13" ht="15.5" thickTop="1" thickBot="1" x14ac:dyDescent="0.4">
      <c r="A658" s="335" t="s">
        <v>298</v>
      </c>
      <c r="B658" s="336"/>
      <c r="C658" s="336"/>
      <c r="D658" s="336"/>
      <c r="E658" s="337"/>
      <c r="G658" s="335" t="s">
        <v>298</v>
      </c>
      <c r="H658" s="336"/>
      <c r="I658" s="336"/>
      <c r="J658" s="336"/>
      <c r="K658" s="337"/>
    </row>
    <row r="659" spans="1:13" ht="15.5" thickTop="1" thickBot="1" x14ac:dyDescent="0.4">
      <c r="A659" s="338">
        <v>45352</v>
      </c>
      <c r="B659" s="336"/>
      <c r="C659" s="336"/>
      <c r="D659" s="336"/>
      <c r="E659" s="337"/>
      <c r="G659" s="338">
        <v>45352</v>
      </c>
      <c r="H659" s="336"/>
      <c r="I659" s="336"/>
      <c r="J659" s="336"/>
      <c r="K659" s="337"/>
    </row>
    <row r="660" spans="1:13" ht="15" thickTop="1" x14ac:dyDescent="0.35">
      <c r="A660" s="267" t="s">
        <v>159</v>
      </c>
      <c r="B660" s="267" t="s">
        <v>299</v>
      </c>
      <c r="C660" s="267" t="s">
        <v>307</v>
      </c>
      <c r="D660" s="267" t="s">
        <v>301</v>
      </c>
      <c r="E660" s="268" t="s">
        <v>308</v>
      </c>
      <c r="G660" s="267" t="s">
        <v>159</v>
      </c>
      <c r="H660" s="267" t="s">
        <v>299</v>
      </c>
      <c r="I660" s="267" t="s">
        <v>307</v>
      </c>
      <c r="J660" s="267" t="s">
        <v>301</v>
      </c>
      <c r="K660" s="268" t="s">
        <v>308</v>
      </c>
    </row>
    <row r="661" spans="1:13" x14ac:dyDescent="0.35">
      <c r="A661" s="269" t="s">
        <v>496</v>
      </c>
      <c r="B661" s="270">
        <v>2500</v>
      </c>
      <c r="C661" s="270"/>
      <c r="D661" s="270"/>
      <c r="E661" s="270"/>
      <c r="G661" s="269" t="s">
        <v>496</v>
      </c>
      <c r="H661" s="270">
        <v>1400</v>
      </c>
      <c r="I661" s="270"/>
      <c r="J661" s="270"/>
      <c r="K661" s="270"/>
    </row>
    <row r="662" spans="1:13" x14ac:dyDescent="0.35">
      <c r="A662" s="271" t="s">
        <v>496</v>
      </c>
      <c r="B662" s="272">
        <v>1700</v>
      </c>
      <c r="C662" s="272"/>
      <c r="D662" s="272"/>
      <c r="E662" s="272"/>
      <c r="G662" s="271" t="s">
        <v>309</v>
      </c>
      <c r="H662" s="272"/>
      <c r="I662" s="272"/>
      <c r="J662" s="272"/>
      <c r="K662" s="272"/>
    </row>
    <row r="663" spans="1:13" x14ac:dyDescent="0.35">
      <c r="A663" s="269" t="s">
        <v>310</v>
      </c>
      <c r="B663" s="270">
        <v>2850</v>
      </c>
      <c r="C663" s="270"/>
      <c r="D663" s="270"/>
      <c r="E663" s="270"/>
      <c r="G663" s="269" t="s">
        <v>310</v>
      </c>
      <c r="H663" s="270"/>
      <c r="I663" s="270"/>
      <c r="J663" s="270"/>
      <c r="K663" s="270"/>
    </row>
    <row r="664" spans="1:13" x14ac:dyDescent="0.35">
      <c r="A664" s="271" t="s">
        <v>352</v>
      </c>
      <c r="B664" s="272">
        <v>30</v>
      </c>
      <c r="C664" s="272"/>
      <c r="D664" s="272"/>
      <c r="E664" s="272"/>
      <c r="G664" s="271" t="s">
        <v>317</v>
      </c>
      <c r="H664" s="272"/>
      <c r="I664" s="272"/>
      <c r="J664" s="272"/>
      <c r="K664" s="272"/>
    </row>
    <row r="665" spans="1:13" x14ac:dyDescent="0.35">
      <c r="A665" s="269" t="s">
        <v>498</v>
      </c>
      <c r="B665" s="270">
        <v>580</v>
      </c>
      <c r="C665" s="270"/>
      <c r="D665" s="270"/>
      <c r="E665" s="270"/>
      <c r="G665" s="269" t="s">
        <v>311</v>
      </c>
      <c r="H665" s="270"/>
      <c r="I665" s="270"/>
      <c r="J665" s="270"/>
      <c r="K665" s="270"/>
    </row>
    <row r="666" spans="1:13" x14ac:dyDescent="0.35">
      <c r="A666" s="271" t="s">
        <v>312</v>
      </c>
      <c r="B666" s="272">
        <v>1620</v>
      </c>
      <c r="C666" s="272"/>
      <c r="D666" s="272"/>
      <c r="E666" s="272"/>
      <c r="G666" s="271" t="s">
        <v>499</v>
      </c>
      <c r="H666" s="272">
        <v>1600</v>
      </c>
      <c r="I666" s="272"/>
      <c r="J666" s="272"/>
      <c r="K666" s="272"/>
      <c r="M666" s="47"/>
    </row>
    <row r="667" spans="1:13" x14ac:dyDescent="0.35">
      <c r="A667" s="231" t="s">
        <v>34</v>
      </c>
      <c r="B667" s="230">
        <f>SUM(B661:B666)</f>
        <v>9280</v>
      </c>
      <c r="C667" s="230">
        <f>SUM(C661:C666)</f>
        <v>0</v>
      </c>
      <c r="D667" s="230">
        <f>SUM(D661:D666)</f>
        <v>0</v>
      </c>
      <c r="E667" s="230">
        <f>SUM(E661:E666)</f>
        <v>0</v>
      </c>
      <c r="G667" s="231" t="s">
        <v>34</v>
      </c>
      <c r="H667" s="230">
        <f>SUM(H661:H666)</f>
        <v>3000</v>
      </c>
      <c r="I667" s="230">
        <f>SUM(I661:I666)</f>
        <v>0</v>
      </c>
      <c r="J667" s="230">
        <f>SUM(J661:J666)</f>
        <v>0</v>
      </c>
      <c r="K667" s="230">
        <f>SUM(K661:K666)</f>
        <v>0</v>
      </c>
    </row>
    <row r="668" spans="1:13" ht="15" thickBot="1" x14ac:dyDescent="0.4">
      <c r="A668" s="231" t="s">
        <v>313</v>
      </c>
      <c r="B668" s="230">
        <f>+B667+C667+D667+E667</f>
        <v>9280</v>
      </c>
      <c r="C668" s="230"/>
      <c r="D668" s="230"/>
      <c r="E668" s="230"/>
      <c r="G668" s="231" t="s">
        <v>313</v>
      </c>
      <c r="H668" s="230">
        <f>+H667+I667+J667+K667</f>
        <v>3000</v>
      </c>
      <c r="I668" s="230"/>
      <c r="J668" s="230"/>
      <c r="K668" s="230"/>
    </row>
    <row r="669" spans="1:13" ht="15.5" thickTop="1" thickBot="1" x14ac:dyDescent="0.4">
      <c r="A669" s="335" t="s">
        <v>298</v>
      </c>
      <c r="B669" s="336"/>
      <c r="C669" s="336"/>
      <c r="D669" s="336"/>
      <c r="E669" s="337"/>
      <c r="G669" s="335" t="s">
        <v>298</v>
      </c>
      <c r="H669" s="336"/>
      <c r="I669" s="336"/>
      <c r="J669" s="336"/>
      <c r="K669" s="337"/>
    </row>
    <row r="670" spans="1:13" ht="15.5" thickTop="1" thickBot="1" x14ac:dyDescent="0.4">
      <c r="A670" s="338">
        <v>45353</v>
      </c>
      <c r="B670" s="336"/>
      <c r="C670" s="336"/>
      <c r="D670" s="336"/>
      <c r="E670" s="337"/>
      <c r="G670" s="338">
        <v>45353</v>
      </c>
      <c r="H670" s="336"/>
      <c r="I670" s="336"/>
      <c r="J670" s="336"/>
      <c r="K670" s="337"/>
    </row>
    <row r="671" spans="1:13" ht="15" thickTop="1" x14ac:dyDescent="0.35">
      <c r="A671" s="267" t="s">
        <v>159</v>
      </c>
      <c r="B671" s="267" t="s">
        <v>299</v>
      </c>
      <c r="C671" s="267" t="s">
        <v>307</v>
      </c>
      <c r="D671" s="267" t="s">
        <v>301</v>
      </c>
      <c r="E671" s="268" t="s">
        <v>308</v>
      </c>
      <c r="G671" s="267" t="s">
        <v>159</v>
      </c>
      <c r="H671" s="267" t="s">
        <v>299</v>
      </c>
      <c r="I671" s="267" t="s">
        <v>307</v>
      </c>
      <c r="J671" s="267" t="s">
        <v>301</v>
      </c>
      <c r="K671" s="268" t="s">
        <v>308</v>
      </c>
    </row>
    <row r="672" spans="1:13" x14ac:dyDescent="0.35">
      <c r="A672" s="269" t="s">
        <v>316</v>
      </c>
      <c r="B672" s="270"/>
      <c r="C672" s="270"/>
      <c r="D672" s="270"/>
      <c r="E672" s="270"/>
      <c r="G672" s="269" t="s">
        <v>316</v>
      </c>
      <c r="H672" s="270"/>
      <c r="I672" s="270"/>
      <c r="J672" s="270"/>
      <c r="K672" s="270"/>
    </row>
    <row r="673" spans="1:11" x14ac:dyDescent="0.35">
      <c r="A673" s="271" t="s">
        <v>309</v>
      </c>
      <c r="B673" s="272"/>
      <c r="C673" s="272"/>
      <c r="D673" s="272"/>
      <c r="E673" s="272"/>
      <c r="G673" s="271" t="s">
        <v>309</v>
      </c>
      <c r="H673" s="272"/>
      <c r="I673" s="272"/>
      <c r="J673" s="272"/>
      <c r="K673" s="272"/>
    </row>
    <row r="674" spans="1:11" x14ac:dyDescent="0.35">
      <c r="A674" s="269" t="s">
        <v>310</v>
      </c>
      <c r="B674" s="270"/>
      <c r="C674" s="270"/>
      <c r="D674" s="270"/>
      <c r="E674" s="270"/>
      <c r="G674" s="269" t="s">
        <v>310</v>
      </c>
      <c r="H674" s="270"/>
      <c r="I674" s="270"/>
      <c r="J674" s="270"/>
      <c r="K674" s="270"/>
    </row>
    <row r="675" spans="1:11" x14ac:dyDescent="0.35">
      <c r="A675" s="271" t="s">
        <v>317</v>
      </c>
      <c r="B675" s="272"/>
      <c r="C675" s="272"/>
      <c r="D675" s="272"/>
      <c r="E675" s="272"/>
      <c r="G675" s="271" t="s">
        <v>317</v>
      </c>
      <c r="H675" s="272"/>
      <c r="I675" s="272"/>
      <c r="J675" s="272"/>
      <c r="K675" s="272"/>
    </row>
    <row r="676" spans="1:11" x14ac:dyDescent="0.35">
      <c r="A676" s="269" t="s">
        <v>311</v>
      </c>
      <c r="B676" s="270"/>
      <c r="C676" s="270"/>
      <c r="D676" s="270"/>
      <c r="E676" s="270"/>
      <c r="G676" s="269" t="s">
        <v>311</v>
      </c>
      <c r="H676" s="270"/>
      <c r="I676" s="270"/>
      <c r="J676" s="270"/>
      <c r="K676" s="270"/>
    </row>
    <row r="677" spans="1:11" x14ac:dyDescent="0.35">
      <c r="A677" s="271" t="s">
        <v>312</v>
      </c>
      <c r="B677" s="272"/>
      <c r="C677" s="272"/>
      <c r="D677" s="272"/>
      <c r="E677" s="272"/>
      <c r="G677" s="271" t="s">
        <v>312</v>
      </c>
      <c r="H677" s="272"/>
      <c r="I677" s="272"/>
      <c r="J677" s="272"/>
      <c r="K677" s="272"/>
    </row>
    <row r="678" spans="1:11" x14ac:dyDescent="0.35">
      <c r="A678" s="231" t="s">
        <v>34</v>
      </c>
      <c r="B678" s="230">
        <f>SUM(B672:B677)</f>
        <v>0</v>
      </c>
      <c r="C678" s="230">
        <f>SUM(C672:C677)</f>
        <v>0</v>
      </c>
      <c r="D678" s="230">
        <f>SUM(D672:D677)</f>
        <v>0</v>
      </c>
      <c r="E678" s="230">
        <f>SUM(E672:E677)</f>
        <v>0</v>
      </c>
      <c r="G678" s="231" t="s">
        <v>34</v>
      </c>
      <c r="H678" s="230">
        <f>SUM(H672:H677)</f>
        <v>0</v>
      </c>
      <c r="I678" s="230">
        <f>SUM(I672:I677)</f>
        <v>0</v>
      </c>
      <c r="J678" s="230">
        <f>SUM(J672:J677)</f>
        <v>0</v>
      </c>
      <c r="K678" s="230">
        <f>SUM(K672:K677)</f>
        <v>0</v>
      </c>
    </row>
    <row r="679" spans="1:11" ht="15" thickBot="1" x14ac:dyDescent="0.4">
      <c r="A679" s="231" t="s">
        <v>313</v>
      </c>
      <c r="B679" s="230">
        <f>+B678+C678+D678+E678</f>
        <v>0</v>
      </c>
      <c r="C679" s="230"/>
      <c r="D679" s="230"/>
      <c r="E679" s="230"/>
      <c r="G679" s="231" t="s">
        <v>313</v>
      </c>
      <c r="H679" s="230">
        <f>+H678+I678+J678+K678</f>
        <v>0</v>
      </c>
      <c r="I679" s="230"/>
      <c r="J679" s="230"/>
      <c r="K679" s="230"/>
    </row>
    <row r="680" spans="1:11" ht="15.5" thickTop="1" thickBot="1" x14ac:dyDescent="0.4">
      <c r="A680" s="335" t="s">
        <v>298</v>
      </c>
      <c r="B680" s="336"/>
      <c r="C680" s="336"/>
      <c r="D680" s="336"/>
      <c r="E680" s="337"/>
      <c r="G680" s="335" t="s">
        <v>298</v>
      </c>
      <c r="H680" s="336"/>
      <c r="I680" s="336"/>
      <c r="J680" s="336"/>
      <c r="K680" s="337"/>
    </row>
    <row r="681" spans="1:11" ht="15.5" thickTop="1" thickBot="1" x14ac:dyDescent="0.4">
      <c r="A681" s="338">
        <v>45354</v>
      </c>
      <c r="B681" s="336"/>
      <c r="C681" s="336"/>
      <c r="D681" s="336"/>
      <c r="E681" s="337"/>
      <c r="G681" s="338">
        <v>45354</v>
      </c>
      <c r="H681" s="336"/>
      <c r="I681" s="336"/>
      <c r="J681" s="336"/>
      <c r="K681" s="337"/>
    </row>
    <row r="682" spans="1:11" ht="15" thickTop="1" x14ac:dyDescent="0.35">
      <c r="A682" s="267" t="s">
        <v>159</v>
      </c>
      <c r="B682" s="267" t="s">
        <v>299</v>
      </c>
      <c r="C682" s="267" t="s">
        <v>307</v>
      </c>
      <c r="D682" s="267" t="s">
        <v>301</v>
      </c>
      <c r="E682" s="268" t="s">
        <v>308</v>
      </c>
      <c r="G682" s="267" t="s">
        <v>159</v>
      </c>
      <c r="H682" s="267" t="s">
        <v>299</v>
      </c>
      <c r="I682" s="267" t="s">
        <v>307</v>
      </c>
      <c r="J682" s="267" t="s">
        <v>301</v>
      </c>
      <c r="K682" s="268" t="s">
        <v>308</v>
      </c>
    </row>
    <row r="683" spans="1:11" x14ac:dyDescent="0.35">
      <c r="A683" s="269" t="s">
        <v>316</v>
      </c>
      <c r="B683" s="270"/>
      <c r="C683" s="270"/>
      <c r="D683" s="270"/>
      <c r="E683" s="270"/>
      <c r="G683" s="269" t="s">
        <v>316</v>
      </c>
      <c r="H683" s="270"/>
      <c r="I683" s="270"/>
      <c r="J683" s="270"/>
      <c r="K683" s="270"/>
    </row>
    <row r="684" spans="1:11" x14ac:dyDescent="0.35">
      <c r="A684" s="271" t="s">
        <v>309</v>
      </c>
      <c r="B684" s="272"/>
      <c r="C684" s="272"/>
      <c r="D684" s="272"/>
      <c r="E684" s="272"/>
      <c r="G684" s="271" t="s">
        <v>309</v>
      </c>
      <c r="H684" s="272"/>
      <c r="I684" s="272"/>
      <c r="J684" s="272"/>
      <c r="K684" s="272"/>
    </row>
    <row r="685" spans="1:11" x14ac:dyDescent="0.35">
      <c r="A685" s="269" t="s">
        <v>310</v>
      </c>
      <c r="B685" s="270"/>
      <c r="C685" s="270"/>
      <c r="D685" s="270"/>
      <c r="E685" s="270"/>
      <c r="G685" s="269" t="s">
        <v>310</v>
      </c>
      <c r="H685" s="270"/>
      <c r="I685" s="270"/>
      <c r="J685" s="270"/>
      <c r="K685" s="270"/>
    </row>
    <row r="686" spans="1:11" x14ac:dyDescent="0.35">
      <c r="A686" s="271" t="s">
        <v>317</v>
      </c>
      <c r="B686" s="272"/>
      <c r="C686" s="272"/>
      <c r="D686" s="272"/>
      <c r="E686" s="272"/>
      <c r="G686" s="271" t="s">
        <v>317</v>
      </c>
      <c r="H686" s="272"/>
      <c r="I686" s="272"/>
      <c r="J686" s="272"/>
      <c r="K686" s="272"/>
    </row>
    <row r="687" spans="1:11" x14ac:dyDescent="0.35">
      <c r="A687" s="269" t="s">
        <v>311</v>
      </c>
      <c r="B687" s="270"/>
      <c r="C687" s="270"/>
      <c r="D687" s="270"/>
      <c r="E687" s="270"/>
      <c r="G687" s="269" t="s">
        <v>311</v>
      </c>
      <c r="H687" s="270"/>
      <c r="I687" s="270"/>
      <c r="J687" s="270"/>
      <c r="K687" s="270"/>
    </row>
    <row r="688" spans="1:11" x14ac:dyDescent="0.35">
      <c r="A688" s="271" t="s">
        <v>312</v>
      </c>
      <c r="B688" s="272"/>
      <c r="C688" s="272"/>
      <c r="D688" s="272"/>
      <c r="E688" s="272"/>
      <c r="G688" s="271" t="s">
        <v>312</v>
      </c>
      <c r="H688" s="272"/>
      <c r="I688" s="272"/>
      <c r="J688" s="272"/>
      <c r="K688" s="272"/>
    </row>
    <row r="689" spans="1:11" x14ac:dyDescent="0.35">
      <c r="A689" s="231" t="s">
        <v>34</v>
      </c>
      <c r="B689" s="230">
        <f>SUM(B683:B688)</f>
        <v>0</v>
      </c>
      <c r="C689" s="230">
        <f>SUM(C683:C688)</f>
        <v>0</v>
      </c>
      <c r="D689" s="230">
        <f>SUM(D683:D688)</f>
        <v>0</v>
      </c>
      <c r="E689" s="230">
        <f>SUM(E683:E688)</f>
        <v>0</v>
      </c>
      <c r="G689" s="231" t="s">
        <v>34</v>
      </c>
      <c r="H689" s="230">
        <f>SUM(H683:H688)</f>
        <v>0</v>
      </c>
      <c r="I689" s="230">
        <f>SUM(I683:I688)</f>
        <v>0</v>
      </c>
      <c r="J689" s="230">
        <f>SUM(J683:J688)</f>
        <v>0</v>
      </c>
      <c r="K689" s="230">
        <f>SUM(K683:K688)</f>
        <v>0</v>
      </c>
    </row>
    <row r="690" spans="1:11" ht="15" thickBot="1" x14ac:dyDescent="0.4">
      <c r="A690" s="231" t="s">
        <v>313</v>
      </c>
      <c r="B690" s="230">
        <f>+B689+C689+D689+E689</f>
        <v>0</v>
      </c>
      <c r="C690" s="230"/>
      <c r="D690" s="230"/>
      <c r="E690" s="230"/>
      <c r="G690" s="231" t="s">
        <v>313</v>
      </c>
      <c r="H690" s="230">
        <f>+H689+I689+J689+K689</f>
        <v>0</v>
      </c>
      <c r="I690" s="230"/>
      <c r="J690" s="230"/>
      <c r="K690" s="230"/>
    </row>
    <row r="691" spans="1:11" ht="15.5" thickTop="1" thickBot="1" x14ac:dyDescent="0.4">
      <c r="A691" s="335" t="s">
        <v>298</v>
      </c>
      <c r="B691" s="336"/>
      <c r="C691" s="336"/>
      <c r="D691" s="336"/>
      <c r="E691" s="337"/>
      <c r="G691" s="335" t="s">
        <v>298</v>
      </c>
      <c r="H691" s="336"/>
      <c r="I691" s="336"/>
      <c r="J691" s="336"/>
      <c r="K691" s="337"/>
    </row>
    <row r="692" spans="1:11" ht="15.5" thickTop="1" thickBot="1" x14ac:dyDescent="0.4">
      <c r="A692" s="338">
        <v>45355</v>
      </c>
      <c r="B692" s="336"/>
      <c r="C692" s="336"/>
      <c r="D692" s="336"/>
      <c r="E692" s="337"/>
      <c r="G692" s="338">
        <v>45355</v>
      </c>
      <c r="H692" s="336"/>
      <c r="I692" s="336"/>
      <c r="J692" s="336"/>
      <c r="K692" s="337"/>
    </row>
    <row r="693" spans="1:11" ht="15" thickTop="1" x14ac:dyDescent="0.35">
      <c r="A693" s="267" t="s">
        <v>159</v>
      </c>
      <c r="B693" s="267" t="s">
        <v>299</v>
      </c>
      <c r="C693" s="267" t="s">
        <v>307</v>
      </c>
      <c r="D693" s="267" t="s">
        <v>301</v>
      </c>
      <c r="E693" s="268" t="s">
        <v>308</v>
      </c>
      <c r="G693" s="267" t="s">
        <v>159</v>
      </c>
      <c r="H693" s="267" t="s">
        <v>299</v>
      </c>
      <c r="I693" s="267" t="s">
        <v>307</v>
      </c>
      <c r="J693" s="267" t="s">
        <v>301</v>
      </c>
      <c r="K693" s="268" t="s">
        <v>308</v>
      </c>
    </row>
    <row r="694" spans="1:11" x14ac:dyDescent="0.35">
      <c r="A694" s="269" t="s">
        <v>316</v>
      </c>
      <c r="B694" s="270"/>
      <c r="C694" s="270"/>
      <c r="D694" s="270"/>
      <c r="E694" s="270"/>
      <c r="G694" s="269" t="s">
        <v>316</v>
      </c>
      <c r="H694" s="270"/>
      <c r="I694" s="270"/>
      <c r="J694" s="270"/>
      <c r="K694" s="270"/>
    </row>
    <row r="695" spans="1:11" x14ac:dyDescent="0.35">
      <c r="A695" s="271" t="s">
        <v>309</v>
      </c>
      <c r="B695" s="272"/>
      <c r="C695" s="272"/>
      <c r="D695" s="272"/>
      <c r="E695" s="272"/>
      <c r="G695" s="271" t="s">
        <v>309</v>
      </c>
      <c r="H695" s="272"/>
      <c r="I695" s="272"/>
      <c r="J695" s="272"/>
      <c r="K695" s="272"/>
    </row>
    <row r="696" spans="1:11" x14ac:dyDescent="0.35">
      <c r="A696" s="269" t="s">
        <v>310</v>
      </c>
      <c r="B696" s="270"/>
      <c r="C696" s="270"/>
      <c r="D696" s="270"/>
      <c r="E696" s="270"/>
      <c r="G696" s="269" t="s">
        <v>310</v>
      </c>
      <c r="H696" s="270"/>
      <c r="I696" s="270"/>
      <c r="J696" s="270"/>
      <c r="K696" s="270"/>
    </row>
    <row r="697" spans="1:11" x14ac:dyDescent="0.35">
      <c r="A697" s="271" t="s">
        <v>317</v>
      </c>
      <c r="B697" s="272"/>
      <c r="C697" s="272"/>
      <c r="D697" s="272"/>
      <c r="E697" s="272"/>
      <c r="G697" s="271" t="s">
        <v>317</v>
      </c>
      <c r="H697" s="272"/>
      <c r="I697" s="272"/>
      <c r="J697" s="272"/>
      <c r="K697" s="272"/>
    </row>
    <row r="698" spans="1:11" x14ac:dyDescent="0.35">
      <c r="A698" s="269" t="s">
        <v>350</v>
      </c>
      <c r="B698" s="270">
        <v>200</v>
      </c>
      <c r="C698" s="270"/>
      <c r="D698" s="270"/>
      <c r="E698" s="270"/>
      <c r="G698" s="269" t="s">
        <v>311</v>
      </c>
      <c r="H698" s="270"/>
      <c r="I698" s="270"/>
      <c r="J698" s="270"/>
      <c r="K698" s="270"/>
    </row>
    <row r="699" spans="1:11" x14ac:dyDescent="0.35">
      <c r="A699" s="271" t="s">
        <v>312</v>
      </c>
      <c r="B699" s="272">
        <v>3699</v>
      </c>
      <c r="C699" s="272"/>
      <c r="D699" s="272"/>
      <c r="E699" s="272"/>
      <c r="G699" s="271" t="s">
        <v>312</v>
      </c>
      <c r="H699" s="272"/>
      <c r="I699" s="272"/>
      <c r="J699" s="272"/>
      <c r="K699" s="272"/>
    </row>
    <row r="700" spans="1:11" x14ac:dyDescent="0.35">
      <c r="A700" s="231" t="s">
        <v>34</v>
      </c>
      <c r="B700" s="230">
        <f>SUM(B694:B699)</f>
        <v>3899</v>
      </c>
      <c r="C700" s="230">
        <f>SUM(C694:C699)</f>
        <v>0</v>
      </c>
      <c r="D700" s="230">
        <f>SUM(D694:D699)</f>
        <v>0</v>
      </c>
      <c r="E700" s="230">
        <f>SUM(E694:E699)</f>
        <v>0</v>
      </c>
      <c r="G700" s="231" t="s">
        <v>34</v>
      </c>
      <c r="H700" s="230">
        <f>SUM(H694:H699)</f>
        <v>0</v>
      </c>
      <c r="I700" s="230">
        <f>SUM(I694:I699)</f>
        <v>0</v>
      </c>
      <c r="J700" s="230">
        <f>SUM(J694:J699)</f>
        <v>0</v>
      </c>
      <c r="K700" s="230">
        <f>SUM(K694:K699)</f>
        <v>0</v>
      </c>
    </row>
    <row r="701" spans="1:11" ht="15" thickBot="1" x14ac:dyDescent="0.4">
      <c r="A701" s="231" t="s">
        <v>313</v>
      </c>
      <c r="B701" s="230">
        <f>+B700+C700+D700+E700</f>
        <v>3899</v>
      </c>
      <c r="C701" s="230"/>
      <c r="D701" s="230"/>
      <c r="E701" s="230"/>
      <c r="G701" s="231" t="s">
        <v>313</v>
      </c>
      <c r="H701" s="230">
        <f>+H700+I700+J700+K700</f>
        <v>0</v>
      </c>
      <c r="I701" s="230"/>
      <c r="J701" s="230"/>
      <c r="K701" s="230"/>
    </row>
    <row r="702" spans="1:11" ht="15.5" thickTop="1" thickBot="1" x14ac:dyDescent="0.4">
      <c r="A702" s="335" t="s">
        <v>298</v>
      </c>
      <c r="B702" s="336"/>
      <c r="C702" s="336"/>
      <c r="D702" s="336"/>
      <c r="E702" s="337"/>
      <c r="G702" s="335" t="s">
        <v>298</v>
      </c>
      <c r="H702" s="336"/>
      <c r="I702" s="336"/>
      <c r="J702" s="336"/>
      <c r="K702" s="337"/>
    </row>
    <row r="703" spans="1:11" ht="15.5" thickTop="1" thickBot="1" x14ac:dyDescent="0.4">
      <c r="A703" s="338">
        <v>45356</v>
      </c>
      <c r="B703" s="336"/>
      <c r="C703" s="336"/>
      <c r="D703" s="336"/>
      <c r="E703" s="337"/>
      <c r="G703" s="338">
        <v>45356</v>
      </c>
      <c r="H703" s="336"/>
      <c r="I703" s="336"/>
      <c r="J703" s="336"/>
      <c r="K703" s="337"/>
    </row>
    <row r="704" spans="1:11" ht="15" thickTop="1" x14ac:dyDescent="0.35">
      <c r="A704" s="267" t="s">
        <v>159</v>
      </c>
      <c r="B704" s="267" t="s">
        <v>299</v>
      </c>
      <c r="C704" s="267" t="s">
        <v>307</v>
      </c>
      <c r="D704" s="267" t="s">
        <v>301</v>
      </c>
      <c r="E704" s="268" t="s">
        <v>308</v>
      </c>
      <c r="G704" s="267" t="s">
        <v>159</v>
      </c>
      <c r="H704" s="267" t="s">
        <v>299</v>
      </c>
      <c r="I704" s="267" t="s">
        <v>307</v>
      </c>
      <c r="J704" s="267" t="s">
        <v>301</v>
      </c>
      <c r="K704" s="268" t="s">
        <v>308</v>
      </c>
    </row>
    <row r="705" spans="1:11" x14ac:dyDescent="0.35">
      <c r="A705" s="269" t="s">
        <v>316</v>
      </c>
      <c r="B705" s="270"/>
      <c r="C705" s="270"/>
      <c r="D705" s="270"/>
      <c r="E705" s="270"/>
      <c r="G705" s="269" t="s">
        <v>349</v>
      </c>
      <c r="H705" s="270">
        <v>2300</v>
      </c>
      <c r="I705" s="270"/>
      <c r="J705" s="270"/>
      <c r="K705" s="270"/>
    </row>
    <row r="706" spans="1:11" x14ac:dyDescent="0.35">
      <c r="A706" s="271" t="s">
        <v>309</v>
      </c>
      <c r="B706" s="272"/>
      <c r="C706" s="272"/>
      <c r="D706" s="272"/>
      <c r="E706" s="272"/>
      <c r="G706" s="271" t="s">
        <v>309</v>
      </c>
      <c r="H706" s="272">
        <v>50</v>
      </c>
      <c r="I706" s="272"/>
      <c r="J706" s="272"/>
      <c r="K706" s="272"/>
    </row>
    <row r="707" spans="1:11" x14ac:dyDescent="0.35">
      <c r="A707" s="269" t="s">
        <v>310</v>
      </c>
      <c r="B707" s="270"/>
      <c r="C707" s="270"/>
      <c r="D707" s="270"/>
      <c r="E707" s="270"/>
      <c r="G707" s="269" t="s">
        <v>310</v>
      </c>
      <c r="H707" s="270"/>
      <c r="I707" s="270"/>
      <c r="J707" s="270"/>
      <c r="K707" s="270"/>
    </row>
    <row r="708" spans="1:11" x14ac:dyDescent="0.35">
      <c r="A708" s="271" t="s">
        <v>317</v>
      </c>
      <c r="B708" s="272"/>
      <c r="C708" s="272"/>
      <c r="D708" s="272"/>
      <c r="E708" s="272"/>
      <c r="G708" s="271" t="s">
        <v>317</v>
      </c>
      <c r="H708" s="272"/>
      <c r="I708" s="272"/>
      <c r="J708" s="272"/>
      <c r="K708" s="272"/>
    </row>
    <row r="709" spans="1:11" x14ac:dyDescent="0.35">
      <c r="A709" s="269" t="s">
        <v>311</v>
      </c>
      <c r="B709" s="270"/>
      <c r="C709" s="270"/>
      <c r="D709" s="270"/>
      <c r="E709" s="270"/>
      <c r="G709" s="269" t="s">
        <v>311</v>
      </c>
      <c r="H709" s="270"/>
      <c r="I709" s="270"/>
      <c r="J709" s="270"/>
      <c r="K709" s="270"/>
    </row>
    <row r="710" spans="1:11" x14ac:dyDescent="0.35">
      <c r="A710" s="271" t="s">
        <v>312</v>
      </c>
      <c r="B710" s="272"/>
      <c r="C710" s="272"/>
      <c r="D710" s="272"/>
      <c r="E710" s="272"/>
      <c r="G710" s="271" t="s">
        <v>312</v>
      </c>
      <c r="H710" s="272"/>
      <c r="I710" s="272"/>
      <c r="J710" s="272"/>
      <c r="K710" s="272"/>
    </row>
    <row r="711" spans="1:11" x14ac:dyDescent="0.35">
      <c r="A711" s="231" t="s">
        <v>34</v>
      </c>
      <c r="B711" s="230">
        <f>SUM(B705:B710)</f>
        <v>0</v>
      </c>
      <c r="C711" s="230">
        <f>SUM(C705:C710)</f>
        <v>0</v>
      </c>
      <c r="D711" s="230">
        <f>SUM(D705:D710)</f>
        <v>0</v>
      </c>
      <c r="E711" s="230">
        <f>SUM(E705:E710)</f>
        <v>0</v>
      </c>
      <c r="G711" s="231" t="s">
        <v>34</v>
      </c>
      <c r="H711" s="230">
        <f>SUM(H705:H710)</f>
        <v>2350</v>
      </c>
      <c r="I711" s="230">
        <f>SUM(I705:I710)</f>
        <v>0</v>
      </c>
      <c r="J711" s="230">
        <f>SUM(J705:J710)</f>
        <v>0</v>
      </c>
      <c r="K711" s="230">
        <f>SUM(K705:K710)</f>
        <v>0</v>
      </c>
    </row>
    <row r="712" spans="1:11" ht="15" thickBot="1" x14ac:dyDescent="0.4">
      <c r="A712" s="231" t="s">
        <v>313</v>
      </c>
      <c r="B712" s="230">
        <f>+B711+C711+D711+E711</f>
        <v>0</v>
      </c>
      <c r="C712" s="230"/>
      <c r="D712" s="230"/>
      <c r="E712" s="230"/>
      <c r="G712" s="231" t="s">
        <v>313</v>
      </c>
      <c r="H712" s="230">
        <f>+H711+I711+J711+K711</f>
        <v>2350</v>
      </c>
      <c r="I712" s="230"/>
      <c r="J712" s="230"/>
      <c r="K712" s="230"/>
    </row>
    <row r="713" spans="1:11" ht="15.5" thickTop="1" thickBot="1" x14ac:dyDescent="0.4">
      <c r="A713" s="335" t="s">
        <v>298</v>
      </c>
      <c r="B713" s="336"/>
      <c r="C713" s="336"/>
      <c r="D713" s="336"/>
      <c r="E713" s="337"/>
      <c r="G713" s="335" t="s">
        <v>298</v>
      </c>
      <c r="H713" s="336"/>
      <c r="I713" s="336"/>
      <c r="J713" s="336"/>
      <c r="K713" s="337"/>
    </row>
    <row r="714" spans="1:11" ht="15.5" thickTop="1" thickBot="1" x14ac:dyDescent="0.4">
      <c r="A714" s="338">
        <v>45357</v>
      </c>
      <c r="B714" s="336"/>
      <c r="C714" s="336"/>
      <c r="D714" s="336"/>
      <c r="E714" s="337"/>
      <c r="G714" s="338">
        <v>45357</v>
      </c>
      <c r="H714" s="336"/>
      <c r="I714" s="336"/>
      <c r="J714" s="336"/>
      <c r="K714" s="337"/>
    </row>
    <row r="715" spans="1:11" ht="15" thickTop="1" x14ac:dyDescent="0.35">
      <c r="A715" s="267" t="s">
        <v>159</v>
      </c>
      <c r="B715" s="267" t="s">
        <v>299</v>
      </c>
      <c r="C715" s="267" t="s">
        <v>307</v>
      </c>
      <c r="D715" s="267" t="s">
        <v>301</v>
      </c>
      <c r="E715" s="268" t="s">
        <v>308</v>
      </c>
      <c r="G715" s="267" t="s">
        <v>159</v>
      </c>
      <c r="H715" s="267" t="s">
        <v>299</v>
      </c>
      <c r="I715" s="267" t="s">
        <v>307</v>
      </c>
      <c r="J715" s="267" t="s">
        <v>301</v>
      </c>
      <c r="K715" s="268" t="s">
        <v>308</v>
      </c>
    </row>
    <row r="716" spans="1:11" x14ac:dyDescent="0.35">
      <c r="A716" s="269" t="s">
        <v>350</v>
      </c>
      <c r="B716" s="270">
        <v>55</v>
      </c>
      <c r="C716" s="270"/>
      <c r="D716" s="270"/>
      <c r="E716" s="270"/>
      <c r="G716" s="269" t="s">
        <v>349</v>
      </c>
      <c r="H716" s="270"/>
      <c r="I716" s="270"/>
      <c r="J716" s="270"/>
      <c r="K716" s="270"/>
    </row>
    <row r="717" spans="1:11" x14ac:dyDescent="0.35">
      <c r="A717" s="271" t="s">
        <v>316</v>
      </c>
      <c r="B717" s="272">
        <v>80</v>
      </c>
      <c r="C717" s="272"/>
      <c r="D717" s="272"/>
      <c r="E717" s="272"/>
      <c r="G717" s="271" t="s">
        <v>309</v>
      </c>
      <c r="H717" s="272"/>
      <c r="I717" s="272"/>
      <c r="J717" s="272"/>
      <c r="K717" s="272"/>
    </row>
    <row r="718" spans="1:11" x14ac:dyDescent="0.35">
      <c r="A718" s="269" t="s">
        <v>310</v>
      </c>
      <c r="B718" s="270">
        <v>80</v>
      </c>
      <c r="C718" s="270"/>
      <c r="D718" s="270"/>
      <c r="E718" s="270"/>
      <c r="G718" s="269" t="s">
        <v>310</v>
      </c>
      <c r="H718" s="270"/>
      <c r="I718" s="270"/>
      <c r="J718" s="270"/>
      <c r="K718" s="270"/>
    </row>
    <row r="719" spans="1:11" x14ac:dyDescent="0.35">
      <c r="A719" s="271" t="s">
        <v>317</v>
      </c>
      <c r="B719" s="272"/>
      <c r="C719" s="272"/>
      <c r="D719" s="272"/>
      <c r="E719" s="272"/>
      <c r="G719" s="271" t="s">
        <v>317</v>
      </c>
      <c r="H719" s="272"/>
      <c r="I719" s="272"/>
      <c r="J719" s="272"/>
      <c r="K719" s="272"/>
    </row>
    <row r="720" spans="1:11" x14ac:dyDescent="0.35">
      <c r="A720" s="269" t="s">
        <v>311</v>
      </c>
      <c r="B720" s="270"/>
      <c r="C720" s="270"/>
      <c r="D720" s="270"/>
      <c r="E720" s="270"/>
      <c r="G720" s="269" t="s">
        <v>311</v>
      </c>
      <c r="H720" s="270"/>
      <c r="I720" s="270"/>
      <c r="J720" s="270"/>
      <c r="K720" s="270"/>
    </row>
    <row r="721" spans="1:11" x14ac:dyDescent="0.35">
      <c r="A721" s="271" t="s">
        <v>312</v>
      </c>
      <c r="B721" s="272"/>
      <c r="C721" s="272"/>
      <c r="D721" s="272"/>
      <c r="E721" s="272"/>
      <c r="G721" s="271" t="s">
        <v>312</v>
      </c>
      <c r="H721" s="272"/>
      <c r="I721" s="272"/>
      <c r="J721" s="272"/>
      <c r="K721" s="272"/>
    </row>
    <row r="722" spans="1:11" x14ac:dyDescent="0.35">
      <c r="A722" s="231" t="s">
        <v>34</v>
      </c>
      <c r="B722" s="230">
        <f>SUM(B716:B721)</f>
        <v>215</v>
      </c>
      <c r="C722" s="230">
        <f>SUM(C716:C721)</f>
        <v>0</v>
      </c>
      <c r="D722" s="230">
        <f>SUM(D716:D721)</f>
        <v>0</v>
      </c>
      <c r="E722" s="230">
        <f>SUM(E716:E721)</f>
        <v>0</v>
      </c>
      <c r="G722" s="231" t="s">
        <v>34</v>
      </c>
      <c r="H722" s="230">
        <f>SUM(H716:H721)</f>
        <v>0</v>
      </c>
      <c r="I722" s="230">
        <f>SUM(I716:I721)</f>
        <v>0</v>
      </c>
      <c r="J722" s="230">
        <f>SUM(J716:J721)</f>
        <v>0</v>
      </c>
      <c r="K722" s="230">
        <f>SUM(K716:K721)</f>
        <v>0</v>
      </c>
    </row>
    <row r="723" spans="1:11" ht="15" thickBot="1" x14ac:dyDescent="0.4">
      <c r="A723" s="231" t="s">
        <v>313</v>
      </c>
      <c r="B723" s="230">
        <f>+B722+C722+D722+E722</f>
        <v>215</v>
      </c>
      <c r="C723" s="230"/>
      <c r="D723" s="230"/>
      <c r="E723" s="230"/>
      <c r="G723" s="231" t="s">
        <v>313</v>
      </c>
      <c r="H723" s="230">
        <f>+H722+I722+J722+K722</f>
        <v>0</v>
      </c>
      <c r="I723" s="230"/>
      <c r="J723" s="230"/>
      <c r="K723" s="230"/>
    </row>
    <row r="724" spans="1:11" ht="15.5" thickTop="1" thickBot="1" x14ac:dyDescent="0.4">
      <c r="A724" s="335" t="s">
        <v>298</v>
      </c>
      <c r="B724" s="336"/>
      <c r="C724" s="336"/>
      <c r="D724" s="336"/>
      <c r="E724" s="337"/>
      <c r="G724" s="335" t="s">
        <v>298</v>
      </c>
      <c r="H724" s="336"/>
      <c r="I724" s="336"/>
      <c r="J724" s="336"/>
      <c r="K724" s="337"/>
    </row>
    <row r="725" spans="1:11" ht="15.5" thickTop="1" thickBot="1" x14ac:dyDescent="0.4">
      <c r="A725" s="338">
        <v>45358</v>
      </c>
      <c r="B725" s="336"/>
      <c r="C725" s="336"/>
      <c r="D725" s="336"/>
      <c r="E725" s="337"/>
      <c r="G725" s="338">
        <v>45358</v>
      </c>
      <c r="H725" s="336"/>
      <c r="I725" s="336"/>
      <c r="J725" s="336"/>
      <c r="K725" s="337"/>
    </row>
    <row r="726" spans="1:11" ht="15" thickTop="1" x14ac:dyDescent="0.35">
      <c r="A726" s="267" t="s">
        <v>159</v>
      </c>
      <c r="B726" s="267" t="s">
        <v>299</v>
      </c>
      <c r="C726" s="267" t="s">
        <v>307</v>
      </c>
      <c r="D726" s="267" t="s">
        <v>301</v>
      </c>
      <c r="E726" s="268" t="s">
        <v>308</v>
      </c>
      <c r="G726" s="267" t="s">
        <v>159</v>
      </c>
      <c r="H726" s="267" t="s">
        <v>299</v>
      </c>
      <c r="I726" s="267" t="s">
        <v>307</v>
      </c>
      <c r="J726" s="267" t="s">
        <v>301</v>
      </c>
      <c r="K726" s="268" t="s">
        <v>308</v>
      </c>
    </row>
    <row r="727" spans="1:11" x14ac:dyDescent="0.35">
      <c r="A727" s="269" t="s">
        <v>316</v>
      </c>
      <c r="B727" s="270"/>
      <c r="C727" s="270"/>
      <c r="D727" s="270"/>
      <c r="E727" s="270"/>
      <c r="G727" s="269" t="s">
        <v>316</v>
      </c>
      <c r="H727" s="270"/>
      <c r="I727" s="270"/>
      <c r="J727" s="270"/>
      <c r="K727" s="270"/>
    </row>
    <row r="728" spans="1:11" x14ac:dyDescent="0.35">
      <c r="A728" s="271" t="s">
        <v>309</v>
      </c>
      <c r="B728" s="272"/>
      <c r="C728" s="272"/>
      <c r="D728" s="272"/>
      <c r="E728" s="272"/>
      <c r="G728" s="271" t="s">
        <v>309</v>
      </c>
      <c r="H728" s="272"/>
      <c r="I728" s="272"/>
      <c r="J728" s="272"/>
      <c r="K728" s="272"/>
    </row>
    <row r="729" spans="1:11" x14ac:dyDescent="0.35">
      <c r="A729" s="269" t="s">
        <v>310</v>
      </c>
      <c r="B729" s="270">
        <v>2300</v>
      </c>
      <c r="C729" s="270"/>
      <c r="D729" s="270"/>
      <c r="E729" s="270"/>
      <c r="G729" s="269" t="s">
        <v>310</v>
      </c>
      <c r="H729" s="270"/>
      <c r="I729" s="270"/>
      <c r="J729" s="270"/>
      <c r="K729" s="270"/>
    </row>
    <row r="730" spans="1:11" x14ac:dyDescent="0.35">
      <c r="A730" s="271" t="s">
        <v>317</v>
      </c>
      <c r="B730" s="272"/>
      <c r="C730" s="272"/>
      <c r="D730" s="272"/>
      <c r="E730" s="272"/>
      <c r="G730" s="271" t="s">
        <v>317</v>
      </c>
      <c r="H730" s="272"/>
      <c r="I730" s="272"/>
      <c r="J730" s="272"/>
      <c r="K730" s="272"/>
    </row>
    <row r="731" spans="1:11" x14ac:dyDescent="0.35">
      <c r="A731" s="269" t="s">
        <v>311</v>
      </c>
      <c r="B731" s="270"/>
      <c r="C731" s="270"/>
      <c r="D731" s="270"/>
      <c r="E731" s="270"/>
      <c r="G731" s="269" t="s">
        <v>311</v>
      </c>
      <c r="H731" s="270"/>
      <c r="I731" s="270"/>
      <c r="J731" s="270"/>
      <c r="K731" s="270"/>
    </row>
    <row r="732" spans="1:11" x14ac:dyDescent="0.35">
      <c r="A732" s="271" t="s">
        <v>312</v>
      </c>
      <c r="B732" s="272">
        <v>6680</v>
      </c>
      <c r="C732" s="272"/>
      <c r="D732" s="272"/>
      <c r="E732" s="272"/>
      <c r="G732" s="271" t="s">
        <v>312</v>
      </c>
      <c r="H732" s="272"/>
      <c r="I732" s="272"/>
      <c r="J732" s="272"/>
      <c r="K732" s="272"/>
    </row>
    <row r="733" spans="1:11" x14ac:dyDescent="0.35">
      <c r="A733" s="231" t="s">
        <v>34</v>
      </c>
      <c r="B733" s="230">
        <f>SUM(B727:B732)</f>
        <v>8980</v>
      </c>
      <c r="C733" s="230">
        <f>SUM(C727:C732)</f>
        <v>0</v>
      </c>
      <c r="D733" s="230">
        <f>SUM(D727:D732)</f>
        <v>0</v>
      </c>
      <c r="E733" s="230">
        <f>SUM(E727:E732)</f>
        <v>0</v>
      </c>
      <c r="G733" s="231" t="s">
        <v>34</v>
      </c>
      <c r="H733" s="230">
        <f>SUM(H727:H732)</f>
        <v>0</v>
      </c>
      <c r="I733" s="230">
        <f>SUM(I727:I732)</f>
        <v>0</v>
      </c>
      <c r="J733" s="230">
        <f>SUM(J727:J732)</f>
        <v>0</v>
      </c>
      <c r="K733" s="230">
        <f>SUM(K727:K732)</f>
        <v>0</v>
      </c>
    </row>
    <row r="734" spans="1:11" ht="15" thickBot="1" x14ac:dyDescent="0.4">
      <c r="A734" s="231" t="s">
        <v>313</v>
      </c>
      <c r="B734" s="230">
        <f>+B733+C733+D733+E733</f>
        <v>8980</v>
      </c>
      <c r="C734" s="230"/>
      <c r="D734" s="230"/>
      <c r="E734" s="230"/>
      <c r="G734" s="231" t="s">
        <v>313</v>
      </c>
      <c r="H734" s="230">
        <f>+H733+I733+J733+K733</f>
        <v>0</v>
      </c>
      <c r="I734" s="230"/>
      <c r="J734" s="230"/>
      <c r="K734" s="230"/>
    </row>
    <row r="735" spans="1:11" ht="15.5" thickTop="1" thickBot="1" x14ac:dyDescent="0.4">
      <c r="A735" s="335" t="s">
        <v>298</v>
      </c>
      <c r="B735" s="336"/>
      <c r="C735" s="336"/>
      <c r="D735" s="336"/>
      <c r="E735" s="337"/>
      <c r="G735" s="335" t="s">
        <v>298</v>
      </c>
      <c r="H735" s="336"/>
      <c r="I735" s="336"/>
      <c r="J735" s="336"/>
      <c r="K735" s="337"/>
    </row>
    <row r="736" spans="1:11" ht="15.5" thickTop="1" thickBot="1" x14ac:dyDescent="0.4">
      <c r="A736" s="338">
        <v>45359</v>
      </c>
      <c r="B736" s="336"/>
      <c r="C736" s="336"/>
      <c r="D736" s="336"/>
      <c r="E736" s="337"/>
      <c r="G736" s="338">
        <v>45359</v>
      </c>
      <c r="H736" s="336"/>
      <c r="I736" s="336"/>
      <c r="J736" s="336"/>
      <c r="K736" s="337"/>
    </row>
    <row r="737" spans="1:11" ht="15" thickTop="1" x14ac:dyDescent="0.35">
      <c r="A737" s="267" t="s">
        <v>159</v>
      </c>
      <c r="B737" s="267" t="s">
        <v>299</v>
      </c>
      <c r="C737" s="267" t="s">
        <v>307</v>
      </c>
      <c r="D737" s="267" t="s">
        <v>301</v>
      </c>
      <c r="E737" s="268" t="s">
        <v>308</v>
      </c>
      <c r="G737" s="267" t="s">
        <v>159</v>
      </c>
      <c r="H737" s="267" t="s">
        <v>299</v>
      </c>
      <c r="I737" s="267" t="s">
        <v>307</v>
      </c>
      <c r="J737" s="267" t="s">
        <v>301</v>
      </c>
      <c r="K737" s="268" t="s">
        <v>308</v>
      </c>
    </row>
    <row r="738" spans="1:11" x14ac:dyDescent="0.35">
      <c r="A738" s="269" t="s">
        <v>316</v>
      </c>
      <c r="B738" s="270"/>
      <c r="C738" s="270"/>
      <c r="D738" s="270"/>
      <c r="E738" s="270"/>
      <c r="G738" s="269" t="s">
        <v>316</v>
      </c>
      <c r="H738" s="270"/>
      <c r="I738" s="270"/>
      <c r="J738" s="270"/>
      <c r="K738" s="270"/>
    </row>
    <row r="739" spans="1:11" x14ac:dyDescent="0.35">
      <c r="A739" s="271" t="s">
        <v>309</v>
      </c>
      <c r="B739" s="272"/>
      <c r="C739" s="272"/>
      <c r="D739" s="272"/>
      <c r="E739" s="272"/>
      <c r="G739" s="271" t="s">
        <v>309</v>
      </c>
      <c r="H739" s="272"/>
      <c r="I739" s="272"/>
      <c r="J739" s="272"/>
      <c r="K739" s="272"/>
    </row>
    <row r="740" spans="1:11" x14ac:dyDescent="0.35">
      <c r="A740" s="269" t="s">
        <v>310</v>
      </c>
      <c r="B740" s="270"/>
      <c r="C740" s="270"/>
      <c r="D740" s="270"/>
      <c r="E740" s="270"/>
      <c r="G740" s="269" t="s">
        <v>310</v>
      </c>
      <c r="H740" s="270"/>
      <c r="I740" s="270"/>
      <c r="J740" s="270"/>
      <c r="K740" s="270"/>
    </row>
    <row r="741" spans="1:11" x14ac:dyDescent="0.35">
      <c r="A741" s="271" t="s">
        <v>317</v>
      </c>
      <c r="B741" s="272"/>
      <c r="C741" s="272"/>
      <c r="D741" s="272"/>
      <c r="E741" s="272"/>
      <c r="G741" s="271" t="s">
        <v>317</v>
      </c>
      <c r="H741" s="272"/>
      <c r="I741" s="272"/>
      <c r="J741" s="272"/>
      <c r="K741" s="272"/>
    </row>
    <row r="742" spans="1:11" x14ac:dyDescent="0.35">
      <c r="A742" s="269" t="s">
        <v>311</v>
      </c>
      <c r="B742" s="270"/>
      <c r="C742" s="270"/>
      <c r="D742" s="270"/>
      <c r="E742" s="270"/>
      <c r="G742" s="269" t="s">
        <v>311</v>
      </c>
      <c r="H742" s="270"/>
      <c r="I742" s="270"/>
      <c r="J742" s="270"/>
      <c r="K742" s="270"/>
    </row>
    <row r="743" spans="1:11" x14ac:dyDescent="0.35">
      <c r="A743" s="271" t="s">
        <v>312</v>
      </c>
      <c r="B743" s="272"/>
      <c r="C743" s="272"/>
      <c r="D743" s="272"/>
      <c r="E743" s="272"/>
      <c r="G743" s="271" t="s">
        <v>312</v>
      </c>
      <c r="H743" s="272"/>
      <c r="I743" s="272"/>
      <c r="J743" s="272"/>
      <c r="K743" s="272"/>
    </row>
    <row r="744" spans="1:11" x14ac:dyDescent="0.35">
      <c r="A744" s="231" t="s">
        <v>34</v>
      </c>
      <c r="B744" s="230">
        <f>SUM(B738:B743)</f>
        <v>0</v>
      </c>
      <c r="C744" s="230">
        <f>SUM(C738:C743)</f>
        <v>0</v>
      </c>
      <c r="D744" s="230">
        <f>SUM(D738:D743)</f>
        <v>0</v>
      </c>
      <c r="E744" s="230">
        <f>SUM(E738:E743)</f>
        <v>0</v>
      </c>
      <c r="G744" s="231" t="s">
        <v>34</v>
      </c>
      <c r="H744" s="230">
        <f>SUM(H738:H743)</f>
        <v>0</v>
      </c>
      <c r="I744" s="230">
        <f>SUM(I738:I743)</f>
        <v>0</v>
      </c>
      <c r="J744" s="230">
        <f>SUM(J738:J743)</f>
        <v>0</v>
      </c>
      <c r="K744" s="230">
        <f>SUM(K738:K743)</f>
        <v>0</v>
      </c>
    </row>
    <row r="745" spans="1:11" ht="15" thickBot="1" x14ac:dyDescent="0.4">
      <c r="A745" s="231" t="s">
        <v>313</v>
      </c>
      <c r="B745" s="230">
        <f>+B744+C744+D744+E744</f>
        <v>0</v>
      </c>
      <c r="C745" s="230"/>
      <c r="D745" s="230"/>
      <c r="E745" s="230"/>
      <c r="G745" s="231" t="s">
        <v>313</v>
      </c>
      <c r="H745" s="230">
        <f>+H744+I744+J744+K744</f>
        <v>0</v>
      </c>
      <c r="I745" s="230"/>
      <c r="J745" s="230"/>
      <c r="K745" s="230"/>
    </row>
    <row r="746" spans="1:11" ht="15.5" thickTop="1" thickBot="1" x14ac:dyDescent="0.4">
      <c r="A746" s="335" t="s">
        <v>298</v>
      </c>
      <c r="B746" s="336"/>
      <c r="C746" s="336"/>
      <c r="D746" s="336"/>
      <c r="E746" s="337"/>
      <c r="G746" s="335" t="s">
        <v>298</v>
      </c>
      <c r="H746" s="336"/>
      <c r="I746" s="336"/>
      <c r="J746" s="336"/>
      <c r="K746" s="337"/>
    </row>
    <row r="747" spans="1:11" ht="15.5" thickTop="1" thickBot="1" x14ac:dyDescent="0.4">
      <c r="A747" s="338">
        <v>45360</v>
      </c>
      <c r="B747" s="336"/>
      <c r="C747" s="336"/>
      <c r="D747" s="336"/>
      <c r="E747" s="337"/>
      <c r="G747" s="338">
        <v>45360</v>
      </c>
      <c r="H747" s="336"/>
      <c r="I747" s="336"/>
      <c r="J747" s="336"/>
      <c r="K747" s="337"/>
    </row>
    <row r="748" spans="1:11" ht="15" thickTop="1" x14ac:dyDescent="0.35">
      <c r="A748" s="267" t="s">
        <v>159</v>
      </c>
      <c r="B748" s="267" t="s">
        <v>299</v>
      </c>
      <c r="C748" s="267" t="s">
        <v>307</v>
      </c>
      <c r="D748" s="267" t="s">
        <v>301</v>
      </c>
      <c r="E748" s="268" t="s">
        <v>308</v>
      </c>
      <c r="G748" s="267" t="s">
        <v>159</v>
      </c>
      <c r="H748" s="267" t="s">
        <v>299</v>
      </c>
      <c r="I748" s="267" t="s">
        <v>307</v>
      </c>
      <c r="J748" s="267" t="s">
        <v>301</v>
      </c>
      <c r="K748" s="268" t="s">
        <v>308</v>
      </c>
    </row>
    <row r="749" spans="1:11" x14ac:dyDescent="0.35">
      <c r="A749" s="269" t="s">
        <v>345</v>
      </c>
      <c r="B749" s="270">
        <v>2500</v>
      </c>
      <c r="C749" s="270"/>
      <c r="D749" s="270"/>
      <c r="E749" s="270"/>
      <c r="G749" s="269" t="s">
        <v>345</v>
      </c>
      <c r="H749" s="270">
        <v>1400</v>
      </c>
      <c r="I749" s="270"/>
      <c r="J749" s="270"/>
      <c r="K749" s="270"/>
    </row>
    <row r="750" spans="1:11" x14ac:dyDescent="0.35">
      <c r="A750" s="271" t="s">
        <v>345</v>
      </c>
      <c r="B750" s="272">
        <v>1700</v>
      </c>
      <c r="C750" s="272"/>
      <c r="D750" s="272"/>
      <c r="E750" s="272"/>
      <c r="G750" s="271" t="s">
        <v>309</v>
      </c>
      <c r="H750" s="272"/>
      <c r="I750" s="272"/>
      <c r="J750" s="272"/>
      <c r="K750" s="272"/>
    </row>
    <row r="751" spans="1:11" x14ac:dyDescent="0.35">
      <c r="A751" s="269" t="s">
        <v>310</v>
      </c>
      <c r="B751" s="270">
        <v>128</v>
      </c>
      <c r="C751" s="270"/>
      <c r="D751" s="270"/>
      <c r="E751" s="270"/>
      <c r="G751" s="269" t="s">
        <v>310</v>
      </c>
      <c r="H751" s="270"/>
      <c r="I751" s="270"/>
      <c r="J751" s="270"/>
      <c r="K751" s="270"/>
    </row>
    <row r="752" spans="1:11" x14ac:dyDescent="0.35">
      <c r="A752" s="271" t="s">
        <v>316</v>
      </c>
      <c r="B752" s="272">
        <v>230</v>
      </c>
      <c r="C752" s="272"/>
      <c r="D752" s="272"/>
      <c r="E752" s="272"/>
      <c r="G752" s="271" t="s">
        <v>317</v>
      </c>
      <c r="H752" s="272"/>
      <c r="I752" s="272"/>
      <c r="J752" s="272"/>
      <c r="K752" s="272"/>
    </row>
    <row r="753" spans="1:11" x14ac:dyDescent="0.35">
      <c r="A753" s="269" t="s">
        <v>311</v>
      </c>
      <c r="B753" s="270"/>
      <c r="C753" s="270"/>
      <c r="D753" s="270"/>
      <c r="E753" s="270"/>
      <c r="G753" s="269" t="s">
        <v>311</v>
      </c>
      <c r="H753" s="270"/>
      <c r="I753" s="270"/>
      <c r="J753" s="270"/>
      <c r="K753" s="270"/>
    </row>
    <row r="754" spans="1:11" x14ac:dyDescent="0.35">
      <c r="A754" s="271" t="s">
        <v>312</v>
      </c>
      <c r="B754" s="272"/>
      <c r="C754" s="272"/>
      <c r="D754" s="272"/>
      <c r="E754" s="272"/>
      <c r="G754" s="271" t="s">
        <v>312</v>
      </c>
      <c r="H754" s="272"/>
      <c r="I754" s="272"/>
      <c r="J754" s="272"/>
      <c r="K754" s="272"/>
    </row>
    <row r="755" spans="1:11" x14ac:dyDescent="0.35">
      <c r="A755" s="231" t="s">
        <v>34</v>
      </c>
      <c r="B755" s="230">
        <f>SUM(B749:B754)</f>
        <v>4558</v>
      </c>
      <c r="C755" s="230">
        <f>SUM(C749:C754)</f>
        <v>0</v>
      </c>
      <c r="D755" s="230">
        <f>SUM(D749:D754)</f>
        <v>0</v>
      </c>
      <c r="E755" s="230">
        <f>SUM(E749:E754)</f>
        <v>0</v>
      </c>
      <c r="G755" s="231" t="s">
        <v>34</v>
      </c>
      <c r="H755" s="230">
        <f>SUM(H749:H754)</f>
        <v>1400</v>
      </c>
      <c r="I755" s="230">
        <f>SUM(I749:I754)</f>
        <v>0</v>
      </c>
      <c r="J755" s="230">
        <f>SUM(J749:J754)</f>
        <v>0</v>
      </c>
      <c r="K755" s="230">
        <f>SUM(K749:K754)</f>
        <v>0</v>
      </c>
    </row>
    <row r="756" spans="1:11" ht="15" thickBot="1" x14ac:dyDescent="0.4">
      <c r="A756" s="231" t="s">
        <v>313</v>
      </c>
      <c r="B756" s="230">
        <f>+B755+C755+D755+E755</f>
        <v>4558</v>
      </c>
      <c r="C756" s="230"/>
      <c r="D756" s="230"/>
      <c r="E756" s="230"/>
      <c r="G756" s="231" t="s">
        <v>313</v>
      </c>
      <c r="H756" s="230">
        <f>+H755+I755+J755+K755</f>
        <v>1400</v>
      </c>
      <c r="I756" s="230"/>
      <c r="J756" s="230"/>
      <c r="K756" s="230"/>
    </row>
    <row r="757" spans="1:11" ht="15.5" thickTop="1" thickBot="1" x14ac:dyDescent="0.4">
      <c r="A757" s="335" t="s">
        <v>298</v>
      </c>
      <c r="B757" s="336"/>
      <c r="C757" s="336"/>
      <c r="D757" s="336"/>
      <c r="E757" s="337"/>
      <c r="G757" s="335" t="s">
        <v>298</v>
      </c>
      <c r="H757" s="336"/>
      <c r="I757" s="336"/>
      <c r="J757" s="336"/>
      <c r="K757" s="337"/>
    </row>
    <row r="758" spans="1:11" ht="15.5" thickTop="1" thickBot="1" x14ac:dyDescent="0.4">
      <c r="A758" s="338">
        <v>45361</v>
      </c>
      <c r="B758" s="336"/>
      <c r="C758" s="336"/>
      <c r="D758" s="336"/>
      <c r="E758" s="337"/>
      <c r="G758" s="338">
        <v>45361</v>
      </c>
      <c r="H758" s="336"/>
      <c r="I758" s="336"/>
      <c r="J758" s="336"/>
      <c r="K758" s="337"/>
    </row>
    <row r="759" spans="1:11" ht="15" thickTop="1" x14ac:dyDescent="0.35">
      <c r="A759" s="267" t="s">
        <v>159</v>
      </c>
      <c r="B759" s="267" t="s">
        <v>299</v>
      </c>
      <c r="C759" s="267" t="s">
        <v>307</v>
      </c>
      <c r="D759" s="267" t="s">
        <v>301</v>
      </c>
      <c r="E759" s="268" t="s">
        <v>308</v>
      </c>
      <c r="G759" s="267" t="s">
        <v>159</v>
      </c>
      <c r="H759" s="267" t="s">
        <v>299</v>
      </c>
      <c r="I759" s="267" t="s">
        <v>307</v>
      </c>
      <c r="J759" s="267" t="s">
        <v>301</v>
      </c>
      <c r="K759" s="268" t="s">
        <v>308</v>
      </c>
    </row>
    <row r="760" spans="1:11" x14ac:dyDescent="0.35">
      <c r="A760" s="269" t="s">
        <v>316</v>
      </c>
      <c r="B760" s="270"/>
      <c r="C760" s="270"/>
      <c r="D760" s="270"/>
      <c r="E760" s="270"/>
      <c r="G760" s="269" t="s">
        <v>316</v>
      </c>
      <c r="H760" s="270"/>
      <c r="I760" s="270"/>
      <c r="J760" s="270"/>
      <c r="K760" s="270"/>
    </row>
    <row r="761" spans="1:11" x14ac:dyDescent="0.35">
      <c r="A761" s="271" t="s">
        <v>309</v>
      </c>
      <c r="B761" s="272"/>
      <c r="C761" s="272"/>
      <c r="D761" s="272"/>
      <c r="E761" s="272"/>
      <c r="G761" s="271" t="s">
        <v>309</v>
      </c>
      <c r="H761" s="272"/>
      <c r="I761" s="272"/>
      <c r="J761" s="272"/>
      <c r="K761" s="272"/>
    </row>
    <row r="762" spans="1:11" x14ac:dyDescent="0.35">
      <c r="A762" s="269" t="s">
        <v>310</v>
      </c>
      <c r="B762" s="270"/>
      <c r="C762" s="270"/>
      <c r="D762" s="270"/>
      <c r="E762" s="270"/>
      <c r="G762" s="269" t="s">
        <v>310</v>
      </c>
      <c r="H762" s="270"/>
      <c r="I762" s="270"/>
      <c r="J762" s="270"/>
      <c r="K762" s="270"/>
    </row>
    <row r="763" spans="1:11" x14ac:dyDescent="0.35">
      <c r="A763" s="271" t="s">
        <v>317</v>
      </c>
      <c r="B763" s="272"/>
      <c r="C763" s="272"/>
      <c r="D763" s="272"/>
      <c r="E763" s="272"/>
      <c r="G763" s="271" t="s">
        <v>317</v>
      </c>
      <c r="H763" s="272"/>
      <c r="I763" s="272"/>
      <c r="J763" s="272"/>
      <c r="K763" s="272"/>
    </row>
    <row r="764" spans="1:11" x14ac:dyDescent="0.35">
      <c r="A764" s="269" t="s">
        <v>311</v>
      </c>
      <c r="B764" s="270">
        <v>300</v>
      </c>
      <c r="C764" s="270"/>
      <c r="D764" s="270"/>
      <c r="E764" s="270"/>
      <c r="G764" s="269" t="s">
        <v>311</v>
      </c>
      <c r="H764" s="270"/>
      <c r="I764" s="270"/>
      <c r="J764" s="270"/>
      <c r="K764" s="270"/>
    </row>
    <row r="765" spans="1:11" x14ac:dyDescent="0.35">
      <c r="A765" s="271" t="s">
        <v>312</v>
      </c>
      <c r="B765" s="272">
        <v>720</v>
      </c>
      <c r="C765" s="272"/>
      <c r="D765" s="272"/>
      <c r="E765" s="272"/>
      <c r="G765" s="271" t="s">
        <v>312</v>
      </c>
      <c r="H765" s="272"/>
      <c r="I765" s="272"/>
      <c r="J765" s="272"/>
      <c r="K765" s="272"/>
    </row>
    <row r="766" spans="1:11" x14ac:dyDescent="0.35">
      <c r="A766" s="231" t="s">
        <v>34</v>
      </c>
      <c r="B766" s="230">
        <f>SUM(B760:B765)</f>
        <v>1020</v>
      </c>
      <c r="C766" s="230">
        <f>SUM(C760:C765)</f>
        <v>0</v>
      </c>
      <c r="D766" s="230">
        <f>SUM(D760:D765)</f>
        <v>0</v>
      </c>
      <c r="E766" s="230">
        <f>SUM(E760:E765)</f>
        <v>0</v>
      </c>
      <c r="G766" s="231" t="s">
        <v>34</v>
      </c>
      <c r="H766" s="230">
        <f>SUM(H760:H765)</f>
        <v>0</v>
      </c>
      <c r="I766" s="230">
        <f>SUM(I760:I765)</f>
        <v>0</v>
      </c>
      <c r="J766" s="230">
        <f>SUM(J760:J765)</f>
        <v>0</v>
      </c>
      <c r="K766" s="230">
        <f>SUM(K760:K765)</f>
        <v>0</v>
      </c>
    </row>
    <row r="767" spans="1:11" ht="15" thickBot="1" x14ac:dyDescent="0.4">
      <c r="A767" s="231" t="s">
        <v>313</v>
      </c>
      <c r="B767" s="230">
        <f>+B766+C766+D766+E766</f>
        <v>1020</v>
      </c>
      <c r="C767" s="230"/>
      <c r="D767" s="230"/>
      <c r="E767" s="230"/>
      <c r="G767" s="231" t="s">
        <v>313</v>
      </c>
      <c r="H767" s="230">
        <f>+H766+I766+J766+K766</f>
        <v>0</v>
      </c>
      <c r="I767" s="230"/>
      <c r="J767" s="230"/>
      <c r="K767" s="230"/>
    </row>
    <row r="768" spans="1:11" ht="15.5" thickTop="1" thickBot="1" x14ac:dyDescent="0.4">
      <c r="A768" s="335" t="s">
        <v>298</v>
      </c>
      <c r="B768" s="336"/>
      <c r="C768" s="336"/>
      <c r="D768" s="336"/>
      <c r="E768" s="337"/>
      <c r="G768" s="335" t="s">
        <v>298</v>
      </c>
      <c r="H768" s="336"/>
      <c r="I768" s="336"/>
      <c r="J768" s="336"/>
      <c r="K768" s="337"/>
    </row>
    <row r="769" spans="1:11" ht="15.5" thickTop="1" thickBot="1" x14ac:dyDescent="0.4">
      <c r="A769" s="338">
        <v>45362</v>
      </c>
      <c r="B769" s="336"/>
      <c r="C769" s="336"/>
      <c r="D769" s="336"/>
      <c r="E769" s="337"/>
      <c r="G769" s="338">
        <v>45362</v>
      </c>
      <c r="H769" s="336"/>
      <c r="I769" s="336"/>
      <c r="J769" s="336"/>
      <c r="K769" s="337"/>
    </row>
    <row r="770" spans="1:11" ht="15" thickTop="1" x14ac:dyDescent="0.35">
      <c r="A770" s="267" t="s">
        <v>159</v>
      </c>
      <c r="B770" s="267" t="s">
        <v>299</v>
      </c>
      <c r="C770" s="267" t="s">
        <v>307</v>
      </c>
      <c r="D770" s="267" t="s">
        <v>301</v>
      </c>
      <c r="E770" s="268" t="s">
        <v>308</v>
      </c>
      <c r="G770" s="267" t="s">
        <v>159</v>
      </c>
      <c r="H770" s="267" t="s">
        <v>299</v>
      </c>
      <c r="I770" s="267" t="s">
        <v>307</v>
      </c>
      <c r="J770" s="267" t="s">
        <v>301</v>
      </c>
      <c r="K770" s="268" t="s">
        <v>308</v>
      </c>
    </row>
    <row r="771" spans="1:11" x14ac:dyDescent="0.35">
      <c r="A771" s="269" t="s">
        <v>350</v>
      </c>
      <c r="B771" s="270">
        <v>165</v>
      </c>
      <c r="C771" s="270"/>
      <c r="D771" s="270"/>
      <c r="E771" s="270"/>
      <c r="G771" s="269" t="s">
        <v>316</v>
      </c>
      <c r="H771" s="270"/>
      <c r="I771" s="270"/>
      <c r="J771" s="270"/>
      <c r="K771" s="270"/>
    </row>
    <row r="772" spans="1:11" x14ac:dyDescent="0.35">
      <c r="A772" s="271" t="s">
        <v>309</v>
      </c>
      <c r="B772" s="272"/>
      <c r="C772" s="272"/>
      <c r="D772" s="272"/>
      <c r="E772" s="272"/>
      <c r="G772" s="271" t="s">
        <v>309</v>
      </c>
      <c r="H772" s="272"/>
      <c r="I772" s="272"/>
      <c r="J772" s="272"/>
      <c r="K772" s="272"/>
    </row>
    <row r="773" spans="1:11" x14ac:dyDescent="0.35">
      <c r="A773" s="269" t="s">
        <v>310</v>
      </c>
      <c r="B773" s="270"/>
      <c r="C773" s="270"/>
      <c r="D773" s="270"/>
      <c r="E773" s="270"/>
      <c r="G773" s="269" t="s">
        <v>310</v>
      </c>
      <c r="H773" s="270"/>
      <c r="I773" s="270"/>
      <c r="J773" s="270"/>
      <c r="K773" s="270"/>
    </row>
    <row r="774" spans="1:11" x14ac:dyDescent="0.35">
      <c r="A774" s="271" t="s">
        <v>317</v>
      </c>
      <c r="B774" s="272"/>
      <c r="C774" s="272"/>
      <c r="D774" s="272"/>
      <c r="E774" s="272"/>
      <c r="G774" s="271" t="s">
        <v>317</v>
      </c>
      <c r="H774" s="272"/>
      <c r="I774" s="272"/>
      <c r="J774" s="272"/>
      <c r="K774" s="272"/>
    </row>
    <row r="775" spans="1:11" x14ac:dyDescent="0.35">
      <c r="A775" s="269" t="s">
        <v>311</v>
      </c>
      <c r="B775" s="270"/>
      <c r="C775" s="270"/>
      <c r="D775" s="270"/>
      <c r="E775" s="270"/>
      <c r="G775" s="269" t="s">
        <v>311</v>
      </c>
      <c r="H775" s="270"/>
      <c r="I775" s="270"/>
      <c r="J775" s="270"/>
      <c r="K775" s="270"/>
    </row>
    <row r="776" spans="1:11" x14ac:dyDescent="0.35">
      <c r="A776" s="271" t="s">
        <v>312</v>
      </c>
      <c r="B776" s="272"/>
      <c r="C776" s="272"/>
      <c r="D776" s="272"/>
      <c r="E776" s="272"/>
      <c r="G776" s="271" t="s">
        <v>312</v>
      </c>
      <c r="H776" s="272"/>
      <c r="I776" s="272"/>
      <c r="J776" s="272"/>
      <c r="K776" s="272"/>
    </row>
    <row r="777" spans="1:11" x14ac:dyDescent="0.35">
      <c r="A777" s="231" t="s">
        <v>34</v>
      </c>
      <c r="B777" s="230">
        <f>SUM(B771:B776)</f>
        <v>165</v>
      </c>
      <c r="C777" s="230">
        <f>SUM(C771:C776)</f>
        <v>0</v>
      </c>
      <c r="D777" s="230">
        <f>SUM(D771:D776)</f>
        <v>0</v>
      </c>
      <c r="E777" s="230">
        <f>SUM(E771:E776)</f>
        <v>0</v>
      </c>
      <c r="G777" s="231" t="s">
        <v>34</v>
      </c>
      <c r="H777" s="230">
        <f>SUM(H771:H776)</f>
        <v>0</v>
      </c>
      <c r="I777" s="230">
        <f>SUM(I771:I776)</f>
        <v>0</v>
      </c>
      <c r="J777" s="230">
        <f>SUM(J771:J776)</f>
        <v>0</v>
      </c>
      <c r="K777" s="230">
        <f>SUM(K771:K776)</f>
        <v>0</v>
      </c>
    </row>
    <row r="778" spans="1:11" ht="15" thickBot="1" x14ac:dyDescent="0.4">
      <c r="A778" s="231" t="s">
        <v>313</v>
      </c>
      <c r="B778" s="230">
        <f>+B777+C777+D777+E777</f>
        <v>165</v>
      </c>
      <c r="C778" s="230"/>
      <c r="D778" s="230"/>
      <c r="E778" s="230"/>
      <c r="G778" s="231" t="s">
        <v>313</v>
      </c>
      <c r="H778" s="230">
        <f>+H777+I777+J777+K777</f>
        <v>0</v>
      </c>
      <c r="I778" s="230"/>
      <c r="J778" s="230"/>
      <c r="K778" s="230"/>
    </row>
    <row r="779" spans="1:11" ht="15.5" thickTop="1" thickBot="1" x14ac:dyDescent="0.4">
      <c r="A779" s="335" t="s">
        <v>298</v>
      </c>
      <c r="B779" s="336"/>
      <c r="C779" s="336"/>
      <c r="D779" s="336"/>
      <c r="E779" s="337"/>
      <c r="G779" s="335" t="s">
        <v>298</v>
      </c>
      <c r="H779" s="336"/>
      <c r="I779" s="336"/>
      <c r="J779" s="336"/>
      <c r="K779" s="337"/>
    </row>
    <row r="780" spans="1:11" ht="15.5" thickTop="1" thickBot="1" x14ac:dyDescent="0.4">
      <c r="A780" s="338">
        <v>45363</v>
      </c>
      <c r="B780" s="336"/>
      <c r="C780" s="336"/>
      <c r="D780" s="336"/>
      <c r="E780" s="337"/>
      <c r="G780" s="338">
        <v>45363</v>
      </c>
      <c r="H780" s="336"/>
      <c r="I780" s="336"/>
      <c r="J780" s="336"/>
      <c r="K780" s="337"/>
    </row>
    <row r="781" spans="1:11" ht="15" thickTop="1" x14ac:dyDescent="0.35">
      <c r="A781" s="267" t="s">
        <v>159</v>
      </c>
      <c r="B781" s="267" t="s">
        <v>299</v>
      </c>
      <c r="C781" s="267" t="s">
        <v>307</v>
      </c>
      <c r="D781" s="267" t="s">
        <v>301</v>
      </c>
      <c r="E781" s="268" t="s">
        <v>308</v>
      </c>
      <c r="G781" s="267" t="s">
        <v>159</v>
      </c>
      <c r="H781" s="267" t="s">
        <v>299</v>
      </c>
      <c r="I781" s="267" t="s">
        <v>307</v>
      </c>
      <c r="J781" s="267" t="s">
        <v>301</v>
      </c>
      <c r="K781" s="268" t="s">
        <v>308</v>
      </c>
    </row>
    <row r="782" spans="1:11" x14ac:dyDescent="0.35">
      <c r="A782" s="269" t="s">
        <v>316</v>
      </c>
      <c r="B782" s="270"/>
      <c r="C782" s="270"/>
      <c r="D782" s="270"/>
      <c r="E782" s="270"/>
      <c r="G782" s="269" t="s">
        <v>316</v>
      </c>
      <c r="H782" s="270"/>
      <c r="I782" s="270"/>
      <c r="J782" s="270"/>
      <c r="K782" s="270"/>
    </row>
    <row r="783" spans="1:11" x14ac:dyDescent="0.35">
      <c r="A783" s="271" t="s">
        <v>309</v>
      </c>
      <c r="B783" s="272"/>
      <c r="C783" s="272"/>
      <c r="D783" s="272"/>
      <c r="E783" s="272"/>
      <c r="G783" s="271" t="s">
        <v>309</v>
      </c>
      <c r="H783" s="272"/>
      <c r="I783" s="272"/>
      <c r="J783" s="272"/>
      <c r="K783" s="272"/>
    </row>
    <row r="784" spans="1:11" x14ac:dyDescent="0.35">
      <c r="A784" s="269" t="s">
        <v>310</v>
      </c>
      <c r="B784" s="270">
        <v>2090</v>
      </c>
      <c r="C784" s="270"/>
      <c r="D784" s="270"/>
      <c r="E784" s="270"/>
      <c r="G784" s="269" t="s">
        <v>310</v>
      </c>
      <c r="H784" s="270"/>
      <c r="I784" s="270"/>
      <c r="J784" s="270"/>
      <c r="K784" s="270"/>
    </row>
    <row r="785" spans="1:11" x14ac:dyDescent="0.35">
      <c r="A785" s="271" t="s">
        <v>317</v>
      </c>
      <c r="B785" s="272"/>
      <c r="C785" s="272"/>
      <c r="D785" s="272"/>
      <c r="E785" s="272"/>
      <c r="G785" s="271" t="s">
        <v>317</v>
      </c>
      <c r="H785" s="272"/>
      <c r="I785" s="272"/>
      <c r="J785" s="272"/>
      <c r="K785" s="272"/>
    </row>
    <row r="786" spans="1:11" x14ac:dyDescent="0.35">
      <c r="A786" s="269" t="s">
        <v>311</v>
      </c>
      <c r="B786" s="270"/>
      <c r="C786" s="270"/>
      <c r="D786" s="270"/>
      <c r="E786" s="270"/>
      <c r="G786" s="269" t="s">
        <v>311</v>
      </c>
      <c r="H786" s="270"/>
      <c r="I786" s="270"/>
      <c r="J786" s="270"/>
      <c r="K786" s="270"/>
    </row>
    <row r="787" spans="1:11" x14ac:dyDescent="0.35">
      <c r="A787" s="271" t="s">
        <v>312</v>
      </c>
      <c r="B787" s="272">
        <v>5900</v>
      </c>
      <c r="C787" s="272"/>
      <c r="D787" s="272"/>
      <c r="E787" s="272"/>
      <c r="G787" s="271" t="s">
        <v>312</v>
      </c>
      <c r="H787" s="272"/>
      <c r="I787" s="272"/>
      <c r="J787" s="272"/>
      <c r="K787" s="272"/>
    </row>
    <row r="788" spans="1:11" x14ac:dyDescent="0.35">
      <c r="A788" s="231" t="s">
        <v>34</v>
      </c>
      <c r="B788" s="230">
        <f>SUM(B782:B787)</f>
        <v>7990</v>
      </c>
      <c r="C788" s="230">
        <f>SUM(C782:C787)</f>
        <v>0</v>
      </c>
      <c r="D788" s="230">
        <f>SUM(D782:D787)</f>
        <v>0</v>
      </c>
      <c r="E788" s="230">
        <f>SUM(E782:E787)</f>
        <v>0</v>
      </c>
      <c r="G788" s="231" t="s">
        <v>34</v>
      </c>
      <c r="H788" s="230">
        <f>SUM(H782:H787)</f>
        <v>0</v>
      </c>
      <c r="I788" s="230">
        <f>SUM(I782:I787)</f>
        <v>0</v>
      </c>
      <c r="J788" s="230">
        <f>SUM(J782:J787)</f>
        <v>0</v>
      </c>
      <c r="K788" s="230">
        <f>SUM(K782:K787)</f>
        <v>0</v>
      </c>
    </row>
    <row r="789" spans="1:11" ht="15" thickBot="1" x14ac:dyDescent="0.4">
      <c r="A789" s="231" t="s">
        <v>313</v>
      </c>
      <c r="B789" s="230">
        <f>+B788+C788+D788+E788</f>
        <v>7990</v>
      </c>
      <c r="C789" s="230"/>
      <c r="D789" s="230"/>
      <c r="E789" s="230"/>
      <c r="G789" s="231" t="s">
        <v>313</v>
      </c>
      <c r="H789" s="230">
        <f>+H788+I788+J788+K788</f>
        <v>0</v>
      </c>
      <c r="I789" s="230"/>
      <c r="J789" s="230"/>
      <c r="K789" s="230"/>
    </row>
    <row r="790" spans="1:11" ht="15.5" thickTop="1" thickBot="1" x14ac:dyDescent="0.4">
      <c r="A790" s="335" t="s">
        <v>298</v>
      </c>
      <c r="B790" s="336"/>
      <c r="C790" s="336"/>
      <c r="D790" s="336"/>
      <c r="E790" s="337"/>
      <c r="G790" s="335" t="s">
        <v>298</v>
      </c>
      <c r="H790" s="336"/>
      <c r="I790" s="336"/>
      <c r="J790" s="336"/>
      <c r="K790" s="337"/>
    </row>
    <row r="791" spans="1:11" ht="15.5" thickTop="1" thickBot="1" x14ac:dyDescent="0.4">
      <c r="A791" s="338">
        <v>45364</v>
      </c>
      <c r="B791" s="336"/>
      <c r="C791" s="336"/>
      <c r="D791" s="336"/>
      <c r="E791" s="337"/>
      <c r="G791" s="338">
        <v>45364</v>
      </c>
      <c r="H791" s="336"/>
      <c r="I791" s="336"/>
      <c r="J791" s="336"/>
      <c r="K791" s="337"/>
    </row>
    <row r="792" spans="1:11" ht="15" thickTop="1" x14ac:dyDescent="0.35">
      <c r="A792" s="267" t="s">
        <v>159</v>
      </c>
      <c r="B792" s="267" t="s">
        <v>299</v>
      </c>
      <c r="C792" s="267" t="s">
        <v>307</v>
      </c>
      <c r="D792" s="267" t="s">
        <v>301</v>
      </c>
      <c r="E792" s="268" t="s">
        <v>308</v>
      </c>
      <c r="G792" s="267" t="s">
        <v>159</v>
      </c>
      <c r="H792" s="267" t="s">
        <v>299</v>
      </c>
      <c r="I792" s="267" t="s">
        <v>307</v>
      </c>
      <c r="J792" s="267" t="s">
        <v>301</v>
      </c>
      <c r="K792" s="268" t="s">
        <v>308</v>
      </c>
    </row>
    <row r="793" spans="1:11" x14ac:dyDescent="0.35">
      <c r="A793" s="269" t="s">
        <v>316</v>
      </c>
      <c r="B793" s="270"/>
      <c r="C793" s="270"/>
      <c r="D793" s="270"/>
      <c r="E793" s="270"/>
      <c r="G793" s="269" t="s">
        <v>316</v>
      </c>
      <c r="H793" s="270"/>
      <c r="I793" s="270"/>
      <c r="J793" s="270"/>
      <c r="K793" s="270"/>
    </row>
    <row r="794" spans="1:11" x14ac:dyDescent="0.35">
      <c r="A794" s="271" t="s">
        <v>309</v>
      </c>
      <c r="B794" s="272"/>
      <c r="C794" s="272"/>
      <c r="D794" s="272"/>
      <c r="E794" s="272"/>
      <c r="G794" s="271" t="s">
        <v>309</v>
      </c>
      <c r="H794" s="272"/>
      <c r="I794" s="272"/>
      <c r="J794" s="272"/>
      <c r="K794" s="272"/>
    </row>
    <row r="795" spans="1:11" x14ac:dyDescent="0.35">
      <c r="A795" s="269" t="s">
        <v>310</v>
      </c>
      <c r="B795" s="270"/>
      <c r="C795" s="270"/>
      <c r="D795" s="270"/>
      <c r="E795" s="270"/>
      <c r="G795" s="269" t="s">
        <v>310</v>
      </c>
      <c r="H795" s="270"/>
      <c r="I795" s="270"/>
      <c r="J795" s="270"/>
      <c r="K795" s="270"/>
    </row>
    <row r="796" spans="1:11" x14ac:dyDescent="0.35">
      <c r="A796" s="271" t="s">
        <v>317</v>
      </c>
      <c r="B796" s="272"/>
      <c r="C796" s="272"/>
      <c r="D796" s="272"/>
      <c r="E796" s="272"/>
      <c r="G796" s="271" t="s">
        <v>317</v>
      </c>
      <c r="H796" s="272"/>
      <c r="I796" s="272"/>
      <c r="J796" s="272"/>
      <c r="K796" s="272"/>
    </row>
    <row r="797" spans="1:11" x14ac:dyDescent="0.35">
      <c r="A797" s="269" t="s">
        <v>311</v>
      </c>
      <c r="B797" s="270"/>
      <c r="C797" s="270"/>
      <c r="D797" s="270"/>
      <c r="E797" s="270"/>
      <c r="G797" s="269" t="s">
        <v>311</v>
      </c>
      <c r="H797" s="270"/>
      <c r="I797" s="270"/>
      <c r="J797" s="270"/>
      <c r="K797" s="270"/>
    </row>
    <row r="798" spans="1:11" x14ac:dyDescent="0.35">
      <c r="A798" s="271" t="s">
        <v>312</v>
      </c>
      <c r="B798" s="272">
        <v>700</v>
      </c>
      <c r="C798" s="272"/>
      <c r="D798" s="272"/>
      <c r="E798" s="272"/>
      <c r="G798" s="271" t="s">
        <v>312</v>
      </c>
      <c r="H798" s="272"/>
      <c r="I798" s="272"/>
      <c r="J798" s="272"/>
      <c r="K798" s="272"/>
    </row>
    <row r="799" spans="1:11" x14ac:dyDescent="0.35">
      <c r="A799" s="231" t="s">
        <v>34</v>
      </c>
      <c r="B799" s="230">
        <f>SUM(B793:B798)</f>
        <v>700</v>
      </c>
      <c r="C799" s="230">
        <f>SUM(C793:C798)</f>
        <v>0</v>
      </c>
      <c r="D799" s="230">
        <f>SUM(D793:D798)</f>
        <v>0</v>
      </c>
      <c r="E799" s="230">
        <f>SUM(E793:E798)</f>
        <v>0</v>
      </c>
      <c r="G799" s="231" t="s">
        <v>34</v>
      </c>
      <c r="H799" s="230">
        <f>SUM(H793:H798)</f>
        <v>0</v>
      </c>
      <c r="I799" s="230">
        <f>SUM(I793:I798)</f>
        <v>0</v>
      </c>
      <c r="J799" s="230">
        <f>SUM(J793:J798)</f>
        <v>0</v>
      </c>
      <c r="K799" s="230">
        <f>SUM(K793:K798)</f>
        <v>0</v>
      </c>
    </row>
    <row r="800" spans="1:11" ht="15" thickBot="1" x14ac:dyDescent="0.4">
      <c r="A800" s="231" t="s">
        <v>313</v>
      </c>
      <c r="B800" s="230">
        <f>+B799+C799+D799+E799</f>
        <v>700</v>
      </c>
      <c r="C800" s="230"/>
      <c r="D800" s="230"/>
      <c r="E800" s="230"/>
      <c r="G800" s="231" t="s">
        <v>313</v>
      </c>
      <c r="H800" s="230">
        <f>+H799+I799+J799+K799</f>
        <v>0</v>
      </c>
      <c r="I800" s="230"/>
      <c r="J800" s="230"/>
      <c r="K800" s="230"/>
    </row>
    <row r="801" spans="1:11" ht="15.5" thickTop="1" thickBot="1" x14ac:dyDescent="0.4">
      <c r="A801" s="335" t="s">
        <v>298</v>
      </c>
      <c r="B801" s="336"/>
      <c r="C801" s="336"/>
      <c r="D801" s="336"/>
      <c r="E801" s="337"/>
      <c r="G801" s="335" t="s">
        <v>298</v>
      </c>
      <c r="H801" s="336"/>
      <c r="I801" s="336"/>
      <c r="J801" s="336"/>
      <c r="K801" s="337"/>
    </row>
    <row r="802" spans="1:11" ht="15.5" thickTop="1" thickBot="1" x14ac:dyDescent="0.4">
      <c r="A802" s="338">
        <v>45365</v>
      </c>
      <c r="B802" s="336"/>
      <c r="C802" s="336"/>
      <c r="D802" s="336"/>
      <c r="E802" s="337"/>
      <c r="G802" s="338">
        <v>45365</v>
      </c>
      <c r="H802" s="336"/>
      <c r="I802" s="336"/>
      <c r="J802" s="336"/>
      <c r="K802" s="337"/>
    </row>
    <row r="803" spans="1:11" ht="15" thickTop="1" x14ac:dyDescent="0.35">
      <c r="A803" s="267" t="s">
        <v>159</v>
      </c>
      <c r="B803" s="267" t="s">
        <v>299</v>
      </c>
      <c r="C803" s="267" t="s">
        <v>307</v>
      </c>
      <c r="D803" s="267" t="s">
        <v>301</v>
      </c>
      <c r="E803" s="268" t="s">
        <v>308</v>
      </c>
      <c r="G803" s="267" t="s">
        <v>159</v>
      </c>
      <c r="H803" s="267" t="s">
        <v>299</v>
      </c>
      <c r="I803" s="267" t="s">
        <v>307</v>
      </c>
      <c r="J803" s="267" t="s">
        <v>301</v>
      </c>
      <c r="K803" s="268" t="s">
        <v>308</v>
      </c>
    </row>
    <row r="804" spans="1:11" x14ac:dyDescent="0.35">
      <c r="A804" s="269" t="s">
        <v>378</v>
      </c>
      <c r="B804" s="270">
        <v>2300</v>
      </c>
      <c r="C804" s="270"/>
      <c r="D804" s="270"/>
      <c r="E804" s="270"/>
      <c r="G804" s="269" t="s">
        <v>316</v>
      </c>
      <c r="H804" s="270">
        <v>180</v>
      </c>
      <c r="I804" s="270"/>
      <c r="J804" s="270"/>
      <c r="K804" s="270"/>
    </row>
    <row r="805" spans="1:11" x14ac:dyDescent="0.35">
      <c r="A805" s="271" t="s">
        <v>309</v>
      </c>
      <c r="B805" s="272"/>
      <c r="C805" s="272"/>
      <c r="D805" s="272"/>
      <c r="E805" s="272"/>
      <c r="G805" s="271" t="s">
        <v>309</v>
      </c>
      <c r="H805" s="272"/>
      <c r="I805" s="272"/>
      <c r="J805" s="272"/>
      <c r="K805" s="272"/>
    </row>
    <row r="806" spans="1:11" x14ac:dyDescent="0.35">
      <c r="A806" s="269" t="s">
        <v>310</v>
      </c>
      <c r="B806" s="270">
        <v>2300</v>
      </c>
      <c r="C806" s="270"/>
      <c r="D806" s="270"/>
      <c r="E806" s="270"/>
      <c r="G806" s="269" t="s">
        <v>310</v>
      </c>
      <c r="H806" s="270"/>
      <c r="I806" s="270"/>
      <c r="J806" s="270"/>
      <c r="K806" s="270"/>
    </row>
    <row r="807" spans="1:11" x14ac:dyDescent="0.35">
      <c r="A807" s="271" t="s">
        <v>317</v>
      </c>
      <c r="B807" s="272"/>
      <c r="C807" s="272"/>
      <c r="D807" s="272"/>
      <c r="E807" s="272"/>
      <c r="G807" s="271" t="s">
        <v>317</v>
      </c>
      <c r="H807" s="272"/>
      <c r="I807" s="272"/>
      <c r="J807" s="272"/>
      <c r="K807" s="272"/>
    </row>
    <row r="808" spans="1:11" x14ac:dyDescent="0.35">
      <c r="A808" s="269" t="s">
        <v>311</v>
      </c>
      <c r="B808" s="270"/>
      <c r="C808" s="270"/>
      <c r="D808" s="270"/>
      <c r="E808" s="270"/>
      <c r="G808" s="269" t="s">
        <v>311</v>
      </c>
      <c r="H808" s="270"/>
      <c r="I808" s="270"/>
      <c r="J808" s="270"/>
      <c r="K808" s="270"/>
    </row>
    <row r="809" spans="1:11" x14ac:dyDescent="0.35">
      <c r="A809" s="271" t="s">
        <v>312</v>
      </c>
      <c r="B809" s="272">
        <v>7420</v>
      </c>
      <c r="C809" s="272"/>
      <c r="D809" s="272"/>
      <c r="E809" s="272"/>
      <c r="G809" s="271" t="s">
        <v>312</v>
      </c>
      <c r="H809" s="272"/>
      <c r="I809" s="272"/>
      <c r="J809" s="272"/>
      <c r="K809" s="272"/>
    </row>
    <row r="810" spans="1:11" x14ac:dyDescent="0.35">
      <c r="A810" s="231" t="s">
        <v>34</v>
      </c>
      <c r="B810" s="230">
        <f>SUM(B804:B809)</f>
        <v>12020</v>
      </c>
      <c r="C810" s="230">
        <f>SUM(C804:C809)</f>
        <v>0</v>
      </c>
      <c r="D810" s="230">
        <f>SUM(D804:D809)</f>
        <v>0</v>
      </c>
      <c r="E810" s="230">
        <f>SUM(E804:E809)</f>
        <v>0</v>
      </c>
      <c r="G810" s="231" t="s">
        <v>34</v>
      </c>
      <c r="H810" s="230">
        <f>SUM(H804:H809)</f>
        <v>180</v>
      </c>
      <c r="I810" s="230">
        <f>SUM(I804:I809)</f>
        <v>0</v>
      </c>
      <c r="J810" s="230">
        <f>SUM(J804:J809)</f>
        <v>0</v>
      </c>
      <c r="K810" s="230">
        <f>SUM(K804:K809)</f>
        <v>0</v>
      </c>
    </row>
    <row r="811" spans="1:11" ht="15" thickBot="1" x14ac:dyDescent="0.4">
      <c r="A811" s="231" t="s">
        <v>313</v>
      </c>
      <c r="B811" s="230">
        <f>+B810+C810+D810+E810</f>
        <v>12020</v>
      </c>
      <c r="C811" s="230"/>
      <c r="D811" s="230"/>
      <c r="E811" s="230"/>
      <c r="G811" s="231" t="s">
        <v>313</v>
      </c>
      <c r="H811" s="230">
        <f>+H810+I810+J810+K810</f>
        <v>180</v>
      </c>
      <c r="I811" s="230"/>
      <c r="J811" s="230"/>
      <c r="K811" s="230"/>
    </row>
    <row r="812" spans="1:11" ht="15.5" thickTop="1" thickBot="1" x14ac:dyDescent="0.4">
      <c r="A812" s="335" t="s">
        <v>298</v>
      </c>
      <c r="B812" s="336"/>
      <c r="C812" s="336"/>
      <c r="D812" s="336"/>
      <c r="E812" s="337"/>
      <c r="G812" s="335" t="s">
        <v>298</v>
      </c>
      <c r="H812" s="336"/>
      <c r="I812" s="336"/>
      <c r="J812" s="336"/>
      <c r="K812" s="337"/>
    </row>
    <row r="813" spans="1:11" ht="15.5" thickTop="1" thickBot="1" x14ac:dyDescent="0.4">
      <c r="A813" s="338">
        <v>45366</v>
      </c>
      <c r="B813" s="336"/>
      <c r="C813" s="336"/>
      <c r="D813" s="336"/>
      <c r="E813" s="337"/>
      <c r="G813" s="338">
        <v>45366</v>
      </c>
      <c r="H813" s="336"/>
      <c r="I813" s="336"/>
      <c r="J813" s="336"/>
      <c r="K813" s="337"/>
    </row>
    <row r="814" spans="1:11" ht="15" thickTop="1" x14ac:dyDescent="0.35">
      <c r="A814" s="267" t="s">
        <v>159</v>
      </c>
      <c r="B814" s="267" t="s">
        <v>299</v>
      </c>
      <c r="C814" s="267" t="s">
        <v>307</v>
      </c>
      <c r="D814" s="267" t="s">
        <v>301</v>
      </c>
      <c r="E814" s="268" t="s">
        <v>308</v>
      </c>
      <c r="G814" s="267" t="s">
        <v>159</v>
      </c>
      <c r="H814" s="267" t="s">
        <v>299</v>
      </c>
      <c r="I814" s="267" t="s">
        <v>307</v>
      </c>
      <c r="J814" s="267" t="s">
        <v>301</v>
      </c>
      <c r="K814" s="268" t="s">
        <v>308</v>
      </c>
    </row>
    <row r="815" spans="1:11" x14ac:dyDescent="0.35">
      <c r="A815" s="269" t="s">
        <v>316</v>
      </c>
      <c r="B815" s="270"/>
      <c r="C815" s="270"/>
      <c r="D815" s="270"/>
      <c r="E815" s="270"/>
      <c r="G815" s="269" t="s">
        <v>316</v>
      </c>
      <c r="H815" s="270"/>
      <c r="I815" s="270"/>
      <c r="J815" s="270"/>
      <c r="K815" s="270"/>
    </row>
    <row r="816" spans="1:11" x14ac:dyDescent="0.35">
      <c r="A816" s="271" t="s">
        <v>309</v>
      </c>
      <c r="B816" s="272"/>
      <c r="C816" s="272"/>
      <c r="D816" s="272"/>
      <c r="E816" s="272"/>
      <c r="G816" s="271" t="s">
        <v>309</v>
      </c>
      <c r="H816" s="272"/>
      <c r="I816" s="272"/>
      <c r="J816" s="272"/>
      <c r="K816" s="272"/>
    </row>
    <row r="817" spans="1:11" x14ac:dyDescent="0.35">
      <c r="A817" s="269" t="s">
        <v>310</v>
      </c>
      <c r="B817" s="270"/>
      <c r="C817" s="270"/>
      <c r="D817" s="270"/>
      <c r="E817" s="270"/>
      <c r="G817" s="269" t="s">
        <v>310</v>
      </c>
      <c r="H817" s="270"/>
      <c r="I817" s="270"/>
      <c r="J817" s="270"/>
      <c r="K817" s="270"/>
    </row>
    <row r="818" spans="1:11" x14ac:dyDescent="0.35">
      <c r="A818" s="271" t="s">
        <v>317</v>
      </c>
      <c r="B818" s="272"/>
      <c r="C818" s="272"/>
      <c r="D818" s="272"/>
      <c r="E818" s="272"/>
      <c r="G818" s="271" t="s">
        <v>317</v>
      </c>
      <c r="H818" s="272"/>
      <c r="I818" s="272"/>
      <c r="J818" s="272"/>
      <c r="K818" s="272"/>
    </row>
    <row r="819" spans="1:11" x14ac:dyDescent="0.35">
      <c r="A819" s="269" t="s">
        <v>311</v>
      </c>
      <c r="B819" s="270"/>
      <c r="C819" s="270"/>
      <c r="D819" s="270"/>
      <c r="E819" s="270"/>
      <c r="G819" s="269" t="s">
        <v>311</v>
      </c>
      <c r="H819" s="270"/>
      <c r="I819" s="270"/>
      <c r="J819" s="270"/>
      <c r="K819" s="270"/>
    </row>
    <row r="820" spans="1:11" x14ac:dyDescent="0.35">
      <c r="A820" s="271" t="s">
        <v>312</v>
      </c>
      <c r="B820" s="272"/>
      <c r="C820" s="272"/>
      <c r="D820" s="272"/>
      <c r="E820" s="272"/>
      <c r="G820" s="271" t="s">
        <v>312</v>
      </c>
      <c r="H820" s="272"/>
      <c r="I820" s="272"/>
      <c r="J820" s="272"/>
      <c r="K820" s="272"/>
    </row>
    <row r="821" spans="1:11" x14ac:dyDescent="0.35">
      <c r="A821" s="231" t="s">
        <v>34</v>
      </c>
      <c r="B821" s="230">
        <f>SUM(B815:B820)</f>
        <v>0</v>
      </c>
      <c r="C821" s="230">
        <f>SUM(C815:C820)</f>
        <v>0</v>
      </c>
      <c r="D821" s="230">
        <f>SUM(D815:D820)</f>
        <v>0</v>
      </c>
      <c r="E821" s="230">
        <f>SUM(E815:E820)</f>
        <v>0</v>
      </c>
      <c r="G821" s="231" t="s">
        <v>34</v>
      </c>
      <c r="H821" s="230">
        <f>SUM(H815:H820)</f>
        <v>0</v>
      </c>
      <c r="I821" s="230">
        <f>SUM(I815:I820)</f>
        <v>0</v>
      </c>
      <c r="J821" s="230">
        <f>SUM(J815:J820)</f>
        <v>0</v>
      </c>
      <c r="K821" s="230">
        <f>SUM(K815:K820)</f>
        <v>0</v>
      </c>
    </row>
    <row r="822" spans="1:11" ht="15" thickBot="1" x14ac:dyDescent="0.4">
      <c r="A822" s="231" t="s">
        <v>313</v>
      </c>
      <c r="B822" s="230">
        <f>+B821+C821+D821+E821</f>
        <v>0</v>
      </c>
      <c r="C822" s="230"/>
      <c r="D822" s="230"/>
      <c r="E822" s="230"/>
      <c r="G822" s="231" t="s">
        <v>313</v>
      </c>
      <c r="H822" s="230">
        <f>+H821+I821+J821+K821</f>
        <v>0</v>
      </c>
      <c r="I822" s="230"/>
      <c r="J822" s="230"/>
      <c r="K822" s="230"/>
    </row>
    <row r="823" spans="1:11" ht="15.5" thickTop="1" thickBot="1" x14ac:dyDescent="0.4">
      <c r="A823" s="335" t="s">
        <v>298</v>
      </c>
      <c r="B823" s="336"/>
      <c r="C823" s="336"/>
      <c r="D823" s="336"/>
      <c r="E823" s="337"/>
      <c r="G823" s="335" t="s">
        <v>298</v>
      </c>
      <c r="H823" s="336"/>
      <c r="I823" s="336"/>
      <c r="J823" s="336"/>
      <c r="K823" s="337"/>
    </row>
    <row r="824" spans="1:11" ht="15.5" thickTop="1" thickBot="1" x14ac:dyDescent="0.4">
      <c r="A824" s="338">
        <v>45367</v>
      </c>
      <c r="B824" s="336"/>
      <c r="C824" s="336"/>
      <c r="D824" s="336"/>
      <c r="E824" s="337"/>
      <c r="G824" s="338">
        <v>45367</v>
      </c>
      <c r="H824" s="336"/>
      <c r="I824" s="336"/>
      <c r="J824" s="336"/>
      <c r="K824" s="337"/>
    </row>
    <row r="825" spans="1:11" ht="15" thickTop="1" x14ac:dyDescent="0.35">
      <c r="A825" s="267" t="s">
        <v>159</v>
      </c>
      <c r="B825" s="267" t="s">
        <v>299</v>
      </c>
      <c r="C825" s="267" t="s">
        <v>307</v>
      </c>
      <c r="D825" s="267" t="s">
        <v>301</v>
      </c>
      <c r="E825" s="268" t="s">
        <v>308</v>
      </c>
      <c r="G825" s="267" t="s">
        <v>159</v>
      </c>
      <c r="H825" s="267" t="s">
        <v>299</v>
      </c>
      <c r="I825" s="267" t="s">
        <v>307</v>
      </c>
      <c r="J825" s="267" t="s">
        <v>301</v>
      </c>
      <c r="K825" s="268" t="s">
        <v>308</v>
      </c>
    </row>
    <row r="826" spans="1:11" x14ac:dyDescent="0.35">
      <c r="A826" s="269" t="s">
        <v>496</v>
      </c>
      <c r="B826" s="270">
        <v>2500</v>
      </c>
      <c r="C826" s="270"/>
      <c r="D826" s="270"/>
      <c r="E826" s="270"/>
      <c r="G826" s="269" t="s">
        <v>496</v>
      </c>
      <c r="H826" s="270">
        <v>1400</v>
      </c>
      <c r="I826" s="270"/>
      <c r="J826" s="270"/>
      <c r="K826" s="270"/>
    </row>
    <row r="827" spans="1:11" x14ac:dyDescent="0.35">
      <c r="A827" s="271" t="s">
        <v>496</v>
      </c>
      <c r="B827" s="272">
        <v>1700</v>
      </c>
      <c r="C827" s="272"/>
      <c r="D827" s="272"/>
      <c r="E827" s="272"/>
      <c r="G827" s="271" t="s">
        <v>496</v>
      </c>
      <c r="H827" s="272"/>
      <c r="I827" s="272"/>
      <c r="J827" s="272"/>
      <c r="K827" s="272"/>
    </row>
    <row r="828" spans="1:11" x14ac:dyDescent="0.35">
      <c r="A828" s="269" t="s">
        <v>310</v>
      </c>
      <c r="B828" s="270">
        <v>136</v>
      </c>
      <c r="C828" s="270"/>
      <c r="D828" s="270"/>
      <c r="E828" s="270"/>
      <c r="G828" s="269" t="s">
        <v>310</v>
      </c>
      <c r="H828" s="270"/>
      <c r="I828" s="270"/>
      <c r="J828" s="270"/>
      <c r="K828" s="270"/>
    </row>
    <row r="829" spans="1:11" x14ac:dyDescent="0.35">
      <c r="A829" s="271" t="s">
        <v>316</v>
      </c>
      <c r="B829" s="272">
        <v>70</v>
      </c>
      <c r="C829" s="272"/>
      <c r="D829" s="272"/>
      <c r="E829" s="272"/>
      <c r="G829" s="271" t="s">
        <v>317</v>
      </c>
      <c r="H829" s="272"/>
      <c r="I829" s="272"/>
      <c r="J829" s="272"/>
      <c r="K829" s="272"/>
    </row>
    <row r="830" spans="1:11" x14ac:dyDescent="0.35">
      <c r="A830" s="269" t="s">
        <v>311</v>
      </c>
      <c r="B830" s="270"/>
      <c r="C830" s="270"/>
      <c r="D830" s="270"/>
      <c r="E830" s="270"/>
      <c r="G830" s="269" t="s">
        <v>311</v>
      </c>
      <c r="H830" s="270"/>
      <c r="I830" s="270"/>
      <c r="J830" s="270"/>
      <c r="K830" s="270"/>
    </row>
    <row r="831" spans="1:11" x14ac:dyDescent="0.35">
      <c r="A831" s="271" t="s">
        <v>312</v>
      </c>
      <c r="B831" s="272">
        <v>1850</v>
      </c>
      <c r="C831" s="272"/>
      <c r="D831" s="272"/>
      <c r="E831" s="272"/>
      <c r="G831" s="271" t="s">
        <v>312</v>
      </c>
      <c r="H831" s="272"/>
      <c r="I831" s="272"/>
      <c r="J831" s="272"/>
      <c r="K831" s="272"/>
    </row>
    <row r="832" spans="1:11" x14ac:dyDescent="0.35">
      <c r="A832" s="231" t="s">
        <v>34</v>
      </c>
      <c r="B832" s="230">
        <f>SUM(B826:B831)</f>
        <v>6256</v>
      </c>
      <c r="C832" s="230">
        <f>SUM(C826:C831)</f>
        <v>0</v>
      </c>
      <c r="D832" s="230">
        <f>SUM(D826:D831)</f>
        <v>0</v>
      </c>
      <c r="E832" s="230">
        <f>SUM(E826:E831)</f>
        <v>0</v>
      </c>
      <c r="G832" s="231" t="s">
        <v>34</v>
      </c>
      <c r="H832" s="230">
        <f>SUM(H826:H831)</f>
        <v>1400</v>
      </c>
      <c r="I832" s="230">
        <f>SUM(I826:I831)</f>
        <v>0</v>
      </c>
      <c r="J832" s="230">
        <f>SUM(J826:J831)</f>
        <v>0</v>
      </c>
      <c r="K832" s="230">
        <f>SUM(K826:K831)</f>
        <v>0</v>
      </c>
    </row>
    <row r="833" spans="1:11" ht="15" thickBot="1" x14ac:dyDescent="0.4">
      <c r="A833" s="231" t="s">
        <v>313</v>
      </c>
      <c r="B833" s="230">
        <f>+B832+C832+D832+E832</f>
        <v>6256</v>
      </c>
      <c r="C833" s="230"/>
      <c r="D833" s="230"/>
      <c r="E833" s="230"/>
      <c r="G833" s="231" t="s">
        <v>313</v>
      </c>
      <c r="H833" s="230">
        <f>+H832+I832+J832+K832</f>
        <v>1400</v>
      </c>
      <c r="I833" s="230"/>
      <c r="J833" s="230"/>
      <c r="K833" s="230"/>
    </row>
    <row r="834" spans="1:11" ht="15.5" thickTop="1" thickBot="1" x14ac:dyDescent="0.4">
      <c r="A834" s="335" t="s">
        <v>298</v>
      </c>
      <c r="B834" s="336"/>
      <c r="C834" s="336"/>
      <c r="D834" s="336"/>
      <c r="E834" s="337"/>
      <c r="G834" s="335" t="s">
        <v>298</v>
      </c>
      <c r="H834" s="336"/>
      <c r="I834" s="336"/>
      <c r="J834" s="336"/>
      <c r="K834" s="337"/>
    </row>
    <row r="835" spans="1:11" ht="15.5" thickTop="1" thickBot="1" x14ac:dyDescent="0.4">
      <c r="A835" s="338">
        <v>45368</v>
      </c>
      <c r="B835" s="336"/>
      <c r="C835" s="336"/>
      <c r="D835" s="336"/>
      <c r="E835" s="337"/>
      <c r="G835" s="338">
        <v>45368</v>
      </c>
      <c r="H835" s="336"/>
      <c r="I835" s="336"/>
      <c r="J835" s="336"/>
      <c r="K835" s="337"/>
    </row>
    <row r="836" spans="1:11" ht="15" thickTop="1" x14ac:dyDescent="0.35">
      <c r="A836" s="267" t="s">
        <v>159</v>
      </c>
      <c r="B836" s="267" t="s">
        <v>299</v>
      </c>
      <c r="C836" s="267" t="s">
        <v>307</v>
      </c>
      <c r="D836" s="267" t="s">
        <v>301</v>
      </c>
      <c r="E836" s="268" t="s">
        <v>308</v>
      </c>
      <c r="G836" s="267" t="s">
        <v>159</v>
      </c>
      <c r="H836" s="267" t="s">
        <v>299</v>
      </c>
      <c r="I836" s="267" t="s">
        <v>307</v>
      </c>
      <c r="J836" s="267" t="s">
        <v>301</v>
      </c>
      <c r="K836" s="268" t="s">
        <v>308</v>
      </c>
    </row>
    <row r="837" spans="1:11" x14ac:dyDescent="0.35">
      <c r="A837" s="269" t="s">
        <v>316</v>
      </c>
      <c r="B837" s="270"/>
      <c r="C837" s="270"/>
      <c r="D837" s="270"/>
      <c r="E837" s="270"/>
      <c r="G837" s="269" t="s">
        <v>316</v>
      </c>
      <c r="H837" s="270"/>
      <c r="I837" s="270"/>
      <c r="J837" s="270"/>
      <c r="K837" s="270"/>
    </row>
    <row r="838" spans="1:11" x14ac:dyDescent="0.35">
      <c r="A838" s="271" t="s">
        <v>309</v>
      </c>
      <c r="B838" s="272"/>
      <c r="C838" s="272"/>
      <c r="D838" s="272"/>
      <c r="E838" s="272"/>
      <c r="G838" s="271" t="s">
        <v>309</v>
      </c>
      <c r="H838" s="272"/>
      <c r="I838" s="272"/>
      <c r="J838" s="272"/>
      <c r="K838" s="272"/>
    </row>
    <row r="839" spans="1:11" x14ac:dyDescent="0.35">
      <c r="A839" s="269" t="s">
        <v>310</v>
      </c>
      <c r="B839" s="270"/>
      <c r="C839" s="270"/>
      <c r="D839" s="270"/>
      <c r="E839" s="270"/>
      <c r="G839" s="269" t="s">
        <v>310</v>
      </c>
      <c r="H839" s="270"/>
      <c r="I839" s="270"/>
      <c r="J839" s="270"/>
      <c r="K839" s="270"/>
    </row>
    <row r="840" spans="1:11" x14ac:dyDescent="0.35">
      <c r="A840" s="271" t="s">
        <v>317</v>
      </c>
      <c r="B840" s="272"/>
      <c r="C840" s="272"/>
      <c r="D840" s="272"/>
      <c r="E840" s="272"/>
      <c r="G840" s="271" t="s">
        <v>317</v>
      </c>
      <c r="H840" s="272"/>
      <c r="I840" s="272"/>
      <c r="J840" s="272"/>
      <c r="K840" s="272"/>
    </row>
    <row r="841" spans="1:11" x14ac:dyDescent="0.35">
      <c r="A841" s="269" t="s">
        <v>311</v>
      </c>
      <c r="B841" s="270"/>
      <c r="C841" s="270"/>
      <c r="D841" s="270"/>
      <c r="E841" s="270"/>
      <c r="G841" s="269" t="s">
        <v>311</v>
      </c>
      <c r="H841" s="270"/>
      <c r="I841" s="270"/>
      <c r="J841" s="270"/>
      <c r="K841" s="270"/>
    </row>
    <row r="842" spans="1:11" x14ac:dyDescent="0.35">
      <c r="A842" s="271" t="s">
        <v>312</v>
      </c>
      <c r="B842" s="272"/>
      <c r="C842" s="272"/>
      <c r="D842" s="272"/>
      <c r="E842" s="272"/>
      <c r="G842" s="271" t="s">
        <v>312</v>
      </c>
      <c r="H842" s="272"/>
      <c r="I842" s="272"/>
      <c r="J842" s="272"/>
      <c r="K842" s="272"/>
    </row>
    <row r="843" spans="1:11" x14ac:dyDescent="0.35">
      <c r="A843" s="231" t="s">
        <v>34</v>
      </c>
      <c r="B843" s="230">
        <f>SUM(B837:B842)</f>
        <v>0</v>
      </c>
      <c r="C843" s="230">
        <f>SUM(C837:C842)</f>
        <v>0</v>
      </c>
      <c r="D843" s="230">
        <f>SUM(D837:D842)</f>
        <v>0</v>
      </c>
      <c r="E843" s="230">
        <f>SUM(E837:E842)</f>
        <v>0</v>
      </c>
      <c r="G843" s="231" t="s">
        <v>34</v>
      </c>
      <c r="H843" s="230">
        <f>SUM(H837:H842)</f>
        <v>0</v>
      </c>
      <c r="I843" s="230">
        <f>SUM(I837:I842)</f>
        <v>0</v>
      </c>
      <c r="J843" s="230">
        <f>SUM(J837:J842)</f>
        <v>0</v>
      </c>
      <c r="K843" s="230">
        <f>SUM(K837:K842)</f>
        <v>0</v>
      </c>
    </row>
    <row r="844" spans="1:11" ht="15" thickBot="1" x14ac:dyDescent="0.4">
      <c r="A844" s="231" t="s">
        <v>313</v>
      </c>
      <c r="B844" s="230">
        <f>+B843+C843+D843+E843</f>
        <v>0</v>
      </c>
      <c r="C844" s="230"/>
      <c r="D844" s="230"/>
      <c r="E844" s="230"/>
      <c r="G844" s="231" t="s">
        <v>313</v>
      </c>
      <c r="H844" s="230">
        <f>+H843+I843+J843+K843</f>
        <v>0</v>
      </c>
      <c r="I844" s="230"/>
      <c r="J844" s="230"/>
      <c r="K844" s="230"/>
    </row>
    <row r="845" spans="1:11" ht="15.5" thickTop="1" thickBot="1" x14ac:dyDescent="0.4">
      <c r="A845" s="335" t="s">
        <v>298</v>
      </c>
      <c r="B845" s="336"/>
      <c r="C845" s="336"/>
      <c r="D845" s="336"/>
      <c r="E845" s="337"/>
      <c r="G845" s="335" t="s">
        <v>298</v>
      </c>
      <c r="H845" s="336"/>
      <c r="I845" s="336"/>
      <c r="J845" s="336"/>
      <c r="K845" s="337"/>
    </row>
    <row r="846" spans="1:11" ht="15.5" thickTop="1" thickBot="1" x14ac:dyDescent="0.4">
      <c r="A846" s="338">
        <v>45369</v>
      </c>
      <c r="B846" s="336"/>
      <c r="C846" s="336"/>
      <c r="D846" s="336"/>
      <c r="E846" s="337"/>
      <c r="G846" s="338">
        <v>45369</v>
      </c>
      <c r="H846" s="336"/>
      <c r="I846" s="336"/>
      <c r="J846" s="336"/>
      <c r="K846" s="337"/>
    </row>
    <row r="847" spans="1:11" ht="15" thickTop="1" x14ac:dyDescent="0.35">
      <c r="A847" s="267" t="s">
        <v>159</v>
      </c>
      <c r="B847" s="267" t="s">
        <v>299</v>
      </c>
      <c r="C847" s="267" t="s">
        <v>307</v>
      </c>
      <c r="D847" s="267" t="s">
        <v>301</v>
      </c>
      <c r="E847" s="268" t="s">
        <v>308</v>
      </c>
      <c r="G847" s="267" t="s">
        <v>159</v>
      </c>
      <c r="H847" s="267" t="s">
        <v>299</v>
      </c>
      <c r="I847" s="267" t="s">
        <v>307</v>
      </c>
      <c r="J847" s="267" t="s">
        <v>301</v>
      </c>
      <c r="K847" s="268" t="s">
        <v>308</v>
      </c>
    </row>
    <row r="848" spans="1:11" x14ac:dyDescent="0.35">
      <c r="A848" s="269" t="s">
        <v>316</v>
      </c>
      <c r="B848" s="270"/>
      <c r="C848" s="270"/>
      <c r="D848" s="270"/>
      <c r="E848" s="270"/>
      <c r="G848" s="269" t="s">
        <v>316</v>
      </c>
      <c r="H848" s="270"/>
      <c r="I848" s="270"/>
      <c r="J848" s="270"/>
      <c r="K848" s="270"/>
    </row>
    <row r="849" spans="1:11" x14ac:dyDescent="0.35">
      <c r="A849" s="271" t="s">
        <v>364</v>
      </c>
      <c r="B849" s="272">
        <v>645</v>
      </c>
      <c r="C849" s="272"/>
      <c r="D849" s="272"/>
      <c r="E849" s="272"/>
      <c r="G849" s="271" t="s">
        <v>309</v>
      </c>
      <c r="H849" s="272"/>
      <c r="I849" s="272"/>
      <c r="J849" s="272"/>
      <c r="K849" s="272"/>
    </row>
    <row r="850" spans="1:11" x14ac:dyDescent="0.35">
      <c r="A850" s="269" t="s">
        <v>310</v>
      </c>
      <c r="B850" s="270">
        <v>5000</v>
      </c>
      <c r="C850" s="270"/>
      <c r="D850" s="270"/>
      <c r="E850" s="270"/>
      <c r="G850" s="269" t="s">
        <v>310</v>
      </c>
      <c r="H850" s="270"/>
      <c r="I850" s="270"/>
      <c r="J850" s="270"/>
      <c r="K850" s="270"/>
    </row>
    <row r="851" spans="1:11" x14ac:dyDescent="0.35">
      <c r="A851" s="271" t="s">
        <v>317</v>
      </c>
      <c r="B851" s="272"/>
      <c r="C851" s="272"/>
      <c r="D851" s="272"/>
      <c r="E851" s="272"/>
      <c r="G851" s="271" t="s">
        <v>317</v>
      </c>
      <c r="H851" s="272"/>
      <c r="I851" s="272"/>
      <c r="J851" s="272"/>
      <c r="K851" s="272"/>
    </row>
    <row r="852" spans="1:11" x14ac:dyDescent="0.35">
      <c r="A852" s="269" t="s">
        <v>311</v>
      </c>
      <c r="B852" s="270"/>
      <c r="C852" s="270"/>
      <c r="D852" s="270"/>
      <c r="E852" s="270"/>
      <c r="G852" s="269" t="s">
        <v>311</v>
      </c>
      <c r="H852" s="270"/>
      <c r="I852" s="270"/>
      <c r="J852" s="270"/>
      <c r="K852" s="270"/>
    </row>
    <row r="853" spans="1:11" x14ac:dyDescent="0.35">
      <c r="A853" s="271" t="s">
        <v>312</v>
      </c>
      <c r="B853" s="272"/>
      <c r="C853" s="272"/>
      <c r="D853" s="272"/>
      <c r="E853" s="272"/>
      <c r="G853" s="271" t="s">
        <v>312</v>
      </c>
      <c r="H853" s="272"/>
      <c r="I853" s="272"/>
      <c r="J853" s="272"/>
      <c r="K853" s="272"/>
    </row>
    <row r="854" spans="1:11" x14ac:dyDescent="0.35">
      <c r="A854" s="231" t="s">
        <v>34</v>
      </c>
      <c r="B854" s="230">
        <f>SUM(B848:B853)</f>
        <v>5645</v>
      </c>
      <c r="C854" s="230">
        <f>SUM(C848:C853)</f>
        <v>0</v>
      </c>
      <c r="D854" s="230">
        <f>SUM(D848:D853)</f>
        <v>0</v>
      </c>
      <c r="E854" s="230">
        <f>SUM(E848:E853)</f>
        <v>0</v>
      </c>
      <c r="G854" s="231" t="s">
        <v>34</v>
      </c>
      <c r="H854" s="230">
        <f>SUM(H848:H853)</f>
        <v>0</v>
      </c>
      <c r="I854" s="230">
        <f>SUM(I848:I853)</f>
        <v>0</v>
      </c>
      <c r="J854" s="230">
        <f>SUM(J848:J853)</f>
        <v>0</v>
      </c>
      <c r="K854" s="230">
        <f>SUM(K848:K853)</f>
        <v>0</v>
      </c>
    </row>
    <row r="855" spans="1:11" ht="15" thickBot="1" x14ac:dyDescent="0.4">
      <c r="A855" s="231" t="s">
        <v>313</v>
      </c>
      <c r="B855" s="230">
        <f>+B854+C854+D854+E854</f>
        <v>5645</v>
      </c>
      <c r="C855" s="230"/>
      <c r="D855" s="230"/>
      <c r="E855" s="230"/>
      <c r="G855" s="231" t="s">
        <v>313</v>
      </c>
      <c r="H855" s="230">
        <f>+H854+I854+J854+K854</f>
        <v>0</v>
      </c>
      <c r="I855" s="230"/>
      <c r="J855" s="230"/>
      <c r="K855" s="230"/>
    </row>
    <row r="856" spans="1:11" ht="15.5" thickTop="1" thickBot="1" x14ac:dyDescent="0.4">
      <c r="A856" s="335" t="s">
        <v>298</v>
      </c>
      <c r="B856" s="336"/>
      <c r="C856" s="336"/>
      <c r="D856" s="336"/>
      <c r="E856" s="337"/>
      <c r="G856" s="335" t="s">
        <v>298</v>
      </c>
      <c r="H856" s="336"/>
      <c r="I856" s="336"/>
      <c r="J856" s="336"/>
      <c r="K856" s="337"/>
    </row>
    <row r="857" spans="1:11" ht="15.5" thickTop="1" thickBot="1" x14ac:dyDescent="0.4">
      <c r="A857" s="338">
        <v>45370</v>
      </c>
      <c r="B857" s="336"/>
      <c r="C857" s="336"/>
      <c r="D857" s="336"/>
      <c r="E857" s="337"/>
      <c r="G857" s="338">
        <v>45370</v>
      </c>
      <c r="H857" s="336"/>
      <c r="I857" s="336"/>
      <c r="J857" s="336"/>
      <c r="K857" s="337"/>
    </row>
    <row r="858" spans="1:11" ht="15" thickTop="1" x14ac:dyDescent="0.35">
      <c r="A858" s="267" t="s">
        <v>159</v>
      </c>
      <c r="B858" s="267" t="s">
        <v>299</v>
      </c>
      <c r="C858" s="267" t="s">
        <v>307</v>
      </c>
      <c r="D858" s="267" t="s">
        <v>301</v>
      </c>
      <c r="E858" s="268" t="s">
        <v>308</v>
      </c>
      <c r="G858" s="267" t="s">
        <v>159</v>
      </c>
      <c r="H858" s="267" t="s">
        <v>299</v>
      </c>
      <c r="I858" s="267" t="s">
        <v>307</v>
      </c>
      <c r="J858" s="267" t="s">
        <v>301</v>
      </c>
      <c r="K858" s="268" t="s">
        <v>308</v>
      </c>
    </row>
    <row r="859" spans="1:11" x14ac:dyDescent="0.35">
      <c r="A859" s="269" t="s">
        <v>316</v>
      </c>
      <c r="B859" s="270"/>
      <c r="C859" s="270"/>
      <c r="D859" s="270"/>
      <c r="E859" s="270"/>
      <c r="G859" s="269" t="s">
        <v>367</v>
      </c>
      <c r="H859" s="270">
        <v>71</v>
      </c>
      <c r="I859" s="270"/>
      <c r="J859" s="270"/>
      <c r="K859" s="270"/>
    </row>
    <row r="860" spans="1:11" x14ac:dyDescent="0.35">
      <c r="A860" s="271" t="s">
        <v>309</v>
      </c>
      <c r="B860" s="272"/>
      <c r="C860" s="272"/>
      <c r="D860" s="272"/>
      <c r="E860" s="272"/>
      <c r="G860" s="271" t="s">
        <v>309</v>
      </c>
      <c r="H860" s="272"/>
      <c r="I860" s="272"/>
      <c r="J860" s="272"/>
      <c r="K860" s="272"/>
    </row>
    <row r="861" spans="1:11" x14ac:dyDescent="0.35">
      <c r="A861" s="269" t="s">
        <v>310</v>
      </c>
      <c r="B861" s="270"/>
      <c r="C861" s="270"/>
      <c r="D861" s="270"/>
      <c r="E861" s="270"/>
      <c r="G861" s="269" t="s">
        <v>310</v>
      </c>
      <c r="H861" s="270"/>
      <c r="I861" s="270"/>
      <c r="J861" s="270"/>
      <c r="K861" s="270"/>
    </row>
    <row r="862" spans="1:11" x14ac:dyDescent="0.35">
      <c r="A862" s="271" t="s">
        <v>317</v>
      </c>
      <c r="B862" s="272"/>
      <c r="C862" s="272"/>
      <c r="D862" s="272"/>
      <c r="E862" s="272"/>
      <c r="G862" s="271" t="s">
        <v>317</v>
      </c>
      <c r="H862" s="272"/>
      <c r="I862" s="272"/>
      <c r="J862" s="272"/>
      <c r="K862" s="272"/>
    </row>
    <row r="863" spans="1:11" x14ac:dyDescent="0.35">
      <c r="A863" s="269" t="s">
        <v>311</v>
      </c>
      <c r="B863" s="270"/>
      <c r="C863" s="270"/>
      <c r="D863" s="270"/>
      <c r="E863" s="270"/>
      <c r="G863" s="269" t="s">
        <v>311</v>
      </c>
      <c r="H863" s="270"/>
      <c r="I863" s="270"/>
      <c r="J863" s="270"/>
      <c r="K863" s="270"/>
    </row>
    <row r="864" spans="1:11" x14ac:dyDescent="0.35">
      <c r="A864" s="271" t="s">
        <v>312</v>
      </c>
      <c r="B864" s="272">
        <v>21965</v>
      </c>
      <c r="C864" s="272"/>
      <c r="D864" s="272"/>
      <c r="E864" s="272"/>
      <c r="G864" s="271" t="s">
        <v>312</v>
      </c>
      <c r="H864" s="272"/>
      <c r="I864" s="272"/>
      <c r="J864" s="272"/>
      <c r="K864" s="272"/>
    </row>
    <row r="865" spans="1:11" x14ac:dyDescent="0.35">
      <c r="A865" s="231" t="s">
        <v>34</v>
      </c>
      <c r="B865" s="230">
        <f>SUM(B859:B864)</f>
        <v>21965</v>
      </c>
      <c r="C865" s="230">
        <f>SUM(C859:C864)</f>
        <v>0</v>
      </c>
      <c r="D865" s="230">
        <f>SUM(D859:D864)</f>
        <v>0</v>
      </c>
      <c r="E865" s="230">
        <f>SUM(E859:E864)</f>
        <v>0</v>
      </c>
      <c r="G865" s="231" t="s">
        <v>34</v>
      </c>
      <c r="H865" s="230">
        <f>SUM(H859:H864)</f>
        <v>71</v>
      </c>
      <c r="I865" s="230">
        <f>SUM(I859:I864)</f>
        <v>0</v>
      </c>
      <c r="J865" s="230">
        <f>SUM(J859:J864)</f>
        <v>0</v>
      </c>
      <c r="K865" s="230">
        <f>SUM(K859:K864)</f>
        <v>0</v>
      </c>
    </row>
    <row r="866" spans="1:11" ht="15" thickBot="1" x14ac:dyDescent="0.4">
      <c r="A866" s="231" t="s">
        <v>313</v>
      </c>
      <c r="B866" s="230">
        <f>+B865+C865+D865+E865</f>
        <v>21965</v>
      </c>
      <c r="C866" s="230"/>
      <c r="D866" s="230"/>
      <c r="E866" s="230"/>
      <c r="G866" s="231" t="s">
        <v>313</v>
      </c>
      <c r="H866" s="230">
        <f>+H865+I865+J865+K865</f>
        <v>71</v>
      </c>
      <c r="I866" s="230"/>
      <c r="J866" s="230"/>
      <c r="K866" s="230"/>
    </row>
    <row r="867" spans="1:11" ht="15.5" thickTop="1" thickBot="1" x14ac:dyDescent="0.4">
      <c r="A867" s="335" t="s">
        <v>298</v>
      </c>
      <c r="B867" s="336"/>
      <c r="C867" s="336"/>
      <c r="D867" s="336"/>
      <c r="E867" s="337"/>
      <c r="G867" s="335" t="s">
        <v>298</v>
      </c>
      <c r="H867" s="336"/>
      <c r="I867" s="336"/>
      <c r="J867" s="336"/>
      <c r="K867" s="337"/>
    </row>
    <row r="868" spans="1:11" ht="15.5" thickTop="1" thickBot="1" x14ac:dyDescent="0.4">
      <c r="A868" s="338">
        <v>45371</v>
      </c>
      <c r="B868" s="336"/>
      <c r="C868" s="336"/>
      <c r="D868" s="336"/>
      <c r="E868" s="337"/>
      <c r="G868" s="338">
        <v>45371</v>
      </c>
      <c r="H868" s="336"/>
      <c r="I868" s="336"/>
      <c r="J868" s="336"/>
      <c r="K868" s="337"/>
    </row>
    <row r="869" spans="1:11" ht="15" thickTop="1" x14ac:dyDescent="0.35">
      <c r="A869" s="267" t="s">
        <v>159</v>
      </c>
      <c r="B869" s="267" t="s">
        <v>299</v>
      </c>
      <c r="C869" s="267" t="s">
        <v>307</v>
      </c>
      <c r="D869" s="267" t="s">
        <v>301</v>
      </c>
      <c r="E869" s="268" t="s">
        <v>308</v>
      </c>
      <c r="G869" s="267" t="s">
        <v>159</v>
      </c>
      <c r="H869" s="267" t="s">
        <v>299</v>
      </c>
      <c r="I869" s="267" t="s">
        <v>307</v>
      </c>
      <c r="J869" s="267" t="s">
        <v>301</v>
      </c>
      <c r="K869" s="268" t="s">
        <v>308</v>
      </c>
    </row>
    <row r="870" spans="1:11" x14ac:dyDescent="0.35">
      <c r="A870" s="269" t="s">
        <v>316</v>
      </c>
      <c r="B870" s="270">
        <v>270</v>
      </c>
      <c r="C870" s="270"/>
      <c r="D870" s="270"/>
      <c r="E870" s="270"/>
      <c r="G870" s="269" t="s">
        <v>316</v>
      </c>
      <c r="H870" s="270"/>
      <c r="I870" s="270"/>
      <c r="J870" s="270"/>
      <c r="K870" s="270"/>
    </row>
    <row r="871" spans="1:11" x14ac:dyDescent="0.35">
      <c r="A871" s="271" t="s">
        <v>364</v>
      </c>
      <c r="B871" s="272">
        <v>160</v>
      </c>
      <c r="C871" s="272"/>
      <c r="D871" s="272"/>
      <c r="E871" s="272"/>
      <c r="G871" s="271" t="s">
        <v>309</v>
      </c>
      <c r="H871" s="272"/>
      <c r="I871" s="272"/>
      <c r="J871" s="272"/>
      <c r="K871" s="272"/>
    </row>
    <row r="872" spans="1:11" x14ac:dyDescent="0.35">
      <c r="A872" s="269" t="s">
        <v>310</v>
      </c>
      <c r="B872" s="270">
        <v>80</v>
      </c>
      <c r="C872" s="270"/>
      <c r="D872" s="270"/>
      <c r="E872" s="270"/>
      <c r="G872" s="269" t="s">
        <v>310</v>
      </c>
      <c r="H872" s="270"/>
      <c r="I872" s="270"/>
      <c r="J872" s="270"/>
      <c r="K872" s="270"/>
    </row>
    <row r="873" spans="1:11" x14ac:dyDescent="0.35">
      <c r="A873" s="271" t="s">
        <v>317</v>
      </c>
      <c r="B873" s="272"/>
      <c r="C873" s="272"/>
      <c r="D873" s="272"/>
      <c r="E873" s="272"/>
      <c r="G873" s="271" t="s">
        <v>317</v>
      </c>
      <c r="H873" s="272"/>
      <c r="I873" s="272"/>
      <c r="J873" s="272"/>
      <c r="K873" s="272"/>
    </row>
    <row r="874" spans="1:11" x14ac:dyDescent="0.35">
      <c r="A874" s="269" t="s">
        <v>311</v>
      </c>
      <c r="B874" s="270"/>
      <c r="C874" s="270"/>
      <c r="D874" s="270"/>
      <c r="E874" s="270"/>
      <c r="G874" s="269" t="s">
        <v>311</v>
      </c>
      <c r="H874" s="270"/>
      <c r="I874" s="270"/>
      <c r="J874" s="270"/>
      <c r="K874" s="270"/>
    </row>
    <row r="875" spans="1:11" x14ac:dyDescent="0.35">
      <c r="A875" s="271" t="s">
        <v>312</v>
      </c>
      <c r="B875" s="272"/>
      <c r="C875" s="272"/>
      <c r="D875" s="272"/>
      <c r="E875" s="272"/>
      <c r="G875" s="271" t="s">
        <v>312</v>
      </c>
      <c r="H875" s="272"/>
      <c r="I875" s="272"/>
      <c r="J875" s="272"/>
      <c r="K875" s="272"/>
    </row>
    <row r="876" spans="1:11" x14ac:dyDescent="0.35">
      <c r="A876" s="231" t="s">
        <v>34</v>
      </c>
      <c r="B876" s="230">
        <f>SUM(B870:B875)</f>
        <v>510</v>
      </c>
      <c r="C876" s="230">
        <f>SUM(C870:C875)</f>
        <v>0</v>
      </c>
      <c r="D876" s="230">
        <f>SUM(D870:D875)</f>
        <v>0</v>
      </c>
      <c r="E876" s="230">
        <f>SUM(E870:E875)</f>
        <v>0</v>
      </c>
      <c r="G876" s="231" t="s">
        <v>34</v>
      </c>
      <c r="H876" s="230">
        <f>SUM(H870:H875)</f>
        <v>0</v>
      </c>
      <c r="I876" s="230">
        <f>SUM(I870:I875)</f>
        <v>0</v>
      </c>
      <c r="J876" s="230">
        <f>SUM(J870:J875)</f>
        <v>0</v>
      </c>
      <c r="K876" s="230">
        <f>SUM(K870:K875)</f>
        <v>0</v>
      </c>
    </row>
    <row r="877" spans="1:11" ht="15" thickBot="1" x14ac:dyDescent="0.4">
      <c r="A877" s="231" t="s">
        <v>313</v>
      </c>
      <c r="B877" s="230">
        <f>+B876+C876+D876+E876</f>
        <v>510</v>
      </c>
      <c r="C877" s="230"/>
      <c r="D877" s="230"/>
      <c r="E877" s="230"/>
      <c r="G877" s="231" t="s">
        <v>313</v>
      </c>
      <c r="H877" s="230">
        <f>+H876+I876+J876+K876</f>
        <v>0</v>
      </c>
      <c r="I877" s="230"/>
      <c r="J877" s="230"/>
      <c r="K877" s="230"/>
    </row>
    <row r="878" spans="1:11" ht="15.5" thickTop="1" thickBot="1" x14ac:dyDescent="0.4">
      <c r="A878" s="335" t="s">
        <v>298</v>
      </c>
      <c r="B878" s="336"/>
      <c r="C878" s="336"/>
      <c r="D878" s="336"/>
      <c r="E878" s="337"/>
      <c r="G878" s="335" t="s">
        <v>298</v>
      </c>
      <c r="H878" s="336"/>
      <c r="I878" s="336"/>
      <c r="J878" s="336"/>
      <c r="K878" s="337"/>
    </row>
    <row r="879" spans="1:11" ht="15.5" thickTop="1" thickBot="1" x14ac:dyDescent="0.4">
      <c r="A879" s="338">
        <v>45372</v>
      </c>
      <c r="B879" s="336"/>
      <c r="C879" s="336"/>
      <c r="D879" s="336"/>
      <c r="E879" s="337"/>
      <c r="G879" s="338">
        <v>45372</v>
      </c>
      <c r="H879" s="336"/>
      <c r="I879" s="336"/>
      <c r="J879" s="336"/>
      <c r="K879" s="337"/>
    </row>
    <row r="880" spans="1:11" ht="15" thickTop="1" x14ac:dyDescent="0.35">
      <c r="A880" s="267" t="s">
        <v>159</v>
      </c>
      <c r="B880" s="267" t="s">
        <v>299</v>
      </c>
      <c r="C880" s="267" t="s">
        <v>307</v>
      </c>
      <c r="D880" s="267" t="s">
        <v>301</v>
      </c>
      <c r="E880" s="268" t="s">
        <v>308</v>
      </c>
      <c r="G880" s="267" t="s">
        <v>159</v>
      </c>
      <c r="H880" s="267" t="s">
        <v>299</v>
      </c>
      <c r="I880" s="267" t="s">
        <v>307</v>
      </c>
      <c r="J880" s="267" t="s">
        <v>301</v>
      </c>
      <c r="K880" s="268" t="s">
        <v>308</v>
      </c>
    </row>
    <row r="881" spans="1:11" x14ac:dyDescent="0.35">
      <c r="A881" s="269" t="s">
        <v>316</v>
      </c>
      <c r="B881" s="270"/>
      <c r="C881" s="270"/>
      <c r="D881" s="270"/>
      <c r="E881" s="270"/>
      <c r="G881" s="269" t="s">
        <v>316</v>
      </c>
      <c r="H881" s="270"/>
      <c r="I881" s="270"/>
      <c r="J881" s="270"/>
      <c r="K881" s="270"/>
    </row>
    <row r="882" spans="1:11" x14ac:dyDescent="0.35">
      <c r="A882" s="271" t="s">
        <v>309</v>
      </c>
      <c r="B882" s="272"/>
      <c r="C882" s="272"/>
      <c r="D882" s="272"/>
      <c r="E882" s="272"/>
      <c r="G882" s="271" t="s">
        <v>309</v>
      </c>
      <c r="H882" s="272"/>
      <c r="I882" s="272"/>
      <c r="J882" s="272"/>
      <c r="K882" s="272"/>
    </row>
    <row r="883" spans="1:11" x14ac:dyDescent="0.35">
      <c r="A883" s="269" t="s">
        <v>310</v>
      </c>
      <c r="B883" s="270">
        <v>1500</v>
      </c>
      <c r="C883" s="270"/>
      <c r="D883" s="270"/>
      <c r="E883" s="270"/>
      <c r="G883" s="269" t="s">
        <v>310</v>
      </c>
      <c r="H883" s="270"/>
      <c r="I883" s="270"/>
      <c r="J883" s="270"/>
      <c r="K883" s="270"/>
    </row>
    <row r="884" spans="1:11" x14ac:dyDescent="0.35">
      <c r="A884" s="271" t="s">
        <v>317</v>
      </c>
      <c r="B884" s="272"/>
      <c r="C884" s="272"/>
      <c r="D884" s="272"/>
      <c r="E884" s="272"/>
      <c r="G884" s="271" t="s">
        <v>317</v>
      </c>
      <c r="H884" s="272"/>
      <c r="I884" s="272"/>
      <c r="J884" s="272"/>
      <c r="K884" s="272"/>
    </row>
    <row r="885" spans="1:11" x14ac:dyDescent="0.35">
      <c r="A885" s="269" t="s">
        <v>311</v>
      </c>
      <c r="B885" s="270"/>
      <c r="C885" s="270"/>
      <c r="D885" s="270"/>
      <c r="E885" s="270"/>
      <c r="G885" s="269" t="s">
        <v>311</v>
      </c>
      <c r="H885" s="270"/>
      <c r="I885" s="270"/>
      <c r="J885" s="270"/>
      <c r="K885" s="270"/>
    </row>
    <row r="886" spans="1:11" x14ac:dyDescent="0.35">
      <c r="A886" s="271" t="s">
        <v>312</v>
      </c>
      <c r="B886" s="272">
        <v>350</v>
      </c>
      <c r="C886" s="272"/>
      <c r="D886" s="272"/>
      <c r="E886" s="272"/>
      <c r="G886" s="271" t="s">
        <v>312</v>
      </c>
      <c r="H886" s="272"/>
      <c r="I886" s="272"/>
      <c r="J886" s="272"/>
      <c r="K886" s="272"/>
    </row>
    <row r="887" spans="1:11" x14ac:dyDescent="0.35">
      <c r="A887" s="231" t="s">
        <v>34</v>
      </c>
      <c r="B887" s="230">
        <f>SUM(B881:B886)</f>
        <v>1850</v>
      </c>
      <c r="C887" s="230">
        <f>SUM(C881:C886)</f>
        <v>0</v>
      </c>
      <c r="D887" s="230">
        <f>SUM(D881:D886)</f>
        <v>0</v>
      </c>
      <c r="E887" s="230">
        <f>SUM(E881:E886)</f>
        <v>0</v>
      </c>
      <c r="G887" s="231" t="s">
        <v>34</v>
      </c>
      <c r="H887" s="230">
        <f>SUM(H881:H886)</f>
        <v>0</v>
      </c>
      <c r="I887" s="230">
        <f>SUM(I881:I886)</f>
        <v>0</v>
      </c>
      <c r="J887" s="230">
        <f>SUM(J881:J886)</f>
        <v>0</v>
      </c>
      <c r="K887" s="230">
        <f>SUM(K881:K886)</f>
        <v>0</v>
      </c>
    </row>
    <row r="888" spans="1:11" ht="15" thickBot="1" x14ac:dyDescent="0.4">
      <c r="A888" s="231" t="s">
        <v>313</v>
      </c>
      <c r="B888" s="230">
        <f>+B887+C887+D887+E887</f>
        <v>1850</v>
      </c>
      <c r="C888" s="230"/>
      <c r="D888" s="230"/>
      <c r="E888" s="230"/>
      <c r="G888" s="231" t="s">
        <v>313</v>
      </c>
      <c r="H888" s="230">
        <f>+H887+I887+J887+K887</f>
        <v>0</v>
      </c>
      <c r="I888" s="230"/>
      <c r="J888" s="230"/>
      <c r="K888" s="230"/>
    </row>
    <row r="889" spans="1:11" ht="15.5" thickTop="1" thickBot="1" x14ac:dyDescent="0.4">
      <c r="A889" s="335" t="s">
        <v>298</v>
      </c>
      <c r="B889" s="336"/>
      <c r="C889" s="336"/>
      <c r="D889" s="336"/>
      <c r="E889" s="337"/>
      <c r="G889" s="335" t="s">
        <v>298</v>
      </c>
      <c r="H889" s="336"/>
      <c r="I889" s="336"/>
      <c r="J889" s="336"/>
      <c r="K889" s="337"/>
    </row>
    <row r="890" spans="1:11" ht="15.5" thickTop="1" thickBot="1" x14ac:dyDescent="0.4">
      <c r="A890" s="338">
        <v>45373</v>
      </c>
      <c r="B890" s="336"/>
      <c r="C890" s="336"/>
      <c r="D890" s="336"/>
      <c r="E890" s="337"/>
      <c r="G890" s="338">
        <v>45373</v>
      </c>
      <c r="H890" s="336"/>
      <c r="I890" s="336"/>
      <c r="J890" s="336"/>
      <c r="K890" s="337"/>
    </row>
    <row r="891" spans="1:11" ht="15" thickTop="1" x14ac:dyDescent="0.35">
      <c r="A891" s="267" t="s">
        <v>159</v>
      </c>
      <c r="B891" s="267" t="s">
        <v>299</v>
      </c>
      <c r="C891" s="267" t="s">
        <v>307</v>
      </c>
      <c r="D891" s="267" t="s">
        <v>301</v>
      </c>
      <c r="E891" s="268" t="s">
        <v>308</v>
      </c>
      <c r="G891" s="267" t="s">
        <v>159</v>
      </c>
      <c r="H891" s="267" t="s">
        <v>299</v>
      </c>
      <c r="I891" s="267" t="s">
        <v>307</v>
      </c>
      <c r="J891" s="267" t="s">
        <v>301</v>
      </c>
      <c r="K891" s="268" t="s">
        <v>308</v>
      </c>
    </row>
    <row r="892" spans="1:11" x14ac:dyDescent="0.35">
      <c r="A892" s="269" t="s">
        <v>316</v>
      </c>
      <c r="B892" s="270"/>
      <c r="C892" s="270"/>
      <c r="D892" s="270"/>
      <c r="E892" s="270"/>
      <c r="G892" s="269" t="s">
        <v>316</v>
      </c>
      <c r="H892" s="270"/>
      <c r="I892" s="270"/>
      <c r="J892" s="270"/>
      <c r="K892" s="270"/>
    </row>
    <row r="893" spans="1:11" x14ac:dyDescent="0.35">
      <c r="A893" s="271" t="s">
        <v>309</v>
      </c>
      <c r="B893" s="272"/>
      <c r="C893" s="272"/>
      <c r="D893" s="272"/>
      <c r="E893" s="272"/>
      <c r="G893" s="271" t="s">
        <v>309</v>
      </c>
      <c r="H893" s="272"/>
      <c r="I893" s="272"/>
      <c r="J893" s="272"/>
      <c r="K893" s="272"/>
    </row>
    <row r="894" spans="1:11" x14ac:dyDescent="0.35">
      <c r="A894" s="269" t="s">
        <v>310</v>
      </c>
      <c r="B894" s="270"/>
      <c r="C894" s="270"/>
      <c r="D894" s="270"/>
      <c r="E894" s="270"/>
      <c r="G894" s="269" t="s">
        <v>310</v>
      </c>
      <c r="H894" s="270"/>
      <c r="I894" s="270"/>
      <c r="J894" s="270"/>
      <c r="K894" s="270"/>
    </row>
    <row r="895" spans="1:11" x14ac:dyDescent="0.35">
      <c r="A895" s="271" t="s">
        <v>317</v>
      </c>
      <c r="B895" s="272"/>
      <c r="C895" s="272"/>
      <c r="D895" s="272"/>
      <c r="E895" s="272"/>
      <c r="G895" s="271" t="s">
        <v>317</v>
      </c>
      <c r="H895" s="272"/>
      <c r="I895" s="272"/>
      <c r="J895" s="272"/>
      <c r="K895" s="272"/>
    </row>
    <row r="896" spans="1:11" x14ac:dyDescent="0.35">
      <c r="A896" s="269" t="s">
        <v>311</v>
      </c>
      <c r="B896" s="270"/>
      <c r="C896" s="270"/>
      <c r="D896" s="270"/>
      <c r="E896" s="270"/>
      <c r="G896" s="269" t="s">
        <v>311</v>
      </c>
      <c r="H896" s="270"/>
      <c r="I896" s="270"/>
      <c r="J896" s="270"/>
      <c r="K896" s="270"/>
    </row>
    <row r="897" spans="1:11" x14ac:dyDescent="0.35">
      <c r="A897" s="271" t="s">
        <v>312</v>
      </c>
      <c r="B897" s="272">
        <v>7400</v>
      </c>
      <c r="C897" s="272"/>
      <c r="D897" s="272"/>
      <c r="E897" s="272"/>
      <c r="G897" s="271" t="s">
        <v>312</v>
      </c>
      <c r="H897" s="272"/>
      <c r="I897" s="272"/>
      <c r="J897" s="272"/>
      <c r="K897" s="272"/>
    </row>
    <row r="898" spans="1:11" x14ac:dyDescent="0.35">
      <c r="A898" s="231" t="s">
        <v>34</v>
      </c>
      <c r="B898" s="230">
        <f>SUM(B892:B897)</f>
        <v>7400</v>
      </c>
      <c r="C898" s="230">
        <f>SUM(C892:C897)</f>
        <v>0</v>
      </c>
      <c r="D898" s="230">
        <f>SUM(D892:D897)</f>
        <v>0</v>
      </c>
      <c r="E898" s="230">
        <f>SUM(E892:E897)</f>
        <v>0</v>
      </c>
      <c r="G898" s="231" t="s">
        <v>34</v>
      </c>
      <c r="H898" s="230">
        <f>SUM(H892:H897)</f>
        <v>0</v>
      </c>
      <c r="I898" s="230">
        <f>SUM(I892:I897)</f>
        <v>0</v>
      </c>
      <c r="J898" s="230">
        <f>SUM(J892:J897)</f>
        <v>0</v>
      </c>
      <c r="K898" s="230">
        <f>SUM(K892:K897)</f>
        <v>0</v>
      </c>
    </row>
    <row r="899" spans="1:11" ht="15" thickBot="1" x14ac:dyDescent="0.4">
      <c r="A899" s="231" t="s">
        <v>313</v>
      </c>
      <c r="B899" s="230">
        <f>+B898+C898+D898+E898</f>
        <v>7400</v>
      </c>
      <c r="C899" s="230"/>
      <c r="D899" s="230"/>
      <c r="E899" s="230"/>
      <c r="G899" s="231" t="s">
        <v>313</v>
      </c>
      <c r="H899" s="230">
        <f>+H898+I898+J898+K898</f>
        <v>0</v>
      </c>
      <c r="I899" s="230"/>
      <c r="J899" s="230"/>
      <c r="K899" s="230"/>
    </row>
    <row r="900" spans="1:11" ht="15.5" thickTop="1" thickBot="1" x14ac:dyDescent="0.4">
      <c r="A900" s="335" t="s">
        <v>298</v>
      </c>
      <c r="B900" s="336"/>
      <c r="C900" s="336"/>
      <c r="D900" s="336"/>
      <c r="E900" s="337"/>
      <c r="G900" s="335" t="s">
        <v>298</v>
      </c>
      <c r="H900" s="336"/>
      <c r="I900" s="336"/>
      <c r="J900" s="336"/>
      <c r="K900" s="337"/>
    </row>
    <row r="901" spans="1:11" ht="15.5" thickTop="1" thickBot="1" x14ac:dyDescent="0.4">
      <c r="A901" s="338">
        <v>45374</v>
      </c>
      <c r="B901" s="336"/>
      <c r="C901" s="336"/>
      <c r="D901" s="336"/>
      <c r="E901" s="337"/>
      <c r="G901" s="338">
        <v>45374</v>
      </c>
      <c r="H901" s="336"/>
      <c r="I901" s="336"/>
      <c r="J901" s="336"/>
      <c r="K901" s="337"/>
    </row>
    <row r="902" spans="1:11" ht="15" thickTop="1" x14ac:dyDescent="0.35">
      <c r="A902" s="267" t="s">
        <v>159</v>
      </c>
      <c r="B902" s="267" t="s">
        <v>299</v>
      </c>
      <c r="C902" s="267" t="s">
        <v>307</v>
      </c>
      <c r="D902" s="267" t="s">
        <v>301</v>
      </c>
      <c r="E902" s="268" t="s">
        <v>308</v>
      </c>
      <c r="G902" s="267" t="s">
        <v>159</v>
      </c>
      <c r="H902" s="267" t="s">
        <v>299</v>
      </c>
      <c r="I902" s="267" t="s">
        <v>307</v>
      </c>
      <c r="J902" s="267" t="s">
        <v>301</v>
      </c>
      <c r="K902" s="268" t="s">
        <v>308</v>
      </c>
    </row>
    <row r="903" spans="1:11" x14ac:dyDescent="0.35">
      <c r="A903" s="269" t="s">
        <v>497</v>
      </c>
      <c r="B903" s="270">
        <v>2500</v>
      </c>
      <c r="C903" s="270"/>
      <c r="D903" s="270"/>
      <c r="E903" s="270"/>
      <c r="G903" s="269" t="s">
        <v>497</v>
      </c>
      <c r="H903" s="270">
        <v>1633</v>
      </c>
      <c r="I903" s="270"/>
      <c r="J903" s="270"/>
      <c r="K903" s="270"/>
    </row>
    <row r="904" spans="1:11" x14ac:dyDescent="0.35">
      <c r="A904" s="271" t="s">
        <v>497</v>
      </c>
      <c r="B904" s="272">
        <v>1983</v>
      </c>
      <c r="C904" s="272"/>
      <c r="D904" s="272"/>
      <c r="E904" s="272"/>
      <c r="G904" s="271" t="s">
        <v>316</v>
      </c>
      <c r="H904" s="272">
        <v>225</v>
      </c>
      <c r="I904" s="272"/>
      <c r="J904" s="272"/>
      <c r="K904" s="272"/>
    </row>
    <row r="905" spans="1:11" x14ac:dyDescent="0.35">
      <c r="A905" s="269" t="s">
        <v>310</v>
      </c>
      <c r="B905" s="270">
        <v>2300</v>
      </c>
      <c r="C905" s="270"/>
      <c r="D905" s="270"/>
      <c r="E905" s="270"/>
      <c r="G905" s="269" t="s">
        <v>310</v>
      </c>
      <c r="H905" s="270"/>
      <c r="I905" s="270"/>
      <c r="J905" s="270"/>
      <c r="K905" s="270"/>
    </row>
    <row r="906" spans="1:11" x14ac:dyDescent="0.35">
      <c r="A906" s="271" t="s">
        <v>316</v>
      </c>
      <c r="B906" s="272">
        <v>180</v>
      </c>
      <c r="C906" s="272"/>
      <c r="D906" s="272"/>
      <c r="E906" s="272"/>
      <c r="G906" s="271" t="s">
        <v>317</v>
      </c>
      <c r="H906" s="272"/>
      <c r="I906" s="272"/>
      <c r="J906" s="272"/>
      <c r="K906" s="272"/>
    </row>
    <row r="907" spans="1:11" x14ac:dyDescent="0.35">
      <c r="A907" s="269" t="s">
        <v>367</v>
      </c>
      <c r="B907" s="270">
        <v>170</v>
      </c>
      <c r="C907" s="270"/>
      <c r="D907" s="270"/>
      <c r="E907" s="270"/>
      <c r="G907" s="269" t="s">
        <v>311</v>
      </c>
      <c r="H907" s="270"/>
      <c r="I907" s="270"/>
      <c r="J907" s="270"/>
      <c r="K907" s="270"/>
    </row>
    <row r="908" spans="1:11" x14ac:dyDescent="0.35">
      <c r="A908" s="271" t="s">
        <v>312</v>
      </c>
      <c r="B908" s="272"/>
      <c r="C908" s="272"/>
      <c r="D908" s="272"/>
      <c r="E908" s="272"/>
      <c r="G908" s="271" t="s">
        <v>312</v>
      </c>
      <c r="H908" s="272"/>
      <c r="I908" s="272"/>
      <c r="J908" s="272"/>
      <c r="K908" s="272"/>
    </row>
    <row r="909" spans="1:11" x14ac:dyDescent="0.35">
      <c r="A909" s="231" t="s">
        <v>34</v>
      </c>
      <c r="B909" s="230">
        <f>SUM(B903:B908)</f>
        <v>7133</v>
      </c>
      <c r="C909" s="230">
        <f>SUM(C903:C908)</f>
        <v>0</v>
      </c>
      <c r="D909" s="230">
        <f>SUM(D903:D908)</f>
        <v>0</v>
      </c>
      <c r="E909" s="230">
        <f>SUM(E903:E908)</f>
        <v>0</v>
      </c>
      <c r="G909" s="231" t="s">
        <v>34</v>
      </c>
      <c r="H909" s="230">
        <f>SUM(H903:H908)</f>
        <v>1858</v>
      </c>
      <c r="I909" s="230">
        <f>SUM(I903:I908)</f>
        <v>0</v>
      </c>
      <c r="J909" s="230">
        <f>SUM(J903:J908)</f>
        <v>0</v>
      </c>
      <c r="K909" s="230">
        <f>SUM(K903:K908)</f>
        <v>0</v>
      </c>
    </row>
    <row r="910" spans="1:11" ht="15" thickBot="1" x14ac:dyDescent="0.4">
      <c r="A910" s="231" t="s">
        <v>313</v>
      </c>
      <c r="B910" s="230">
        <f>+B909+C909+D909+E909</f>
        <v>7133</v>
      </c>
      <c r="C910" s="230"/>
      <c r="D910" s="230"/>
      <c r="E910" s="230"/>
      <c r="G910" s="231" t="s">
        <v>313</v>
      </c>
      <c r="H910" s="230">
        <f>+H909+I909+J909+K909</f>
        <v>1858</v>
      </c>
      <c r="I910" s="230"/>
      <c r="J910" s="230"/>
      <c r="K910" s="230"/>
    </row>
    <row r="911" spans="1:11" ht="15.5" thickTop="1" thickBot="1" x14ac:dyDescent="0.4">
      <c r="A911" s="335" t="s">
        <v>298</v>
      </c>
      <c r="B911" s="336"/>
      <c r="C911" s="336"/>
      <c r="D911" s="336"/>
      <c r="E911" s="337"/>
      <c r="G911" s="335" t="s">
        <v>298</v>
      </c>
      <c r="H911" s="336"/>
      <c r="I911" s="336"/>
      <c r="J911" s="336"/>
      <c r="K911" s="337"/>
    </row>
    <row r="912" spans="1:11" ht="15.5" thickTop="1" thickBot="1" x14ac:dyDescent="0.4">
      <c r="A912" s="338">
        <v>45375</v>
      </c>
      <c r="B912" s="336"/>
      <c r="C912" s="336"/>
      <c r="D912" s="336"/>
      <c r="E912" s="337"/>
      <c r="G912" s="338">
        <v>45375</v>
      </c>
      <c r="H912" s="336"/>
      <c r="I912" s="336"/>
      <c r="J912" s="336"/>
      <c r="K912" s="337"/>
    </row>
    <row r="913" spans="1:11" ht="15" thickTop="1" x14ac:dyDescent="0.35">
      <c r="A913" s="267" t="s">
        <v>159</v>
      </c>
      <c r="B913" s="267" t="s">
        <v>299</v>
      </c>
      <c r="C913" s="267" t="s">
        <v>307</v>
      </c>
      <c r="D913" s="267" t="s">
        <v>301</v>
      </c>
      <c r="E913" s="268" t="s">
        <v>308</v>
      </c>
      <c r="G913" s="267" t="s">
        <v>159</v>
      </c>
      <c r="H913" s="267" t="s">
        <v>299</v>
      </c>
      <c r="I913" s="267" t="s">
        <v>307</v>
      </c>
      <c r="J913" s="267" t="s">
        <v>301</v>
      </c>
      <c r="K913" s="268" t="s">
        <v>308</v>
      </c>
    </row>
    <row r="914" spans="1:11" x14ac:dyDescent="0.35">
      <c r="A914" s="269" t="s">
        <v>316</v>
      </c>
      <c r="B914" s="270"/>
      <c r="C914" s="270"/>
      <c r="D914" s="270"/>
      <c r="E914" s="270"/>
      <c r="G914" s="269" t="s">
        <v>316</v>
      </c>
      <c r="H914" s="270"/>
      <c r="I914" s="270"/>
      <c r="J914" s="270"/>
      <c r="K914" s="270"/>
    </row>
    <row r="915" spans="1:11" x14ac:dyDescent="0.35">
      <c r="A915" s="271" t="s">
        <v>309</v>
      </c>
      <c r="B915" s="272"/>
      <c r="C915" s="272"/>
      <c r="D915" s="272"/>
      <c r="E915" s="272"/>
      <c r="G915" s="271" t="s">
        <v>309</v>
      </c>
      <c r="H915" s="272"/>
      <c r="I915" s="272"/>
      <c r="J915" s="272"/>
      <c r="K915" s="272"/>
    </row>
    <row r="916" spans="1:11" x14ac:dyDescent="0.35">
      <c r="A916" s="269" t="s">
        <v>310</v>
      </c>
      <c r="B916" s="270"/>
      <c r="C916" s="270"/>
      <c r="D916" s="270"/>
      <c r="E916" s="270"/>
      <c r="G916" s="269" t="s">
        <v>310</v>
      </c>
      <c r="H916" s="270"/>
      <c r="I916" s="270"/>
      <c r="J916" s="270"/>
      <c r="K916" s="270"/>
    </row>
    <row r="917" spans="1:11" x14ac:dyDescent="0.35">
      <c r="A917" s="271" t="s">
        <v>317</v>
      </c>
      <c r="B917" s="272"/>
      <c r="C917" s="272"/>
      <c r="D917" s="272"/>
      <c r="E917" s="272"/>
      <c r="G917" s="271" t="s">
        <v>317</v>
      </c>
      <c r="H917" s="272"/>
      <c r="I917" s="272"/>
      <c r="J917" s="272"/>
      <c r="K917" s="272"/>
    </row>
    <row r="918" spans="1:11" x14ac:dyDescent="0.35">
      <c r="A918" s="269" t="s">
        <v>311</v>
      </c>
      <c r="B918" s="270"/>
      <c r="C918" s="270"/>
      <c r="D918" s="270"/>
      <c r="E918" s="270"/>
      <c r="G918" s="269" t="s">
        <v>311</v>
      </c>
      <c r="H918" s="270"/>
      <c r="I918" s="270"/>
      <c r="J918" s="270"/>
      <c r="K918" s="270"/>
    </row>
    <row r="919" spans="1:11" x14ac:dyDescent="0.35">
      <c r="A919" s="271" t="s">
        <v>312</v>
      </c>
      <c r="B919" s="272"/>
      <c r="C919" s="272"/>
      <c r="D919" s="272"/>
      <c r="E919" s="272"/>
      <c r="G919" s="271" t="s">
        <v>312</v>
      </c>
      <c r="H919" s="272"/>
      <c r="I919" s="272"/>
      <c r="J919" s="272"/>
      <c r="K919" s="272"/>
    </row>
    <row r="920" spans="1:11" x14ac:dyDescent="0.35">
      <c r="A920" s="231" t="s">
        <v>34</v>
      </c>
      <c r="B920" s="230">
        <f>SUM(B914:B919)</f>
        <v>0</v>
      </c>
      <c r="C920" s="230">
        <f>SUM(C914:C919)</f>
        <v>0</v>
      </c>
      <c r="D920" s="230">
        <f>SUM(D914:D919)</f>
        <v>0</v>
      </c>
      <c r="E920" s="230">
        <f>SUM(E914:E919)</f>
        <v>0</v>
      </c>
      <c r="G920" s="231" t="s">
        <v>34</v>
      </c>
      <c r="H920" s="230">
        <f>SUM(H914:H919)</f>
        <v>0</v>
      </c>
      <c r="I920" s="230">
        <f>SUM(I914:I919)</f>
        <v>0</v>
      </c>
      <c r="J920" s="230">
        <f>SUM(J914:J919)</f>
        <v>0</v>
      </c>
      <c r="K920" s="230">
        <f>SUM(K914:K919)</f>
        <v>0</v>
      </c>
    </row>
    <row r="921" spans="1:11" ht="15" thickBot="1" x14ac:dyDescent="0.4">
      <c r="A921" s="231" t="s">
        <v>313</v>
      </c>
      <c r="B921" s="230">
        <f>+B920+C920+D920+E920</f>
        <v>0</v>
      </c>
      <c r="C921" s="230"/>
      <c r="D921" s="230"/>
      <c r="E921" s="230"/>
      <c r="G921" s="231" t="s">
        <v>313</v>
      </c>
      <c r="H921" s="230">
        <f>+H920+I920+J920+K920</f>
        <v>0</v>
      </c>
      <c r="I921" s="230"/>
      <c r="J921" s="230"/>
      <c r="K921" s="230"/>
    </row>
    <row r="922" spans="1:11" ht="15.5" thickTop="1" thickBot="1" x14ac:dyDescent="0.4">
      <c r="A922" s="335" t="s">
        <v>298</v>
      </c>
      <c r="B922" s="336"/>
      <c r="C922" s="336"/>
      <c r="D922" s="336"/>
      <c r="E922" s="337"/>
      <c r="G922" s="335" t="s">
        <v>298</v>
      </c>
      <c r="H922" s="336"/>
      <c r="I922" s="336"/>
      <c r="J922" s="336"/>
      <c r="K922" s="337"/>
    </row>
    <row r="923" spans="1:11" ht="15.5" thickTop="1" thickBot="1" x14ac:dyDescent="0.4">
      <c r="A923" s="338">
        <v>45376</v>
      </c>
      <c r="B923" s="336"/>
      <c r="C923" s="336"/>
      <c r="D923" s="336"/>
      <c r="E923" s="337"/>
      <c r="G923" s="338">
        <v>45376</v>
      </c>
      <c r="H923" s="336"/>
      <c r="I923" s="336"/>
      <c r="J923" s="336"/>
      <c r="K923" s="337"/>
    </row>
    <row r="924" spans="1:11" ht="15" thickTop="1" x14ac:dyDescent="0.35">
      <c r="A924" s="267" t="s">
        <v>159</v>
      </c>
      <c r="B924" s="267" t="s">
        <v>299</v>
      </c>
      <c r="C924" s="267" t="s">
        <v>307</v>
      </c>
      <c r="D924" s="267" t="s">
        <v>301</v>
      </c>
      <c r="E924" s="268" t="s">
        <v>308</v>
      </c>
      <c r="G924" s="267" t="s">
        <v>159</v>
      </c>
      <c r="H924" s="267" t="s">
        <v>299</v>
      </c>
      <c r="I924" s="267" t="s">
        <v>307</v>
      </c>
      <c r="J924" s="267" t="s">
        <v>301</v>
      </c>
      <c r="K924" s="268" t="s">
        <v>308</v>
      </c>
    </row>
    <row r="925" spans="1:11" x14ac:dyDescent="0.35">
      <c r="A925" s="269" t="s">
        <v>316</v>
      </c>
      <c r="B925" s="270">
        <v>20000</v>
      </c>
      <c r="C925" s="270"/>
      <c r="D925" s="270"/>
      <c r="E925" s="270"/>
      <c r="G925" s="269" t="s">
        <v>316</v>
      </c>
      <c r="H925" s="270"/>
      <c r="I925" s="270"/>
      <c r="J925" s="270"/>
      <c r="K925" s="270"/>
    </row>
    <row r="926" spans="1:11" x14ac:dyDescent="0.35">
      <c r="A926" s="271" t="s">
        <v>309</v>
      </c>
      <c r="B926" s="272">
        <v>5000</v>
      </c>
      <c r="C926" s="272"/>
      <c r="D926" s="272"/>
      <c r="E926" s="272"/>
      <c r="G926" s="271" t="s">
        <v>309</v>
      </c>
      <c r="H926" s="272"/>
      <c r="I926" s="272"/>
      <c r="J926" s="272"/>
      <c r="K926" s="272"/>
    </row>
    <row r="927" spans="1:11" x14ac:dyDescent="0.35">
      <c r="A927" s="269" t="s">
        <v>364</v>
      </c>
      <c r="B927" s="270">
        <v>509</v>
      </c>
      <c r="C927" s="270"/>
      <c r="D927" s="270"/>
      <c r="E927" s="270"/>
      <c r="G927" s="269" t="s">
        <v>310</v>
      </c>
      <c r="H927" s="270"/>
      <c r="I927" s="270"/>
      <c r="J927" s="270"/>
      <c r="K927" s="270"/>
    </row>
    <row r="928" spans="1:11" x14ac:dyDescent="0.35">
      <c r="A928" s="271" t="s">
        <v>317</v>
      </c>
      <c r="B928" s="272"/>
      <c r="C928" s="272"/>
      <c r="D928" s="272"/>
      <c r="E928" s="272"/>
      <c r="G928" s="271" t="s">
        <v>317</v>
      </c>
      <c r="H928" s="272"/>
      <c r="I928" s="272"/>
      <c r="J928" s="272"/>
      <c r="K928" s="272"/>
    </row>
    <row r="929" spans="1:11" x14ac:dyDescent="0.35">
      <c r="A929" s="269" t="s">
        <v>311</v>
      </c>
      <c r="B929" s="270"/>
      <c r="C929" s="270"/>
      <c r="D929" s="270"/>
      <c r="E929" s="270"/>
      <c r="G929" s="269" t="s">
        <v>311</v>
      </c>
      <c r="H929" s="270"/>
      <c r="I929" s="270"/>
      <c r="J929" s="270"/>
      <c r="K929" s="270"/>
    </row>
    <row r="930" spans="1:11" x14ac:dyDescent="0.35">
      <c r="A930" s="271" t="s">
        <v>312</v>
      </c>
      <c r="B930" s="272"/>
      <c r="C930" s="272"/>
      <c r="D930" s="272"/>
      <c r="E930" s="272"/>
      <c r="G930" s="271" t="s">
        <v>312</v>
      </c>
      <c r="H930" s="272"/>
      <c r="I930" s="272"/>
      <c r="J930" s="272"/>
      <c r="K930" s="272"/>
    </row>
    <row r="931" spans="1:11" x14ac:dyDescent="0.35">
      <c r="A931" s="231" t="s">
        <v>34</v>
      </c>
      <c r="B931" s="230">
        <f>SUM(B925:B930)</f>
        <v>25509</v>
      </c>
      <c r="C931" s="230">
        <f>SUM(C925:C930)</f>
        <v>0</v>
      </c>
      <c r="D931" s="230">
        <f>SUM(D925:D930)</f>
        <v>0</v>
      </c>
      <c r="E931" s="230">
        <f>SUM(E925:E930)</f>
        <v>0</v>
      </c>
      <c r="G931" s="231" t="s">
        <v>34</v>
      </c>
      <c r="H931" s="230">
        <f>SUM(H925:H930)</f>
        <v>0</v>
      </c>
      <c r="I931" s="230">
        <f>SUM(I925:I930)</f>
        <v>0</v>
      </c>
      <c r="J931" s="230">
        <f>SUM(J925:J930)</f>
        <v>0</v>
      </c>
      <c r="K931" s="230">
        <f>SUM(K925:K930)</f>
        <v>0</v>
      </c>
    </row>
    <row r="932" spans="1:11" ht="15" thickBot="1" x14ac:dyDescent="0.4">
      <c r="A932" s="231" t="s">
        <v>313</v>
      </c>
      <c r="B932" s="230">
        <f>+B931+C931+D931+E931</f>
        <v>25509</v>
      </c>
      <c r="C932" s="230"/>
      <c r="D932" s="230"/>
      <c r="E932" s="230"/>
      <c r="G932" s="231" t="s">
        <v>313</v>
      </c>
      <c r="H932" s="230">
        <f>+H931+I931+J931+K931</f>
        <v>0</v>
      </c>
      <c r="I932" s="230"/>
      <c r="J932" s="230"/>
      <c r="K932" s="230"/>
    </row>
    <row r="933" spans="1:11" ht="15.5" thickTop="1" thickBot="1" x14ac:dyDescent="0.4">
      <c r="A933" s="335" t="s">
        <v>298</v>
      </c>
      <c r="B933" s="336"/>
      <c r="C933" s="336"/>
      <c r="D933" s="336"/>
      <c r="E933" s="337"/>
      <c r="G933" s="335" t="s">
        <v>298</v>
      </c>
      <c r="H933" s="336"/>
      <c r="I933" s="336"/>
      <c r="J933" s="336"/>
      <c r="K933" s="337"/>
    </row>
    <row r="934" spans="1:11" ht="15.5" thickTop="1" thickBot="1" x14ac:dyDescent="0.4">
      <c r="A934" s="338">
        <v>45377</v>
      </c>
      <c r="B934" s="336"/>
      <c r="C934" s="336"/>
      <c r="D934" s="336"/>
      <c r="E934" s="337"/>
      <c r="G934" s="338">
        <v>45377</v>
      </c>
      <c r="H934" s="336"/>
      <c r="I934" s="336"/>
      <c r="J934" s="336"/>
      <c r="K934" s="337"/>
    </row>
    <row r="935" spans="1:11" ht="15" thickTop="1" x14ac:dyDescent="0.35">
      <c r="A935" s="267" t="s">
        <v>159</v>
      </c>
      <c r="B935" s="267" t="s">
        <v>299</v>
      </c>
      <c r="C935" s="267" t="s">
        <v>307</v>
      </c>
      <c r="D935" s="267" t="s">
        <v>301</v>
      </c>
      <c r="E935" s="268" t="s">
        <v>308</v>
      </c>
      <c r="G935" s="267" t="s">
        <v>159</v>
      </c>
      <c r="H935" s="267" t="s">
        <v>299</v>
      </c>
      <c r="I935" s="267" t="s">
        <v>307</v>
      </c>
      <c r="J935" s="267" t="s">
        <v>301</v>
      </c>
      <c r="K935" s="268" t="s">
        <v>308</v>
      </c>
    </row>
    <row r="936" spans="1:11" x14ac:dyDescent="0.35">
      <c r="A936" s="269" t="s">
        <v>316</v>
      </c>
      <c r="B936" s="270">
        <v>55</v>
      </c>
      <c r="C936" s="270"/>
      <c r="D936" s="270"/>
      <c r="E936" s="270"/>
      <c r="G936" s="269" t="s">
        <v>316</v>
      </c>
      <c r="H936" s="270"/>
      <c r="I936" s="270"/>
      <c r="J936" s="270"/>
      <c r="K936" s="270"/>
    </row>
    <row r="937" spans="1:11" x14ac:dyDescent="0.35">
      <c r="A937" s="271" t="s">
        <v>309</v>
      </c>
      <c r="B937" s="272">
        <v>444</v>
      </c>
      <c r="C937" s="272"/>
      <c r="D937" s="272"/>
      <c r="E937" s="272"/>
      <c r="G937" s="271" t="s">
        <v>309</v>
      </c>
      <c r="H937" s="272"/>
      <c r="I937" s="272"/>
      <c r="J937" s="272"/>
      <c r="K937" s="272"/>
    </row>
    <row r="938" spans="1:11" x14ac:dyDescent="0.35">
      <c r="A938" s="269" t="s">
        <v>310</v>
      </c>
      <c r="B938" s="270">
        <v>355</v>
      </c>
      <c r="C938" s="270"/>
      <c r="D938" s="270"/>
      <c r="E938" s="270"/>
      <c r="G938" s="269" t="s">
        <v>310</v>
      </c>
      <c r="H938" s="270"/>
      <c r="I938" s="270"/>
      <c r="J938" s="270"/>
      <c r="K938" s="270"/>
    </row>
    <row r="939" spans="1:11" x14ac:dyDescent="0.35">
      <c r="A939" s="271" t="s">
        <v>317</v>
      </c>
      <c r="B939" s="272"/>
      <c r="C939" s="272"/>
      <c r="D939" s="272"/>
      <c r="E939" s="272"/>
      <c r="G939" s="271" t="s">
        <v>317</v>
      </c>
      <c r="H939" s="272"/>
      <c r="I939" s="272"/>
      <c r="J939" s="272"/>
      <c r="K939" s="272"/>
    </row>
    <row r="940" spans="1:11" x14ac:dyDescent="0.35">
      <c r="A940" s="269" t="s">
        <v>311</v>
      </c>
      <c r="B940" s="270"/>
      <c r="C940" s="270"/>
      <c r="D940" s="270"/>
      <c r="E940" s="270"/>
      <c r="G940" s="269" t="s">
        <v>311</v>
      </c>
      <c r="H940" s="270"/>
      <c r="I940" s="270"/>
      <c r="J940" s="270"/>
      <c r="K940" s="270"/>
    </row>
    <row r="941" spans="1:11" x14ac:dyDescent="0.35">
      <c r="A941" s="271" t="s">
        <v>312</v>
      </c>
      <c r="B941" s="272"/>
      <c r="C941" s="272"/>
      <c r="D941" s="272"/>
      <c r="E941" s="272"/>
      <c r="G941" s="271" t="s">
        <v>312</v>
      </c>
      <c r="H941" s="272"/>
      <c r="I941" s="272"/>
      <c r="J941" s="272"/>
      <c r="K941" s="272"/>
    </row>
    <row r="942" spans="1:11" x14ac:dyDescent="0.35">
      <c r="A942" s="231" t="s">
        <v>34</v>
      </c>
      <c r="B942" s="230">
        <f>SUM(B936:B941)</f>
        <v>854</v>
      </c>
      <c r="C942" s="230">
        <f>SUM(C936:C941)</f>
        <v>0</v>
      </c>
      <c r="D942" s="230">
        <f>SUM(D936:D941)</f>
        <v>0</v>
      </c>
      <c r="E942" s="230">
        <f>SUM(E936:E941)</f>
        <v>0</v>
      </c>
      <c r="G942" s="231" t="s">
        <v>34</v>
      </c>
      <c r="H942" s="230">
        <f>SUM(H936:H941)</f>
        <v>0</v>
      </c>
      <c r="I942" s="230">
        <f>SUM(I936:I941)</f>
        <v>0</v>
      </c>
      <c r="J942" s="230">
        <f>SUM(J936:J941)</f>
        <v>0</v>
      </c>
      <c r="K942" s="230">
        <f>SUM(K936:K941)</f>
        <v>0</v>
      </c>
    </row>
    <row r="943" spans="1:11" ht="15" thickBot="1" x14ac:dyDescent="0.4">
      <c r="A943" s="231" t="s">
        <v>313</v>
      </c>
      <c r="B943" s="230">
        <f>+B942+C942+D942+E942</f>
        <v>854</v>
      </c>
      <c r="C943" s="230"/>
      <c r="D943" s="230"/>
      <c r="E943" s="230"/>
      <c r="G943" s="231" t="s">
        <v>313</v>
      </c>
      <c r="H943" s="230">
        <f>+H942+I942+J942+K942</f>
        <v>0</v>
      </c>
      <c r="I943" s="230"/>
      <c r="J943" s="230"/>
      <c r="K943" s="230"/>
    </row>
    <row r="944" spans="1:11" ht="15.5" thickTop="1" thickBot="1" x14ac:dyDescent="0.4">
      <c r="A944" s="335" t="s">
        <v>298</v>
      </c>
      <c r="B944" s="336"/>
      <c r="C944" s="336"/>
      <c r="D944" s="336"/>
      <c r="E944" s="337"/>
      <c r="G944" s="335" t="s">
        <v>298</v>
      </c>
      <c r="H944" s="336"/>
      <c r="I944" s="336"/>
      <c r="J944" s="336"/>
      <c r="K944" s="337"/>
    </row>
    <row r="945" spans="1:11" ht="15.5" thickTop="1" thickBot="1" x14ac:dyDescent="0.4">
      <c r="A945" s="338">
        <v>45378</v>
      </c>
      <c r="B945" s="336"/>
      <c r="C945" s="336"/>
      <c r="D945" s="336"/>
      <c r="E945" s="337"/>
      <c r="G945" s="338">
        <v>45378</v>
      </c>
      <c r="H945" s="336"/>
      <c r="I945" s="336"/>
      <c r="J945" s="336"/>
      <c r="K945" s="337"/>
    </row>
    <row r="946" spans="1:11" ht="15" thickTop="1" x14ac:dyDescent="0.35">
      <c r="A946" s="267" t="s">
        <v>159</v>
      </c>
      <c r="B946" s="267" t="s">
        <v>299</v>
      </c>
      <c r="C946" s="267" t="s">
        <v>307</v>
      </c>
      <c r="D946" s="267" t="s">
        <v>301</v>
      </c>
      <c r="E946" s="268" t="s">
        <v>308</v>
      </c>
      <c r="G946" s="267" t="s">
        <v>159</v>
      </c>
      <c r="H946" s="267" t="s">
        <v>299</v>
      </c>
      <c r="I946" s="267" t="s">
        <v>307</v>
      </c>
      <c r="J946" s="267" t="s">
        <v>301</v>
      </c>
      <c r="K946" s="268" t="s">
        <v>308</v>
      </c>
    </row>
    <row r="947" spans="1:11" x14ac:dyDescent="0.35">
      <c r="A947" s="269" t="s">
        <v>316</v>
      </c>
      <c r="B947" s="270">
        <v>70</v>
      </c>
      <c r="C947" s="270"/>
      <c r="D947" s="270"/>
      <c r="E947" s="270"/>
      <c r="G947" s="269" t="s">
        <v>365</v>
      </c>
      <c r="H947" s="270">
        <v>613</v>
      </c>
      <c r="I947" s="270"/>
      <c r="J947" s="270"/>
      <c r="K947" s="270"/>
    </row>
    <row r="948" spans="1:11" x14ac:dyDescent="0.35">
      <c r="A948" s="271" t="s">
        <v>367</v>
      </c>
      <c r="B948" s="272">
        <v>62</v>
      </c>
      <c r="C948" s="272"/>
      <c r="D948" s="272"/>
      <c r="E948" s="272"/>
      <c r="G948" s="271" t="s">
        <v>309</v>
      </c>
      <c r="H948" s="272"/>
      <c r="I948" s="272"/>
      <c r="J948" s="272"/>
      <c r="K948" s="272"/>
    </row>
    <row r="949" spans="1:11" x14ac:dyDescent="0.35">
      <c r="A949" s="269" t="s">
        <v>310</v>
      </c>
      <c r="B949" s="270">
        <v>1280</v>
      </c>
      <c r="C949" s="270"/>
      <c r="D949" s="270"/>
      <c r="E949" s="270"/>
      <c r="G949" s="269" t="s">
        <v>310</v>
      </c>
      <c r="H949" s="270"/>
      <c r="I949" s="270"/>
      <c r="J949" s="270"/>
      <c r="K949" s="270"/>
    </row>
    <row r="950" spans="1:11" x14ac:dyDescent="0.35">
      <c r="A950" s="271" t="s">
        <v>317</v>
      </c>
      <c r="B950" s="272"/>
      <c r="C950" s="272"/>
      <c r="D950" s="272"/>
      <c r="E950" s="272"/>
      <c r="G950" s="271" t="s">
        <v>317</v>
      </c>
      <c r="H950" s="272"/>
      <c r="I950" s="272"/>
      <c r="J950" s="272"/>
      <c r="K950" s="272"/>
    </row>
    <row r="951" spans="1:11" x14ac:dyDescent="0.35">
      <c r="A951" s="269" t="s">
        <v>311</v>
      </c>
      <c r="B951" s="270"/>
      <c r="C951" s="270"/>
      <c r="D951" s="270"/>
      <c r="E951" s="270"/>
      <c r="G951" s="269" t="s">
        <v>311</v>
      </c>
      <c r="H951" s="270"/>
      <c r="I951" s="270"/>
      <c r="J951" s="270"/>
      <c r="K951" s="270"/>
    </row>
    <row r="952" spans="1:11" x14ac:dyDescent="0.35">
      <c r="A952" s="271" t="s">
        <v>312</v>
      </c>
      <c r="B952" s="272"/>
      <c r="C952" s="272"/>
      <c r="D952" s="272"/>
      <c r="E952" s="272"/>
      <c r="G952" s="271" t="s">
        <v>312</v>
      </c>
      <c r="H952" s="272"/>
      <c r="I952" s="272"/>
      <c r="J952" s="272"/>
      <c r="K952" s="272"/>
    </row>
    <row r="953" spans="1:11" x14ac:dyDescent="0.35">
      <c r="A953" s="231" t="s">
        <v>34</v>
      </c>
      <c r="B953" s="230">
        <f>SUM(B947:B952)</f>
        <v>1412</v>
      </c>
      <c r="C953" s="230">
        <f>SUM(C947:C952)</f>
        <v>0</v>
      </c>
      <c r="D953" s="230">
        <f>SUM(D947:D952)</f>
        <v>0</v>
      </c>
      <c r="E953" s="230">
        <f>SUM(E947:E952)</f>
        <v>0</v>
      </c>
      <c r="G953" s="231" t="s">
        <v>34</v>
      </c>
      <c r="H953" s="230">
        <f>SUM(H947:H952)</f>
        <v>613</v>
      </c>
      <c r="I953" s="230">
        <f>SUM(I947:I952)</f>
        <v>0</v>
      </c>
      <c r="J953" s="230">
        <f>SUM(J947:J952)</f>
        <v>0</v>
      </c>
      <c r="K953" s="230">
        <f>SUM(K947:K952)</f>
        <v>0</v>
      </c>
    </row>
    <row r="954" spans="1:11" ht="15" thickBot="1" x14ac:dyDescent="0.4">
      <c r="A954" s="231" t="s">
        <v>313</v>
      </c>
      <c r="B954" s="230">
        <f>+B953+C953+D953+E953</f>
        <v>1412</v>
      </c>
      <c r="C954" s="230"/>
      <c r="D954" s="230"/>
      <c r="E954" s="230"/>
      <c r="G954" s="231" t="s">
        <v>313</v>
      </c>
      <c r="H954" s="230">
        <f>+H953+I953+J953+K953</f>
        <v>613</v>
      </c>
      <c r="I954" s="230"/>
      <c r="J954" s="230"/>
      <c r="K954" s="230"/>
    </row>
    <row r="955" spans="1:11" ht="15.5" thickTop="1" thickBot="1" x14ac:dyDescent="0.4">
      <c r="A955" s="335" t="s">
        <v>298</v>
      </c>
      <c r="B955" s="336"/>
      <c r="C955" s="336"/>
      <c r="D955" s="336"/>
      <c r="E955" s="337"/>
      <c r="G955" s="335" t="s">
        <v>298</v>
      </c>
      <c r="H955" s="336"/>
      <c r="I955" s="336"/>
      <c r="J955" s="336"/>
      <c r="K955" s="337"/>
    </row>
    <row r="956" spans="1:11" ht="15.5" thickTop="1" thickBot="1" x14ac:dyDescent="0.4">
      <c r="A956" s="338">
        <v>45379</v>
      </c>
      <c r="B956" s="336"/>
      <c r="C956" s="336"/>
      <c r="D956" s="336"/>
      <c r="E956" s="337"/>
      <c r="G956" s="338">
        <v>45379</v>
      </c>
      <c r="H956" s="336"/>
      <c r="I956" s="336"/>
      <c r="J956" s="336"/>
      <c r="K956" s="337"/>
    </row>
    <row r="957" spans="1:11" ht="15" thickTop="1" x14ac:dyDescent="0.35">
      <c r="A957" s="267" t="s">
        <v>159</v>
      </c>
      <c r="B957" s="267" t="s">
        <v>299</v>
      </c>
      <c r="C957" s="267" t="s">
        <v>307</v>
      </c>
      <c r="D957" s="267" t="s">
        <v>301</v>
      </c>
      <c r="E957" s="268" t="s">
        <v>308</v>
      </c>
      <c r="G957" s="267" t="s">
        <v>159</v>
      </c>
      <c r="H957" s="267" t="s">
        <v>299</v>
      </c>
      <c r="I957" s="267" t="s">
        <v>307</v>
      </c>
      <c r="J957" s="267" t="s">
        <v>301</v>
      </c>
      <c r="K957" s="268" t="s">
        <v>308</v>
      </c>
    </row>
    <row r="958" spans="1:11" x14ac:dyDescent="0.35">
      <c r="A958" s="269" t="s">
        <v>316</v>
      </c>
      <c r="B958" s="270"/>
      <c r="C958" s="270"/>
      <c r="D958" s="270"/>
      <c r="E958" s="270"/>
      <c r="G958" s="269" t="s">
        <v>316</v>
      </c>
      <c r="H958" s="270"/>
      <c r="I958" s="270"/>
      <c r="J958" s="270"/>
      <c r="K958" s="270"/>
    </row>
    <row r="959" spans="1:11" x14ac:dyDescent="0.35">
      <c r="A959" s="271" t="s">
        <v>309</v>
      </c>
      <c r="B959" s="272"/>
      <c r="C959" s="272"/>
      <c r="D959" s="272"/>
      <c r="E959" s="272"/>
      <c r="G959" s="271" t="s">
        <v>309</v>
      </c>
      <c r="H959" s="272"/>
      <c r="I959" s="272"/>
      <c r="J959" s="272"/>
      <c r="K959" s="272"/>
    </row>
    <row r="960" spans="1:11" x14ac:dyDescent="0.35">
      <c r="A960" s="269" t="s">
        <v>310</v>
      </c>
      <c r="B960" s="270"/>
      <c r="C960" s="270"/>
      <c r="D960" s="270"/>
      <c r="E960" s="270"/>
      <c r="G960" s="269" t="s">
        <v>310</v>
      </c>
      <c r="H960" s="270"/>
      <c r="I960" s="270"/>
      <c r="J960" s="270"/>
      <c r="K960" s="270"/>
    </row>
    <row r="961" spans="1:11" x14ac:dyDescent="0.35">
      <c r="A961" s="271" t="s">
        <v>317</v>
      </c>
      <c r="B961" s="272"/>
      <c r="C961" s="272"/>
      <c r="D961" s="272"/>
      <c r="E961" s="272"/>
      <c r="G961" s="271" t="s">
        <v>317</v>
      </c>
      <c r="H961" s="272"/>
      <c r="I961" s="272"/>
      <c r="J961" s="272"/>
      <c r="K961" s="272"/>
    </row>
    <row r="962" spans="1:11" x14ac:dyDescent="0.35">
      <c r="A962" s="269" t="s">
        <v>311</v>
      </c>
      <c r="B962" s="270"/>
      <c r="C962" s="270"/>
      <c r="D962" s="270"/>
      <c r="E962" s="270"/>
      <c r="G962" s="269" t="s">
        <v>311</v>
      </c>
      <c r="H962" s="270"/>
      <c r="I962" s="270"/>
      <c r="J962" s="270"/>
      <c r="K962" s="270"/>
    </row>
    <row r="963" spans="1:11" x14ac:dyDescent="0.35">
      <c r="A963" s="271" t="s">
        <v>312</v>
      </c>
      <c r="B963" s="272">
        <v>700</v>
      </c>
      <c r="C963" s="272"/>
      <c r="D963" s="272"/>
      <c r="E963" s="272"/>
      <c r="G963" s="271" t="s">
        <v>312</v>
      </c>
      <c r="H963" s="272"/>
      <c r="I963" s="272"/>
      <c r="J963" s="272"/>
      <c r="K963" s="272"/>
    </row>
    <row r="964" spans="1:11" x14ac:dyDescent="0.35">
      <c r="A964" s="231" t="s">
        <v>34</v>
      </c>
      <c r="B964" s="230">
        <f>SUM(B958:B963)</f>
        <v>700</v>
      </c>
      <c r="C964" s="230">
        <f>SUM(C958:C963)</f>
        <v>0</v>
      </c>
      <c r="D964" s="230">
        <f>SUM(D958:D963)</f>
        <v>0</v>
      </c>
      <c r="E964" s="230">
        <f>SUM(E958:E963)</f>
        <v>0</v>
      </c>
      <c r="G964" s="231" t="s">
        <v>34</v>
      </c>
      <c r="H964" s="230">
        <f>SUM(H958:H963)</f>
        <v>0</v>
      </c>
      <c r="I964" s="230">
        <f>SUM(I958:I963)</f>
        <v>0</v>
      </c>
      <c r="J964" s="230">
        <f>SUM(J958:J963)</f>
        <v>0</v>
      </c>
      <c r="K964" s="230">
        <f>SUM(K958:K963)</f>
        <v>0</v>
      </c>
    </row>
    <row r="965" spans="1:11" ht="15" thickBot="1" x14ac:dyDescent="0.4">
      <c r="A965" s="231" t="s">
        <v>313</v>
      </c>
      <c r="B965" s="230">
        <f>+B964+C964+D964+E964</f>
        <v>700</v>
      </c>
      <c r="C965" s="230"/>
      <c r="D965" s="230"/>
      <c r="E965" s="230"/>
      <c r="G965" s="231" t="s">
        <v>313</v>
      </c>
      <c r="H965" s="230">
        <f>+H964+I964+J964+K964</f>
        <v>0</v>
      </c>
      <c r="I965" s="230"/>
      <c r="J965" s="230"/>
      <c r="K965" s="230"/>
    </row>
    <row r="966" spans="1:11" ht="15.5" thickTop="1" thickBot="1" x14ac:dyDescent="0.4">
      <c r="A966" s="335" t="s">
        <v>298</v>
      </c>
      <c r="B966" s="336"/>
      <c r="C966" s="336"/>
      <c r="D966" s="336"/>
      <c r="E966" s="337"/>
      <c r="G966" s="335" t="s">
        <v>298</v>
      </c>
      <c r="H966" s="336"/>
      <c r="I966" s="336"/>
      <c r="J966" s="336"/>
      <c r="K966" s="337"/>
    </row>
    <row r="967" spans="1:11" ht="15.5" thickTop="1" thickBot="1" x14ac:dyDescent="0.4">
      <c r="A967" s="338">
        <v>45380</v>
      </c>
      <c r="B967" s="336"/>
      <c r="C967" s="336"/>
      <c r="D967" s="336"/>
      <c r="E967" s="337"/>
      <c r="G967" s="338">
        <v>45380</v>
      </c>
      <c r="H967" s="336"/>
      <c r="I967" s="336"/>
      <c r="J967" s="336"/>
      <c r="K967" s="337"/>
    </row>
    <row r="968" spans="1:11" ht="15" thickTop="1" x14ac:dyDescent="0.35">
      <c r="A968" s="267" t="s">
        <v>159</v>
      </c>
      <c r="B968" s="267" t="s">
        <v>299</v>
      </c>
      <c r="C968" s="267" t="s">
        <v>307</v>
      </c>
      <c r="D968" s="267" t="s">
        <v>301</v>
      </c>
      <c r="E968" s="268" t="s">
        <v>308</v>
      </c>
      <c r="G968" s="267" t="s">
        <v>159</v>
      </c>
      <c r="H968" s="267" t="s">
        <v>299</v>
      </c>
      <c r="I968" s="267" t="s">
        <v>307</v>
      </c>
      <c r="J968" s="267" t="s">
        <v>301</v>
      </c>
      <c r="K968" s="268" t="s">
        <v>308</v>
      </c>
    </row>
    <row r="969" spans="1:11" x14ac:dyDescent="0.35">
      <c r="A969" s="269" t="s">
        <v>316</v>
      </c>
      <c r="B969" s="270"/>
      <c r="C969" s="270"/>
      <c r="D969" s="270"/>
      <c r="E969" s="270"/>
      <c r="G969" s="269" t="s">
        <v>316</v>
      </c>
      <c r="H969" s="270"/>
      <c r="I969" s="270"/>
      <c r="J969" s="270"/>
      <c r="K969" s="270"/>
    </row>
    <row r="970" spans="1:11" x14ac:dyDescent="0.35">
      <c r="A970" s="271" t="s">
        <v>309</v>
      </c>
      <c r="B970" s="272"/>
      <c r="C970" s="272"/>
      <c r="D970" s="272"/>
      <c r="E970" s="272"/>
      <c r="G970" s="271" t="s">
        <v>309</v>
      </c>
      <c r="H970" s="272"/>
      <c r="I970" s="272"/>
      <c r="J970" s="272"/>
      <c r="K970" s="272"/>
    </row>
    <row r="971" spans="1:11" x14ac:dyDescent="0.35">
      <c r="A971" s="269" t="s">
        <v>310</v>
      </c>
      <c r="B971" s="270"/>
      <c r="C971" s="270"/>
      <c r="D971" s="270"/>
      <c r="E971" s="270"/>
      <c r="G971" s="269" t="s">
        <v>310</v>
      </c>
      <c r="H971" s="270"/>
      <c r="I971" s="270"/>
      <c r="J971" s="270"/>
      <c r="K971" s="270"/>
    </row>
    <row r="972" spans="1:11" x14ac:dyDescent="0.35">
      <c r="A972" s="271" t="s">
        <v>317</v>
      </c>
      <c r="B972" s="272"/>
      <c r="C972" s="272"/>
      <c r="D972" s="272"/>
      <c r="E972" s="272"/>
      <c r="G972" s="271" t="s">
        <v>317</v>
      </c>
      <c r="H972" s="272"/>
      <c r="I972" s="272"/>
      <c r="J972" s="272"/>
      <c r="K972" s="272"/>
    </row>
    <row r="973" spans="1:11" x14ac:dyDescent="0.35">
      <c r="A973" s="269" t="s">
        <v>311</v>
      </c>
      <c r="B973" s="270"/>
      <c r="C973" s="270"/>
      <c r="D973" s="270"/>
      <c r="E973" s="270"/>
      <c r="G973" s="269" t="s">
        <v>311</v>
      </c>
      <c r="H973" s="270"/>
      <c r="I973" s="270"/>
      <c r="J973" s="270"/>
      <c r="K973" s="270"/>
    </row>
    <row r="974" spans="1:11" x14ac:dyDescent="0.35">
      <c r="A974" s="271" t="s">
        <v>312</v>
      </c>
      <c r="B974" s="272">
        <v>9880</v>
      </c>
      <c r="C974" s="272"/>
      <c r="D974" s="272"/>
      <c r="E974" s="272"/>
      <c r="G974" s="271" t="s">
        <v>312</v>
      </c>
      <c r="H974" s="272"/>
      <c r="I974" s="272"/>
      <c r="J974" s="272"/>
      <c r="K974" s="272"/>
    </row>
    <row r="975" spans="1:11" x14ac:dyDescent="0.35">
      <c r="A975" s="231" t="s">
        <v>34</v>
      </c>
      <c r="B975" s="230">
        <f>SUM(B969:B974)</f>
        <v>9880</v>
      </c>
      <c r="C975" s="230">
        <f>SUM(C969:C974)</f>
        <v>0</v>
      </c>
      <c r="D975" s="230">
        <f>SUM(D969:D974)</f>
        <v>0</v>
      </c>
      <c r="E975" s="230">
        <f>SUM(E969:E974)</f>
        <v>0</v>
      </c>
      <c r="G975" s="231" t="s">
        <v>34</v>
      </c>
      <c r="H975" s="230">
        <f>SUM(H969:H974)</f>
        <v>0</v>
      </c>
      <c r="I975" s="230">
        <f>SUM(I969:I974)</f>
        <v>0</v>
      </c>
      <c r="J975" s="230">
        <f>SUM(J969:J974)</f>
        <v>0</v>
      </c>
      <c r="K975" s="230">
        <f>SUM(K969:K974)</f>
        <v>0</v>
      </c>
    </row>
    <row r="976" spans="1:11" ht="15" thickBot="1" x14ac:dyDescent="0.4">
      <c r="A976" s="231" t="s">
        <v>313</v>
      </c>
      <c r="B976" s="230">
        <f>+B975+C975+D975+E975</f>
        <v>9880</v>
      </c>
      <c r="C976" s="230"/>
      <c r="D976" s="230"/>
      <c r="E976" s="230"/>
      <c r="G976" s="231" t="s">
        <v>313</v>
      </c>
      <c r="H976" s="230">
        <f>+H975+I975+J975+K975</f>
        <v>0</v>
      </c>
      <c r="I976" s="230"/>
      <c r="J976" s="230"/>
      <c r="K976" s="230"/>
    </row>
    <row r="977" spans="1:11" ht="15.5" thickTop="1" thickBot="1" x14ac:dyDescent="0.4">
      <c r="A977" s="335" t="s">
        <v>298</v>
      </c>
      <c r="B977" s="336"/>
      <c r="C977" s="336"/>
      <c r="D977" s="336"/>
      <c r="E977" s="337"/>
      <c r="G977" s="335" t="s">
        <v>298</v>
      </c>
      <c r="H977" s="336"/>
      <c r="I977" s="336"/>
      <c r="J977" s="336"/>
      <c r="K977" s="337"/>
    </row>
    <row r="978" spans="1:11" ht="15.5" thickTop="1" thickBot="1" x14ac:dyDescent="0.4">
      <c r="A978" s="338">
        <v>45381</v>
      </c>
      <c r="B978" s="336"/>
      <c r="C978" s="336"/>
      <c r="D978" s="336"/>
      <c r="E978" s="337"/>
      <c r="G978" s="338">
        <v>45381</v>
      </c>
      <c r="H978" s="336"/>
      <c r="I978" s="336"/>
      <c r="J978" s="336"/>
      <c r="K978" s="337"/>
    </row>
    <row r="979" spans="1:11" ht="15" thickTop="1" x14ac:dyDescent="0.35">
      <c r="A979" s="267" t="s">
        <v>159</v>
      </c>
      <c r="B979" s="267" t="s">
        <v>299</v>
      </c>
      <c r="C979" s="267" t="s">
        <v>307</v>
      </c>
      <c r="D979" s="267" t="s">
        <v>301</v>
      </c>
      <c r="E979" s="268" t="s">
        <v>308</v>
      </c>
      <c r="G979" s="267" t="s">
        <v>159</v>
      </c>
      <c r="H979" s="267" t="s">
        <v>299</v>
      </c>
      <c r="I979" s="267" t="s">
        <v>307</v>
      </c>
      <c r="J979" s="267" t="s">
        <v>301</v>
      </c>
      <c r="K979" s="268" t="s">
        <v>308</v>
      </c>
    </row>
    <row r="980" spans="1:11" x14ac:dyDescent="0.35">
      <c r="A980" s="269" t="s">
        <v>497</v>
      </c>
      <c r="B980" s="270">
        <v>2500</v>
      </c>
      <c r="C980" s="270"/>
      <c r="D980" s="270"/>
      <c r="E980" s="270"/>
      <c r="G980" s="269" t="s">
        <v>497</v>
      </c>
      <c r="H980" s="270">
        <v>2100</v>
      </c>
      <c r="I980" s="270"/>
      <c r="J980" s="270"/>
      <c r="K980" s="270"/>
    </row>
    <row r="981" spans="1:11" x14ac:dyDescent="0.35">
      <c r="A981" s="271" t="s">
        <v>497</v>
      </c>
      <c r="B981" s="272">
        <v>2550</v>
      </c>
      <c r="C981" s="272"/>
      <c r="D981" s="272"/>
      <c r="E981" s="272"/>
      <c r="G981" s="271" t="s">
        <v>309</v>
      </c>
      <c r="H981" s="272"/>
      <c r="I981" s="272"/>
      <c r="J981" s="272"/>
      <c r="K981" s="272"/>
    </row>
    <row r="982" spans="1:11" x14ac:dyDescent="0.35">
      <c r="A982" s="269" t="s">
        <v>497</v>
      </c>
      <c r="B982" s="270">
        <v>1400</v>
      </c>
      <c r="C982" s="270"/>
      <c r="D982" s="270"/>
      <c r="E982" s="270"/>
      <c r="G982" s="269" t="s">
        <v>310</v>
      </c>
      <c r="H982" s="270"/>
      <c r="I982" s="270"/>
      <c r="J982" s="270"/>
      <c r="K982" s="270"/>
    </row>
    <row r="983" spans="1:11" x14ac:dyDescent="0.35">
      <c r="A983" s="271" t="s">
        <v>497</v>
      </c>
      <c r="B983" s="272">
        <v>1400</v>
      </c>
      <c r="C983" s="272"/>
      <c r="D983" s="272"/>
      <c r="E983" s="272"/>
      <c r="G983" s="271" t="s">
        <v>317</v>
      </c>
      <c r="H983" s="272"/>
      <c r="I983" s="272"/>
      <c r="J983" s="272"/>
      <c r="K983" s="272"/>
    </row>
    <row r="984" spans="1:11" x14ac:dyDescent="0.35">
      <c r="A984" s="269" t="s">
        <v>367</v>
      </c>
      <c r="B984" s="270">
        <v>18</v>
      </c>
      <c r="C984" s="270"/>
      <c r="D984" s="270"/>
      <c r="E984" s="270"/>
      <c r="G984" s="269" t="s">
        <v>311</v>
      </c>
      <c r="H984" s="270"/>
      <c r="I984" s="270"/>
      <c r="J984" s="270"/>
      <c r="K984" s="270"/>
    </row>
    <row r="985" spans="1:11" x14ac:dyDescent="0.35">
      <c r="A985" s="271" t="s">
        <v>312</v>
      </c>
      <c r="B985" s="272"/>
      <c r="C985" s="272"/>
      <c r="D985" s="272"/>
      <c r="E985" s="272"/>
      <c r="G985" s="271" t="s">
        <v>312</v>
      </c>
      <c r="H985" s="272"/>
      <c r="I985" s="272"/>
      <c r="J985" s="272"/>
      <c r="K985" s="272"/>
    </row>
    <row r="986" spans="1:11" x14ac:dyDescent="0.35">
      <c r="A986" s="231" t="s">
        <v>34</v>
      </c>
      <c r="B986" s="230">
        <f>SUM(B980:B985)</f>
        <v>7868</v>
      </c>
      <c r="C986" s="230">
        <f>SUM(C980:C985)</f>
        <v>0</v>
      </c>
      <c r="D986" s="230">
        <f>SUM(D980:D985)</f>
        <v>0</v>
      </c>
      <c r="E986" s="230">
        <f>SUM(E980:E985)</f>
        <v>0</v>
      </c>
      <c r="G986" s="231" t="s">
        <v>34</v>
      </c>
      <c r="H986" s="230">
        <f>SUM(H980:H985)</f>
        <v>2100</v>
      </c>
      <c r="I986" s="230">
        <f>SUM(I980:I985)</f>
        <v>0</v>
      </c>
      <c r="J986" s="230">
        <f>SUM(J980:J985)</f>
        <v>0</v>
      </c>
      <c r="K986" s="230">
        <f>SUM(K980:K985)</f>
        <v>0</v>
      </c>
    </row>
    <row r="987" spans="1:11" ht="15" thickBot="1" x14ac:dyDescent="0.4">
      <c r="A987" s="231" t="s">
        <v>313</v>
      </c>
      <c r="B987" s="230">
        <f>+B986+C986+D986+E986</f>
        <v>7868</v>
      </c>
      <c r="C987" s="230"/>
      <c r="D987" s="230"/>
      <c r="E987" s="230"/>
      <c r="G987" s="231" t="s">
        <v>313</v>
      </c>
      <c r="H987" s="230">
        <f>+H986+I986+J986+K986</f>
        <v>2100</v>
      </c>
      <c r="I987" s="230"/>
      <c r="J987" s="230"/>
      <c r="K987" s="230"/>
    </row>
    <row r="988" spans="1:11" ht="15.5" thickTop="1" thickBot="1" x14ac:dyDescent="0.4">
      <c r="A988" s="335" t="s">
        <v>298</v>
      </c>
      <c r="B988" s="336"/>
      <c r="C988" s="336"/>
      <c r="D988" s="336"/>
      <c r="E988" s="337"/>
      <c r="G988" s="335" t="s">
        <v>298</v>
      </c>
      <c r="H988" s="336"/>
      <c r="I988" s="336"/>
      <c r="J988" s="336"/>
      <c r="K988" s="337"/>
    </row>
    <row r="989" spans="1:11" ht="15.5" thickTop="1" thickBot="1" x14ac:dyDescent="0.4">
      <c r="A989" s="338">
        <v>45382</v>
      </c>
      <c r="B989" s="336"/>
      <c r="C989" s="336"/>
      <c r="D989" s="336"/>
      <c r="E989" s="337"/>
      <c r="G989" s="338">
        <v>45382</v>
      </c>
      <c r="H989" s="336"/>
      <c r="I989" s="336"/>
      <c r="J989" s="336"/>
      <c r="K989" s="337"/>
    </row>
    <row r="990" spans="1:11" ht="15" thickTop="1" x14ac:dyDescent="0.35">
      <c r="A990" s="267" t="s">
        <v>159</v>
      </c>
      <c r="B990" s="267" t="s">
        <v>299</v>
      </c>
      <c r="C990" s="267" t="s">
        <v>307</v>
      </c>
      <c r="D990" s="267" t="s">
        <v>301</v>
      </c>
      <c r="E990" s="268" t="s">
        <v>308</v>
      </c>
      <c r="G990" s="267" t="s">
        <v>159</v>
      </c>
      <c r="H990" s="267" t="s">
        <v>299</v>
      </c>
      <c r="I990" s="267" t="s">
        <v>307</v>
      </c>
      <c r="J990" s="267" t="s">
        <v>301</v>
      </c>
      <c r="K990" s="268" t="s">
        <v>308</v>
      </c>
    </row>
    <row r="991" spans="1:11" x14ac:dyDescent="0.35">
      <c r="A991" s="269" t="s">
        <v>316</v>
      </c>
      <c r="B991" s="270"/>
      <c r="C991" s="270"/>
      <c r="D991" s="270"/>
      <c r="E991" s="270"/>
      <c r="G991" s="269" t="s">
        <v>316</v>
      </c>
      <c r="H991" s="270"/>
      <c r="I991" s="270"/>
      <c r="J991" s="270"/>
      <c r="K991" s="270"/>
    </row>
    <row r="992" spans="1:11" x14ac:dyDescent="0.35">
      <c r="A992" s="271" t="s">
        <v>309</v>
      </c>
      <c r="B992" s="272"/>
      <c r="C992" s="272"/>
      <c r="D992" s="272"/>
      <c r="E992" s="272"/>
      <c r="G992" s="271" t="s">
        <v>309</v>
      </c>
      <c r="H992" s="272"/>
      <c r="I992" s="272"/>
      <c r="J992" s="272"/>
      <c r="K992" s="272"/>
    </row>
    <row r="993" spans="1:13" x14ac:dyDescent="0.35">
      <c r="A993" s="269" t="s">
        <v>310</v>
      </c>
      <c r="B993" s="270"/>
      <c r="C993" s="270"/>
      <c r="D993" s="270"/>
      <c r="E993" s="270"/>
      <c r="G993" s="269" t="s">
        <v>310</v>
      </c>
      <c r="H993" s="270"/>
      <c r="I993" s="270"/>
      <c r="J993" s="270"/>
      <c r="K993" s="270"/>
    </row>
    <row r="994" spans="1:13" x14ac:dyDescent="0.35">
      <c r="A994" s="271" t="s">
        <v>317</v>
      </c>
      <c r="B994" s="272"/>
      <c r="C994" s="272"/>
      <c r="D994" s="272"/>
      <c r="E994" s="272"/>
      <c r="G994" s="271" t="s">
        <v>317</v>
      </c>
      <c r="H994" s="272"/>
      <c r="I994" s="272"/>
      <c r="J994" s="272"/>
      <c r="K994" s="272"/>
    </row>
    <row r="995" spans="1:13" x14ac:dyDescent="0.35">
      <c r="A995" s="269" t="s">
        <v>311</v>
      </c>
      <c r="B995" s="270"/>
      <c r="C995" s="270"/>
      <c r="D995" s="270"/>
      <c r="E995" s="270"/>
      <c r="G995" s="269" t="s">
        <v>311</v>
      </c>
      <c r="H995" s="270"/>
      <c r="I995" s="270"/>
      <c r="J995" s="270"/>
      <c r="K995" s="270"/>
    </row>
    <row r="996" spans="1:13" x14ac:dyDescent="0.35">
      <c r="A996" s="271" t="s">
        <v>312</v>
      </c>
      <c r="B996" s="272"/>
      <c r="C996" s="272"/>
      <c r="D996" s="272"/>
      <c r="E996" s="272"/>
      <c r="G996" s="271" t="s">
        <v>312</v>
      </c>
      <c r="H996" s="272"/>
      <c r="I996" s="272"/>
      <c r="J996" s="272"/>
      <c r="K996" s="272"/>
    </row>
    <row r="997" spans="1:13" x14ac:dyDescent="0.35">
      <c r="A997" s="231" t="s">
        <v>34</v>
      </c>
      <c r="B997" s="230">
        <f>SUM(B991:B996)</f>
        <v>0</v>
      </c>
      <c r="C997" s="230">
        <f>SUM(C991:C996)</f>
        <v>0</v>
      </c>
      <c r="D997" s="230">
        <f>SUM(D991:D996)</f>
        <v>0</v>
      </c>
      <c r="E997" s="230">
        <f>SUM(E991:E996)</f>
        <v>0</v>
      </c>
      <c r="G997" s="231" t="s">
        <v>34</v>
      </c>
      <c r="H997" s="230">
        <f>SUM(H991:H996)</f>
        <v>0</v>
      </c>
      <c r="I997" s="230">
        <f>SUM(I991:I996)</f>
        <v>0</v>
      </c>
      <c r="J997" s="230">
        <f>SUM(J991:J996)</f>
        <v>0</v>
      </c>
      <c r="K997" s="230">
        <f>SUM(K991:K996)</f>
        <v>0</v>
      </c>
    </row>
    <row r="998" spans="1:13" x14ac:dyDescent="0.35">
      <c r="A998" s="231" t="s">
        <v>313</v>
      </c>
      <c r="B998" s="230">
        <f>+B997+C997+D997+E997</f>
        <v>0</v>
      </c>
      <c r="C998" s="230"/>
      <c r="D998" s="230"/>
      <c r="E998" s="230"/>
      <c r="G998" s="231" t="s">
        <v>313</v>
      </c>
      <c r="H998" s="230">
        <f>+H997+I997+J997+K997</f>
        <v>0</v>
      </c>
      <c r="I998" s="230"/>
      <c r="J998" s="230"/>
      <c r="K998" s="230"/>
    </row>
    <row r="1000" spans="1:13" ht="15" thickBot="1" x14ac:dyDescent="0.4"/>
    <row r="1001" spans="1:13" ht="31" customHeight="1" thickBot="1" x14ac:dyDescent="0.4">
      <c r="A1001" s="327" t="s">
        <v>315</v>
      </c>
      <c r="B1001" s="328"/>
      <c r="C1001" s="328"/>
      <c r="D1001" s="328"/>
      <c r="E1001" s="328"/>
      <c r="F1001" s="329"/>
      <c r="G1001" s="330">
        <f>SUMIF($A$658:M999,"*"&amp;K1001&amp;"*",$B$658:N999)</f>
        <v>158781</v>
      </c>
      <c r="H1001" s="331"/>
      <c r="I1001" s="331"/>
      <c r="J1001" s="332"/>
      <c r="K1001" s="333" t="s">
        <v>313</v>
      </c>
      <c r="L1001" s="334"/>
      <c r="M1001" s="233">
        <f>+G1001</f>
        <v>158781</v>
      </c>
    </row>
    <row r="1003" spans="1:13" ht="15" thickBot="1" x14ac:dyDescent="0.4"/>
    <row r="1004" spans="1:13" ht="15.5" thickTop="1" thickBot="1" x14ac:dyDescent="0.4">
      <c r="A1004" s="335" t="s">
        <v>298</v>
      </c>
      <c r="B1004" s="336"/>
      <c r="C1004" s="336"/>
      <c r="D1004" s="336"/>
      <c r="E1004" s="337"/>
      <c r="G1004" s="335" t="s">
        <v>298</v>
      </c>
      <c r="H1004" s="336"/>
      <c r="I1004" s="336"/>
      <c r="J1004" s="336"/>
      <c r="K1004" s="337"/>
    </row>
    <row r="1005" spans="1:13" ht="15.5" thickTop="1" thickBot="1" x14ac:dyDescent="0.4">
      <c r="A1005" s="338">
        <v>45383</v>
      </c>
      <c r="B1005" s="336"/>
      <c r="C1005" s="336"/>
      <c r="D1005" s="336"/>
      <c r="E1005" s="337"/>
      <c r="G1005" s="338">
        <v>45383</v>
      </c>
      <c r="H1005" s="336"/>
      <c r="I1005" s="336"/>
      <c r="J1005" s="336"/>
      <c r="K1005" s="337"/>
    </row>
    <row r="1006" spans="1:13" ht="15" thickTop="1" x14ac:dyDescent="0.35">
      <c r="A1006" s="267" t="s">
        <v>159</v>
      </c>
      <c r="B1006" s="267" t="s">
        <v>299</v>
      </c>
      <c r="C1006" s="267" t="s">
        <v>307</v>
      </c>
      <c r="D1006" s="267" t="s">
        <v>301</v>
      </c>
      <c r="E1006" s="268" t="s">
        <v>308</v>
      </c>
      <c r="G1006" s="267" t="s">
        <v>159</v>
      </c>
      <c r="H1006" s="267" t="s">
        <v>299</v>
      </c>
      <c r="I1006" s="267" t="s">
        <v>307</v>
      </c>
      <c r="J1006" s="267" t="s">
        <v>301</v>
      </c>
      <c r="K1006" s="268" t="s">
        <v>308</v>
      </c>
    </row>
    <row r="1007" spans="1:13" x14ac:dyDescent="0.35">
      <c r="A1007" s="269" t="s">
        <v>504</v>
      </c>
      <c r="B1007" s="270"/>
      <c r="C1007" s="270"/>
      <c r="D1007" s="270"/>
      <c r="E1007" s="270"/>
      <c r="G1007" s="269" t="s">
        <v>316</v>
      </c>
      <c r="H1007" s="270"/>
      <c r="I1007" s="270"/>
      <c r="J1007" s="270"/>
      <c r="K1007" s="270"/>
    </row>
    <row r="1008" spans="1:13" x14ac:dyDescent="0.35">
      <c r="A1008" s="271" t="s">
        <v>364</v>
      </c>
      <c r="B1008" s="272">
        <v>290</v>
      </c>
      <c r="C1008" s="272"/>
      <c r="D1008" s="272"/>
      <c r="E1008" s="272"/>
      <c r="G1008" s="271" t="s">
        <v>309</v>
      </c>
      <c r="H1008" s="272"/>
      <c r="I1008" s="272"/>
      <c r="J1008" s="272"/>
      <c r="K1008" s="272"/>
    </row>
    <row r="1009" spans="1:11" x14ac:dyDescent="0.35">
      <c r="A1009" s="269" t="s">
        <v>310</v>
      </c>
      <c r="B1009" s="270">
        <v>2330</v>
      </c>
      <c r="C1009" s="270"/>
      <c r="D1009" s="270"/>
      <c r="E1009" s="270"/>
      <c r="G1009" s="269" t="s">
        <v>310</v>
      </c>
      <c r="H1009" s="270"/>
      <c r="I1009" s="270"/>
      <c r="J1009" s="270"/>
      <c r="K1009" s="270"/>
    </row>
    <row r="1010" spans="1:11" x14ac:dyDescent="0.35">
      <c r="A1010" s="271" t="s">
        <v>317</v>
      </c>
      <c r="B1010" s="272"/>
      <c r="C1010" s="272"/>
      <c r="D1010" s="272"/>
      <c r="E1010" s="272"/>
      <c r="G1010" s="271" t="s">
        <v>317</v>
      </c>
      <c r="H1010" s="272"/>
      <c r="I1010" s="272"/>
      <c r="J1010" s="272"/>
      <c r="K1010" s="272"/>
    </row>
    <row r="1011" spans="1:11" x14ac:dyDescent="0.35">
      <c r="A1011" s="269" t="s">
        <v>311</v>
      </c>
      <c r="B1011" s="270"/>
      <c r="C1011" s="270"/>
      <c r="D1011" s="270"/>
      <c r="E1011" s="270"/>
      <c r="G1011" s="269" t="s">
        <v>311</v>
      </c>
      <c r="H1011" s="270"/>
      <c r="I1011" s="270"/>
      <c r="J1011" s="270"/>
      <c r="K1011" s="270"/>
    </row>
    <row r="1012" spans="1:11" x14ac:dyDescent="0.35">
      <c r="A1012" s="271" t="s">
        <v>312</v>
      </c>
      <c r="B1012" s="272">
        <v>12711</v>
      </c>
      <c r="C1012" s="272"/>
      <c r="D1012" s="272"/>
      <c r="E1012" s="272"/>
      <c r="G1012" s="271" t="s">
        <v>312</v>
      </c>
      <c r="H1012" s="272"/>
      <c r="I1012" s="272"/>
      <c r="J1012" s="272"/>
      <c r="K1012" s="272"/>
    </row>
    <row r="1013" spans="1:11" x14ac:dyDescent="0.35">
      <c r="A1013" s="231" t="s">
        <v>34</v>
      </c>
      <c r="B1013" s="230">
        <f>SUM(B1007:B1012)</f>
        <v>15331</v>
      </c>
      <c r="C1013" s="230">
        <f>SUM(C1007:C1012)</f>
        <v>0</v>
      </c>
      <c r="D1013" s="230">
        <f>SUM(D1007:D1012)</f>
        <v>0</v>
      </c>
      <c r="E1013" s="230">
        <f>SUM(E1007:E1012)</f>
        <v>0</v>
      </c>
      <c r="G1013" s="231" t="s">
        <v>34</v>
      </c>
      <c r="H1013" s="230">
        <f>SUM(H1007:H1012)</f>
        <v>0</v>
      </c>
      <c r="I1013" s="230">
        <f>SUM(I1007:I1012)</f>
        <v>0</v>
      </c>
      <c r="J1013" s="230">
        <f>SUM(J1007:J1012)</f>
        <v>0</v>
      </c>
      <c r="K1013" s="230">
        <f>SUM(K1007:K1012)</f>
        <v>0</v>
      </c>
    </row>
    <row r="1014" spans="1:11" ht="15" thickBot="1" x14ac:dyDescent="0.4">
      <c r="A1014" s="231" t="s">
        <v>313</v>
      </c>
      <c r="B1014" s="230">
        <f>+B1013+C1013+D1013+E1013</f>
        <v>15331</v>
      </c>
      <c r="C1014" s="230"/>
      <c r="D1014" s="230"/>
      <c r="E1014" s="230"/>
      <c r="G1014" s="231" t="s">
        <v>313</v>
      </c>
      <c r="H1014" s="230">
        <f>+H1013+I1013+J1013+K1013</f>
        <v>0</v>
      </c>
      <c r="I1014" s="230"/>
      <c r="J1014" s="230"/>
      <c r="K1014" s="230"/>
    </row>
    <row r="1015" spans="1:11" ht="15.5" thickTop="1" thickBot="1" x14ac:dyDescent="0.4">
      <c r="A1015" s="335" t="s">
        <v>298</v>
      </c>
      <c r="B1015" s="336"/>
      <c r="C1015" s="336"/>
      <c r="D1015" s="336"/>
      <c r="E1015" s="337"/>
      <c r="G1015" s="335" t="s">
        <v>298</v>
      </c>
      <c r="H1015" s="336"/>
      <c r="I1015" s="336"/>
      <c r="J1015" s="336"/>
      <c r="K1015" s="337"/>
    </row>
    <row r="1016" spans="1:11" ht="15.5" thickTop="1" thickBot="1" x14ac:dyDescent="0.4">
      <c r="A1016" s="338">
        <v>45384</v>
      </c>
      <c r="B1016" s="336"/>
      <c r="C1016" s="336"/>
      <c r="D1016" s="336"/>
      <c r="E1016" s="337"/>
      <c r="G1016" s="338">
        <v>45384</v>
      </c>
      <c r="H1016" s="336"/>
      <c r="I1016" s="336"/>
      <c r="J1016" s="336"/>
      <c r="K1016" s="337"/>
    </row>
    <row r="1017" spans="1:11" ht="15" thickTop="1" x14ac:dyDescent="0.35">
      <c r="A1017" s="267" t="s">
        <v>159</v>
      </c>
      <c r="B1017" s="267" t="s">
        <v>299</v>
      </c>
      <c r="C1017" s="267" t="s">
        <v>307</v>
      </c>
      <c r="D1017" s="267" t="s">
        <v>301</v>
      </c>
      <c r="E1017" s="268" t="s">
        <v>308</v>
      </c>
      <c r="G1017" s="267" t="s">
        <v>159</v>
      </c>
      <c r="H1017" s="267" t="s">
        <v>299</v>
      </c>
      <c r="I1017" s="267" t="s">
        <v>307</v>
      </c>
      <c r="J1017" s="267" t="s">
        <v>301</v>
      </c>
      <c r="K1017" s="268" t="s">
        <v>308</v>
      </c>
    </row>
    <row r="1018" spans="1:11" x14ac:dyDescent="0.35">
      <c r="A1018" s="269" t="s">
        <v>316</v>
      </c>
      <c r="B1018" s="270"/>
      <c r="C1018" s="270"/>
      <c r="D1018" s="270"/>
      <c r="E1018" s="270"/>
      <c r="G1018" s="269" t="s">
        <v>316</v>
      </c>
      <c r="H1018" s="270"/>
      <c r="I1018" s="270"/>
      <c r="J1018" s="270"/>
      <c r="K1018" s="270"/>
    </row>
    <row r="1019" spans="1:11" x14ac:dyDescent="0.35">
      <c r="A1019" s="271" t="s">
        <v>309</v>
      </c>
      <c r="B1019" s="272"/>
      <c r="C1019" s="272"/>
      <c r="D1019" s="272"/>
      <c r="E1019" s="272"/>
      <c r="G1019" s="271" t="s">
        <v>309</v>
      </c>
      <c r="H1019" s="272"/>
      <c r="I1019" s="272"/>
      <c r="J1019" s="272"/>
      <c r="K1019" s="272"/>
    </row>
    <row r="1020" spans="1:11" x14ac:dyDescent="0.35">
      <c r="A1020" s="269" t="s">
        <v>310</v>
      </c>
      <c r="B1020" s="270"/>
      <c r="C1020" s="270"/>
      <c r="D1020" s="270"/>
      <c r="E1020" s="270"/>
      <c r="G1020" s="269" t="s">
        <v>310</v>
      </c>
      <c r="H1020" s="270"/>
      <c r="I1020" s="270"/>
      <c r="J1020" s="270"/>
      <c r="K1020" s="270"/>
    </row>
    <row r="1021" spans="1:11" x14ac:dyDescent="0.35">
      <c r="A1021" s="271" t="s">
        <v>317</v>
      </c>
      <c r="B1021" s="272"/>
      <c r="C1021" s="272"/>
      <c r="D1021" s="272"/>
      <c r="E1021" s="272"/>
      <c r="G1021" s="271" t="s">
        <v>317</v>
      </c>
      <c r="H1021" s="272"/>
      <c r="I1021" s="272"/>
      <c r="J1021" s="272"/>
      <c r="K1021" s="272"/>
    </row>
    <row r="1022" spans="1:11" x14ac:dyDescent="0.35">
      <c r="A1022" s="269" t="s">
        <v>505</v>
      </c>
      <c r="B1022" s="270">
        <v>3000</v>
      </c>
      <c r="C1022" s="270"/>
      <c r="D1022" s="270"/>
      <c r="E1022" s="270"/>
      <c r="G1022" s="269" t="s">
        <v>311</v>
      </c>
      <c r="H1022" s="270"/>
      <c r="I1022" s="270"/>
      <c r="J1022" s="270"/>
      <c r="K1022" s="270"/>
    </row>
    <row r="1023" spans="1:11" x14ac:dyDescent="0.35">
      <c r="A1023" s="271" t="s">
        <v>312</v>
      </c>
      <c r="B1023" s="272">
        <v>94264</v>
      </c>
      <c r="C1023" s="272"/>
      <c r="D1023" s="272"/>
      <c r="E1023" s="272"/>
      <c r="G1023" s="271" t="s">
        <v>312</v>
      </c>
      <c r="H1023" s="272"/>
      <c r="I1023" s="272"/>
      <c r="J1023" s="272"/>
      <c r="K1023" s="272"/>
    </row>
    <row r="1024" spans="1:11" x14ac:dyDescent="0.35">
      <c r="A1024" s="231" t="s">
        <v>34</v>
      </c>
      <c r="B1024" s="230">
        <f>SUM(B1018:B1023)</f>
        <v>97264</v>
      </c>
      <c r="C1024" s="230">
        <f>SUM(C1018:C1023)</f>
        <v>0</v>
      </c>
      <c r="D1024" s="230">
        <f>SUM(D1018:D1023)</f>
        <v>0</v>
      </c>
      <c r="E1024" s="230">
        <f>SUM(E1018:E1023)</f>
        <v>0</v>
      </c>
      <c r="G1024" s="231" t="s">
        <v>34</v>
      </c>
      <c r="H1024" s="230">
        <f>SUM(H1018:H1023)</f>
        <v>0</v>
      </c>
      <c r="I1024" s="230">
        <f>SUM(I1018:I1023)</f>
        <v>0</v>
      </c>
      <c r="J1024" s="230">
        <f>SUM(J1018:J1023)</f>
        <v>0</v>
      </c>
      <c r="K1024" s="230">
        <f>SUM(K1018:K1023)</f>
        <v>0</v>
      </c>
    </row>
    <row r="1025" spans="1:11" ht="15" thickBot="1" x14ac:dyDescent="0.4">
      <c r="A1025" s="231" t="s">
        <v>313</v>
      </c>
      <c r="B1025" s="230">
        <f>+B1024+C1024+D1024+E1024</f>
        <v>97264</v>
      </c>
      <c r="C1025" s="230"/>
      <c r="D1025" s="230"/>
      <c r="E1025" s="230"/>
      <c r="G1025" s="231" t="s">
        <v>313</v>
      </c>
      <c r="H1025" s="230">
        <f>+H1024+I1024+J1024+K1024</f>
        <v>0</v>
      </c>
      <c r="I1025" s="230"/>
      <c r="J1025" s="230"/>
      <c r="K1025" s="230"/>
    </row>
    <row r="1026" spans="1:11" ht="15.5" thickTop="1" thickBot="1" x14ac:dyDescent="0.4">
      <c r="A1026" s="335" t="s">
        <v>298</v>
      </c>
      <c r="B1026" s="336"/>
      <c r="C1026" s="336"/>
      <c r="D1026" s="336"/>
      <c r="E1026" s="337"/>
      <c r="G1026" s="335" t="s">
        <v>298</v>
      </c>
      <c r="H1026" s="336"/>
      <c r="I1026" s="336"/>
      <c r="J1026" s="336"/>
      <c r="K1026" s="337"/>
    </row>
    <row r="1027" spans="1:11" ht="15.5" thickTop="1" thickBot="1" x14ac:dyDescent="0.4">
      <c r="A1027" s="338">
        <v>45385</v>
      </c>
      <c r="B1027" s="336"/>
      <c r="C1027" s="336"/>
      <c r="D1027" s="336"/>
      <c r="E1027" s="337"/>
      <c r="G1027" s="338">
        <v>45385</v>
      </c>
      <c r="H1027" s="336"/>
      <c r="I1027" s="336"/>
      <c r="J1027" s="336"/>
      <c r="K1027" s="337"/>
    </row>
    <row r="1028" spans="1:11" ht="15" thickTop="1" x14ac:dyDescent="0.35">
      <c r="A1028" s="267" t="s">
        <v>159</v>
      </c>
      <c r="B1028" s="267" t="s">
        <v>299</v>
      </c>
      <c r="C1028" s="267" t="s">
        <v>307</v>
      </c>
      <c r="D1028" s="267" t="s">
        <v>301</v>
      </c>
      <c r="E1028" s="268" t="s">
        <v>308</v>
      </c>
      <c r="G1028" s="267" t="s">
        <v>159</v>
      </c>
      <c r="H1028" s="267" t="s">
        <v>299</v>
      </c>
      <c r="I1028" s="267" t="s">
        <v>307</v>
      </c>
      <c r="J1028" s="267" t="s">
        <v>301</v>
      </c>
      <c r="K1028" s="268" t="s">
        <v>308</v>
      </c>
    </row>
    <row r="1029" spans="1:11" x14ac:dyDescent="0.35">
      <c r="A1029" s="269" t="s">
        <v>504</v>
      </c>
      <c r="B1029" s="270">
        <v>1800</v>
      </c>
      <c r="C1029" s="270"/>
      <c r="D1029" s="270"/>
      <c r="E1029" s="270"/>
      <c r="G1029" s="269" t="s">
        <v>316</v>
      </c>
      <c r="H1029" s="270"/>
      <c r="I1029" s="270"/>
      <c r="J1029" s="270"/>
      <c r="K1029" s="270"/>
    </row>
    <row r="1030" spans="1:11" x14ac:dyDescent="0.35">
      <c r="A1030" s="271" t="s">
        <v>309</v>
      </c>
      <c r="B1030" s="272"/>
      <c r="C1030" s="272"/>
      <c r="D1030" s="272"/>
      <c r="E1030" s="272"/>
      <c r="G1030" s="271" t="s">
        <v>309</v>
      </c>
      <c r="H1030" s="272"/>
      <c r="I1030" s="272"/>
      <c r="J1030" s="272"/>
      <c r="K1030" s="272"/>
    </row>
    <row r="1031" spans="1:11" x14ac:dyDescent="0.35">
      <c r="A1031" s="269" t="s">
        <v>310</v>
      </c>
      <c r="B1031" s="270"/>
      <c r="C1031" s="270"/>
      <c r="D1031" s="270"/>
      <c r="E1031" s="270"/>
      <c r="G1031" s="269" t="s">
        <v>310</v>
      </c>
      <c r="H1031" s="270"/>
      <c r="I1031" s="270"/>
      <c r="J1031" s="270"/>
      <c r="K1031" s="270"/>
    </row>
    <row r="1032" spans="1:11" x14ac:dyDescent="0.35">
      <c r="A1032" s="271" t="s">
        <v>317</v>
      </c>
      <c r="B1032" s="272"/>
      <c r="C1032" s="272"/>
      <c r="D1032" s="272"/>
      <c r="E1032" s="272"/>
      <c r="G1032" s="271" t="s">
        <v>317</v>
      </c>
      <c r="H1032" s="272"/>
      <c r="I1032" s="272"/>
      <c r="J1032" s="272"/>
      <c r="K1032" s="272"/>
    </row>
    <row r="1033" spans="1:11" x14ac:dyDescent="0.35">
      <c r="A1033" s="269" t="s">
        <v>311</v>
      </c>
      <c r="B1033" s="270"/>
      <c r="C1033" s="270"/>
      <c r="D1033" s="270"/>
      <c r="E1033" s="270"/>
      <c r="G1033" s="269" t="s">
        <v>311</v>
      </c>
      <c r="H1033" s="270"/>
      <c r="I1033" s="270"/>
      <c r="J1033" s="270"/>
      <c r="K1033" s="270"/>
    </row>
    <row r="1034" spans="1:11" x14ac:dyDescent="0.35">
      <c r="A1034" s="271" t="s">
        <v>312</v>
      </c>
      <c r="B1034" s="272"/>
      <c r="C1034" s="272"/>
      <c r="D1034" s="272"/>
      <c r="E1034" s="272"/>
      <c r="G1034" s="271" t="s">
        <v>312</v>
      </c>
      <c r="H1034" s="272"/>
      <c r="I1034" s="272"/>
      <c r="J1034" s="272"/>
      <c r="K1034" s="272"/>
    </row>
    <row r="1035" spans="1:11" x14ac:dyDescent="0.35">
      <c r="A1035" s="231" t="s">
        <v>34</v>
      </c>
      <c r="B1035" s="230">
        <f>SUM(B1029:B1034)</f>
        <v>1800</v>
      </c>
      <c r="C1035" s="230">
        <f>SUM(C1029:C1034)</f>
        <v>0</v>
      </c>
      <c r="D1035" s="230">
        <f>SUM(D1029:D1034)</f>
        <v>0</v>
      </c>
      <c r="E1035" s="230">
        <f>SUM(E1029:E1034)</f>
        <v>0</v>
      </c>
      <c r="G1035" s="231" t="s">
        <v>34</v>
      </c>
      <c r="H1035" s="230">
        <f>SUM(H1029:H1034)</f>
        <v>0</v>
      </c>
      <c r="I1035" s="230">
        <f>SUM(I1029:I1034)</f>
        <v>0</v>
      </c>
      <c r="J1035" s="230">
        <f>SUM(J1029:J1034)</f>
        <v>0</v>
      </c>
      <c r="K1035" s="230">
        <f>SUM(K1029:K1034)</f>
        <v>0</v>
      </c>
    </row>
    <row r="1036" spans="1:11" ht="15" thickBot="1" x14ac:dyDescent="0.4">
      <c r="A1036" s="231" t="s">
        <v>313</v>
      </c>
      <c r="B1036" s="230">
        <f>+B1035+C1035+D1035+E1035</f>
        <v>1800</v>
      </c>
      <c r="C1036" s="230"/>
      <c r="D1036" s="230"/>
      <c r="E1036" s="230"/>
      <c r="G1036" s="231" t="s">
        <v>313</v>
      </c>
      <c r="H1036" s="230">
        <f>+H1035+I1035+J1035+K1035</f>
        <v>0</v>
      </c>
      <c r="I1036" s="230"/>
      <c r="J1036" s="230"/>
      <c r="K1036" s="230"/>
    </row>
    <row r="1037" spans="1:11" ht="15.5" thickTop="1" thickBot="1" x14ac:dyDescent="0.4">
      <c r="A1037" s="335" t="s">
        <v>298</v>
      </c>
      <c r="B1037" s="336"/>
      <c r="C1037" s="336"/>
      <c r="D1037" s="336"/>
      <c r="E1037" s="337"/>
      <c r="G1037" s="335" t="s">
        <v>298</v>
      </c>
      <c r="H1037" s="336"/>
      <c r="I1037" s="336"/>
      <c r="J1037" s="336"/>
      <c r="K1037" s="337"/>
    </row>
    <row r="1038" spans="1:11" ht="15.5" thickTop="1" thickBot="1" x14ac:dyDescent="0.4">
      <c r="A1038" s="338">
        <v>45386</v>
      </c>
      <c r="B1038" s="336"/>
      <c r="C1038" s="336"/>
      <c r="D1038" s="336"/>
      <c r="E1038" s="337"/>
      <c r="G1038" s="338">
        <v>45386</v>
      </c>
      <c r="H1038" s="336"/>
      <c r="I1038" s="336"/>
      <c r="J1038" s="336"/>
      <c r="K1038" s="337"/>
    </row>
    <row r="1039" spans="1:11" ht="15" thickTop="1" x14ac:dyDescent="0.35">
      <c r="A1039" s="267" t="s">
        <v>159</v>
      </c>
      <c r="B1039" s="267" t="s">
        <v>299</v>
      </c>
      <c r="C1039" s="267" t="s">
        <v>307</v>
      </c>
      <c r="D1039" s="267" t="s">
        <v>301</v>
      </c>
      <c r="E1039" s="268" t="s">
        <v>308</v>
      </c>
      <c r="G1039" s="267" t="s">
        <v>159</v>
      </c>
      <c r="H1039" s="267" t="s">
        <v>299</v>
      </c>
      <c r="I1039" s="267" t="s">
        <v>307</v>
      </c>
      <c r="J1039" s="267" t="s">
        <v>301</v>
      </c>
      <c r="K1039" s="268" t="s">
        <v>308</v>
      </c>
    </row>
    <row r="1040" spans="1:11" x14ac:dyDescent="0.35">
      <c r="A1040" s="269" t="s">
        <v>316</v>
      </c>
      <c r="B1040" s="270"/>
      <c r="C1040" s="270"/>
      <c r="D1040" s="270"/>
      <c r="E1040" s="270"/>
      <c r="G1040" s="269" t="s">
        <v>316</v>
      </c>
      <c r="H1040" s="270"/>
      <c r="I1040" s="270"/>
      <c r="J1040" s="270"/>
      <c r="K1040" s="270"/>
    </row>
    <row r="1041" spans="1:11" x14ac:dyDescent="0.35">
      <c r="A1041" s="271" t="s">
        <v>309</v>
      </c>
      <c r="B1041" s="272"/>
      <c r="C1041" s="272"/>
      <c r="D1041" s="272"/>
      <c r="E1041" s="272"/>
      <c r="G1041" s="271" t="s">
        <v>378</v>
      </c>
      <c r="H1041" s="272">
        <v>2300</v>
      </c>
      <c r="I1041" s="272"/>
      <c r="J1041" s="272"/>
      <c r="K1041" s="272"/>
    </row>
    <row r="1042" spans="1:11" x14ac:dyDescent="0.35">
      <c r="A1042" s="269" t="s">
        <v>310</v>
      </c>
      <c r="B1042" s="270"/>
      <c r="C1042" s="270"/>
      <c r="D1042" s="270"/>
      <c r="E1042" s="270"/>
      <c r="G1042" s="269" t="s">
        <v>310</v>
      </c>
      <c r="H1042" s="270"/>
      <c r="I1042" s="270"/>
      <c r="J1042" s="270"/>
      <c r="K1042" s="270"/>
    </row>
    <row r="1043" spans="1:11" x14ac:dyDescent="0.35">
      <c r="A1043" s="271" t="s">
        <v>317</v>
      </c>
      <c r="B1043" s="272"/>
      <c r="C1043" s="272"/>
      <c r="D1043" s="272"/>
      <c r="E1043" s="272"/>
      <c r="G1043" s="271" t="s">
        <v>317</v>
      </c>
      <c r="H1043" s="272"/>
      <c r="I1043" s="272"/>
      <c r="J1043" s="272"/>
      <c r="K1043" s="272"/>
    </row>
    <row r="1044" spans="1:11" x14ac:dyDescent="0.35">
      <c r="A1044" s="269" t="s">
        <v>311</v>
      </c>
      <c r="B1044" s="270"/>
      <c r="C1044" s="270"/>
      <c r="D1044" s="270"/>
      <c r="E1044" s="270"/>
      <c r="G1044" s="269" t="s">
        <v>311</v>
      </c>
      <c r="H1044" s="270"/>
      <c r="I1044" s="270"/>
      <c r="J1044" s="270"/>
      <c r="K1044" s="270"/>
    </row>
    <row r="1045" spans="1:11" x14ac:dyDescent="0.35">
      <c r="A1045" s="271" t="s">
        <v>312</v>
      </c>
      <c r="B1045" s="272">
        <v>6940</v>
      </c>
      <c r="C1045" s="272"/>
      <c r="D1045" s="272"/>
      <c r="E1045" s="272"/>
      <c r="G1045" s="271" t="s">
        <v>312</v>
      </c>
      <c r="H1045" s="272"/>
      <c r="I1045" s="272"/>
      <c r="J1045" s="272"/>
      <c r="K1045" s="272"/>
    </row>
    <row r="1046" spans="1:11" x14ac:dyDescent="0.35">
      <c r="A1046" s="231" t="s">
        <v>34</v>
      </c>
      <c r="B1046" s="230">
        <f>SUM(B1040:B1045)</f>
        <v>6940</v>
      </c>
      <c r="C1046" s="230">
        <f>SUM(C1040:C1045)</f>
        <v>0</v>
      </c>
      <c r="D1046" s="230">
        <f>SUM(D1040:D1045)</f>
        <v>0</v>
      </c>
      <c r="E1046" s="230">
        <f>SUM(E1040:E1045)</f>
        <v>0</v>
      </c>
      <c r="G1046" s="231" t="s">
        <v>34</v>
      </c>
      <c r="H1046" s="230">
        <f>SUM(H1040:H1045)</f>
        <v>2300</v>
      </c>
      <c r="I1046" s="230">
        <f>SUM(I1040:I1045)</f>
        <v>0</v>
      </c>
      <c r="J1046" s="230">
        <f>SUM(J1040:J1045)</f>
        <v>0</v>
      </c>
      <c r="K1046" s="230">
        <f>SUM(K1040:K1045)</f>
        <v>0</v>
      </c>
    </row>
    <row r="1047" spans="1:11" ht="15" thickBot="1" x14ac:dyDescent="0.4">
      <c r="A1047" s="231" t="s">
        <v>313</v>
      </c>
      <c r="B1047" s="230">
        <f>+B1046+C1046+D1046+E1046</f>
        <v>6940</v>
      </c>
      <c r="C1047" s="230"/>
      <c r="D1047" s="230"/>
      <c r="E1047" s="230"/>
      <c r="G1047" s="231" t="s">
        <v>313</v>
      </c>
      <c r="H1047" s="230">
        <f>+H1046+I1046+J1046+K1046</f>
        <v>2300</v>
      </c>
      <c r="I1047" s="230"/>
      <c r="J1047" s="230"/>
      <c r="K1047" s="230"/>
    </row>
    <row r="1048" spans="1:11" ht="15.5" thickTop="1" thickBot="1" x14ac:dyDescent="0.4">
      <c r="A1048" s="335" t="s">
        <v>298</v>
      </c>
      <c r="B1048" s="336"/>
      <c r="C1048" s="336"/>
      <c r="D1048" s="336"/>
      <c r="E1048" s="337"/>
      <c r="G1048" s="335" t="s">
        <v>298</v>
      </c>
      <c r="H1048" s="336"/>
      <c r="I1048" s="336"/>
      <c r="J1048" s="336"/>
      <c r="K1048" s="337"/>
    </row>
    <row r="1049" spans="1:11" ht="15.5" thickTop="1" thickBot="1" x14ac:dyDescent="0.4">
      <c r="A1049" s="338">
        <v>45387</v>
      </c>
      <c r="B1049" s="336"/>
      <c r="C1049" s="336"/>
      <c r="D1049" s="336"/>
      <c r="E1049" s="337"/>
      <c r="G1049" s="338">
        <v>45387</v>
      </c>
      <c r="H1049" s="336"/>
      <c r="I1049" s="336"/>
      <c r="J1049" s="336"/>
      <c r="K1049" s="337"/>
    </row>
    <row r="1050" spans="1:11" ht="15" thickTop="1" x14ac:dyDescent="0.35">
      <c r="A1050" s="267" t="s">
        <v>159</v>
      </c>
      <c r="B1050" s="267" t="s">
        <v>299</v>
      </c>
      <c r="C1050" s="267" t="s">
        <v>307</v>
      </c>
      <c r="D1050" s="267" t="s">
        <v>301</v>
      </c>
      <c r="E1050" s="268" t="s">
        <v>308</v>
      </c>
      <c r="G1050" s="267" t="s">
        <v>159</v>
      </c>
      <c r="H1050" s="267" t="s">
        <v>299</v>
      </c>
      <c r="I1050" s="267" t="s">
        <v>307</v>
      </c>
      <c r="J1050" s="267" t="s">
        <v>301</v>
      </c>
      <c r="K1050" s="268" t="s">
        <v>308</v>
      </c>
    </row>
    <row r="1051" spans="1:11" x14ac:dyDescent="0.35">
      <c r="A1051" s="269" t="s">
        <v>316</v>
      </c>
      <c r="B1051" s="270">
        <v>130</v>
      </c>
      <c r="C1051" s="270"/>
      <c r="D1051" s="270"/>
      <c r="E1051" s="270"/>
      <c r="G1051" s="269" t="s">
        <v>316</v>
      </c>
      <c r="H1051" s="270"/>
      <c r="I1051" s="270"/>
      <c r="J1051" s="270"/>
      <c r="K1051" s="270"/>
    </row>
    <row r="1052" spans="1:11" x14ac:dyDescent="0.35">
      <c r="A1052" s="271" t="s">
        <v>309</v>
      </c>
      <c r="B1052" s="272"/>
      <c r="C1052" s="272"/>
      <c r="D1052" s="272"/>
      <c r="E1052" s="272"/>
      <c r="G1052" s="271" t="s">
        <v>309</v>
      </c>
      <c r="H1052" s="272"/>
      <c r="I1052" s="272"/>
      <c r="J1052" s="272"/>
      <c r="K1052" s="272"/>
    </row>
    <row r="1053" spans="1:11" x14ac:dyDescent="0.35">
      <c r="A1053" s="269" t="s">
        <v>310</v>
      </c>
      <c r="B1053" s="270"/>
      <c r="C1053" s="270"/>
      <c r="D1053" s="270"/>
      <c r="E1053" s="270"/>
      <c r="G1053" s="269" t="s">
        <v>310</v>
      </c>
      <c r="H1053" s="270"/>
      <c r="I1053" s="270"/>
      <c r="J1053" s="270"/>
      <c r="K1053" s="270"/>
    </row>
    <row r="1054" spans="1:11" x14ac:dyDescent="0.35">
      <c r="A1054" s="271" t="s">
        <v>317</v>
      </c>
      <c r="B1054" s="272"/>
      <c r="C1054" s="272"/>
      <c r="D1054" s="272"/>
      <c r="E1054" s="272"/>
      <c r="G1054" s="271" t="s">
        <v>317</v>
      </c>
      <c r="H1054" s="272"/>
      <c r="I1054" s="272"/>
      <c r="J1054" s="272"/>
      <c r="K1054" s="272"/>
    </row>
    <row r="1055" spans="1:11" x14ac:dyDescent="0.35">
      <c r="A1055" s="269" t="s">
        <v>311</v>
      </c>
      <c r="B1055" s="270"/>
      <c r="C1055" s="270"/>
      <c r="D1055" s="270"/>
      <c r="E1055" s="270"/>
      <c r="G1055" s="269" t="s">
        <v>311</v>
      </c>
      <c r="H1055" s="270"/>
      <c r="I1055" s="270"/>
      <c r="J1055" s="270"/>
      <c r="K1055" s="270"/>
    </row>
    <row r="1056" spans="1:11" x14ac:dyDescent="0.35">
      <c r="A1056" s="271" t="s">
        <v>312</v>
      </c>
      <c r="B1056" s="272"/>
      <c r="C1056" s="272"/>
      <c r="D1056" s="272"/>
      <c r="E1056" s="272"/>
      <c r="G1056" s="271" t="s">
        <v>312</v>
      </c>
      <c r="H1056" s="272"/>
      <c r="I1056" s="272"/>
      <c r="J1056" s="272"/>
      <c r="K1056" s="272"/>
    </row>
    <row r="1057" spans="1:11" x14ac:dyDescent="0.35">
      <c r="A1057" s="231" t="s">
        <v>34</v>
      </c>
      <c r="B1057" s="230">
        <f>SUM(B1051:B1056)</f>
        <v>130</v>
      </c>
      <c r="C1057" s="230">
        <f>SUM(C1051:C1056)</f>
        <v>0</v>
      </c>
      <c r="D1057" s="230">
        <f>SUM(D1051:D1056)</f>
        <v>0</v>
      </c>
      <c r="E1057" s="230">
        <f>SUM(E1051:E1056)</f>
        <v>0</v>
      </c>
      <c r="G1057" s="231" t="s">
        <v>34</v>
      </c>
      <c r="H1057" s="230">
        <f>SUM(H1051:H1056)</f>
        <v>0</v>
      </c>
      <c r="I1057" s="230">
        <f>SUM(I1051:I1056)</f>
        <v>0</v>
      </c>
      <c r="J1057" s="230">
        <f>SUM(J1051:J1056)</f>
        <v>0</v>
      </c>
      <c r="K1057" s="230">
        <f>SUM(K1051:K1056)</f>
        <v>0</v>
      </c>
    </row>
    <row r="1058" spans="1:11" ht="15" thickBot="1" x14ac:dyDescent="0.4">
      <c r="A1058" s="231" t="s">
        <v>313</v>
      </c>
      <c r="B1058" s="230">
        <f>+B1057+C1057+D1057+E1057</f>
        <v>130</v>
      </c>
      <c r="C1058" s="230"/>
      <c r="D1058" s="230"/>
      <c r="E1058" s="230"/>
      <c r="G1058" s="231" t="s">
        <v>313</v>
      </c>
      <c r="H1058" s="230">
        <f>+H1057+I1057+J1057+K1057</f>
        <v>0</v>
      </c>
      <c r="I1058" s="230"/>
      <c r="J1058" s="230"/>
      <c r="K1058" s="230"/>
    </row>
    <row r="1059" spans="1:11" ht="15.5" thickTop="1" thickBot="1" x14ac:dyDescent="0.4">
      <c r="A1059" s="335" t="s">
        <v>298</v>
      </c>
      <c r="B1059" s="336"/>
      <c r="C1059" s="336"/>
      <c r="D1059" s="336"/>
      <c r="E1059" s="337"/>
      <c r="G1059" s="335" t="s">
        <v>298</v>
      </c>
      <c r="H1059" s="336"/>
      <c r="I1059" s="336"/>
      <c r="J1059" s="336"/>
      <c r="K1059" s="337"/>
    </row>
    <row r="1060" spans="1:11" ht="15.5" thickTop="1" thickBot="1" x14ac:dyDescent="0.4">
      <c r="A1060" s="338">
        <v>45388</v>
      </c>
      <c r="B1060" s="336"/>
      <c r="C1060" s="336"/>
      <c r="D1060" s="336"/>
      <c r="E1060" s="337"/>
      <c r="G1060" s="338">
        <v>45388</v>
      </c>
      <c r="H1060" s="336"/>
      <c r="I1060" s="336"/>
      <c r="J1060" s="336"/>
      <c r="K1060" s="337"/>
    </row>
    <row r="1061" spans="1:11" ht="15" thickTop="1" x14ac:dyDescent="0.35">
      <c r="A1061" s="267" t="s">
        <v>159</v>
      </c>
      <c r="B1061" s="267" t="s">
        <v>299</v>
      </c>
      <c r="C1061" s="267" t="s">
        <v>307</v>
      </c>
      <c r="D1061" s="267" t="s">
        <v>301</v>
      </c>
      <c r="E1061" s="268" t="s">
        <v>308</v>
      </c>
      <c r="G1061" s="267" t="s">
        <v>159</v>
      </c>
      <c r="H1061" s="267" t="s">
        <v>299</v>
      </c>
      <c r="I1061" s="267" t="s">
        <v>307</v>
      </c>
      <c r="J1061" s="267" t="s">
        <v>301</v>
      </c>
      <c r="K1061" s="268" t="s">
        <v>308</v>
      </c>
    </row>
    <row r="1062" spans="1:11" x14ac:dyDescent="0.35">
      <c r="A1062" s="269" t="s">
        <v>379</v>
      </c>
      <c r="B1062" s="270">
        <v>2500</v>
      </c>
      <c r="C1062" s="270"/>
      <c r="D1062" s="270"/>
      <c r="E1062" s="270"/>
      <c r="G1062" s="269" t="s">
        <v>379</v>
      </c>
      <c r="H1062" s="270">
        <v>1400</v>
      </c>
      <c r="I1062" s="270"/>
      <c r="J1062" s="270"/>
      <c r="K1062" s="270"/>
    </row>
    <row r="1063" spans="1:11" x14ac:dyDescent="0.35">
      <c r="A1063" s="271" t="s">
        <v>379</v>
      </c>
      <c r="B1063" s="272">
        <v>1700</v>
      </c>
      <c r="C1063" s="272"/>
      <c r="D1063" s="272"/>
      <c r="E1063" s="272"/>
      <c r="G1063" s="271" t="s">
        <v>309</v>
      </c>
      <c r="H1063" s="272"/>
      <c r="I1063" s="272"/>
      <c r="J1063" s="272"/>
      <c r="K1063" s="272"/>
    </row>
    <row r="1064" spans="1:11" x14ac:dyDescent="0.35">
      <c r="A1064" s="269" t="s">
        <v>367</v>
      </c>
      <c r="B1064" s="270">
        <v>18</v>
      </c>
      <c r="C1064" s="270"/>
      <c r="D1064" s="270"/>
      <c r="E1064" s="270"/>
      <c r="G1064" s="269" t="s">
        <v>310</v>
      </c>
      <c r="H1064" s="270"/>
      <c r="I1064" s="270"/>
      <c r="J1064" s="270"/>
      <c r="K1064" s="270"/>
    </row>
    <row r="1065" spans="1:11" x14ac:dyDescent="0.35">
      <c r="A1065" s="271" t="s">
        <v>317</v>
      </c>
      <c r="B1065" s="272"/>
      <c r="C1065" s="272"/>
      <c r="D1065" s="272"/>
      <c r="E1065" s="272"/>
      <c r="G1065" s="271" t="s">
        <v>317</v>
      </c>
      <c r="H1065" s="272"/>
      <c r="I1065" s="272"/>
      <c r="J1065" s="272"/>
      <c r="K1065" s="272"/>
    </row>
    <row r="1066" spans="1:11" x14ac:dyDescent="0.35">
      <c r="A1066" s="269" t="s">
        <v>311</v>
      </c>
      <c r="B1066" s="270"/>
      <c r="C1066" s="270"/>
      <c r="D1066" s="270"/>
      <c r="E1066" s="270"/>
      <c r="G1066" s="269" t="s">
        <v>311</v>
      </c>
      <c r="H1066" s="270"/>
      <c r="I1066" s="270"/>
      <c r="J1066" s="270"/>
      <c r="K1066" s="270"/>
    </row>
    <row r="1067" spans="1:11" x14ac:dyDescent="0.35">
      <c r="A1067" s="271" t="s">
        <v>312</v>
      </c>
      <c r="B1067" s="272">
        <v>2160</v>
      </c>
      <c r="C1067" s="272"/>
      <c r="D1067" s="272"/>
      <c r="E1067" s="272"/>
      <c r="G1067" s="271" t="s">
        <v>312</v>
      </c>
      <c r="H1067" s="272"/>
      <c r="I1067" s="272"/>
      <c r="J1067" s="272"/>
      <c r="K1067" s="272"/>
    </row>
    <row r="1068" spans="1:11" x14ac:dyDescent="0.35">
      <c r="A1068" s="231" t="s">
        <v>34</v>
      </c>
      <c r="B1068" s="230">
        <f>SUM(B1062:B1067)</f>
        <v>6378</v>
      </c>
      <c r="C1068" s="230">
        <f>SUM(C1062:C1067)</f>
        <v>0</v>
      </c>
      <c r="D1068" s="230">
        <f>SUM(D1062:D1067)</f>
        <v>0</v>
      </c>
      <c r="E1068" s="230">
        <f>SUM(E1062:E1067)</f>
        <v>0</v>
      </c>
      <c r="G1068" s="231" t="s">
        <v>34</v>
      </c>
      <c r="H1068" s="230">
        <f>SUM(H1062:H1067)</f>
        <v>1400</v>
      </c>
      <c r="I1068" s="230">
        <f>SUM(I1062:I1067)</f>
        <v>0</v>
      </c>
      <c r="J1068" s="230">
        <f>SUM(J1062:J1067)</f>
        <v>0</v>
      </c>
      <c r="K1068" s="230">
        <f>SUM(K1062:K1067)</f>
        <v>0</v>
      </c>
    </row>
    <row r="1069" spans="1:11" ht="15" thickBot="1" x14ac:dyDescent="0.4">
      <c r="A1069" s="231" t="s">
        <v>313</v>
      </c>
      <c r="B1069" s="230">
        <f>+B1068+C1068+D1068+E1068</f>
        <v>6378</v>
      </c>
      <c r="C1069" s="230"/>
      <c r="D1069" s="230"/>
      <c r="E1069" s="230"/>
      <c r="G1069" s="231" t="s">
        <v>313</v>
      </c>
      <c r="H1069" s="230">
        <f>+H1068+I1068+J1068+K1068</f>
        <v>1400</v>
      </c>
      <c r="I1069" s="230"/>
      <c r="J1069" s="230"/>
      <c r="K1069" s="230"/>
    </row>
    <row r="1070" spans="1:11" ht="15.5" thickTop="1" thickBot="1" x14ac:dyDescent="0.4">
      <c r="A1070" s="335" t="s">
        <v>298</v>
      </c>
      <c r="B1070" s="336"/>
      <c r="C1070" s="336"/>
      <c r="D1070" s="336"/>
      <c r="E1070" s="337"/>
      <c r="G1070" s="335" t="s">
        <v>298</v>
      </c>
      <c r="H1070" s="336"/>
      <c r="I1070" s="336"/>
      <c r="J1070" s="336"/>
      <c r="K1070" s="337"/>
    </row>
    <row r="1071" spans="1:11" ht="15.5" thickTop="1" thickBot="1" x14ac:dyDescent="0.4">
      <c r="A1071" s="338">
        <v>45389</v>
      </c>
      <c r="B1071" s="336"/>
      <c r="C1071" s="336"/>
      <c r="D1071" s="336"/>
      <c r="E1071" s="337"/>
      <c r="G1071" s="338">
        <v>45389</v>
      </c>
      <c r="H1071" s="336"/>
      <c r="I1071" s="336"/>
      <c r="J1071" s="336"/>
      <c r="K1071" s="337"/>
    </row>
    <row r="1072" spans="1:11" ht="15" thickTop="1" x14ac:dyDescent="0.35">
      <c r="A1072" s="267" t="s">
        <v>159</v>
      </c>
      <c r="B1072" s="267" t="s">
        <v>299</v>
      </c>
      <c r="C1072" s="267" t="s">
        <v>307</v>
      </c>
      <c r="D1072" s="267" t="s">
        <v>301</v>
      </c>
      <c r="E1072" s="268" t="s">
        <v>308</v>
      </c>
      <c r="G1072" s="267" t="s">
        <v>159</v>
      </c>
      <c r="H1072" s="267" t="s">
        <v>299</v>
      </c>
      <c r="I1072" s="267" t="s">
        <v>307</v>
      </c>
      <c r="J1072" s="267" t="s">
        <v>301</v>
      </c>
      <c r="K1072" s="268" t="s">
        <v>308</v>
      </c>
    </row>
    <row r="1073" spans="1:11" x14ac:dyDescent="0.35">
      <c r="A1073" s="269" t="s">
        <v>316</v>
      </c>
      <c r="B1073" s="270"/>
      <c r="C1073" s="270"/>
      <c r="D1073" s="270"/>
      <c r="E1073" s="270"/>
      <c r="G1073" s="269" t="s">
        <v>316</v>
      </c>
      <c r="H1073" s="270">
        <v>200</v>
      </c>
      <c r="I1073" s="270"/>
      <c r="J1073" s="270"/>
      <c r="K1073" s="270"/>
    </row>
    <row r="1074" spans="1:11" x14ac:dyDescent="0.35">
      <c r="A1074" s="271" t="s">
        <v>309</v>
      </c>
      <c r="B1074" s="272"/>
      <c r="C1074" s="272"/>
      <c r="D1074" s="272"/>
      <c r="E1074" s="272"/>
      <c r="G1074" s="271" t="s">
        <v>309</v>
      </c>
      <c r="H1074" s="272"/>
      <c r="I1074" s="272"/>
      <c r="J1074" s="272"/>
      <c r="K1074" s="272"/>
    </row>
    <row r="1075" spans="1:11" x14ac:dyDescent="0.35">
      <c r="A1075" s="269" t="s">
        <v>310</v>
      </c>
      <c r="B1075" s="270"/>
      <c r="C1075" s="270"/>
      <c r="D1075" s="270"/>
      <c r="E1075" s="270"/>
      <c r="G1075" s="269" t="s">
        <v>310</v>
      </c>
      <c r="H1075" s="270"/>
      <c r="I1075" s="270"/>
      <c r="J1075" s="270"/>
      <c r="K1075" s="270"/>
    </row>
    <row r="1076" spans="1:11" x14ac:dyDescent="0.35">
      <c r="A1076" s="271" t="s">
        <v>317</v>
      </c>
      <c r="B1076" s="272"/>
      <c r="C1076" s="272"/>
      <c r="D1076" s="272"/>
      <c r="E1076" s="272"/>
      <c r="G1076" s="271" t="s">
        <v>317</v>
      </c>
      <c r="H1076" s="272"/>
      <c r="I1076" s="272"/>
      <c r="J1076" s="272"/>
      <c r="K1076" s="272"/>
    </row>
    <row r="1077" spans="1:11" x14ac:dyDescent="0.35">
      <c r="A1077" s="269" t="s">
        <v>311</v>
      </c>
      <c r="B1077" s="270"/>
      <c r="C1077" s="270"/>
      <c r="D1077" s="270"/>
      <c r="E1077" s="270"/>
      <c r="G1077" s="269" t="s">
        <v>311</v>
      </c>
      <c r="H1077" s="270"/>
      <c r="I1077" s="270"/>
      <c r="J1077" s="270"/>
      <c r="K1077" s="270"/>
    </row>
    <row r="1078" spans="1:11" x14ac:dyDescent="0.35">
      <c r="A1078" s="271" t="s">
        <v>312</v>
      </c>
      <c r="B1078" s="272"/>
      <c r="C1078" s="272"/>
      <c r="D1078" s="272"/>
      <c r="E1078" s="272"/>
      <c r="G1078" s="271" t="s">
        <v>312</v>
      </c>
      <c r="H1078" s="272"/>
      <c r="I1078" s="272"/>
      <c r="J1078" s="272"/>
      <c r="K1078" s="272"/>
    </row>
    <row r="1079" spans="1:11" x14ac:dyDescent="0.35">
      <c r="A1079" s="231" t="s">
        <v>34</v>
      </c>
      <c r="B1079" s="230">
        <f>SUM(B1073:B1078)</f>
        <v>0</v>
      </c>
      <c r="C1079" s="230">
        <f>SUM(C1073:C1078)</f>
        <v>0</v>
      </c>
      <c r="D1079" s="230">
        <f>SUM(D1073:D1078)</f>
        <v>0</v>
      </c>
      <c r="E1079" s="230">
        <f>SUM(E1073:E1078)</f>
        <v>0</v>
      </c>
      <c r="G1079" s="231" t="s">
        <v>34</v>
      </c>
      <c r="H1079" s="230">
        <f>SUM(H1073:H1078)</f>
        <v>200</v>
      </c>
      <c r="I1079" s="230">
        <f>SUM(I1073:I1078)</f>
        <v>0</v>
      </c>
      <c r="J1079" s="230">
        <f>SUM(J1073:J1078)</f>
        <v>0</v>
      </c>
      <c r="K1079" s="230">
        <f>SUM(K1073:K1078)</f>
        <v>0</v>
      </c>
    </row>
    <row r="1080" spans="1:11" ht="15" thickBot="1" x14ac:dyDescent="0.4">
      <c r="A1080" s="231" t="s">
        <v>313</v>
      </c>
      <c r="B1080" s="230">
        <f>+B1079+C1079+D1079+E1079</f>
        <v>0</v>
      </c>
      <c r="C1080" s="230"/>
      <c r="D1080" s="230"/>
      <c r="E1080" s="230"/>
      <c r="G1080" s="231" t="s">
        <v>313</v>
      </c>
      <c r="H1080" s="230">
        <f>+H1079+I1079+J1079+K1079</f>
        <v>200</v>
      </c>
      <c r="I1080" s="230"/>
      <c r="J1080" s="230"/>
      <c r="K1080" s="230"/>
    </row>
    <row r="1081" spans="1:11" ht="15.5" thickTop="1" thickBot="1" x14ac:dyDescent="0.4">
      <c r="A1081" s="335" t="s">
        <v>298</v>
      </c>
      <c r="B1081" s="336"/>
      <c r="C1081" s="336"/>
      <c r="D1081" s="336"/>
      <c r="E1081" s="337"/>
      <c r="G1081" s="335" t="s">
        <v>298</v>
      </c>
      <c r="H1081" s="336"/>
      <c r="I1081" s="336"/>
      <c r="J1081" s="336"/>
      <c r="K1081" s="337"/>
    </row>
    <row r="1082" spans="1:11" ht="15.5" thickTop="1" thickBot="1" x14ac:dyDescent="0.4">
      <c r="A1082" s="338">
        <v>45390</v>
      </c>
      <c r="B1082" s="336"/>
      <c r="C1082" s="336"/>
      <c r="D1082" s="336"/>
      <c r="E1082" s="337"/>
      <c r="G1082" s="338">
        <v>45390</v>
      </c>
      <c r="H1082" s="336"/>
      <c r="I1082" s="336"/>
      <c r="J1082" s="336"/>
      <c r="K1082" s="337"/>
    </row>
    <row r="1083" spans="1:11" ht="15" thickTop="1" x14ac:dyDescent="0.35">
      <c r="A1083" s="267" t="s">
        <v>159</v>
      </c>
      <c r="B1083" s="267" t="s">
        <v>299</v>
      </c>
      <c r="C1083" s="267" t="s">
        <v>307</v>
      </c>
      <c r="D1083" s="267" t="s">
        <v>301</v>
      </c>
      <c r="E1083" s="268" t="s">
        <v>308</v>
      </c>
      <c r="G1083" s="267" t="s">
        <v>159</v>
      </c>
      <c r="H1083" s="267" t="s">
        <v>299</v>
      </c>
      <c r="I1083" s="267" t="s">
        <v>307</v>
      </c>
      <c r="J1083" s="267" t="s">
        <v>301</v>
      </c>
      <c r="K1083" s="268" t="s">
        <v>308</v>
      </c>
    </row>
    <row r="1084" spans="1:11" x14ac:dyDescent="0.35">
      <c r="A1084" s="269" t="s">
        <v>316</v>
      </c>
      <c r="B1084" s="270"/>
      <c r="C1084" s="270"/>
      <c r="D1084" s="270"/>
      <c r="E1084" s="270"/>
      <c r="G1084" s="269" t="s">
        <v>316</v>
      </c>
      <c r="H1084" s="270"/>
      <c r="I1084" s="270"/>
      <c r="J1084" s="270"/>
      <c r="K1084" s="270"/>
    </row>
    <row r="1085" spans="1:11" x14ac:dyDescent="0.35">
      <c r="A1085" s="271" t="s">
        <v>506</v>
      </c>
      <c r="B1085" s="272" t="s">
        <v>157</v>
      </c>
      <c r="C1085" s="272"/>
      <c r="D1085" s="272"/>
      <c r="E1085" s="272"/>
      <c r="G1085" s="271" t="s">
        <v>309</v>
      </c>
      <c r="H1085" s="272"/>
      <c r="I1085" s="272"/>
      <c r="J1085" s="272"/>
      <c r="K1085" s="272"/>
    </row>
    <row r="1086" spans="1:11" x14ac:dyDescent="0.35">
      <c r="A1086" s="269" t="s">
        <v>310</v>
      </c>
      <c r="B1086" s="270">
        <v>5000</v>
      </c>
      <c r="C1086" s="270"/>
      <c r="D1086" s="270"/>
      <c r="E1086" s="270"/>
      <c r="G1086" s="269" t="s">
        <v>310</v>
      </c>
      <c r="H1086" s="270"/>
      <c r="I1086" s="270"/>
      <c r="J1086" s="270"/>
      <c r="K1086" s="270"/>
    </row>
    <row r="1087" spans="1:11" x14ac:dyDescent="0.35">
      <c r="A1087" s="271" t="s">
        <v>317</v>
      </c>
      <c r="B1087" s="272"/>
      <c r="C1087" s="272"/>
      <c r="D1087" s="272"/>
      <c r="E1087" s="272"/>
      <c r="G1087" s="271" t="s">
        <v>317</v>
      </c>
      <c r="H1087" s="272"/>
      <c r="I1087" s="272"/>
      <c r="J1087" s="272"/>
      <c r="K1087" s="272"/>
    </row>
    <row r="1088" spans="1:11" x14ac:dyDescent="0.35">
      <c r="A1088" s="269" t="s">
        <v>311</v>
      </c>
      <c r="B1088" s="270"/>
      <c r="C1088" s="270"/>
      <c r="D1088" s="270"/>
      <c r="E1088" s="270"/>
      <c r="G1088" s="269" t="s">
        <v>311</v>
      </c>
      <c r="H1088" s="270"/>
      <c r="I1088" s="270"/>
      <c r="J1088" s="270"/>
      <c r="K1088" s="270"/>
    </row>
    <row r="1089" spans="1:11" x14ac:dyDescent="0.35">
      <c r="A1089" s="271" t="s">
        <v>312</v>
      </c>
      <c r="B1089" s="272">
        <v>662</v>
      </c>
      <c r="C1089" s="272"/>
      <c r="D1089" s="272"/>
      <c r="E1089" s="272"/>
      <c r="G1089" s="271" t="s">
        <v>312</v>
      </c>
      <c r="H1089" s="272"/>
      <c r="I1089" s="272"/>
      <c r="J1089" s="272"/>
      <c r="K1089" s="272"/>
    </row>
    <row r="1090" spans="1:11" x14ac:dyDescent="0.35">
      <c r="A1090" s="231" t="s">
        <v>34</v>
      </c>
      <c r="B1090" s="230">
        <f>SUM(B1084:B1089)</f>
        <v>5662</v>
      </c>
      <c r="C1090" s="230">
        <f>SUM(C1084:C1089)</f>
        <v>0</v>
      </c>
      <c r="D1090" s="230">
        <f>SUM(D1084:D1089)</f>
        <v>0</v>
      </c>
      <c r="E1090" s="230">
        <f>SUM(E1084:E1089)</f>
        <v>0</v>
      </c>
      <c r="G1090" s="231" t="s">
        <v>34</v>
      </c>
      <c r="H1090" s="230">
        <f>SUM(H1084:H1089)</f>
        <v>0</v>
      </c>
      <c r="I1090" s="230">
        <f>SUM(I1084:I1089)</f>
        <v>0</v>
      </c>
      <c r="J1090" s="230">
        <f>SUM(J1084:J1089)</f>
        <v>0</v>
      </c>
      <c r="K1090" s="230">
        <f>SUM(K1084:K1089)</f>
        <v>0</v>
      </c>
    </row>
    <row r="1091" spans="1:11" ht="15" thickBot="1" x14ac:dyDescent="0.4">
      <c r="A1091" s="231" t="s">
        <v>313</v>
      </c>
      <c r="B1091" s="230">
        <f>+B1090+C1090+D1090+E1090</f>
        <v>5662</v>
      </c>
      <c r="C1091" s="230"/>
      <c r="D1091" s="230"/>
      <c r="E1091" s="230"/>
      <c r="G1091" s="231" t="s">
        <v>313</v>
      </c>
      <c r="H1091" s="230">
        <f>+H1090+I1090+J1090+K1090</f>
        <v>0</v>
      </c>
      <c r="I1091" s="230"/>
      <c r="J1091" s="230"/>
      <c r="K1091" s="230"/>
    </row>
    <row r="1092" spans="1:11" ht="15.5" thickTop="1" thickBot="1" x14ac:dyDescent="0.4">
      <c r="A1092" s="335" t="s">
        <v>298</v>
      </c>
      <c r="B1092" s="336"/>
      <c r="C1092" s="336"/>
      <c r="D1092" s="336"/>
      <c r="E1092" s="337"/>
      <c r="G1092" s="335" t="s">
        <v>298</v>
      </c>
      <c r="H1092" s="336"/>
      <c r="I1092" s="336"/>
      <c r="J1092" s="336"/>
      <c r="K1092" s="337"/>
    </row>
    <row r="1093" spans="1:11" ht="15.5" thickTop="1" thickBot="1" x14ac:dyDescent="0.4">
      <c r="A1093" s="338">
        <v>45391</v>
      </c>
      <c r="B1093" s="336"/>
      <c r="C1093" s="336"/>
      <c r="D1093" s="336"/>
      <c r="E1093" s="337"/>
      <c r="G1093" s="338">
        <v>45391</v>
      </c>
      <c r="H1093" s="336"/>
      <c r="I1093" s="336"/>
      <c r="J1093" s="336"/>
      <c r="K1093" s="337"/>
    </row>
    <row r="1094" spans="1:11" ht="15" thickTop="1" x14ac:dyDescent="0.35">
      <c r="A1094" s="267" t="s">
        <v>159</v>
      </c>
      <c r="B1094" s="267" t="s">
        <v>299</v>
      </c>
      <c r="C1094" s="267" t="s">
        <v>307</v>
      </c>
      <c r="D1094" s="267" t="s">
        <v>301</v>
      </c>
      <c r="E1094" s="268" t="s">
        <v>308</v>
      </c>
      <c r="G1094" s="267" t="s">
        <v>159</v>
      </c>
      <c r="H1094" s="267" t="s">
        <v>299</v>
      </c>
      <c r="I1094" s="267" t="s">
        <v>307</v>
      </c>
      <c r="J1094" s="267" t="s">
        <v>301</v>
      </c>
      <c r="K1094" s="268" t="s">
        <v>308</v>
      </c>
    </row>
    <row r="1095" spans="1:11" x14ac:dyDescent="0.35">
      <c r="A1095" s="269" t="s">
        <v>367</v>
      </c>
      <c r="B1095" s="270">
        <v>29</v>
      </c>
      <c r="C1095" s="270"/>
      <c r="D1095" s="270"/>
      <c r="E1095" s="270"/>
      <c r="G1095" s="269" t="s">
        <v>367</v>
      </c>
      <c r="H1095" s="270">
        <v>60</v>
      </c>
      <c r="I1095" s="270"/>
      <c r="J1095" s="270"/>
      <c r="K1095" s="270"/>
    </row>
    <row r="1096" spans="1:11" x14ac:dyDescent="0.35">
      <c r="A1096" s="271" t="s">
        <v>309</v>
      </c>
      <c r="B1096" s="272"/>
      <c r="C1096" s="272"/>
      <c r="D1096" s="272"/>
      <c r="E1096" s="272"/>
      <c r="G1096" s="271" t="s">
        <v>309</v>
      </c>
      <c r="H1096" s="272"/>
      <c r="I1096" s="272"/>
      <c r="J1096" s="272"/>
      <c r="K1096" s="272"/>
    </row>
    <row r="1097" spans="1:11" x14ac:dyDescent="0.35">
      <c r="A1097" s="269" t="s">
        <v>310</v>
      </c>
      <c r="B1097" s="270"/>
      <c r="C1097" s="270"/>
      <c r="D1097" s="270"/>
      <c r="E1097" s="270"/>
      <c r="G1097" s="269" t="s">
        <v>310</v>
      </c>
      <c r="H1097" s="270"/>
      <c r="I1097" s="270"/>
      <c r="J1097" s="270"/>
      <c r="K1097" s="270"/>
    </row>
    <row r="1098" spans="1:11" x14ac:dyDescent="0.35">
      <c r="A1098" s="271" t="s">
        <v>317</v>
      </c>
      <c r="B1098" s="272"/>
      <c r="C1098" s="272"/>
      <c r="D1098" s="272"/>
      <c r="E1098" s="272"/>
      <c r="G1098" s="271" t="s">
        <v>317</v>
      </c>
      <c r="H1098" s="272"/>
      <c r="I1098" s="272"/>
      <c r="J1098" s="272"/>
      <c r="K1098" s="272"/>
    </row>
    <row r="1099" spans="1:11" x14ac:dyDescent="0.35">
      <c r="A1099" s="269" t="s">
        <v>311</v>
      </c>
      <c r="B1099" s="270"/>
      <c r="C1099" s="270"/>
      <c r="D1099" s="270"/>
      <c r="E1099" s="270"/>
      <c r="G1099" s="269" t="s">
        <v>311</v>
      </c>
      <c r="H1099" s="270"/>
      <c r="I1099" s="270"/>
      <c r="J1099" s="270"/>
      <c r="K1099" s="270"/>
    </row>
    <row r="1100" spans="1:11" x14ac:dyDescent="0.35">
      <c r="A1100" s="271" t="s">
        <v>312</v>
      </c>
      <c r="B1100" s="272">
        <v>1150</v>
      </c>
      <c r="C1100" s="272"/>
      <c r="D1100" s="272"/>
      <c r="E1100" s="272"/>
      <c r="G1100" s="271" t="s">
        <v>312</v>
      </c>
      <c r="H1100" s="272"/>
      <c r="I1100" s="272"/>
      <c r="J1100" s="272"/>
      <c r="K1100" s="272"/>
    </row>
    <row r="1101" spans="1:11" x14ac:dyDescent="0.35">
      <c r="A1101" s="231" t="s">
        <v>34</v>
      </c>
      <c r="B1101" s="230">
        <f>SUM(B1095:B1100)</f>
        <v>1179</v>
      </c>
      <c r="C1101" s="230">
        <f>SUM(C1095:C1100)</f>
        <v>0</v>
      </c>
      <c r="D1101" s="230">
        <f>SUM(D1095:D1100)</f>
        <v>0</v>
      </c>
      <c r="E1101" s="230">
        <f>SUM(E1095:E1100)</f>
        <v>0</v>
      </c>
      <c r="G1101" s="231" t="s">
        <v>34</v>
      </c>
      <c r="H1101" s="230">
        <f>SUM(H1095:H1100)</f>
        <v>60</v>
      </c>
      <c r="I1101" s="230">
        <f>SUM(I1095:I1100)</f>
        <v>0</v>
      </c>
      <c r="J1101" s="230">
        <f>SUM(J1095:J1100)</f>
        <v>0</v>
      </c>
      <c r="K1101" s="230">
        <f>SUM(K1095:K1100)</f>
        <v>0</v>
      </c>
    </row>
    <row r="1102" spans="1:11" ht="15" thickBot="1" x14ac:dyDescent="0.4">
      <c r="A1102" s="231" t="s">
        <v>313</v>
      </c>
      <c r="B1102" s="230">
        <f>+B1101+C1101+D1101+E1101</f>
        <v>1179</v>
      </c>
      <c r="C1102" s="230"/>
      <c r="D1102" s="230"/>
      <c r="E1102" s="230"/>
      <c r="G1102" s="231" t="s">
        <v>313</v>
      </c>
      <c r="H1102" s="230">
        <f>+H1101+I1101+J1101+K1101</f>
        <v>60</v>
      </c>
      <c r="I1102" s="230"/>
      <c r="J1102" s="230"/>
      <c r="K1102" s="230"/>
    </row>
    <row r="1103" spans="1:11" ht="15.5" thickTop="1" thickBot="1" x14ac:dyDescent="0.4">
      <c r="A1103" s="335" t="s">
        <v>298</v>
      </c>
      <c r="B1103" s="336"/>
      <c r="C1103" s="336"/>
      <c r="D1103" s="336"/>
      <c r="E1103" s="337"/>
      <c r="G1103" s="335" t="s">
        <v>298</v>
      </c>
      <c r="H1103" s="336"/>
      <c r="I1103" s="336"/>
      <c r="J1103" s="336"/>
      <c r="K1103" s="337"/>
    </row>
    <row r="1104" spans="1:11" ht="15.5" thickTop="1" thickBot="1" x14ac:dyDescent="0.4">
      <c r="A1104" s="338">
        <v>45392</v>
      </c>
      <c r="B1104" s="336"/>
      <c r="C1104" s="336"/>
      <c r="D1104" s="336"/>
      <c r="E1104" s="337"/>
      <c r="G1104" s="338">
        <v>45392</v>
      </c>
      <c r="H1104" s="336"/>
      <c r="I1104" s="336"/>
      <c r="J1104" s="336"/>
      <c r="K1104" s="337"/>
    </row>
    <row r="1105" spans="1:11" ht="15" thickTop="1" x14ac:dyDescent="0.35">
      <c r="A1105" s="267" t="s">
        <v>159</v>
      </c>
      <c r="B1105" s="267" t="s">
        <v>299</v>
      </c>
      <c r="C1105" s="267" t="s">
        <v>307</v>
      </c>
      <c r="D1105" s="267" t="s">
        <v>301</v>
      </c>
      <c r="E1105" s="268" t="s">
        <v>308</v>
      </c>
      <c r="G1105" s="267" t="s">
        <v>159</v>
      </c>
      <c r="H1105" s="267" t="s">
        <v>299</v>
      </c>
      <c r="I1105" s="267" t="s">
        <v>307</v>
      </c>
      <c r="J1105" s="267" t="s">
        <v>301</v>
      </c>
      <c r="K1105" s="268" t="s">
        <v>308</v>
      </c>
    </row>
    <row r="1106" spans="1:11" x14ac:dyDescent="0.35">
      <c r="A1106" s="269" t="s">
        <v>316</v>
      </c>
      <c r="B1106" s="270">
        <v>75</v>
      </c>
      <c r="C1106" s="270"/>
      <c r="D1106" s="270"/>
      <c r="E1106" s="270"/>
      <c r="G1106" s="269" t="s">
        <v>316</v>
      </c>
      <c r="H1106" s="270"/>
      <c r="I1106" s="270"/>
      <c r="J1106" s="270"/>
      <c r="K1106" s="270"/>
    </row>
    <row r="1107" spans="1:11" x14ac:dyDescent="0.35">
      <c r="A1107" s="271" t="s">
        <v>309</v>
      </c>
      <c r="B1107" s="272"/>
      <c r="C1107" s="272"/>
      <c r="D1107" s="272"/>
      <c r="E1107" s="272"/>
      <c r="G1107" s="271" t="s">
        <v>309</v>
      </c>
      <c r="H1107" s="272"/>
      <c r="I1107" s="272"/>
      <c r="J1107" s="272"/>
      <c r="K1107" s="272"/>
    </row>
    <row r="1108" spans="1:11" x14ac:dyDescent="0.35">
      <c r="A1108" s="269" t="s">
        <v>310</v>
      </c>
      <c r="B1108" s="270">
        <v>1130</v>
      </c>
      <c r="C1108" s="270"/>
      <c r="D1108" s="270"/>
      <c r="E1108" s="270"/>
      <c r="G1108" s="269" t="s">
        <v>310</v>
      </c>
      <c r="H1108" s="270"/>
      <c r="I1108" s="270"/>
      <c r="J1108" s="270"/>
      <c r="K1108" s="270"/>
    </row>
    <row r="1109" spans="1:11" x14ac:dyDescent="0.35">
      <c r="A1109" s="271" t="s">
        <v>317</v>
      </c>
      <c r="B1109" s="272"/>
      <c r="C1109" s="272"/>
      <c r="D1109" s="272"/>
      <c r="E1109" s="272"/>
      <c r="G1109" s="271" t="s">
        <v>317</v>
      </c>
      <c r="H1109" s="272"/>
      <c r="I1109" s="272"/>
      <c r="J1109" s="272"/>
      <c r="K1109" s="272"/>
    </row>
    <row r="1110" spans="1:11" x14ac:dyDescent="0.35">
      <c r="A1110" s="269" t="s">
        <v>311</v>
      </c>
      <c r="B1110" s="270"/>
      <c r="C1110" s="270"/>
      <c r="D1110" s="270"/>
      <c r="E1110" s="270"/>
      <c r="G1110" s="269" t="s">
        <v>311</v>
      </c>
      <c r="H1110" s="270"/>
      <c r="I1110" s="270"/>
      <c r="J1110" s="270"/>
      <c r="K1110" s="270"/>
    </row>
    <row r="1111" spans="1:11" x14ac:dyDescent="0.35">
      <c r="A1111" s="271" t="s">
        <v>312</v>
      </c>
      <c r="B1111" s="272">
        <v>700</v>
      </c>
      <c r="C1111" s="272"/>
      <c r="D1111" s="272"/>
      <c r="E1111" s="272"/>
      <c r="G1111" s="271" t="s">
        <v>312</v>
      </c>
      <c r="H1111" s="272"/>
      <c r="I1111" s="272"/>
      <c r="J1111" s="272"/>
      <c r="K1111" s="272"/>
    </row>
    <row r="1112" spans="1:11" x14ac:dyDescent="0.35">
      <c r="A1112" s="231" t="s">
        <v>34</v>
      </c>
      <c r="B1112" s="230">
        <f>SUM(B1106:B1111)</f>
        <v>1905</v>
      </c>
      <c r="C1112" s="230">
        <f>SUM(C1106:C1111)</f>
        <v>0</v>
      </c>
      <c r="D1112" s="230">
        <f>SUM(D1106:D1111)</f>
        <v>0</v>
      </c>
      <c r="E1112" s="230">
        <f>SUM(E1106:E1111)</f>
        <v>0</v>
      </c>
      <c r="G1112" s="231" t="s">
        <v>34</v>
      </c>
      <c r="H1112" s="230">
        <f>SUM(H1106:H1111)</f>
        <v>0</v>
      </c>
      <c r="I1112" s="230">
        <f>SUM(I1106:I1111)</f>
        <v>0</v>
      </c>
      <c r="J1112" s="230">
        <f>SUM(J1106:J1111)</f>
        <v>0</v>
      </c>
      <c r="K1112" s="230">
        <f>SUM(K1106:K1111)</f>
        <v>0</v>
      </c>
    </row>
    <row r="1113" spans="1:11" ht="15" thickBot="1" x14ac:dyDescent="0.4">
      <c r="A1113" s="231" t="s">
        <v>313</v>
      </c>
      <c r="B1113" s="230">
        <f>+B1112+C1112+D1112+E1112</f>
        <v>1905</v>
      </c>
      <c r="C1113" s="230"/>
      <c r="D1113" s="230"/>
      <c r="E1113" s="230"/>
      <c r="G1113" s="231" t="s">
        <v>313</v>
      </c>
      <c r="H1113" s="230">
        <f>+H1112+I1112+J1112+K1112</f>
        <v>0</v>
      </c>
      <c r="I1113" s="230"/>
      <c r="J1113" s="230"/>
      <c r="K1113" s="230"/>
    </row>
    <row r="1114" spans="1:11" ht="15.5" thickTop="1" thickBot="1" x14ac:dyDescent="0.4">
      <c r="A1114" s="335" t="s">
        <v>298</v>
      </c>
      <c r="B1114" s="336"/>
      <c r="C1114" s="336"/>
      <c r="D1114" s="336"/>
      <c r="E1114" s="337"/>
      <c r="G1114" s="335" t="s">
        <v>298</v>
      </c>
      <c r="H1114" s="336"/>
      <c r="I1114" s="336"/>
      <c r="J1114" s="336"/>
      <c r="K1114" s="337"/>
    </row>
    <row r="1115" spans="1:11" ht="15.5" thickTop="1" thickBot="1" x14ac:dyDescent="0.4">
      <c r="A1115" s="338">
        <v>45393</v>
      </c>
      <c r="B1115" s="336"/>
      <c r="C1115" s="336"/>
      <c r="D1115" s="336"/>
      <c r="E1115" s="337"/>
      <c r="G1115" s="338">
        <v>45393</v>
      </c>
      <c r="H1115" s="336"/>
      <c r="I1115" s="336"/>
      <c r="J1115" s="336"/>
      <c r="K1115" s="337"/>
    </row>
    <row r="1116" spans="1:11" ht="15" thickTop="1" x14ac:dyDescent="0.35">
      <c r="A1116" s="267" t="s">
        <v>159</v>
      </c>
      <c r="B1116" s="267" t="s">
        <v>299</v>
      </c>
      <c r="C1116" s="267" t="s">
        <v>307</v>
      </c>
      <c r="D1116" s="267" t="s">
        <v>301</v>
      </c>
      <c r="E1116" s="268" t="s">
        <v>308</v>
      </c>
      <c r="G1116" s="267" t="s">
        <v>159</v>
      </c>
      <c r="H1116" s="267" t="s">
        <v>299</v>
      </c>
      <c r="I1116" s="267" t="s">
        <v>307</v>
      </c>
      <c r="J1116" s="267" t="s">
        <v>301</v>
      </c>
      <c r="K1116" s="268" t="s">
        <v>308</v>
      </c>
    </row>
    <row r="1117" spans="1:11" x14ac:dyDescent="0.35">
      <c r="A1117" s="269" t="s">
        <v>316</v>
      </c>
      <c r="B1117" s="270"/>
      <c r="C1117" s="270"/>
      <c r="D1117" s="270"/>
      <c r="E1117" s="270"/>
      <c r="G1117" s="269" t="s">
        <v>316</v>
      </c>
      <c r="H1117" s="270"/>
      <c r="I1117" s="270"/>
      <c r="J1117" s="270"/>
      <c r="K1117" s="270"/>
    </row>
    <row r="1118" spans="1:11" x14ac:dyDescent="0.35">
      <c r="A1118" s="271" t="s">
        <v>309</v>
      </c>
      <c r="B1118" s="272"/>
      <c r="C1118" s="272"/>
      <c r="D1118" s="272"/>
      <c r="E1118" s="272"/>
      <c r="G1118" s="271" t="s">
        <v>309</v>
      </c>
      <c r="H1118" s="272"/>
      <c r="I1118" s="272"/>
      <c r="J1118" s="272"/>
      <c r="K1118" s="272"/>
    </row>
    <row r="1119" spans="1:11" x14ac:dyDescent="0.35">
      <c r="A1119" s="269" t="s">
        <v>310</v>
      </c>
      <c r="B1119" s="270"/>
      <c r="C1119" s="270"/>
      <c r="D1119" s="270"/>
      <c r="E1119" s="270"/>
      <c r="G1119" s="269" t="s">
        <v>310</v>
      </c>
      <c r="H1119" s="270"/>
      <c r="I1119" s="270"/>
      <c r="J1119" s="270"/>
      <c r="K1119" s="270"/>
    </row>
    <row r="1120" spans="1:11" x14ac:dyDescent="0.35">
      <c r="A1120" s="271" t="s">
        <v>317</v>
      </c>
      <c r="B1120" s="272"/>
      <c r="C1120" s="272"/>
      <c r="D1120" s="272"/>
      <c r="E1120" s="272"/>
      <c r="G1120" s="271" t="s">
        <v>317</v>
      </c>
      <c r="H1120" s="272"/>
      <c r="I1120" s="272"/>
      <c r="J1120" s="272"/>
      <c r="K1120" s="272"/>
    </row>
    <row r="1121" spans="1:11" x14ac:dyDescent="0.35">
      <c r="A1121" s="269" t="s">
        <v>311</v>
      </c>
      <c r="B1121" s="270"/>
      <c r="C1121" s="270"/>
      <c r="D1121" s="270"/>
      <c r="E1121" s="270"/>
      <c r="G1121" s="269" t="s">
        <v>311</v>
      </c>
      <c r="H1121" s="270"/>
      <c r="I1121" s="270"/>
      <c r="J1121" s="270"/>
      <c r="K1121" s="270"/>
    </row>
    <row r="1122" spans="1:11" x14ac:dyDescent="0.35">
      <c r="A1122" s="271" t="s">
        <v>312</v>
      </c>
      <c r="B1122" s="272"/>
      <c r="C1122" s="272"/>
      <c r="D1122" s="272"/>
      <c r="E1122" s="272"/>
      <c r="G1122" s="271" t="s">
        <v>312</v>
      </c>
      <c r="H1122" s="272"/>
      <c r="I1122" s="272"/>
      <c r="J1122" s="272"/>
      <c r="K1122" s="272"/>
    </row>
    <row r="1123" spans="1:11" x14ac:dyDescent="0.35">
      <c r="A1123" s="231" t="s">
        <v>34</v>
      </c>
      <c r="B1123" s="230">
        <f>SUM(B1117:B1122)</f>
        <v>0</v>
      </c>
      <c r="C1123" s="230">
        <f>SUM(C1117:C1122)</f>
        <v>0</v>
      </c>
      <c r="D1123" s="230">
        <f>SUM(D1117:D1122)</f>
        <v>0</v>
      </c>
      <c r="E1123" s="230">
        <f>SUM(E1117:E1122)</f>
        <v>0</v>
      </c>
      <c r="G1123" s="231" t="s">
        <v>34</v>
      </c>
      <c r="H1123" s="230">
        <f>SUM(H1117:H1122)</f>
        <v>0</v>
      </c>
      <c r="I1123" s="230">
        <f>SUM(I1117:I1122)</f>
        <v>0</v>
      </c>
      <c r="J1123" s="230">
        <f>SUM(J1117:J1122)</f>
        <v>0</v>
      </c>
      <c r="K1123" s="230">
        <f>SUM(K1117:K1122)</f>
        <v>0</v>
      </c>
    </row>
    <row r="1124" spans="1:11" ht="15" thickBot="1" x14ac:dyDescent="0.4">
      <c r="A1124" s="231" t="s">
        <v>313</v>
      </c>
      <c r="B1124" s="230">
        <f>+B1123+C1123+D1123+E1123</f>
        <v>0</v>
      </c>
      <c r="C1124" s="230"/>
      <c r="D1124" s="230"/>
      <c r="E1124" s="230"/>
      <c r="G1124" s="231" t="s">
        <v>313</v>
      </c>
      <c r="H1124" s="230">
        <f>+H1123+I1123+J1123+K1123</f>
        <v>0</v>
      </c>
      <c r="I1124" s="230"/>
      <c r="J1124" s="230"/>
      <c r="K1124" s="230"/>
    </row>
    <row r="1125" spans="1:11" ht="15.5" thickTop="1" thickBot="1" x14ac:dyDescent="0.4">
      <c r="A1125" s="335" t="s">
        <v>298</v>
      </c>
      <c r="B1125" s="336"/>
      <c r="C1125" s="336"/>
      <c r="D1125" s="336"/>
      <c r="E1125" s="337"/>
      <c r="G1125" s="335" t="s">
        <v>298</v>
      </c>
      <c r="H1125" s="336"/>
      <c r="I1125" s="336"/>
      <c r="J1125" s="336"/>
      <c r="K1125" s="337"/>
    </row>
    <row r="1126" spans="1:11" ht="15.5" thickTop="1" thickBot="1" x14ac:dyDescent="0.4">
      <c r="A1126" s="338">
        <v>45394</v>
      </c>
      <c r="B1126" s="336"/>
      <c r="C1126" s="336"/>
      <c r="D1126" s="336"/>
      <c r="E1126" s="337"/>
      <c r="G1126" s="338">
        <v>45394</v>
      </c>
      <c r="H1126" s="336"/>
      <c r="I1126" s="336"/>
      <c r="J1126" s="336"/>
      <c r="K1126" s="337"/>
    </row>
    <row r="1127" spans="1:11" ht="15" thickTop="1" x14ac:dyDescent="0.35">
      <c r="A1127" s="267" t="s">
        <v>159</v>
      </c>
      <c r="B1127" s="267" t="s">
        <v>299</v>
      </c>
      <c r="C1127" s="267" t="s">
        <v>307</v>
      </c>
      <c r="D1127" s="267" t="s">
        <v>301</v>
      </c>
      <c r="E1127" s="268" t="s">
        <v>308</v>
      </c>
      <c r="G1127" s="267" t="s">
        <v>159</v>
      </c>
      <c r="H1127" s="267" t="s">
        <v>299</v>
      </c>
      <c r="I1127" s="267" t="s">
        <v>307</v>
      </c>
      <c r="J1127" s="267" t="s">
        <v>301</v>
      </c>
      <c r="K1127" s="268" t="s">
        <v>308</v>
      </c>
    </row>
    <row r="1128" spans="1:11" x14ac:dyDescent="0.35">
      <c r="A1128" s="269" t="s">
        <v>378</v>
      </c>
      <c r="B1128" s="270">
        <v>2200</v>
      </c>
      <c r="C1128" s="270"/>
      <c r="D1128" s="270"/>
      <c r="E1128" s="270"/>
      <c r="G1128" s="269" t="s">
        <v>316</v>
      </c>
      <c r="H1128" s="270">
        <v>75</v>
      </c>
      <c r="I1128" s="270"/>
      <c r="J1128" s="270"/>
      <c r="K1128" s="270"/>
    </row>
    <row r="1129" spans="1:11" x14ac:dyDescent="0.35">
      <c r="A1129" s="271" t="s">
        <v>309</v>
      </c>
      <c r="B1129" s="272"/>
      <c r="C1129" s="272"/>
      <c r="D1129" s="272"/>
      <c r="E1129" s="272"/>
      <c r="G1129" s="271" t="s">
        <v>309</v>
      </c>
      <c r="H1129" s="272"/>
      <c r="I1129" s="272"/>
      <c r="J1129" s="272"/>
      <c r="K1129" s="272"/>
    </row>
    <row r="1130" spans="1:11" x14ac:dyDescent="0.35">
      <c r="A1130" s="269" t="s">
        <v>310</v>
      </c>
      <c r="B1130" s="270"/>
      <c r="C1130" s="270"/>
      <c r="D1130" s="270"/>
      <c r="E1130" s="270"/>
      <c r="G1130" s="269" t="s">
        <v>310</v>
      </c>
      <c r="H1130" s="270"/>
      <c r="I1130" s="270"/>
      <c r="J1130" s="270"/>
      <c r="K1130" s="270"/>
    </row>
    <row r="1131" spans="1:11" x14ac:dyDescent="0.35">
      <c r="A1131" s="271" t="s">
        <v>317</v>
      </c>
      <c r="B1131" s="272"/>
      <c r="C1131" s="272"/>
      <c r="D1131" s="272"/>
      <c r="E1131" s="272"/>
      <c r="G1131" s="271" t="s">
        <v>317</v>
      </c>
      <c r="H1131" s="272"/>
      <c r="I1131" s="272"/>
      <c r="J1131" s="272"/>
      <c r="K1131" s="272"/>
    </row>
    <row r="1132" spans="1:11" x14ac:dyDescent="0.35">
      <c r="A1132" s="269" t="s">
        <v>311</v>
      </c>
      <c r="B1132" s="270"/>
      <c r="C1132" s="270"/>
      <c r="D1132" s="270"/>
      <c r="E1132" s="270"/>
      <c r="G1132" s="269" t="s">
        <v>311</v>
      </c>
      <c r="H1132" s="270"/>
      <c r="I1132" s="270"/>
      <c r="J1132" s="270"/>
      <c r="K1132" s="270"/>
    </row>
    <row r="1133" spans="1:11" x14ac:dyDescent="0.35">
      <c r="A1133" s="271" t="s">
        <v>312</v>
      </c>
      <c r="B1133" s="272">
        <v>3120</v>
      </c>
      <c r="C1133" s="272"/>
      <c r="D1133" s="272"/>
      <c r="E1133" s="272"/>
      <c r="G1133" s="271" t="s">
        <v>312</v>
      </c>
      <c r="H1133" s="272"/>
      <c r="I1133" s="272"/>
      <c r="J1133" s="272"/>
      <c r="K1133" s="272"/>
    </row>
    <row r="1134" spans="1:11" x14ac:dyDescent="0.35">
      <c r="A1134" s="231" t="s">
        <v>34</v>
      </c>
      <c r="B1134" s="230">
        <f>SUM(B1128:B1133)</f>
        <v>5320</v>
      </c>
      <c r="C1134" s="230">
        <f>SUM(C1128:C1133)</f>
        <v>0</v>
      </c>
      <c r="D1134" s="230">
        <f>SUM(D1128:D1133)</f>
        <v>0</v>
      </c>
      <c r="E1134" s="230">
        <f>SUM(E1128:E1133)</f>
        <v>0</v>
      </c>
      <c r="G1134" s="231" t="s">
        <v>34</v>
      </c>
      <c r="H1134" s="230">
        <f>SUM(H1128:H1133)</f>
        <v>75</v>
      </c>
      <c r="I1134" s="230">
        <f>SUM(I1128:I1133)</f>
        <v>0</v>
      </c>
      <c r="J1134" s="230">
        <f>SUM(J1128:J1133)</f>
        <v>0</v>
      </c>
      <c r="K1134" s="230">
        <f>SUM(K1128:K1133)</f>
        <v>0</v>
      </c>
    </row>
    <row r="1135" spans="1:11" ht="15" thickBot="1" x14ac:dyDescent="0.4">
      <c r="A1135" s="231" t="s">
        <v>313</v>
      </c>
      <c r="B1135" s="230">
        <f>+B1134+C1134+D1134+E1134</f>
        <v>5320</v>
      </c>
      <c r="C1135" s="230"/>
      <c r="D1135" s="230"/>
      <c r="E1135" s="230"/>
      <c r="G1135" s="231" t="s">
        <v>313</v>
      </c>
      <c r="H1135" s="230">
        <f>+H1134+I1134+J1134+K1134</f>
        <v>75</v>
      </c>
      <c r="I1135" s="230"/>
      <c r="J1135" s="230"/>
      <c r="K1135" s="230"/>
    </row>
    <row r="1136" spans="1:11" ht="15.5" thickTop="1" thickBot="1" x14ac:dyDescent="0.4">
      <c r="A1136" s="335" t="s">
        <v>298</v>
      </c>
      <c r="B1136" s="336"/>
      <c r="C1136" s="336"/>
      <c r="D1136" s="336"/>
      <c r="E1136" s="337"/>
      <c r="G1136" s="335" t="s">
        <v>298</v>
      </c>
      <c r="H1136" s="336"/>
      <c r="I1136" s="336"/>
      <c r="J1136" s="336"/>
      <c r="K1136" s="337"/>
    </row>
    <row r="1137" spans="1:11" ht="15.5" thickTop="1" thickBot="1" x14ac:dyDescent="0.4">
      <c r="A1137" s="338">
        <v>45395</v>
      </c>
      <c r="B1137" s="336"/>
      <c r="C1137" s="336"/>
      <c r="D1137" s="336"/>
      <c r="E1137" s="337"/>
      <c r="G1137" s="338">
        <v>45395</v>
      </c>
      <c r="H1137" s="336"/>
      <c r="I1137" s="336"/>
      <c r="J1137" s="336"/>
      <c r="K1137" s="337"/>
    </row>
    <row r="1138" spans="1:11" ht="15" thickTop="1" x14ac:dyDescent="0.35">
      <c r="A1138" s="267" t="s">
        <v>159</v>
      </c>
      <c r="B1138" s="267" t="s">
        <v>299</v>
      </c>
      <c r="C1138" s="267" t="s">
        <v>307</v>
      </c>
      <c r="D1138" s="267" t="s">
        <v>301</v>
      </c>
      <c r="E1138" s="268" t="s">
        <v>308</v>
      </c>
      <c r="G1138" s="267" t="s">
        <v>159</v>
      </c>
      <c r="H1138" s="267" t="s">
        <v>299</v>
      </c>
      <c r="I1138" s="267" t="s">
        <v>307</v>
      </c>
      <c r="J1138" s="267" t="s">
        <v>301</v>
      </c>
      <c r="K1138" s="268" t="s">
        <v>308</v>
      </c>
    </row>
    <row r="1139" spans="1:11" x14ac:dyDescent="0.35">
      <c r="A1139" s="269" t="s">
        <v>316</v>
      </c>
      <c r="B1139" s="270"/>
      <c r="C1139" s="270"/>
      <c r="D1139" s="270"/>
      <c r="E1139" s="270"/>
      <c r="G1139" s="269" t="s">
        <v>316</v>
      </c>
      <c r="H1139" s="270"/>
      <c r="I1139" s="270"/>
      <c r="J1139" s="270"/>
      <c r="K1139" s="270"/>
    </row>
    <row r="1140" spans="1:11" x14ac:dyDescent="0.35">
      <c r="A1140" s="271" t="s">
        <v>309</v>
      </c>
      <c r="B1140" s="272"/>
      <c r="C1140" s="272"/>
      <c r="D1140" s="272"/>
      <c r="E1140" s="272"/>
      <c r="G1140" s="271" t="s">
        <v>309</v>
      </c>
      <c r="H1140" s="272"/>
      <c r="I1140" s="272"/>
      <c r="J1140" s="272"/>
      <c r="K1140" s="272"/>
    </row>
    <row r="1141" spans="1:11" x14ac:dyDescent="0.35">
      <c r="A1141" s="269" t="s">
        <v>310</v>
      </c>
      <c r="B1141" s="270"/>
      <c r="C1141" s="270"/>
      <c r="D1141" s="270"/>
      <c r="E1141" s="270"/>
      <c r="G1141" s="269" t="s">
        <v>310</v>
      </c>
      <c r="H1141" s="270"/>
      <c r="I1141" s="270"/>
      <c r="J1141" s="270"/>
      <c r="K1141" s="270"/>
    </row>
    <row r="1142" spans="1:11" x14ac:dyDescent="0.35">
      <c r="A1142" s="271" t="s">
        <v>317</v>
      </c>
      <c r="B1142" s="272"/>
      <c r="C1142" s="272"/>
      <c r="D1142" s="272"/>
      <c r="E1142" s="272"/>
      <c r="G1142" s="271" t="s">
        <v>317</v>
      </c>
      <c r="H1142" s="272"/>
      <c r="I1142" s="272"/>
      <c r="J1142" s="272"/>
      <c r="K1142" s="272"/>
    </row>
    <row r="1143" spans="1:11" x14ac:dyDescent="0.35">
      <c r="A1143" s="269" t="s">
        <v>311</v>
      </c>
      <c r="B1143" s="270"/>
      <c r="C1143" s="270"/>
      <c r="D1143" s="270"/>
      <c r="E1143" s="270"/>
      <c r="G1143" s="269" t="s">
        <v>311</v>
      </c>
      <c r="H1143" s="270"/>
      <c r="I1143" s="270"/>
      <c r="J1143" s="270"/>
      <c r="K1143" s="270"/>
    </row>
    <row r="1144" spans="1:11" x14ac:dyDescent="0.35">
      <c r="A1144" s="271" t="s">
        <v>312</v>
      </c>
      <c r="B1144" s="272"/>
      <c r="C1144" s="272"/>
      <c r="D1144" s="272"/>
      <c r="E1144" s="272"/>
      <c r="G1144" s="271" t="s">
        <v>312</v>
      </c>
      <c r="H1144" s="272"/>
      <c r="I1144" s="272"/>
      <c r="J1144" s="272"/>
      <c r="K1144" s="272"/>
    </row>
    <row r="1145" spans="1:11" x14ac:dyDescent="0.35">
      <c r="A1145" s="231" t="s">
        <v>34</v>
      </c>
      <c r="B1145" s="230">
        <f>SUM(B1139:B1144)</f>
        <v>0</v>
      </c>
      <c r="C1145" s="230">
        <f>SUM(C1139:C1144)</f>
        <v>0</v>
      </c>
      <c r="D1145" s="230">
        <f>SUM(D1139:D1144)</f>
        <v>0</v>
      </c>
      <c r="E1145" s="230">
        <f>SUM(E1139:E1144)</f>
        <v>0</v>
      </c>
      <c r="G1145" s="231" t="s">
        <v>34</v>
      </c>
      <c r="H1145" s="230">
        <f>SUM(H1139:H1144)</f>
        <v>0</v>
      </c>
      <c r="I1145" s="230">
        <f>SUM(I1139:I1144)</f>
        <v>0</v>
      </c>
      <c r="J1145" s="230">
        <f>SUM(J1139:J1144)</f>
        <v>0</v>
      </c>
      <c r="K1145" s="230">
        <f>SUM(K1139:K1144)</f>
        <v>0</v>
      </c>
    </row>
    <row r="1146" spans="1:11" ht="15" thickBot="1" x14ac:dyDescent="0.4">
      <c r="A1146" s="231" t="s">
        <v>313</v>
      </c>
      <c r="B1146" s="230">
        <f>+B1145+C1145+D1145+E1145</f>
        <v>0</v>
      </c>
      <c r="C1146" s="230"/>
      <c r="D1146" s="230"/>
      <c r="E1146" s="230"/>
      <c r="G1146" s="231" t="s">
        <v>313</v>
      </c>
      <c r="H1146" s="230">
        <f>+H1145+I1145+J1145+K1145</f>
        <v>0</v>
      </c>
      <c r="I1146" s="230"/>
      <c r="J1146" s="230"/>
      <c r="K1146" s="230"/>
    </row>
    <row r="1147" spans="1:11" ht="15.5" thickTop="1" thickBot="1" x14ac:dyDescent="0.4">
      <c r="A1147" s="335" t="s">
        <v>298</v>
      </c>
      <c r="B1147" s="336"/>
      <c r="C1147" s="336"/>
      <c r="D1147" s="336"/>
      <c r="E1147" s="337"/>
      <c r="G1147" s="335" t="s">
        <v>298</v>
      </c>
      <c r="H1147" s="336"/>
      <c r="I1147" s="336"/>
      <c r="J1147" s="336"/>
      <c r="K1147" s="337"/>
    </row>
    <row r="1148" spans="1:11" ht="15.5" thickTop="1" thickBot="1" x14ac:dyDescent="0.4">
      <c r="A1148" s="338">
        <v>45396</v>
      </c>
      <c r="B1148" s="336"/>
      <c r="C1148" s="336"/>
      <c r="D1148" s="336"/>
      <c r="E1148" s="337"/>
      <c r="G1148" s="338">
        <v>45396</v>
      </c>
      <c r="H1148" s="336"/>
      <c r="I1148" s="336"/>
      <c r="J1148" s="336"/>
      <c r="K1148" s="337"/>
    </row>
    <row r="1149" spans="1:11" ht="15" thickTop="1" x14ac:dyDescent="0.35">
      <c r="A1149" s="267" t="s">
        <v>159</v>
      </c>
      <c r="B1149" s="267" t="s">
        <v>299</v>
      </c>
      <c r="C1149" s="267" t="s">
        <v>307</v>
      </c>
      <c r="D1149" s="267" t="s">
        <v>301</v>
      </c>
      <c r="E1149" s="268" t="s">
        <v>308</v>
      </c>
      <c r="G1149" s="267" t="s">
        <v>159</v>
      </c>
      <c r="H1149" s="267" t="s">
        <v>299</v>
      </c>
      <c r="I1149" s="267" t="s">
        <v>307</v>
      </c>
      <c r="J1149" s="267" t="s">
        <v>301</v>
      </c>
      <c r="K1149" s="268" t="s">
        <v>308</v>
      </c>
    </row>
    <row r="1150" spans="1:11" x14ac:dyDescent="0.35">
      <c r="A1150" s="269" t="s">
        <v>379</v>
      </c>
      <c r="B1150" s="270">
        <v>2500</v>
      </c>
      <c r="C1150" s="270"/>
      <c r="D1150" s="270"/>
      <c r="E1150" s="270"/>
      <c r="G1150" s="269" t="s">
        <v>379</v>
      </c>
      <c r="H1150" s="270">
        <v>1400</v>
      </c>
      <c r="I1150" s="270"/>
      <c r="J1150" s="270"/>
      <c r="K1150" s="270"/>
    </row>
    <row r="1151" spans="1:11" x14ac:dyDescent="0.35">
      <c r="A1151" s="271" t="s">
        <v>379</v>
      </c>
      <c r="B1151" s="272">
        <v>1417</v>
      </c>
      <c r="C1151" s="272"/>
      <c r="D1151" s="272"/>
      <c r="E1151" s="272"/>
      <c r="G1151" s="271" t="s">
        <v>309</v>
      </c>
      <c r="H1151" s="272"/>
      <c r="I1151" s="272"/>
      <c r="J1151" s="272"/>
      <c r="K1151" s="272"/>
    </row>
    <row r="1152" spans="1:11" x14ac:dyDescent="0.35">
      <c r="A1152" s="269" t="s">
        <v>366</v>
      </c>
      <c r="B1152" s="270">
        <v>150</v>
      </c>
      <c r="C1152" s="270"/>
      <c r="D1152" s="270"/>
      <c r="E1152" s="270"/>
      <c r="G1152" s="269" t="s">
        <v>310</v>
      </c>
      <c r="H1152" s="270"/>
      <c r="I1152" s="270"/>
      <c r="J1152" s="270"/>
      <c r="K1152" s="270"/>
    </row>
    <row r="1153" spans="1:11" x14ac:dyDescent="0.35">
      <c r="A1153" s="271" t="s">
        <v>317</v>
      </c>
      <c r="B1153" s="272"/>
      <c r="C1153" s="272"/>
      <c r="D1153" s="272"/>
      <c r="E1153" s="272"/>
      <c r="G1153" s="271" t="s">
        <v>317</v>
      </c>
      <c r="H1153" s="272"/>
      <c r="I1153" s="272"/>
      <c r="J1153" s="272"/>
      <c r="K1153" s="272"/>
    </row>
    <row r="1154" spans="1:11" x14ac:dyDescent="0.35">
      <c r="A1154" s="269" t="s">
        <v>311</v>
      </c>
      <c r="B1154" s="270"/>
      <c r="C1154" s="270"/>
      <c r="D1154" s="270"/>
      <c r="E1154" s="270"/>
      <c r="G1154" s="269" t="s">
        <v>311</v>
      </c>
      <c r="H1154" s="270"/>
      <c r="I1154" s="270"/>
      <c r="J1154" s="270"/>
      <c r="K1154" s="270"/>
    </row>
    <row r="1155" spans="1:11" x14ac:dyDescent="0.35">
      <c r="A1155" s="271" t="s">
        <v>312</v>
      </c>
      <c r="B1155" s="272">
        <v>1480</v>
      </c>
      <c r="C1155" s="272"/>
      <c r="D1155" s="272"/>
      <c r="E1155" s="272"/>
      <c r="G1155" s="271" t="s">
        <v>312</v>
      </c>
      <c r="H1155" s="272"/>
      <c r="I1155" s="272"/>
      <c r="J1155" s="272"/>
      <c r="K1155" s="272"/>
    </row>
    <row r="1156" spans="1:11" x14ac:dyDescent="0.35">
      <c r="A1156" s="231" t="s">
        <v>34</v>
      </c>
      <c r="B1156" s="230">
        <f>SUM(B1150:B1155)</f>
        <v>5547</v>
      </c>
      <c r="C1156" s="230">
        <f>SUM(C1150:C1155)</f>
        <v>0</v>
      </c>
      <c r="D1156" s="230">
        <f>SUM(D1150:D1155)</f>
        <v>0</v>
      </c>
      <c r="E1156" s="230">
        <f>SUM(E1150:E1155)</f>
        <v>0</v>
      </c>
      <c r="G1156" s="231" t="s">
        <v>34</v>
      </c>
      <c r="H1156" s="230">
        <f>SUM(H1150:H1155)</f>
        <v>1400</v>
      </c>
      <c r="I1156" s="230">
        <f>SUM(I1150:I1155)</f>
        <v>0</v>
      </c>
      <c r="J1156" s="230">
        <f>SUM(J1150:J1155)</f>
        <v>0</v>
      </c>
      <c r="K1156" s="230">
        <f>SUM(K1150:K1155)</f>
        <v>0</v>
      </c>
    </row>
    <row r="1157" spans="1:11" ht="15" thickBot="1" x14ac:dyDescent="0.4">
      <c r="A1157" s="231" t="s">
        <v>313</v>
      </c>
      <c r="B1157" s="230">
        <f>+B1156+C1156+D1156+E1156</f>
        <v>5547</v>
      </c>
      <c r="C1157" s="230"/>
      <c r="D1157" s="230"/>
      <c r="E1157" s="230"/>
      <c r="G1157" s="231" t="s">
        <v>313</v>
      </c>
      <c r="H1157" s="230">
        <f>+H1156+I1156+J1156+K1156</f>
        <v>1400</v>
      </c>
      <c r="I1157" s="230"/>
      <c r="J1157" s="230"/>
      <c r="K1157" s="230"/>
    </row>
    <row r="1158" spans="1:11" ht="15.5" thickTop="1" thickBot="1" x14ac:dyDescent="0.4">
      <c r="A1158" s="335" t="s">
        <v>298</v>
      </c>
      <c r="B1158" s="336"/>
      <c r="C1158" s="336"/>
      <c r="D1158" s="336"/>
      <c r="E1158" s="337"/>
      <c r="G1158" s="335" t="s">
        <v>298</v>
      </c>
      <c r="H1158" s="336"/>
      <c r="I1158" s="336"/>
      <c r="J1158" s="336"/>
      <c r="K1158" s="337"/>
    </row>
    <row r="1159" spans="1:11" ht="15.5" thickTop="1" thickBot="1" x14ac:dyDescent="0.4">
      <c r="A1159" s="338">
        <v>45397</v>
      </c>
      <c r="B1159" s="336"/>
      <c r="C1159" s="336"/>
      <c r="D1159" s="336"/>
      <c r="E1159" s="337"/>
      <c r="G1159" s="338">
        <v>45397</v>
      </c>
      <c r="H1159" s="336"/>
      <c r="I1159" s="336"/>
      <c r="J1159" s="336"/>
      <c r="K1159" s="337"/>
    </row>
    <row r="1160" spans="1:11" ht="15" thickTop="1" x14ac:dyDescent="0.35">
      <c r="A1160" s="267" t="s">
        <v>159</v>
      </c>
      <c r="B1160" s="267" t="s">
        <v>299</v>
      </c>
      <c r="C1160" s="267" t="s">
        <v>307</v>
      </c>
      <c r="D1160" s="267" t="s">
        <v>301</v>
      </c>
      <c r="E1160" s="268" t="s">
        <v>308</v>
      </c>
      <c r="G1160" s="267" t="s">
        <v>159</v>
      </c>
      <c r="H1160" s="267" t="s">
        <v>299</v>
      </c>
      <c r="I1160" s="267" t="s">
        <v>307</v>
      </c>
      <c r="J1160" s="267" t="s">
        <v>301</v>
      </c>
      <c r="K1160" s="268" t="s">
        <v>308</v>
      </c>
    </row>
    <row r="1161" spans="1:11" x14ac:dyDescent="0.35">
      <c r="A1161" s="269" t="s">
        <v>316</v>
      </c>
      <c r="B1161" s="270"/>
      <c r="C1161" s="270"/>
      <c r="D1161" s="270"/>
      <c r="E1161" s="270"/>
      <c r="G1161" s="269" t="s">
        <v>316</v>
      </c>
      <c r="H1161" s="270"/>
      <c r="I1161" s="270"/>
      <c r="J1161" s="270"/>
      <c r="K1161" s="270"/>
    </row>
    <row r="1162" spans="1:11" x14ac:dyDescent="0.35">
      <c r="A1162" s="271" t="s">
        <v>309</v>
      </c>
      <c r="B1162" s="272"/>
      <c r="C1162" s="272"/>
      <c r="D1162" s="272"/>
      <c r="E1162" s="272"/>
      <c r="G1162" s="271" t="s">
        <v>309</v>
      </c>
      <c r="H1162" s="272"/>
      <c r="I1162" s="272"/>
      <c r="J1162" s="272"/>
      <c r="K1162" s="272"/>
    </row>
    <row r="1163" spans="1:11" x14ac:dyDescent="0.35">
      <c r="A1163" s="269" t="s">
        <v>310</v>
      </c>
      <c r="B1163" s="270"/>
      <c r="C1163" s="270"/>
      <c r="D1163" s="270"/>
      <c r="E1163" s="270"/>
      <c r="G1163" s="269" t="s">
        <v>310</v>
      </c>
      <c r="H1163" s="270"/>
      <c r="I1163" s="270"/>
      <c r="J1163" s="270"/>
      <c r="K1163" s="270"/>
    </row>
    <row r="1164" spans="1:11" x14ac:dyDescent="0.35">
      <c r="A1164" s="271" t="s">
        <v>317</v>
      </c>
      <c r="B1164" s="272"/>
      <c r="C1164" s="272"/>
      <c r="D1164" s="272"/>
      <c r="E1164" s="272"/>
      <c r="G1164" s="271" t="s">
        <v>317</v>
      </c>
      <c r="H1164" s="272"/>
      <c r="I1164" s="272"/>
      <c r="J1164" s="272"/>
      <c r="K1164" s="272"/>
    </row>
    <row r="1165" spans="1:11" x14ac:dyDescent="0.35">
      <c r="A1165" s="269" t="s">
        <v>311</v>
      </c>
      <c r="B1165" s="270"/>
      <c r="C1165" s="270"/>
      <c r="D1165" s="270"/>
      <c r="E1165" s="270"/>
      <c r="G1165" s="269" t="s">
        <v>311</v>
      </c>
      <c r="H1165" s="270"/>
      <c r="I1165" s="270"/>
      <c r="J1165" s="270"/>
      <c r="K1165" s="270"/>
    </row>
    <row r="1166" spans="1:11" x14ac:dyDescent="0.35">
      <c r="A1166" s="271" t="s">
        <v>312</v>
      </c>
      <c r="B1166" s="272"/>
      <c r="C1166" s="272"/>
      <c r="D1166" s="272"/>
      <c r="E1166" s="272"/>
      <c r="G1166" s="271" t="s">
        <v>312</v>
      </c>
      <c r="H1166" s="272"/>
      <c r="I1166" s="272"/>
      <c r="J1166" s="272"/>
      <c r="K1166" s="272"/>
    </row>
    <row r="1167" spans="1:11" x14ac:dyDescent="0.35">
      <c r="A1167" s="231" t="s">
        <v>34</v>
      </c>
      <c r="B1167" s="230">
        <f>SUM(B1161:B1166)</f>
        <v>0</v>
      </c>
      <c r="C1167" s="230">
        <f>SUM(C1161:C1166)</f>
        <v>0</v>
      </c>
      <c r="D1167" s="230">
        <f>SUM(D1161:D1166)</f>
        <v>0</v>
      </c>
      <c r="E1167" s="230">
        <f>SUM(E1161:E1166)</f>
        <v>0</v>
      </c>
      <c r="G1167" s="231" t="s">
        <v>34</v>
      </c>
      <c r="H1167" s="230">
        <f>SUM(H1161:H1166)</f>
        <v>0</v>
      </c>
      <c r="I1167" s="230">
        <f>SUM(I1161:I1166)</f>
        <v>0</v>
      </c>
      <c r="J1167" s="230">
        <f>SUM(J1161:J1166)</f>
        <v>0</v>
      </c>
      <c r="K1167" s="230">
        <f>SUM(K1161:K1166)</f>
        <v>0</v>
      </c>
    </row>
    <row r="1168" spans="1:11" ht="15" thickBot="1" x14ac:dyDescent="0.4">
      <c r="A1168" s="231" t="s">
        <v>313</v>
      </c>
      <c r="B1168" s="230">
        <f>+B1167+C1167+D1167+E1167</f>
        <v>0</v>
      </c>
      <c r="C1168" s="230"/>
      <c r="D1168" s="230"/>
      <c r="E1168" s="230"/>
      <c r="G1168" s="231" t="s">
        <v>313</v>
      </c>
      <c r="H1168" s="230">
        <f>+H1167+I1167+J1167+K1167</f>
        <v>0</v>
      </c>
      <c r="I1168" s="230"/>
      <c r="J1168" s="230"/>
      <c r="K1168" s="230"/>
    </row>
    <row r="1169" spans="1:11" ht="15.5" thickTop="1" thickBot="1" x14ac:dyDescent="0.4">
      <c r="A1169" s="335" t="s">
        <v>298</v>
      </c>
      <c r="B1169" s="336"/>
      <c r="C1169" s="336"/>
      <c r="D1169" s="336"/>
      <c r="E1169" s="337"/>
      <c r="G1169" s="335" t="s">
        <v>298</v>
      </c>
      <c r="H1169" s="336"/>
      <c r="I1169" s="336"/>
      <c r="J1169" s="336"/>
      <c r="K1169" s="337"/>
    </row>
    <row r="1170" spans="1:11" ht="15.5" thickTop="1" thickBot="1" x14ac:dyDescent="0.4">
      <c r="A1170" s="338">
        <v>45398</v>
      </c>
      <c r="B1170" s="336"/>
      <c r="C1170" s="336"/>
      <c r="D1170" s="336"/>
      <c r="E1170" s="337"/>
      <c r="G1170" s="338">
        <v>45398</v>
      </c>
      <c r="H1170" s="336"/>
      <c r="I1170" s="336"/>
      <c r="J1170" s="336"/>
      <c r="K1170" s="337"/>
    </row>
    <row r="1171" spans="1:11" ht="15" thickTop="1" x14ac:dyDescent="0.35">
      <c r="A1171" s="267" t="s">
        <v>159</v>
      </c>
      <c r="B1171" s="267" t="s">
        <v>299</v>
      </c>
      <c r="C1171" s="267" t="s">
        <v>307</v>
      </c>
      <c r="D1171" s="267" t="s">
        <v>301</v>
      </c>
      <c r="E1171" s="268" t="s">
        <v>308</v>
      </c>
      <c r="G1171" s="267" t="s">
        <v>159</v>
      </c>
      <c r="H1171" s="267" t="s">
        <v>299</v>
      </c>
      <c r="I1171" s="267" t="s">
        <v>307</v>
      </c>
      <c r="J1171" s="267" t="s">
        <v>301</v>
      </c>
      <c r="K1171" s="268" t="s">
        <v>308</v>
      </c>
    </row>
    <row r="1172" spans="1:11" x14ac:dyDescent="0.35">
      <c r="A1172" s="269" t="s">
        <v>316</v>
      </c>
      <c r="B1172" s="270"/>
      <c r="C1172" s="270"/>
      <c r="D1172" s="270"/>
      <c r="E1172" s="270"/>
      <c r="G1172" s="269" t="s">
        <v>367</v>
      </c>
      <c r="H1172" s="270">
        <v>88</v>
      </c>
      <c r="I1172" s="270"/>
      <c r="J1172" s="270"/>
      <c r="K1172" s="270"/>
    </row>
    <row r="1173" spans="1:11" x14ac:dyDescent="0.35">
      <c r="A1173" s="271" t="s">
        <v>309</v>
      </c>
      <c r="B1173" s="272"/>
      <c r="C1173" s="272"/>
      <c r="D1173" s="272"/>
      <c r="E1173" s="272"/>
      <c r="G1173" s="271" t="s">
        <v>309</v>
      </c>
      <c r="H1173" s="272"/>
      <c r="I1173" s="272"/>
      <c r="J1173" s="272"/>
      <c r="K1173" s="272"/>
    </row>
    <row r="1174" spans="1:11" x14ac:dyDescent="0.35">
      <c r="A1174" s="269" t="s">
        <v>310</v>
      </c>
      <c r="B1174" s="270">
        <v>5000</v>
      </c>
      <c r="C1174" s="270"/>
      <c r="D1174" s="270"/>
      <c r="E1174" s="270"/>
      <c r="G1174" s="269" t="s">
        <v>310</v>
      </c>
      <c r="H1174" s="270"/>
      <c r="I1174" s="270"/>
      <c r="J1174" s="270"/>
      <c r="K1174" s="270"/>
    </row>
    <row r="1175" spans="1:11" x14ac:dyDescent="0.35">
      <c r="A1175" s="271" t="s">
        <v>317</v>
      </c>
      <c r="B1175" s="272"/>
      <c r="C1175" s="272"/>
      <c r="D1175" s="272"/>
      <c r="E1175" s="272"/>
      <c r="G1175" s="271" t="s">
        <v>317</v>
      </c>
      <c r="H1175" s="272"/>
      <c r="I1175" s="272"/>
      <c r="J1175" s="272"/>
      <c r="K1175" s="272"/>
    </row>
    <row r="1176" spans="1:11" x14ac:dyDescent="0.35">
      <c r="A1176" s="269" t="s">
        <v>311</v>
      </c>
      <c r="B1176" s="270"/>
      <c r="C1176" s="270"/>
      <c r="D1176" s="270"/>
      <c r="E1176" s="270"/>
      <c r="G1176" s="269" t="s">
        <v>311</v>
      </c>
      <c r="H1176" s="270"/>
      <c r="I1176" s="270"/>
      <c r="J1176" s="270"/>
      <c r="K1176" s="270"/>
    </row>
    <row r="1177" spans="1:11" x14ac:dyDescent="0.35">
      <c r="A1177" s="271" t="s">
        <v>312</v>
      </c>
      <c r="B1177" s="272">
        <v>662</v>
      </c>
      <c r="C1177" s="272"/>
      <c r="D1177" s="272"/>
      <c r="E1177" s="272"/>
      <c r="G1177" s="271" t="s">
        <v>312</v>
      </c>
      <c r="H1177" s="272"/>
      <c r="I1177" s="272"/>
      <c r="J1177" s="272"/>
      <c r="K1177" s="272"/>
    </row>
    <row r="1178" spans="1:11" x14ac:dyDescent="0.35">
      <c r="A1178" s="231" t="s">
        <v>34</v>
      </c>
      <c r="B1178" s="230">
        <f>SUM(B1172:B1177)</f>
        <v>5662</v>
      </c>
      <c r="C1178" s="230">
        <f>SUM(C1172:C1177)</f>
        <v>0</v>
      </c>
      <c r="D1178" s="230">
        <f>SUM(D1172:D1177)</f>
        <v>0</v>
      </c>
      <c r="E1178" s="230">
        <f>SUM(E1172:E1177)</f>
        <v>0</v>
      </c>
      <c r="G1178" s="231" t="s">
        <v>34</v>
      </c>
      <c r="H1178" s="230">
        <f>SUM(H1172:H1177)</f>
        <v>88</v>
      </c>
      <c r="I1178" s="230">
        <f>SUM(I1172:I1177)</f>
        <v>0</v>
      </c>
      <c r="J1178" s="230">
        <f>SUM(J1172:J1177)</f>
        <v>0</v>
      </c>
      <c r="K1178" s="230">
        <f>SUM(K1172:K1177)</f>
        <v>0</v>
      </c>
    </row>
    <row r="1179" spans="1:11" ht="15" thickBot="1" x14ac:dyDescent="0.4">
      <c r="A1179" s="231" t="s">
        <v>313</v>
      </c>
      <c r="B1179" s="230">
        <f>+B1178+C1178+D1178+E1178</f>
        <v>5662</v>
      </c>
      <c r="C1179" s="230"/>
      <c r="D1179" s="230"/>
      <c r="E1179" s="230"/>
      <c r="G1179" s="231" t="s">
        <v>313</v>
      </c>
      <c r="H1179" s="230">
        <f>+H1178+I1178+J1178+K1178</f>
        <v>88</v>
      </c>
      <c r="I1179" s="230"/>
      <c r="J1179" s="230"/>
      <c r="K1179" s="230"/>
    </row>
    <row r="1180" spans="1:11" ht="15.5" thickTop="1" thickBot="1" x14ac:dyDescent="0.4">
      <c r="A1180" s="335" t="s">
        <v>298</v>
      </c>
      <c r="B1180" s="336"/>
      <c r="C1180" s="336"/>
      <c r="D1180" s="336"/>
      <c r="E1180" s="337"/>
      <c r="G1180" s="335" t="s">
        <v>298</v>
      </c>
      <c r="H1180" s="336"/>
      <c r="I1180" s="336"/>
      <c r="J1180" s="336"/>
      <c r="K1180" s="337"/>
    </row>
    <row r="1181" spans="1:11" ht="15.5" thickTop="1" thickBot="1" x14ac:dyDescent="0.4">
      <c r="A1181" s="338">
        <v>45399</v>
      </c>
      <c r="B1181" s="336"/>
      <c r="C1181" s="336"/>
      <c r="D1181" s="336"/>
      <c r="E1181" s="337"/>
      <c r="G1181" s="338">
        <v>45399</v>
      </c>
      <c r="H1181" s="336"/>
      <c r="I1181" s="336"/>
      <c r="J1181" s="336"/>
      <c r="K1181" s="337"/>
    </row>
    <row r="1182" spans="1:11" ht="15" thickTop="1" x14ac:dyDescent="0.35">
      <c r="A1182" s="267" t="s">
        <v>159</v>
      </c>
      <c r="B1182" s="267" t="s">
        <v>299</v>
      </c>
      <c r="C1182" s="267" t="s">
        <v>307</v>
      </c>
      <c r="D1182" s="267" t="s">
        <v>301</v>
      </c>
      <c r="E1182" s="268" t="s">
        <v>308</v>
      </c>
      <c r="G1182" s="267" t="s">
        <v>159</v>
      </c>
      <c r="H1182" s="267" t="s">
        <v>299</v>
      </c>
      <c r="I1182" s="267" t="s">
        <v>307</v>
      </c>
      <c r="J1182" s="267" t="s">
        <v>301</v>
      </c>
      <c r="K1182" s="268" t="s">
        <v>308</v>
      </c>
    </row>
    <row r="1183" spans="1:11" x14ac:dyDescent="0.35">
      <c r="A1183" s="269" t="s">
        <v>316</v>
      </c>
      <c r="B1183" s="270">
        <v>25</v>
      </c>
      <c r="C1183" s="270"/>
      <c r="D1183" s="270"/>
      <c r="E1183" s="270"/>
      <c r="G1183" s="269" t="s">
        <v>316</v>
      </c>
      <c r="H1183" s="270"/>
      <c r="I1183" s="270"/>
      <c r="J1183" s="270"/>
      <c r="K1183" s="270"/>
    </row>
    <row r="1184" spans="1:11" x14ac:dyDescent="0.35">
      <c r="A1184" s="271" t="s">
        <v>364</v>
      </c>
      <c r="B1184" s="272">
        <v>50</v>
      </c>
      <c r="C1184" s="272"/>
      <c r="D1184" s="272"/>
      <c r="E1184" s="272"/>
      <c r="G1184" s="271" t="s">
        <v>309</v>
      </c>
      <c r="H1184" s="272"/>
      <c r="I1184" s="272"/>
      <c r="J1184" s="272"/>
      <c r="K1184" s="272"/>
    </row>
    <row r="1185" spans="1:11" x14ac:dyDescent="0.35">
      <c r="A1185" s="269" t="s">
        <v>310</v>
      </c>
      <c r="B1185" s="270"/>
      <c r="C1185" s="270"/>
      <c r="D1185" s="270"/>
      <c r="E1185" s="270"/>
      <c r="G1185" s="269" t="s">
        <v>310</v>
      </c>
      <c r="H1185" s="270"/>
      <c r="I1185" s="270"/>
      <c r="J1185" s="270"/>
      <c r="K1185" s="270"/>
    </row>
    <row r="1186" spans="1:11" x14ac:dyDescent="0.35">
      <c r="A1186" s="271" t="s">
        <v>317</v>
      </c>
      <c r="B1186" s="272"/>
      <c r="C1186" s="272"/>
      <c r="D1186" s="272"/>
      <c r="E1186" s="272"/>
      <c r="G1186" s="271" t="s">
        <v>317</v>
      </c>
      <c r="H1186" s="272"/>
      <c r="I1186" s="272"/>
      <c r="J1186" s="272"/>
      <c r="K1186" s="272"/>
    </row>
    <row r="1187" spans="1:11" x14ac:dyDescent="0.35">
      <c r="A1187" s="269" t="s">
        <v>311</v>
      </c>
      <c r="B1187" s="270"/>
      <c r="C1187" s="270"/>
      <c r="D1187" s="270"/>
      <c r="E1187" s="270"/>
      <c r="G1187" s="269" t="s">
        <v>311</v>
      </c>
      <c r="H1187" s="270"/>
      <c r="I1187" s="270"/>
      <c r="J1187" s="270"/>
      <c r="K1187" s="270"/>
    </row>
    <row r="1188" spans="1:11" x14ac:dyDescent="0.35">
      <c r="A1188" s="271" t="s">
        <v>312</v>
      </c>
      <c r="B1188" s="272"/>
      <c r="C1188" s="272"/>
      <c r="D1188" s="272"/>
      <c r="E1188" s="272"/>
      <c r="G1188" s="271" t="s">
        <v>312</v>
      </c>
      <c r="H1188" s="272"/>
      <c r="I1188" s="272"/>
      <c r="J1188" s="272"/>
      <c r="K1188" s="272"/>
    </row>
    <row r="1189" spans="1:11" x14ac:dyDescent="0.35">
      <c r="A1189" s="231" t="s">
        <v>34</v>
      </c>
      <c r="B1189" s="230">
        <f>SUM(B1183:B1188)</f>
        <v>75</v>
      </c>
      <c r="C1189" s="230">
        <f>SUM(C1183:C1188)</f>
        <v>0</v>
      </c>
      <c r="D1189" s="230">
        <f>SUM(D1183:D1188)</f>
        <v>0</v>
      </c>
      <c r="E1189" s="230">
        <f>SUM(E1183:E1188)</f>
        <v>0</v>
      </c>
      <c r="G1189" s="231" t="s">
        <v>34</v>
      </c>
      <c r="H1189" s="230">
        <f>SUM(H1183:H1188)</f>
        <v>0</v>
      </c>
      <c r="I1189" s="230">
        <f>SUM(I1183:I1188)</f>
        <v>0</v>
      </c>
      <c r="J1189" s="230">
        <f>SUM(J1183:J1188)</f>
        <v>0</v>
      </c>
      <c r="K1189" s="230">
        <f>SUM(K1183:K1188)</f>
        <v>0</v>
      </c>
    </row>
    <row r="1190" spans="1:11" ht="15" thickBot="1" x14ac:dyDescent="0.4">
      <c r="A1190" s="231" t="s">
        <v>313</v>
      </c>
      <c r="B1190" s="230">
        <f>+B1189+C1189+D1189+E1189</f>
        <v>75</v>
      </c>
      <c r="C1190" s="230"/>
      <c r="D1190" s="230"/>
      <c r="E1190" s="230"/>
      <c r="G1190" s="231" t="s">
        <v>313</v>
      </c>
      <c r="H1190" s="230">
        <f>+H1189+I1189+J1189+K1189</f>
        <v>0</v>
      </c>
      <c r="I1190" s="230"/>
      <c r="J1190" s="230"/>
      <c r="K1190" s="230"/>
    </row>
    <row r="1191" spans="1:11" ht="15.5" thickTop="1" thickBot="1" x14ac:dyDescent="0.4">
      <c r="A1191" s="335" t="s">
        <v>298</v>
      </c>
      <c r="B1191" s="336"/>
      <c r="C1191" s="336"/>
      <c r="D1191" s="336"/>
      <c r="E1191" s="337"/>
      <c r="G1191" s="335" t="s">
        <v>298</v>
      </c>
      <c r="H1191" s="336"/>
      <c r="I1191" s="336"/>
      <c r="J1191" s="336"/>
      <c r="K1191" s="337"/>
    </row>
    <row r="1192" spans="1:11" ht="15.5" thickTop="1" thickBot="1" x14ac:dyDescent="0.4">
      <c r="A1192" s="338">
        <v>45400</v>
      </c>
      <c r="B1192" s="336"/>
      <c r="C1192" s="336"/>
      <c r="D1192" s="336"/>
      <c r="E1192" s="337"/>
      <c r="G1192" s="338">
        <v>45400</v>
      </c>
      <c r="H1192" s="336"/>
      <c r="I1192" s="336"/>
      <c r="J1192" s="336"/>
      <c r="K1192" s="337"/>
    </row>
    <row r="1193" spans="1:11" ht="15" thickTop="1" x14ac:dyDescent="0.35">
      <c r="A1193" s="267" t="s">
        <v>159</v>
      </c>
      <c r="B1193" s="267" t="s">
        <v>299</v>
      </c>
      <c r="C1193" s="267" t="s">
        <v>307</v>
      </c>
      <c r="D1193" s="267" t="s">
        <v>301</v>
      </c>
      <c r="E1193" s="268" t="s">
        <v>308</v>
      </c>
      <c r="G1193" s="267" t="s">
        <v>159</v>
      </c>
      <c r="H1193" s="267" t="s">
        <v>299</v>
      </c>
      <c r="I1193" s="267" t="s">
        <v>307</v>
      </c>
      <c r="J1193" s="267" t="s">
        <v>301</v>
      </c>
      <c r="K1193" s="268" t="s">
        <v>308</v>
      </c>
    </row>
    <row r="1194" spans="1:11" x14ac:dyDescent="0.35">
      <c r="A1194" s="269" t="s">
        <v>316</v>
      </c>
      <c r="B1194" s="270">
        <v>330</v>
      </c>
      <c r="C1194" s="270"/>
      <c r="D1194" s="270"/>
      <c r="E1194" s="270"/>
      <c r="G1194" s="269" t="s">
        <v>316</v>
      </c>
      <c r="H1194" s="270"/>
      <c r="I1194" s="270"/>
      <c r="J1194" s="270"/>
      <c r="K1194" s="270"/>
    </row>
    <row r="1195" spans="1:11" x14ac:dyDescent="0.35">
      <c r="A1195" s="271" t="s">
        <v>309</v>
      </c>
      <c r="B1195" s="272"/>
      <c r="C1195" s="272"/>
      <c r="D1195" s="272"/>
      <c r="E1195" s="272"/>
      <c r="G1195" s="271" t="s">
        <v>309</v>
      </c>
      <c r="H1195" s="272"/>
      <c r="I1195" s="272"/>
      <c r="J1195" s="272"/>
      <c r="K1195" s="272"/>
    </row>
    <row r="1196" spans="1:11" x14ac:dyDescent="0.35">
      <c r="A1196" s="269" t="s">
        <v>310</v>
      </c>
      <c r="B1196" s="270">
        <v>1150</v>
      </c>
      <c r="C1196" s="270"/>
      <c r="D1196" s="270"/>
      <c r="E1196" s="270"/>
      <c r="G1196" s="269" t="s">
        <v>310</v>
      </c>
      <c r="H1196" s="270"/>
      <c r="I1196" s="270"/>
      <c r="J1196" s="270"/>
      <c r="K1196" s="270"/>
    </row>
    <row r="1197" spans="1:11" x14ac:dyDescent="0.35">
      <c r="A1197" s="271" t="s">
        <v>317</v>
      </c>
      <c r="B1197" s="272"/>
      <c r="C1197" s="272"/>
      <c r="D1197" s="272"/>
      <c r="E1197" s="272"/>
      <c r="G1197" s="271" t="s">
        <v>317</v>
      </c>
      <c r="H1197" s="272"/>
      <c r="I1197" s="272"/>
      <c r="J1197" s="272"/>
      <c r="K1197" s="272"/>
    </row>
    <row r="1198" spans="1:11" x14ac:dyDescent="0.35">
      <c r="A1198" s="269" t="s">
        <v>311</v>
      </c>
      <c r="B1198" s="270"/>
      <c r="C1198" s="270"/>
      <c r="D1198" s="270"/>
      <c r="E1198" s="270"/>
      <c r="G1198" s="269" t="s">
        <v>311</v>
      </c>
      <c r="H1198" s="270"/>
      <c r="I1198" s="270"/>
      <c r="J1198" s="270"/>
      <c r="K1198" s="270"/>
    </row>
    <row r="1199" spans="1:11" x14ac:dyDescent="0.35">
      <c r="A1199" s="271" t="s">
        <v>312</v>
      </c>
      <c r="B1199" s="272">
        <v>4840</v>
      </c>
      <c r="C1199" s="272"/>
      <c r="D1199" s="272"/>
      <c r="E1199" s="272"/>
      <c r="G1199" s="271" t="s">
        <v>312</v>
      </c>
      <c r="H1199" s="272"/>
      <c r="I1199" s="272"/>
      <c r="J1199" s="272"/>
      <c r="K1199" s="272"/>
    </row>
    <row r="1200" spans="1:11" x14ac:dyDescent="0.35">
      <c r="A1200" s="231" t="s">
        <v>34</v>
      </c>
      <c r="B1200" s="230">
        <f>SUM(B1194:B1199)</f>
        <v>6320</v>
      </c>
      <c r="C1200" s="230">
        <f>SUM(C1194:C1199)</f>
        <v>0</v>
      </c>
      <c r="D1200" s="230">
        <f>SUM(D1194:D1199)</f>
        <v>0</v>
      </c>
      <c r="E1200" s="230">
        <f>SUM(E1194:E1199)</f>
        <v>0</v>
      </c>
      <c r="G1200" s="231" t="s">
        <v>34</v>
      </c>
      <c r="H1200" s="230">
        <f>SUM(H1194:H1199)</f>
        <v>0</v>
      </c>
      <c r="I1200" s="230">
        <f>SUM(I1194:I1199)</f>
        <v>0</v>
      </c>
      <c r="J1200" s="230">
        <f>SUM(J1194:J1199)</f>
        <v>0</v>
      </c>
      <c r="K1200" s="230">
        <f>SUM(K1194:K1199)</f>
        <v>0</v>
      </c>
    </row>
    <row r="1201" spans="1:11" ht="15" thickBot="1" x14ac:dyDescent="0.4">
      <c r="A1201" s="231" t="s">
        <v>313</v>
      </c>
      <c r="B1201" s="230">
        <f>+B1200+C1200+D1200+E1200</f>
        <v>6320</v>
      </c>
      <c r="C1201" s="230"/>
      <c r="D1201" s="230"/>
      <c r="E1201" s="230"/>
      <c r="G1201" s="231" t="s">
        <v>313</v>
      </c>
      <c r="H1201" s="230">
        <f>+H1200+I1200+J1200+K1200</f>
        <v>0</v>
      </c>
      <c r="I1201" s="230"/>
      <c r="J1201" s="230"/>
      <c r="K1201" s="230"/>
    </row>
    <row r="1202" spans="1:11" ht="15.5" thickTop="1" thickBot="1" x14ac:dyDescent="0.4">
      <c r="A1202" s="335" t="s">
        <v>298</v>
      </c>
      <c r="B1202" s="336"/>
      <c r="C1202" s="336"/>
      <c r="D1202" s="336"/>
      <c r="E1202" s="337"/>
      <c r="G1202" s="335" t="s">
        <v>298</v>
      </c>
      <c r="H1202" s="336"/>
      <c r="I1202" s="336"/>
      <c r="J1202" s="336"/>
      <c r="K1202" s="337"/>
    </row>
    <row r="1203" spans="1:11" ht="15.5" thickTop="1" thickBot="1" x14ac:dyDescent="0.4">
      <c r="A1203" s="338">
        <v>45401</v>
      </c>
      <c r="B1203" s="336"/>
      <c r="C1203" s="336"/>
      <c r="D1203" s="336"/>
      <c r="E1203" s="337"/>
      <c r="G1203" s="338">
        <v>45401</v>
      </c>
      <c r="H1203" s="336"/>
      <c r="I1203" s="336"/>
      <c r="J1203" s="336"/>
      <c r="K1203" s="337"/>
    </row>
    <row r="1204" spans="1:11" ht="15" thickTop="1" x14ac:dyDescent="0.35">
      <c r="A1204" s="267" t="s">
        <v>159</v>
      </c>
      <c r="B1204" s="267" t="s">
        <v>299</v>
      </c>
      <c r="C1204" s="267" t="s">
        <v>307</v>
      </c>
      <c r="D1204" s="267" t="s">
        <v>301</v>
      </c>
      <c r="E1204" s="268" t="s">
        <v>308</v>
      </c>
      <c r="G1204" s="267" t="s">
        <v>159</v>
      </c>
      <c r="H1204" s="267" t="s">
        <v>299</v>
      </c>
      <c r="I1204" s="267" t="s">
        <v>307</v>
      </c>
      <c r="J1204" s="267" t="s">
        <v>301</v>
      </c>
      <c r="K1204" s="268" t="s">
        <v>308</v>
      </c>
    </row>
    <row r="1205" spans="1:11" x14ac:dyDescent="0.35">
      <c r="A1205" s="269" t="s">
        <v>316</v>
      </c>
      <c r="B1205" s="270"/>
      <c r="C1205" s="270"/>
      <c r="D1205" s="270"/>
      <c r="E1205" s="270"/>
      <c r="G1205" s="269" t="s">
        <v>316</v>
      </c>
      <c r="H1205" s="270"/>
      <c r="I1205" s="270"/>
      <c r="J1205" s="270"/>
      <c r="K1205" s="270"/>
    </row>
    <row r="1206" spans="1:11" x14ac:dyDescent="0.35">
      <c r="A1206" s="271" t="s">
        <v>309</v>
      </c>
      <c r="B1206" s="272"/>
      <c r="C1206" s="272"/>
      <c r="D1206" s="272"/>
      <c r="E1206" s="272"/>
      <c r="G1206" s="271" t="s">
        <v>309</v>
      </c>
      <c r="H1206" s="272"/>
      <c r="I1206" s="272"/>
      <c r="J1206" s="272"/>
      <c r="K1206" s="272"/>
    </row>
    <row r="1207" spans="1:11" x14ac:dyDescent="0.35">
      <c r="A1207" s="269" t="s">
        <v>310</v>
      </c>
      <c r="B1207" s="270"/>
      <c r="C1207" s="270"/>
      <c r="D1207" s="270"/>
      <c r="E1207" s="270"/>
      <c r="G1207" s="269" t="s">
        <v>310</v>
      </c>
      <c r="H1207" s="270"/>
      <c r="I1207" s="270"/>
      <c r="J1207" s="270"/>
      <c r="K1207" s="270"/>
    </row>
    <row r="1208" spans="1:11" x14ac:dyDescent="0.35">
      <c r="A1208" s="271" t="s">
        <v>317</v>
      </c>
      <c r="B1208" s="272"/>
      <c r="C1208" s="272"/>
      <c r="D1208" s="272"/>
      <c r="E1208" s="272"/>
      <c r="G1208" s="271" t="s">
        <v>317</v>
      </c>
      <c r="H1208" s="272"/>
      <c r="I1208" s="272"/>
      <c r="J1208" s="272"/>
      <c r="K1208" s="272"/>
    </row>
    <row r="1209" spans="1:11" x14ac:dyDescent="0.35">
      <c r="A1209" s="269" t="s">
        <v>311</v>
      </c>
      <c r="B1209" s="270"/>
      <c r="C1209" s="270"/>
      <c r="D1209" s="270"/>
      <c r="E1209" s="270"/>
      <c r="G1209" s="269" t="s">
        <v>311</v>
      </c>
      <c r="H1209" s="270"/>
      <c r="I1209" s="270"/>
      <c r="J1209" s="270"/>
      <c r="K1209" s="270"/>
    </row>
    <row r="1210" spans="1:11" x14ac:dyDescent="0.35">
      <c r="A1210" s="271" t="s">
        <v>312</v>
      </c>
      <c r="B1210" s="272"/>
      <c r="C1210" s="272"/>
      <c r="D1210" s="272"/>
      <c r="E1210" s="272"/>
      <c r="G1210" s="271" t="s">
        <v>312</v>
      </c>
      <c r="H1210" s="272"/>
      <c r="I1210" s="272"/>
      <c r="J1210" s="272"/>
      <c r="K1210" s="272"/>
    </row>
    <row r="1211" spans="1:11" x14ac:dyDescent="0.35">
      <c r="A1211" s="231" t="s">
        <v>34</v>
      </c>
      <c r="B1211" s="230">
        <f>SUM(B1205:B1210)</f>
        <v>0</v>
      </c>
      <c r="C1211" s="230">
        <f>SUM(C1205:C1210)</f>
        <v>0</v>
      </c>
      <c r="D1211" s="230">
        <f>SUM(D1205:D1210)</f>
        <v>0</v>
      </c>
      <c r="E1211" s="230">
        <f>SUM(E1205:E1210)</f>
        <v>0</v>
      </c>
      <c r="G1211" s="231" t="s">
        <v>34</v>
      </c>
      <c r="H1211" s="230">
        <f>SUM(H1205:H1210)</f>
        <v>0</v>
      </c>
      <c r="I1211" s="230">
        <f>SUM(I1205:I1210)</f>
        <v>0</v>
      </c>
      <c r="J1211" s="230">
        <f>SUM(J1205:J1210)</f>
        <v>0</v>
      </c>
      <c r="K1211" s="230">
        <f>SUM(K1205:K1210)</f>
        <v>0</v>
      </c>
    </row>
    <row r="1212" spans="1:11" ht="15" thickBot="1" x14ac:dyDescent="0.4">
      <c r="A1212" s="231" t="s">
        <v>313</v>
      </c>
      <c r="B1212" s="230">
        <f>+B1211+C1211+D1211+E1211</f>
        <v>0</v>
      </c>
      <c r="C1212" s="230"/>
      <c r="D1212" s="230"/>
      <c r="E1212" s="230"/>
      <c r="G1212" s="231" t="s">
        <v>313</v>
      </c>
      <c r="H1212" s="230">
        <f>+H1211+I1211+J1211+K1211</f>
        <v>0</v>
      </c>
      <c r="I1212" s="230"/>
      <c r="J1212" s="230"/>
      <c r="K1212" s="230"/>
    </row>
    <row r="1213" spans="1:11" ht="15.5" thickTop="1" thickBot="1" x14ac:dyDescent="0.4">
      <c r="A1213" s="335" t="s">
        <v>298</v>
      </c>
      <c r="B1213" s="336"/>
      <c r="C1213" s="336"/>
      <c r="D1213" s="336"/>
      <c r="E1213" s="337"/>
      <c r="G1213" s="335" t="s">
        <v>298</v>
      </c>
      <c r="H1213" s="336"/>
      <c r="I1213" s="336"/>
      <c r="J1213" s="336"/>
      <c r="K1213" s="337"/>
    </row>
    <row r="1214" spans="1:11" ht="15.5" thickTop="1" thickBot="1" x14ac:dyDescent="0.4">
      <c r="A1214" s="338">
        <v>45402</v>
      </c>
      <c r="B1214" s="336"/>
      <c r="C1214" s="336"/>
      <c r="D1214" s="336"/>
      <c r="E1214" s="337"/>
      <c r="G1214" s="338">
        <v>45402</v>
      </c>
      <c r="H1214" s="336"/>
      <c r="I1214" s="336"/>
      <c r="J1214" s="336"/>
      <c r="K1214" s="337"/>
    </row>
    <row r="1215" spans="1:11" ht="15" thickTop="1" x14ac:dyDescent="0.35">
      <c r="A1215" s="267" t="s">
        <v>159</v>
      </c>
      <c r="B1215" s="267" t="s">
        <v>299</v>
      </c>
      <c r="C1215" s="267" t="s">
        <v>307</v>
      </c>
      <c r="D1215" s="267" t="s">
        <v>301</v>
      </c>
      <c r="E1215" s="268" t="s">
        <v>308</v>
      </c>
      <c r="G1215" s="267" t="s">
        <v>159</v>
      </c>
      <c r="H1215" s="267" t="s">
        <v>299</v>
      </c>
      <c r="I1215" s="267" t="s">
        <v>307</v>
      </c>
      <c r="J1215" s="267" t="s">
        <v>301</v>
      </c>
      <c r="K1215" s="268" t="s">
        <v>308</v>
      </c>
    </row>
    <row r="1216" spans="1:11" x14ac:dyDescent="0.35">
      <c r="A1216" s="269" t="s">
        <v>379</v>
      </c>
      <c r="B1216" s="270">
        <v>2500</v>
      </c>
      <c r="C1216" s="270"/>
      <c r="D1216" s="270"/>
      <c r="E1216" s="270"/>
      <c r="G1216" s="269" t="s">
        <v>379</v>
      </c>
      <c r="H1216" s="270">
        <v>1400</v>
      </c>
      <c r="I1216" s="270"/>
      <c r="J1216" s="270"/>
      <c r="K1216" s="270"/>
    </row>
    <row r="1217" spans="1:11" x14ac:dyDescent="0.35">
      <c r="A1217" s="271" t="s">
        <v>379</v>
      </c>
      <c r="B1217" s="272">
        <v>1700</v>
      </c>
      <c r="C1217" s="272"/>
      <c r="D1217" s="272"/>
      <c r="E1217" s="272"/>
      <c r="G1217" s="271" t="s">
        <v>309</v>
      </c>
      <c r="H1217" s="272"/>
      <c r="I1217" s="272"/>
      <c r="J1217" s="272"/>
      <c r="K1217" s="272"/>
    </row>
    <row r="1218" spans="1:11" x14ac:dyDescent="0.35">
      <c r="A1218" s="269" t="s">
        <v>310</v>
      </c>
      <c r="B1218" s="270"/>
      <c r="C1218" s="270"/>
      <c r="D1218" s="270"/>
      <c r="E1218" s="270"/>
      <c r="G1218" s="269" t="s">
        <v>310</v>
      </c>
      <c r="H1218" s="270"/>
      <c r="I1218" s="270"/>
      <c r="J1218" s="270"/>
      <c r="K1218" s="270"/>
    </row>
    <row r="1219" spans="1:11" x14ac:dyDescent="0.35">
      <c r="A1219" s="271" t="s">
        <v>367</v>
      </c>
      <c r="B1219" s="272">
        <v>36</v>
      </c>
      <c r="C1219" s="272"/>
      <c r="D1219" s="272"/>
      <c r="E1219" s="272"/>
      <c r="G1219" s="271" t="s">
        <v>317</v>
      </c>
      <c r="H1219" s="272"/>
      <c r="I1219" s="272"/>
      <c r="J1219" s="272"/>
      <c r="K1219" s="272"/>
    </row>
    <row r="1220" spans="1:11" x14ac:dyDescent="0.35">
      <c r="A1220" s="269" t="s">
        <v>311</v>
      </c>
      <c r="B1220" s="270"/>
      <c r="C1220" s="270"/>
      <c r="D1220" s="270"/>
      <c r="E1220" s="270"/>
      <c r="G1220" s="269" t="s">
        <v>311</v>
      </c>
      <c r="H1220" s="270"/>
      <c r="I1220" s="270"/>
      <c r="J1220" s="270"/>
      <c r="K1220" s="270"/>
    </row>
    <row r="1221" spans="1:11" x14ac:dyDescent="0.35">
      <c r="A1221" s="271" t="s">
        <v>312</v>
      </c>
      <c r="B1221" s="272">
        <v>5000</v>
      </c>
      <c r="C1221" s="272"/>
      <c r="D1221" s="272"/>
      <c r="E1221" s="272"/>
      <c r="G1221" s="271" t="s">
        <v>312</v>
      </c>
      <c r="H1221" s="272"/>
      <c r="I1221" s="272"/>
      <c r="J1221" s="272"/>
      <c r="K1221" s="272"/>
    </row>
    <row r="1222" spans="1:11" x14ac:dyDescent="0.35">
      <c r="A1222" s="231" t="s">
        <v>34</v>
      </c>
      <c r="B1222" s="230">
        <f>SUM(B1216:B1221)</f>
        <v>9236</v>
      </c>
      <c r="C1222" s="230">
        <f>SUM(C1216:C1221)</f>
        <v>0</v>
      </c>
      <c r="D1222" s="230">
        <f>SUM(D1216:D1221)</f>
        <v>0</v>
      </c>
      <c r="E1222" s="230">
        <f>SUM(E1216:E1221)</f>
        <v>0</v>
      </c>
      <c r="G1222" s="231" t="s">
        <v>34</v>
      </c>
      <c r="H1222" s="230">
        <f>SUM(H1216:H1221)</f>
        <v>1400</v>
      </c>
      <c r="I1222" s="230">
        <f>SUM(I1216:I1221)</f>
        <v>0</v>
      </c>
      <c r="J1222" s="230">
        <f>SUM(J1216:J1221)</f>
        <v>0</v>
      </c>
      <c r="K1222" s="230">
        <f>SUM(K1216:K1221)</f>
        <v>0</v>
      </c>
    </row>
    <row r="1223" spans="1:11" ht="15" thickBot="1" x14ac:dyDescent="0.4">
      <c r="A1223" s="231" t="s">
        <v>313</v>
      </c>
      <c r="B1223" s="230">
        <f>+B1222+C1222+D1222+E1222</f>
        <v>9236</v>
      </c>
      <c r="C1223" s="230"/>
      <c r="D1223" s="230"/>
      <c r="E1223" s="230"/>
      <c r="G1223" s="231" t="s">
        <v>313</v>
      </c>
      <c r="H1223" s="230">
        <f>+H1222+I1222+J1222+K1222</f>
        <v>1400</v>
      </c>
      <c r="I1223" s="230"/>
      <c r="J1223" s="230"/>
      <c r="K1223" s="230"/>
    </row>
    <row r="1224" spans="1:11" ht="15.5" thickTop="1" thickBot="1" x14ac:dyDescent="0.4">
      <c r="A1224" s="335" t="s">
        <v>298</v>
      </c>
      <c r="B1224" s="336"/>
      <c r="C1224" s="336"/>
      <c r="D1224" s="336"/>
      <c r="E1224" s="337"/>
      <c r="G1224" s="335" t="s">
        <v>298</v>
      </c>
      <c r="H1224" s="336"/>
      <c r="I1224" s="336"/>
      <c r="J1224" s="336"/>
      <c r="K1224" s="337"/>
    </row>
    <row r="1225" spans="1:11" ht="15.5" thickTop="1" thickBot="1" x14ac:dyDescent="0.4">
      <c r="A1225" s="338">
        <v>45403</v>
      </c>
      <c r="B1225" s="336"/>
      <c r="C1225" s="336"/>
      <c r="D1225" s="336"/>
      <c r="E1225" s="337"/>
      <c r="G1225" s="338">
        <v>45403</v>
      </c>
      <c r="H1225" s="336"/>
      <c r="I1225" s="336"/>
      <c r="J1225" s="336"/>
      <c r="K1225" s="337"/>
    </row>
    <row r="1226" spans="1:11" ht="15" thickTop="1" x14ac:dyDescent="0.35">
      <c r="A1226" s="267" t="s">
        <v>159</v>
      </c>
      <c r="B1226" s="267" t="s">
        <v>299</v>
      </c>
      <c r="C1226" s="267" t="s">
        <v>307</v>
      </c>
      <c r="D1226" s="267" t="s">
        <v>301</v>
      </c>
      <c r="E1226" s="268" t="s">
        <v>308</v>
      </c>
      <c r="G1226" s="267" t="s">
        <v>159</v>
      </c>
      <c r="H1226" s="267" t="s">
        <v>299</v>
      </c>
      <c r="I1226" s="267" t="s">
        <v>307</v>
      </c>
      <c r="J1226" s="267" t="s">
        <v>301</v>
      </c>
      <c r="K1226" s="268" t="s">
        <v>308</v>
      </c>
    </row>
    <row r="1227" spans="1:11" x14ac:dyDescent="0.35">
      <c r="A1227" s="269" t="s">
        <v>316</v>
      </c>
      <c r="B1227" s="270">
        <v>140</v>
      </c>
      <c r="C1227" s="270"/>
      <c r="D1227" s="270"/>
      <c r="E1227" s="270"/>
      <c r="G1227" s="269" t="s">
        <v>316</v>
      </c>
      <c r="H1227" s="270"/>
      <c r="I1227" s="270"/>
      <c r="J1227" s="270"/>
      <c r="K1227" s="270"/>
    </row>
    <row r="1228" spans="1:11" x14ac:dyDescent="0.35">
      <c r="A1228" s="271" t="s">
        <v>507</v>
      </c>
      <c r="B1228" s="272">
        <v>50</v>
      </c>
      <c r="C1228" s="272"/>
      <c r="D1228" s="272"/>
      <c r="E1228" s="272"/>
      <c r="G1228" s="271" t="s">
        <v>309</v>
      </c>
      <c r="H1228" s="272"/>
      <c r="I1228" s="272"/>
      <c r="J1228" s="272"/>
      <c r="K1228" s="272"/>
    </row>
    <row r="1229" spans="1:11" x14ac:dyDescent="0.35">
      <c r="A1229" s="269" t="s">
        <v>310</v>
      </c>
      <c r="B1229" s="270"/>
      <c r="C1229" s="270"/>
      <c r="D1229" s="270"/>
      <c r="E1229" s="270"/>
      <c r="G1229" s="269" t="s">
        <v>310</v>
      </c>
      <c r="H1229" s="270"/>
      <c r="I1229" s="270"/>
      <c r="J1229" s="270"/>
      <c r="K1229" s="270"/>
    </row>
    <row r="1230" spans="1:11" x14ac:dyDescent="0.35">
      <c r="A1230" s="271" t="s">
        <v>317</v>
      </c>
      <c r="B1230" s="272"/>
      <c r="C1230" s="272"/>
      <c r="D1230" s="272"/>
      <c r="E1230" s="272"/>
      <c r="G1230" s="271" t="s">
        <v>317</v>
      </c>
      <c r="H1230" s="272"/>
      <c r="I1230" s="272"/>
      <c r="J1230" s="272"/>
      <c r="K1230" s="272"/>
    </row>
    <row r="1231" spans="1:11" x14ac:dyDescent="0.35">
      <c r="A1231" s="269" t="s">
        <v>311</v>
      </c>
      <c r="B1231" s="270"/>
      <c r="C1231" s="270"/>
      <c r="D1231" s="270"/>
      <c r="E1231" s="270"/>
      <c r="G1231" s="269" t="s">
        <v>311</v>
      </c>
      <c r="H1231" s="270"/>
      <c r="I1231" s="270"/>
      <c r="J1231" s="270"/>
      <c r="K1231" s="270"/>
    </row>
    <row r="1232" spans="1:11" x14ac:dyDescent="0.35">
      <c r="A1232" s="271" t="s">
        <v>312</v>
      </c>
      <c r="B1232" s="272">
        <v>1000</v>
      </c>
      <c r="C1232" s="272"/>
      <c r="D1232" s="272"/>
      <c r="E1232" s="272"/>
      <c r="G1232" s="271" t="s">
        <v>312</v>
      </c>
      <c r="H1232" s="272"/>
      <c r="I1232" s="272"/>
      <c r="J1232" s="272"/>
      <c r="K1232" s="272"/>
    </row>
    <row r="1233" spans="1:11" x14ac:dyDescent="0.35">
      <c r="A1233" s="231" t="s">
        <v>34</v>
      </c>
      <c r="B1233" s="230">
        <f>SUM(B1227:B1232)</f>
        <v>1190</v>
      </c>
      <c r="C1233" s="230">
        <f>SUM(C1227:C1232)</f>
        <v>0</v>
      </c>
      <c r="D1233" s="230">
        <f>SUM(D1227:D1232)</f>
        <v>0</v>
      </c>
      <c r="E1233" s="230">
        <f>SUM(E1227:E1232)</f>
        <v>0</v>
      </c>
      <c r="G1233" s="231" t="s">
        <v>34</v>
      </c>
      <c r="H1233" s="230">
        <f>SUM(H1227:H1232)</f>
        <v>0</v>
      </c>
      <c r="I1233" s="230">
        <f>SUM(I1227:I1232)</f>
        <v>0</v>
      </c>
      <c r="J1233" s="230">
        <f>SUM(J1227:J1232)</f>
        <v>0</v>
      </c>
      <c r="K1233" s="230">
        <f>SUM(K1227:K1232)</f>
        <v>0</v>
      </c>
    </row>
    <row r="1234" spans="1:11" ht="15" thickBot="1" x14ac:dyDescent="0.4">
      <c r="A1234" s="231" t="s">
        <v>313</v>
      </c>
      <c r="B1234" s="230">
        <f>+B1233+C1233+D1233+E1233</f>
        <v>1190</v>
      </c>
      <c r="C1234" s="230"/>
      <c r="D1234" s="230"/>
      <c r="E1234" s="230"/>
      <c r="G1234" s="231" t="s">
        <v>313</v>
      </c>
      <c r="H1234" s="230">
        <f>+H1233+I1233+J1233+K1233</f>
        <v>0</v>
      </c>
      <c r="I1234" s="230"/>
      <c r="J1234" s="230"/>
      <c r="K1234" s="230"/>
    </row>
    <row r="1235" spans="1:11" ht="15.5" thickTop="1" thickBot="1" x14ac:dyDescent="0.4">
      <c r="A1235" s="335" t="s">
        <v>298</v>
      </c>
      <c r="B1235" s="336"/>
      <c r="C1235" s="336"/>
      <c r="D1235" s="336"/>
      <c r="E1235" s="337"/>
      <c r="G1235" s="335" t="s">
        <v>298</v>
      </c>
      <c r="H1235" s="336"/>
      <c r="I1235" s="336"/>
      <c r="J1235" s="336"/>
      <c r="K1235" s="337"/>
    </row>
    <row r="1236" spans="1:11" ht="15.5" thickTop="1" thickBot="1" x14ac:dyDescent="0.4">
      <c r="A1236" s="338">
        <v>45404</v>
      </c>
      <c r="B1236" s="336"/>
      <c r="C1236" s="336"/>
      <c r="D1236" s="336"/>
      <c r="E1236" s="337"/>
      <c r="G1236" s="338">
        <v>45404</v>
      </c>
      <c r="H1236" s="336"/>
      <c r="I1236" s="336"/>
      <c r="J1236" s="336"/>
      <c r="K1236" s="337"/>
    </row>
    <row r="1237" spans="1:11" ht="15" thickTop="1" x14ac:dyDescent="0.35">
      <c r="A1237" s="267" t="s">
        <v>159</v>
      </c>
      <c r="B1237" s="267" t="s">
        <v>299</v>
      </c>
      <c r="C1237" s="267" t="s">
        <v>307</v>
      </c>
      <c r="D1237" s="267" t="s">
        <v>301</v>
      </c>
      <c r="E1237" s="268" t="s">
        <v>308</v>
      </c>
      <c r="G1237" s="267" t="s">
        <v>159</v>
      </c>
      <c r="H1237" s="267" t="s">
        <v>299</v>
      </c>
      <c r="I1237" s="267" t="s">
        <v>307</v>
      </c>
      <c r="J1237" s="267" t="s">
        <v>301</v>
      </c>
      <c r="K1237" s="268" t="s">
        <v>308</v>
      </c>
    </row>
    <row r="1238" spans="1:11" x14ac:dyDescent="0.35">
      <c r="A1238" s="269" t="s">
        <v>316</v>
      </c>
      <c r="B1238" s="270"/>
      <c r="C1238" s="270"/>
      <c r="D1238" s="270"/>
      <c r="E1238" s="270"/>
      <c r="G1238" s="269" t="s">
        <v>316</v>
      </c>
      <c r="H1238" s="270"/>
      <c r="I1238" s="270"/>
      <c r="J1238" s="270"/>
      <c r="K1238" s="270"/>
    </row>
    <row r="1239" spans="1:11" x14ac:dyDescent="0.35">
      <c r="A1239" s="271" t="s">
        <v>309</v>
      </c>
      <c r="B1239" s="272"/>
      <c r="C1239" s="272"/>
      <c r="D1239" s="272"/>
      <c r="E1239" s="272"/>
      <c r="G1239" s="271" t="s">
        <v>309</v>
      </c>
      <c r="H1239" s="272"/>
      <c r="I1239" s="272"/>
      <c r="J1239" s="272"/>
      <c r="K1239" s="272"/>
    </row>
    <row r="1240" spans="1:11" x14ac:dyDescent="0.35">
      <c r="A1240" s="269" t="s">
        <v>310</v>
      </c>
      <c r="B1240" s="270"/>
      <c r="C1240" s="270"/>
      <c r="D1240" s="270"/>
      <c r="E1240" s="270"/>
      <c r="G1240" s="269" t="s">
        <v>310</v>
      </c>
      <c r="H1240" s="270"/>
      <c r="I1240" s="270"/>
      <c r="J1240" s="270"/>
      <c r="K1240" s="270"/>
    </row>
    <row r="1241" spans="1:11" x14ac:dyDescent="0.35">
      <c r="A1241" s="271" t="s">
        <v>317</v>
      </c>
      <c r="B1241" s="272"/>
      <c r="C1241" s="272"/>
      <c r="D1241" s="272"/>
      <c r="E1241" s="272"/>
      <c r="G1241" s="271" t="s">
        <v>317</v>
      </c>
      <c r="H1241" s="272"/>
      <c r="I1241" s="272"/>
      <c r="J1241" s="272"/>
      <c r="K1241" s="272"/>
    </row>
    <row r="1242" spans="1:11" x14ac:dyDescent="0.35">
      <c r="A1242" s="269" t="s">
        <v>311</v>
      </c>
      <c r="B1242" s="270"/>
      <c r="C1242" s="270"/>
      <c r="D1242" s="270"/>
      <c r="E1242" s="270"/>
      <c r="G1242" s="269" t="s">
        <v>311</v>
      </c>
      <c r="H1242" s="270"/>
      <c r="I1242" s="270"/>
      <c r="J1242" s="270"/>
      <c r="K1242" s="270"/>
    </row>
    <row r="1243" spans="1:11" x14ac:dyDescent="0.35">
      <c r="A1243" s="271" t="s">
        <v>312</v>
      </c>
      <c r="B1243" s="272"/>
      <c r="C1243" s="272"/>
      <c r="D1243" s="272"/>
      <c r="E1243" s="272"/>
      <c r="G1243" s="271" t="s">
        <v>312</v>
      </c>
      <c r="H1243" s="272"/>
      <c r="I1243" s="272"/>
      <c r="J1243" s="272"/>
      <c r="K1243" s="272"/>
    </row>
    <row r="1244" spans="1:11" x14ac:dyDescent="0.35">
      <c r="A1244" s="231" t="s">
        <v>34</v>
      </c>
      <c r="B1244" s="230">
        <f>SUM(B1238:B1243)</f>
        <v>0</v>
      </c>
      <c r="C1244" s="230">
        <f>SUM(C1238:C1243)</f>
        <v>0</v>
      </c>
      <c r="D1244" s="230">
        <f>SUM(D1238:D1243)</f>
        <v>0</v>
      </c>
      <c r="E1244" s="230">
        <f>SUM(E1238:E1243)</f>
        <v>0</v>
      </c>
      <c r="G1244" s="231" t="s">
        <v>34</v>
      </c>
      <c r="H1244" s="230">
        <f>SUM(H1238:H1243)</f>
        <v>0</v>
      </c>
      <c r="I1244" s="230">
        <f>SUM(I1238:I1243)</f>
        <v>0</v>
      </c>
      <c r="J1244" s="230">
        <f>SUM(J1238:J1243)</f>
        <v>0</v>
      </c>
      <c r="K1244" s="230">
        <f>SUM(K1238:K1243)</f>
        <v>0</v>
      </c>
    </row>
    <row r="1245" spans="1:11" ht="15" thickBot="1" x14ac:dyDescent="0.4">
      <c r="A1245" s="231" t="s">
        <v>313</v>
      </c>
      <c r="B1245" s="230">
        <f>+B1244+C1244+D1244+E1244</f>
        <v>0</v>
      </c>
      <c r="C1245" s="230"/>
      <c r="D1245" s="230"/>
      <c r="E1245" s="230"/>
      <c r="G1245" s="231" t="s">
        <v>313</v>
      </c>
      <c r="H1245" s="230">
        <f>+H1244+I1244+J1244+K1244</f>
        <v>0</v>
      </c>
      <c r="I1245" s="230"/>
      <c r="J1245" s="230"/>
      <c r="K1245" s="230"/>
    </row>
    <row r="1246" spans="1:11" ht="15.5" thickTop="1" thickBot="1" x14ac:dyDescent="0.4">
      <c r="A1246" s="335" t="s">
        <v>298</v>
      </c>
      <c r="B1246" s="336"/>
      <c r="C1246" s="336"/>
      <c r="D1246" s="336"/>
      <c r="E1246" s="337"/>
      <c r="G1246" s="335" t="s">
        <v>298</v>
      </c>
      <c r="H1246" s="336"/>
      <c r="I1246" s="336"/>
      <c r="J1246" s="336"/>
      <c r="K1246" s="337"/>
    </row>
    <row r="1247" spans="1:11" ht="15.5" thickTop="1" thickBot="1" x14ac:dyDescent="0.4">
      <c r="A1247" s="338">
        <v>45405</v>
      </c>
      <c r="B1247" s="336"/>
      <c r="C1247" s="336"/>
      <c r="D1247" s="336"/>
      <c r="E1247" s="337"/>
      <c r="G1247" s="338">
        <v>45405</v>
      </c>
      <c r="H1247" s="336"/>
      <c r="I1247" s="336"/>
      <c r="J1247" s="336"/>
      <c r="K1247" s="337"/>
    </row>
    <row r="1248" spans="1:11" ht="15" thickTop="1" x14ac:dyDescent="0.35">
      <c r="A1248" s="267" t="s">
        <v>159</v>
      </c>
      <c r="B1248" s="267" t="s">
        <v>299</v>
      </c>
      <c r="C1248" s="267" t="s">
        <v>307</v>
      </c>
      <c r="D1248" s="267" t="s">
        <v>301</v>
      </c>
      <c r="E1248" s="268" t="s">
        <v>308</v>
      </c>
      <c r="G1248" s="267" t="s">
        <v>159</v>
      </c>
      <c r="H1248" s="267" t="s">
        <v>299</v>
      </c>
      <c r="I1248" s="267" t="s">
        <v>307</v>
      </c>
      <c r="J1248" s="267" t="s">
        <v>301</v>
      </c>
      <c r="K1248" s="268" t="s">
        <v>308</v>
      </c>
    </row>
    <row r="1249" spans="1:11" x14ac:dyDescent="0.35">
      <c r="A1249" s="269" t="s">
        <v>316</v>
      </c>
      <c r="B1249" s="270"/>
      <c r="C1249" s="270"/>
      <c r="D1249" s="270"/>
      <c r="E1249" s="270"/>
      <c r="G1249" s="269" t="s">
        <v>367</v>
      </c>
      <c r="H1249" s="270">
        <v>120</v>
      </c>
      <c r="I1249" s="270"/>
      <c r="J1249" s="270"/>
      <c r="K1249" s="270"/>
    </row>
    <row r="1250" spans="1:11" x14ac:dyDescent="0.35">
      <c r="A1250" s="271" t="s">
        <v>309</v>
      </c>
      <c r="B1250" s="272"/>
      <c r="C1250" s="272"/>
      <c r="D1250" s="272"/>
      <c r="E1250" s="272"/>
      <c r="G1250" s="271" t="s">
        <v>309</v>
      </c>
      <c r="H1250" s="272"/>
      <c r="I1250" s="272"/>
      <c r="J1250" s="272"/>
      <c r="K1250" s="272"/>
    </row>
    <row r="1251" spans="1:11" x14ac:dyDescent="0.35">
      <c r="A1251" s="269" t="s">
        <v>310</v>
      </c>
      <c r="B1251" s="270">
        <v>5000</v>
      </c>
      <c r="C1251" s="270"/>
      <c r="D1251" s="270"/>
      <c r="E1251" s="270"/>
      <c r="G1251" s="269" t="s">
        <v>310</v>
      </c>
      <c r="H1251" s="270"/>
      <c r="I1251" s="270"/>
      <c r="J1251" s="270"/>
      <c r="K1251" s="270"/>
    </row>
    <row r="1252" spans="1:11" x14ac:dyDescent="0.35">
      <c r="A1252" s="271" t="s">
        <v>317</v>
      </c>
      <c r="B1252" s="272"/>
      <c r="C1252" s="272"/>
      <c r="D1252" s="272"/>
      <c r="E1252" s="272"/>
      <c r="G1252" s="271" t="s">
        <v>317</v>
      </c>
      <c r="H1252" s="272"/>
      <c r="I1252" s="272"/>
      <c r="J1252" s="272"/>
      <c r="K1252" s="272"/>
    </row>
    <row r="1253" spans="1:11" x14ac:dyDescent="0.35">
      <c r="A1253" s="269" t="s">
        <v>311</v>
      </c>
      <c r="B1253" s="270"/>
      <c r="C1253" s="270"/>
      <c r="D1253" s="270"/>
      <c r="E1253" s="270"/>
      <c r="G1253" s="269" t="s">
        <v>311</v>
      </c>
      <c r="H1253" s="270"/>
      <c r="I1253" s="270"/>
      <c r="J1253" s="270"/>
      <c r="K1253" s="270"/>
    </row>
    <row r="1254" spans="1:11" x14ac:dyDescent="0.35">
      <c r="A1254" s="271" t="s">
        <v>312</v>
      </c>
      <c r="B1254" s="272">
        <v>2000</v>
      </c>
      <c r="C1254" s="272"/>
      <c r="D1254" s="272"/>
      <c r="E1254" s="272"/>
      <c r="G1254" s="271" t="s">
        <v>312</v>
      </c>
      <c r="H1254" s="272"/>
      <c r="I1254" s="272"/>
      <c r="J1254" s="272"/>
      <c r="K1254" s="272"/>
    </row>
    <row r="1255" spans="1:11" x14ac:dyDescent="0.35">
      <c r="A1255" s="231" t="s">
        <v>34</v>
      </c>
      <c r="B1255" s="230">
        <f>SUM(B1249:B1254)</f>
        <v>7000</v>
      </c>
      <c r="C1255" s="230">
        <f>SUM(C1249:C1254)</f>
        <v>0</v>
      </c>
      <c r="D1255" s="230">
        <f>SUM(D1249:D1254)</f>
        <v>0</v>
      </c>
      <c r="E1255" s="230">
        <f>SUM(E1249:E1254)</f>
        <v>0</v>
      </c>
      <c r="G1255" s="231" t="s">
        <v>34</v>
      </c>
      <c r="H1255" s="230">
        <f>SUM(H1249:H1254)</f>
        <v>120</v>
      </c>
      <c r="I1255" s="230">
        <f>SUM(I1249:I1254)</f>
        <v>0</v>
      </c>
      <c r="J1255" s="230">
        <f>SUM(J1249:J1254)</f>
        <v>0</v>
      </c>
      <c r="K1255" s="230">
        <f>SUM(K1249:K1254)</f>
        <v>0</v>
      </c>
    </row>
    <row r="1256" spans="1:11" ht="15" thickBot="1" x14ac:dyDescent="0.4">
      <c r="A1256" s="231" t="s">
        <v>313</v>
      </c>
      <c r="B1256" s="230">
        <f>+B1255+C1255+D1255+E1255</f>
        <v>7000</v>
      </c>
      <c r="C1256" s="230"/>
      <c r="D1256" s="230"/>
      <c r="E1256" s="230"/>
      <c r="G1256" s="231" t="s">
        <v>313</v>
      </c>
      <c r="H1256" s="230">
        <f>+H1255+I1255+J1255+K1255</f>
        <v>120</v>
      </c>
      <c r="I1256" s="230"/>
      <c r="J1256" s="230"/>
      <c r="K1256" s="230"/>
    </row>
    <row r="1257" spans="1:11" ht="15.5" thickTop="1" thickBot="1" x14ac:dyDescent="0.4">
      <c r="A1257" s="335" t="s">
        <v>298</v>
      </c>
      <c r="B1257" s="336"/>
      <c r="C1257" s="336"/>
      <c r="D1257" s="336"/>
      <c r="E1257" s="337"/>
      <c r="G1257" s="335" t="s">
        <v>298</v>
      </c>
      <c r="H1257" s="336"/>
      <c r="I1257" s="336"/>
      <c r="J1257" s="336"/>
      <c r="K1257" s="337"/>
    </row>
    <row r="1258" spans="1:11" ht="15.5" thickTop="1" thickBot="1" x14ac:dyDescent="0.4">
      <c r="A1258" s="338">
        <v>45406</v>
      </c>
      <c r="B1258" s="336"/>
      <c r="C1258" s="336"/>
      <c r="D1258" s="336"/>
      <c r="E1258" s="337"/>
      <c r="G1258" s="338">
        <v>45406</v>
      </c>
      <c r="H1258" s="336"/>
      <c r="I1258" s="336"/>
      <c r="J1258" s="336"/>
      <c r="K1258" s="337"/>
    </row>
    <row r="1259" spans="1:11" ht="15" thickTop="1" x14ac:dyDescent="0.35">
      <c r="A1259" s="267" t="s">
        <v>159</v>
      </c>
      <c r="B1259" s="267" t="s">
        <v>299</v>
      </c>
      <c r="C1259" s="267" t="s">
        <v>307</v>
      </c>
      <c r="D1259" s="267" t="s">
        <v>301</v>
      </c>
      <c r="E1259" s="268" t="s">
        <v>308</v>
      </c>
      <c r="G1259" s="267" t="s">
        <v>159</v>
      </c>
      <c r="H1259" s="267" t="s">
        <v>299</v>
      </c>
      <c r="I1259" s="267" t="s">
        <v>307</v>
      </c>
      <c r="J1259" s="267" t="s">
        <v>301</v>
      </c>
      <c r="K1259" s="268" t="s">
        <v>308</v>
      </c>
    </row>
    <row r="1260" spans="1:11" x14ac:dyDescent="0.35">
      <c r="A1260" s="269" t="s">
        <v>316</v>
      </c>
      <c r="B1260" s="270">
        <v>240</v>
      </c>
      <c r="C1260" s="270"/>
      <c r="D1260" s="270"/>
      <c r="E1260" s="270"/>
      <c r="G1260" s="269" t="s">
        <v>316</v>
      </c>
      <c r="H1260" s="270"/>
      <c r="I1260" s="270"/>
      <c r="J1260" s="270"/>
      <c r="K1260" s="270"/>
    </row>
    <row r="1261" spans="1:11" x14ac:dyDescent="0.35">
      <c r="A1261" s="271" t="s">
        <v>309</v>
      </c>
      <c r="B1261" s="272"/>
      <c r="C1261" s="272"/>
      <c r="D1261" s="272"/>
      <c r="E1261" s="272"/>
      <c r="G1261" s="271" t="s">
        <v>309</v>
      </c>
      <c r="H1261" s="272"/>
      <c r="I1261" s="272"/>
      <c r="J1261" s="272"/>
      <c r="K1261" s="272"/>
    </row>
    <row r="1262" spans="1:11" x14ac:dyDescent="0.35">
      <c r="A1262" s="269" t="s">
        <v>310</v>
      </c>
      <c r="B1262" s="270"/>
      <c r="C1262" s="270"/>
      <c r="D1262" s="270"/>
      <c r="E1262" s="270"/>
      <c r="G1262" s="269" t="s">
        <v>310</v>
      </c>
      <c r="H1262" s="270"/>
      <c r="I1262" s="270"/>
      <c r="J1262" s="270"/>
      <c r="K1262" s="270"/>
    </row>
    <row r="1263" spans="1:11" x14ac:dyDescent="0.35">
      <c r="A1263" s="271" t="s">
        <v>317</v>
      </c>
      <c r="B1263" s="272"/>
      <c r="C1263" s="272"/>
      <c r="D1263" s="272"/>
      <c r="E1263" s="272"/>
      <c r="G1263" s="271" t="s">
        <v>317</v>
      </c>
      <c r="H1263" s="272"/>
      <c r="I1263" s="272"/>
      <c r="J1263" s="272"/>
      <c r="K1263" s="272"/>
    </row>
    <row r="1264" spans="1:11" x14ac:dyDescent="0.35">
      <c r="A1264" s="269" t="s">
        <v>311</v>
      </c>
      <c r="B1264" s="270"/>
      <c r="C1264" s="270"/>
      <c r="D1264" s="270"/>
      <c r="E1264" s="270"/>
      <c r="G1264" s="269" t="s">
        <v>311</v>
      </c>
      <c r="H1264" s="270"/>
      <c r="I1264" s="270"/>
      <c r="J1264" s="270"/>
      <c r="K1264" s="270"/>
    </row>
    <row r="1265" spans="1:11" x14ac:dyDescent="0.35">
      <c r="A1265" s="271" t="s">
        <v>312</v>
      </c>
      <c r="B1265" s="272"/>
      <c r="C1265" s="272"/>
      <c r="D1265" s="272"/>
      <c r="E1265" s="272"/>
      <c r="G1265" s="271" t="s">
        <v>312</v>
      </c>
      <c r="H1265" s="272"/>
      <c r="I1265" s="272"/>
      <c r="J1265" s="272"/>
      <c r="K1265" s="272"/>
    </row>
    <row r="1266" spans="1:11" x14ac:dyDescent="0.35">
      <c r="A1266" s="231" t="s">
        <v>34</v>
      </c>
      <c r="B1266" s="230">
        <f>SUM(B1260:B1265)</f>
        <v>240</v>
      </c>
      <c r="C1266" s="230">
        <f>SUM(C1260:C1265)</f>
        <v>0</v>
      </c>
      <c r="D1266" s="230">
        <f>SUM(D1260:D1265)</f>
        <v>0</v>
      </c>
      <c r="E1266" s="230">
        <f>SUM(E1260:E1265)</f>
        <v>0</v>
      </c>
      <c r="G1266" s="231" t="s">
        <v>34</v>
      </c>
      <c r="H1266" s="230">
        <f>SUM(H1260:H1265)</f>
        <v>0</v>
      </c>
      <c r="I1266" s="230">
        <f>SUM(I1260:I1265)</f>
        <v>0</v>
      </c>
      <c r="J1266" s="230">
        <f>SUM(J1260:J1265)</f>
        <v>0</v>
      </c>
      <c r="K1266" s="230">
        <f>SUM(K1260:K1265)</f>
        <v>0</v>
      </c>
    </row>
    <row r="1267" spans="1:11" ht="15" thickBot="1" x14ac:dyDescent="0.4">
      <c r="A1267" s="231" t="s">
        <v>313</v>
      </c>
      <c r="B1267" s="230">
        <f>+B1266+C1266+D1266+E1266</f>
        <v>240</v>
      </c>
      <c r="C1267" s="230"/>
      <c r="D1267" s="230"/>
      <c r="E1267" s="230"/>
      <c r="G1267" s="231" t="s">
        <v>313</v>
      </c>
      <c r="H1267" s="230">
        <f>+H1266+I1266+J1266+K1266</f>
        <v>0</v>
      </c>
      <c r="I1267" s="230"/>
      <c r="J1267" s="230"/>
      <c r="K1267" s="230"/>
    </row>
    <row r="1268" spans="1:11" ht="15.5" thickTop="1" thickBot="1" x14ac:dyDescent="0.4">
      <c r="A1268" s="335" t="s">
        <v>298</v>
      </c>
      <c r="B1268" s="336"/>
      <c r="C1268" s="336"/>
      <c r="D1268" s="336"/>
      <c r="E1268" s="337"/>
      <c r="G1268" s="335" t="s">
        <v>298</v>
      </c>
      <c r="H1268" s="336"/>
      <c r="I1268" s="336"/>
      <c r="J1268" s="336"/>
      <c r="K1268" s="337"/>
    </row>
    <row r="1269" spans="1:11" ht="15.5" thickTop="1" thickBot="1" x14ac:dyDescent="0.4">
      <c r="A1269" s="338">
        <v>45407</v>
      </c>
      <c r="B1269" s="336"/>
      <c r="C1269" s="336"/>
      <c r="D1269" s="336"/>
      <c r="E1269" s="337"/>
      <c r="G1269" s="338">
        <v>45407</v>
      </c>
      <c r="H1269" s="336"/>
      <c r="I1269" s="336"/>
      <c r="J1269" s="336"/>
      <c r="K1269" s="337"/>
    </row>
    <row r="1270" spans="1:11" ht="15" thickTop="1" x14ac:dyDescent="0.35">
      <c r="A1270" s="267" t="s">
        <v>159</v>
      </c>
      <c r="B1270" s="267" t="s">
        <v>299</v>
      </c>
      <c r="C1270" s="267" t="s">
        <v>307</v>
      </c>
      <c r="D1270" s="267" t="s">
        <v>301</v>
      </c>
      <c r="E1270" s="268" t="s">
        <v>308</v>
      </c>
      <c r="G1270" s="267" t="s">
        <v>159</v>
      </c>
      <c r="H1270" s="267" t="s">
        <v>299</v>
      </c>
      <c r="I1270" s="267" t="s">
        <v>307</v>
      </c>
      <c r="J1270" s="267" t="s">
        <v>301</v>
      </c>
      <c r="K1270" s="268" t="s">
        <v>308</v>
      </c>
    </row>
    <row r="1271" spans="1:11" x14ac:dyDescent="0.35">
      <c r="A1271" s="269" t="s">
        <v>316</v>
      </c>
      <c r="B1271" s="270">
        <v>240</v>
      </c>
      <c r="C1271" s="270"/>
      <c r="D1271" s="270"/>
      <c r="E1271" s="270"/>
      <c r="G1271" s="269" t="s">
        <v>316</v>
      </c>
      <c r="H1271" s="270">
        <v>260</v>
      </c>
      <c r="I1271" s="270"/>
      <c r="J1271" s="270"/>
      <c r="K1271" s="270"/>
    </row>
    <row r="1272" spans="1:11" x14ac:dyDescent="0.35">
      <c r="A1272" s="271" t="s">
        <v>309</v>
      </c>
      <c r="B1272" s="272"/>
      <c r="C1272" s="272"/>
      <c r="D1272" s="272"/>
      <c r="E1272" s="272"/>
      <c r="G1272" s="271" t="s">
        <v>309</v>
      </c>
      <c r="H1272" s="272"/>
      <c r="I1272" s="272"/>
      <c r="J1272" s="272"/>
      <c r="K1272" s="272"/>
    </row>
    <row r="1273" spans="1:11" x14ac:dyDescent="0.35">
      <c r="A1273" s="269" t="s">
        <v>310</v>
      </c>
      <c r="B1273" s="270">
        <v>1150</v>
      </c>
      <c r="C1273" s="270"/>
      <c r="D1273" s="270"/>
      <c r="E1273" s="270"/>
      <c r="G1273" s="269" t="s">
        <v>310</v>
      </c>
      <c r="H1273" s="270"/>
      <c r="I1273" s="270"/>
      <c r="J1273" s="270"/>
      <c r="K1273" s="270"/>
    </row>
    <row r="1274" spans="1:11" x14ac:dyDescent="0.35">
      <c r="A1274" s="271" t="s">
        <v>317</v>
      </c>
      <c r="B1274" s="272"/>
      <c r="C1274" s="272"/>
      <c r="D1274" s="272"/>
      <c r="E1274" s="272"/>
      <c r="G1274" s="271" t="s">
        <v>317</v>
      </c>
      <c r="H1274" s="272"/>
      <c r="I1274" s="272"/>
      <c r="J1274" s="272"/>
      <c r="K1274" s="272"/>
    </row>
    <row r="1275" spans="1:11" x14ac:dyDescent="0.35">
      <c r="A1275" s="269" t="s">
        <v>311</v>
      </c>
      <c r="B1275" s="270"/>
      <c r="C1275" s="270"/>
      <c r="D1275" s="270"/>
      <c r="E1275" s="270"/>
      <c r="G1275" s="269" t="s">
        <v>311</v>
      </c>
      <c r="H1275" s="270"/>
      <c r="I1275" s="270"/>
      <c r="J1275" s="270"/>
      <c r="K1275" s="270"/>
    </row>
    <row r="1276" spans="1:11" x14ac:dyDescent="0.35">
      <c r="A1276" s="271" t="s">
        <v>312</v>
      </c>
      <c r="B1276" s="272">
        <v>366</v>
      </c>
      <c r="C1276" s="272"/>
      <c r="D1276" s="272"/>
      <c r="E1276" s="272"/>
      <c r="G1276" s="271" t="s">
        <v>312</v>
      </c>
      <c r="H1276" s="272"/>
      <c r="I1276" s="272"/>
      <c r="J1276" s="272"/>
      <c r="K1276" s="272"/>
    </row>
    <row r="1277" spans="1:11" x14ac:dyDescent="0.35">
      <c r="A1277" s="231" t="s">
        <v>34</v>
      </c>
      <c r="B1277" s="230">
        <f>SUM(B1271:B1276)</f>
        <v>1756</v>
      </c>
      <c r="C1277" s="230">
        <f>SUM(C1271:C1276)</f>
        <v>0</v>
      </c>
      <c r="D1277" s="230">
        <f>SUM(D1271:D1276)</f>
        <v>0</v>
      </c>
      <c r="E1277" s="230">
        <f>SUM(E1271:E1276)</f>
        <v>0</v>
      </c>
      <c r="G1277" s="231" t="s">
        <v>34</v>
      </c>
      <c r="H1277" s="230">
        <f>SUM(H1271:H1276)</f>
        <v>260</v>
      </c>
      <c r="I1277" s="230">
        <f>SUM(I1271:I1276)</f>
        <v>0</v>
      </c>
      <c r="J1277" s="230">
        <f>SUM(J1271:J1276)</f>
        <v>0</v>
      </c>
      <c r="K1277" s="230">
        <f>SUM(K1271:K1276)</f>
        <v>0</v>
      </c>
    </row>
    <row r="1278" spans="1:11" ht="15" thickBot="1" x14ac:dyDescent="0.4">
      <c r="A1278" s="231" t="s">
        <v>313</v>
      </c>
      <c r="B1278" s="230">
        <f>+B1277+C1277+D1277+E1277</f>
        <v>1756</v>
      </c>
      <c r="C1278" s="230"/>
      <c r="D1278" s="230"/>
      <c r="E1278" s="230"/>
      <c r="G1278" s="231" t="s">
        <v>313</v>
      </c>
      <c r="H1278" s="230">
        <f>+H1277+I1277+J1277+K1277</f>
        <v>260</v>
      </c>
      <c r="I1278" s="230"/>
      <c r="J1278" s="230"/>
      <c r="K1278" s="230"/>
    </row>
    <row r="1279" spans="1:11" ht="15.5" thickTop="1" thickBot="1" x14ac:dyDescent="0.4">
      <c r="A1279" s="335" t="s">
        <v>298</v>
      </c>
      <c r="B1279" s="336"/>
      <c r="C1279" s="336"/>
      <c r="D1279" s="336"/>
      <c r="E1279" s="337"/>
      <c r="G1279" s="335" t="s">
        <v>298</v>
      </c>
      <c r="H1279" s="336"/>
      <c r="I1279" s="336"/>
      <c r="J1279" s="336"/>
      <c r="K1279" s="337"/>
    </row>
    <row r="1280" spans="1:11" ht="15.5" thickTop="1" thickBot="1" x14ac:dyDescent="0.4">
      <c r="A1280" s="338">
        <v>45408</v>
      </c>
      <c r="B1280" s="336"/>
      <c r="C1280" s="336"/>
      <c r="D1280" s="336"/>
      <c r="E1280" s="337"/>
      <c r="G1280" s="338">
        <v>45408</v>
      </c>
      <c r="H1280" s="336"/>
      <c r="I1280" s="336"/>
      <c r="J1280" s="336"/>
      <c r="K1280" s="337"/>
    </row>
    <row r="1281" spans="1:11" ht="15" thickTop="1" x14ac:dyDescent="0.35">
      <c r="A1281" s="267" t="s">
        <v>159</v>
      </c>
      <c r="B1281" s="267" t="s">
        <v>299</v>
      </c>
      <c r="C1281" s="267" t="s">
        <v>307</v>
      </c>
      <c r="D1281" s="267" t="s">
        <v>301</v>
      </c>
      <c r="E1281" s="268" t="s">
        <v>308</v>
      </c>
      <c r="G1281" s="267" t="s">
        <v>159</v>
      </c>
      <c r="H1281" s="267" t="s">
        <v>299</v>
      </c>
      <c r="I1281" s="267" t="s">
        <v>307</v>
      </c>
      <c r="J1281" s="267" t="s">
        <v>301</v>
      </c>
      <c r="K1281" s="268" t="s">
        <v>308</v>
      </c>
    </row>
    <row r="1282" spans="1:11" x14ac:dyDescent="0.35">
      <c r="A1282" s="269" t="s">
        <v>316</v>
      </c>
      <c r="B1282" s="270">
        <v>160</v>
      </c>
      <c r="C1282" s="270"/>
      <c r="D1282" s="270"/>
      <c r="E1282" s="270"/>
      <c r="G1282" s="269" t="s">
        <v>379</v>
      </c>
      <c r="H1282" s="270">
        <v>1400</v>
      </c>
      <c r="I1282" s="270"/>
      <c r="J1282" s="270"/>
      <c r="K1282" s="270"/>
    </row>
    <row r="1283" spans="1:11" x14ac:dyDescent="0.35">
      <c r="A1283" s="271" t="s">
        <v>367</v>
      </c>
      <c r="B1283" s="272">
        <v>20</v>
      </c>
      <c r="C1283" s="272"/>
      <c r="D1283" s="272"/>
      <c r="E1283" s="272"/>
      <c r="G1283" s="271" t="s">
        <v>363</v>
      </c>
      <c r="H1283" s="272">
        <v>160</v>
      </c>
      <c r="I1283" s="272"/>
      <c r="J1283" s="272"/>
      <c r="K1283" s="272"/>
    </row>
    <row r="1284" spans="1:11" x14ac:dyDescent="0.35">
      <c r="A1284" s="269" t="s">
        <v>508</v>
      </c>
      <c r="B1284" s="270">
        <v>1600</v>
      </c>
      <c r="C1284" s="270"/>
      <c r="D1284" s="270"/>
      <c r="E1284" s="270"/>
      <c r="G1284" s="269" t="s">
        <v>310</v>
      </c>
      <c r="H1284" s="270"/>
      <c r="I1284" s="270"/>
      <c r="J1284" s="270"/>
      <c r="K1284" s="270"/>
    </row>
    <row r="1285" spans="1:11" x14ac:dyDescent="0.35">
      <c r="A1285" s="271" t="s">
        <v>379</v>
      </c>
      <c r="B1285" s="272">
        <v>2500</v>
      </c>
      <c r="C1285" s="272"/>
      <c r="D1285" s="272"/>
      <c r="E1285" s="272"/>
      <c r="G1285" s="271" t="s">
        <v>317</v>
      </c>
      <c r="H1285" s="272"/>
      <c r="I1285" s="272"/>
      <c r="J1285" s="272"/>
      <c r="K1285" s="272"/>
    </row>
    <row r="1286" spans="1:11" x14ac:dyDescent="0.35">
      <c r="A1286" s="269" t="s">
        <v>379</v>
      </c>
      <c r="B1286" s="270">
        <v>1700</v>
      </c>
      <c r="C1286" s="270"/>
      <c r="D1286" s="270"/>
      <c r="E1286" s="270"/>
      <c r="G1286" s="269" t="s">
        <v>311</v>
      </c>
      <c r="H1286" s="270"/>
      <c r="I1286" s="270"/>
      <c r="J1286" s="270"/>
      <c r="K1286" s="270"/>
    </row>
    <row r="1287" spans="1:11" x14ac:dyDescent="0.35">
      <c r="A1287" s="271" t="s">
        <v>312</v>
      </c>
      <c r="B1287" s="272">
        <v>7520</v>
      </c>
      <c r="C1287" s="272"/>
      <c r="D1287" s="272"/>
      <c r="E1287" s="272"/>
      <c r="G1287" s="271" t="s">
        <v>312</v>
      </c>
      <c r="H1287" s="272"/>
      <c r="I1287" s="272"/>
      <c r="J1287" s="272"/>
      <c r="K1287" s="272"/>
    </row>
    <row r="1288" spans="1:11" x14ac:dyDescent="0.35">
      <c r="A1288" s="231" t="s">
        <v>34</v>
      </c>
      <c r="B1288" s="230">
        <f>SUM(B1282:B1287)</f>
        <v>13500</v>
      </c>
      <c r="C1288" s="230">
        <f>SUM(C1282:C1287)</f>
        <v>0</v>
      </c>
      <c r="D1288" s="230">
        <f>SUM(D1282:D1287)</f>
        <v>0</v>
      </c>
      <c r="E1288" s="230">
        <f>SUM(E1282:E1287)</f>
        <v>0</v>
      </c>
      <c r="G1288" s="231" t="s">
        <v>34</v>
      </c>
      <c r="H1288" s="230">
        <f>SUM(H1282:H1287)</f>
        <v>1560</v>
      </c>
      <c r="I1288" s="230">
        <f>SUM(I1282:I1287)</f>
        <v>0</v>
      </c>
      <c r="J1288" s="230">
        <f>SUM(J1282:J1287)</f>
        <v>0</v>
      </c>
      <c r="K1288" s="230">
        <f>SUM(K1282:K1287)</f>
        <v>0</v>
      </c>
    </row>
    <row r="1289" spans="1:11" ht="15" thickBot="1" x14ac:dyDescent="0.4">
      <c r="A1289" s="231" t="s">
        <v>313</v>
      </c>
      <c r="B1289" s="230">
        <f>+B1288+C1288+D1288+E1288</f>
        <v>13500</v>
      </c>
      <c r="C1289" s="230"/>
      <c r="D1289" s="230"/>
      <c r="E1289" s="230"/>
      <c r="G1289" s="231" t="s">
        <v>313</v>
      </c>
      <c r="H1289" s="230">
        <f>+H1288+I1288+J1288+K1288</f>
        <v>1560</v>
      </c>
      <c r="I1289" s="230"/>
      <c r="J1289" s="230"/>
      <c r="K1289" s="230"/>
    </row>
    <row r="1290" spans="1:11" ht="15.5" thickTop="1" thickBot="1" x14ac:dyDescent="0.4">
      <c r="A1290" s="335" t="s">
        <v>298</v>
      </c>
      <c r="B1290" s="336"/>
      <c r="C1290" s="336"/>
      <c r="D1290" s="336"/>
      <c r="E1290" s="337"/>
      <c r="G1290" s="335" t="s">
        <v>298</v>
      </c>
      <c r="H1290" s="336"/>
      <c r="I1290" s="336"/>
      <c r="J1290" s="336"/>
      <c r="K1290" s="337"/>
    </row>
    <row r="1291" spans="1:11" ht="15.5" thickTop="1" thickBot="1" x14ac:dyDescent="0.4">
      <c r="A1291" s="338">
        <v>45409</v>
      </c>
      <c r="B1291" s="336"/>
      <c r="C1291" s="336"/>
      <c r="D1291" s="336"/>
      <c r="E1291" s="337"/>
      <c r="G1291" s="338">
        <v>45409</v>
      </c>
      <c r="H1291" s="336"/>
      <c r="I1291" s="336"/>
      <c r="J1291" s="336"/>
      <c r="K1291" s="337"/>
    </row>
    <row r="1292" spans="1:11" ht="15" thickTop="1" x14ac:dyDescent="0.35">
      <c r="A1292" s="267" t="s">
        <v>159</v>
      </c>
      <c r="B1292" s="267" t="s">
        <v>299</v>
      </c>
      <c r="C1292" s="267" t="s">
        <v>307</v>
      </c>
      <c r="D1292" s="267" t="s">
        <v>301</v>
      </c>
      <c r="E1292" s="268" t="s">
        <v>308</v>
      </c>
      <c r="G1292" s="267" t="s">
        <v>159</v>
      </c>
      <c r="H1292" s="267" t="s">
        <v>299</v>
      </c>
      <c r="I1292" s="267" t="s">
        <v>307</v>
      </c>
      <c r="J1292" s="267" t="s">
        <v>301</v>
      </c>
      <c r="K1292" s="268" t="s">
        <v>308</v>
      </c>
    </row>
    <row r="1293" spans="1:11" x14ac:dyDescent="0.35">
      <c r="A1293" s="269" t="s">
        <v>316</v>
      </c>
      <c r="B1293" s="270"/>
      <c r="C1293" s="270"/>
      <c r="D1293" s="270"/>
      <c r="E1293" s="270"/>
      <c r="G1293" s="269" t="s">
        <v>316</v>
      </c>
      <c r="H1293" s="270"/>
      <c r="I1293" s="270"/>
      <c r="J1293" s="270"/>
      <c r="K1293" s="270"/>
    </row>
    <row r="1294" spans="1:11" x14ac:dyDescent="0.35">
      <c r="A1294" s="271" t="s">
        <v>309</v>
      </c>
      <c r="B1294" s="272"/>
      <c r="C1294" s="272"/>
      <c r="D1294" s="272"/>
      <c r="E1294" s="272"/>
      <c r="G1294" s="271" t="s">
        <v>309</v>
      </c>
      <c r="H1294" s="272"/>
      <c r="I1294" s="272"/>
      <c r="J1294" s="272"/>
      <c r="K1294" s="272"/>
    </row>
    <row r="1295" spans="1:11" x14ac:dyDescent="0.35">
      <c r="A1295" s="269" t="s">
        <v>310</v>
      </c>
      <c r="B1295" s="270"/>
      <c r="C1295" s="270"/>
      <c r="D1295" s="270"/>
      <c r="E1295" s="270"/>
      <c r="G1295" s="269" t="s">
        <v>310</v>
      </c>
      <c r="H1295" s="270"/>
      <c r="I1295" s="270"/>
      <c r="J1295" s="270"/>
      <c r="K1295" s="270"/>
    </row>
    <row r="1296" spans="1:11" x14ac:dyDescent="0.35">
      <c r="A1296" s="271" t="s">
        <v>317</v>
      </c>
      <c r="B1296" s="272"/>
      <c r="C1296" s="272"/>
      <c r="D1296" s="272"/>
      <c r="E1296" s="272"/>
      <c r="G1296" s="271" t="s">
        <v>317</v>
      </c>
      <c r="H1296" s="272"/>
      <c r="I1296" s="272"/>
      <c r="J1296" s="272"/>
      <c r="K1296" s="272"/>
    </row>
    <row r="1297" spans="1:11" x14ac:dyDescent="0.35">
      <c r="A1297" s="269" t="s">
        <v>311</v>
      </c>
      <c r="B1297" s="270"/>
      <c r="C1297" s="270"/>
      <c r="D1297" s="270"/>
      <c r="E1297" s="270"/>
      <c r="G1297" s="269" t="s">
        <v>311</v>
      </c>
      <c r="H1297" s="270"/>
      <c r="I1297" s="270"/>
      <c r="J1297" s="270"/>
      <c r="K1297" s="270"/>
    </row>
    <row r="1298" spans="1:11" x14ac:dyDescent="0.35">
      <c r="A1298" s="271" t="s">
        <v>312</v>
      </c>
      <c r="B1298" s="272"/>
      <c r="C1298" s="272"/>
      <c r="D1298" s="272"/>
      <c r="E1298" s="272"/>
      <c r="G1298" s="271" t="s">
        <v>312</v>
      </c>
      <c r="H1298" s="272"/>
      <c r="I1298" s="272"/>
      <c r="J1298" s="272"/>
      <c r="K1298" s="272"/>
    </row>
    <row r="1299" spans="1:11" x14ac:dyDescent="0.35">
      <c r="A1299" s="231" t="s">
        <v>34</v>
      </c>
      <c r="B1299" s="230">
        <f>SUM(B1293:B1298)</f>
        <v>0</v>
      </c>
      <c r="C1299" s="230">
        <f>SUM(C1293:C1298)</f>
        <v>0</v>
      </c>
      <c r="D1299" s="230">
        <f>SUM(D1293:D1298)</f>
        <v>0</v>
      </c>
      <c r="E1299" s="230">
        <f>SUM(E1293:E1298)</f>
        <v>0</v>
      </c>
      <c r="G1299" s="231" t="s">
        <v>34</v>
      </c>
      <c r="H1299" s="230">
        <f>SUM(H1293:H1298)</f>
        <v>0</v>
      </c>
      <c r="I1299" s="230">
        <f>SUM(I1293:I1298)</f>
        <v>0</v>
      </c>
      <c r="J1299" s="230">
        <f>SUM(J1293:J1298)</f>
        <v>0</v>
      </c>
      <c r="K1299" s="230">
        <f>SUM(K1293:K1298)</f>
        <v>0</v>
      </c>
    </row>
    <row r="1300" spans="1:11" ht="15" thickBot="1" x14ac:dyDescent="0.4">
      <c r="A1300" s="231" t="s">
        <v>313</v>
      </c>
      <c r="B1300" s="230">
        <f>+B1299+C1299+D1299+E1299</f>
        <v>0</v>
      </c>
      <c r="C1300" s="230"/>
      <c r="D1300" s="230"/>
      <c r="E1300" s="230"/>
      <c r="G1300" s="231" t="s">
        <v>313</v>
      </c>
      <c r="H1300" s="230">
        <f>+H1299+I1299+J1299+K1299</f>
        <v>0</v>
      </c>
      <c r="I1300" s="230"/>
      <c r="J1300" s="230"/>
      <c r="K1300" s="230"/>
    </row>
    <row r="1301" spans="1:11" ht="15.5" thickTop="1" thickBot="1" x14ac:dyDescent="0.4">
      <c r="A1301" s="335" t="s">
        <v>298</v>
      </c>
      <c r="B1301" s="336"/>
      <c r="C1301" s="336"/>
      <c r="D1301" s="336"/>
      <c r="E1301" s="337"/>
      <c r="G1301" s="335" t="s">
        <v>298</v>
      </c>
      <c r="H1301" s="336"/>
      <c r="I1301" s="336"/>
      <c r="J1301" s="336"/>
      <c r="K1301" s="337"/>
    </row>
    <row r="1302" spans="1:11" ht="15.5" thickTop="1" thickBot="1" x14ac:dyDescent="0.4">
      <c r="A1302" s="338">
        <v>45410</v>
      </c>
      <c r="B1302" s="336"/>
      <c r="C1302" s="336"/>
      <c r="D1302" s="336"/>
      <c r="E1302" s="337"/>
      <c r="G1302" s="338">
        <v>45410</v>
      </c>
      <c r="H1302" s="336"/>
      <c r="I1302" s="336"/>
      <c r="J1302" s="336"/>
      <c r="K1302" s="337"/>
    </row>
    <row r="1303" spans="1:11" ht="15" thickTop="1" x14ac:dyDescent="0.35">
      <c r="A1303" s="267" t="s">
        <v>159</v>
      </c>
      <c r="B1303" s="267" t="s">
        <v>299</v>
      </c>
      <c r="C1303" s="267" t="s">
        <v>307</v>
      </c>
      <c r="D1303" s="267" t="s">
        <v>301</v>
      </c>
      <c r="E1303" s="268" t="s">
        <v>308</v>
      </c>
      <c r="G1303" s="267" t="s">
        <v>159</v>
      </c>
      <c r="H1303" s="267" t="s">
        <v>299</v>
      </c>
      <c r="I1303" s="267" t="s">
        <v>307</v>
      </c>
      <c r="J1303" s="267" t="s">
        <v>301</v>
      </c>
      <c r="K1303" s="268" t="s">
        <v>308</v>
      </c>
    </row>
    <row r="1304" spans="1:11" x14ac:dyDescent="0.35">
      <c r="A1304" s="269" t="s">
        <v>316</v>
      </c>
      <c r="B1304" s="270"/>
      <c r="C1304" s="270"/>
      <c r="D1304" s="270"/>
      <c r="E1304" s="270"/>
      <c r="G1304" s="269" t="s">
        <v>316</v>
      </c>
      <c r="H1304" s="270"/>
      <c r="I1304" s="270"/>
      <c r="J1304" s="270"/>
      <c r="K1304" s="270"/>
    </row>
    <row r="1305" spans="1:11" x14ac:dyDescent="0.35">
      <c r="A1305" s="271" t="s">
        <v>309</v>
      </c>
      <c r="B1305" s="272"/>
      <c r="C1305" s="272"/>
      <c r="D1305" s="272"/>
      <c r="E1305" s="272"/>
      <c r="G1305" s="271" t="s">
        <v>309</v>
      </c>
      <c r="H1305" s="272"/>
      <c r="I1305" s="272"/>
      <c r="J1305" s="272"/>
      <c r="K1305" s="272"/>
    </row>
    <row r="1306" spans="1:11" x14ac:dyDescent="0.35">
      <c r="A1306" s="269" t="s">
        <v>310</v>
      </c>
      <c r="B1306" s="270"/>
      <c r="C1306" s="270"/>
      <c r="D1306" s="270"/>
      <c r="E1306" s="270"/>
      <c r="G1306" s="269" t="s">
        <v>310</v>
      </c>
      <c r="H1306" s="270"/>
      <c r="I1306" s="270"/>
      <c r="J1306" s="270"/>
      <c r="K1306" s="270"/>
    </row>
    <row r="1307" spans="1:11" x14ac:dyDescent="0.35">
      <c r="A1307" s="271" t="s">
        <v>317</v>
      </c>
      <c r="B1307" s="272"/>
      <c r="C1307" s="272"/>
      <c r="D1307" s="272"/>
      <c r="E1307" s="272"/>
      <c r="G1307" s="271" t="s">
        <v>317</v>
      </c>
      <c r="H1307" s="272"/>
      <c r="I1307" s="272"/>
      <c r="J1307" s="272"/>
      <c r="K1307" s="272"/>
    </row>
    <row r="1308" spans="1:11" x14ac:dyDescent="0.35">
      <c r="A1308" s="269" t="s">
        <v>311</v>
      </c>
      <c r="B1308" s="270"/>
      <c r="C1308" s="270"/>
      <c r="D1308" s="270"/>
      <c r="E1308" s="270"/>
      <c r="G1308" s="269" t="s">
        <v>311</v>
      </c>
      <c r="H1308" s="270"/>
      <c r="I1308" s="270"/>
      <c r="J1308" s="270"/>
      <c r="K1308" s="270"/>
    </row>
    <row r="1309" spans="1:11" x14ac:dyDescent="0.35">
      <c r="A1309" s="271" t="s">
        <v>312</v>
      </c>
      <c r="B1309" s="272">
        <v>1480</v>
      </c>
      <c r="C1309" s="272"/>
      <c r="D1309" s="272"/>
      <c r="E1309" s="272"/>
      <c r="G1309" s="271" t="s">
        <v>312</v>
      </c>
      <c r="H1309" s="272"/>
      <c r="I1309" s="272"/>
      <c r="J1309" s="272"/>
      <c r="K1309" s="272"/>
    </row>
    <row r="1310" spans="1:11" x14ac:dyDescent="0.35">
      <c r="A1310" s="231" t="s">
        <v>34</v>
      </c>
      <c r="B1310" s="230">
        <f>SUM(B1304:B1309)</f>
        <v>1480</v>
      </c>
      <c r="C1310" s="230">
        <f>SUM(C1304:C1309)</f>
        <v>0</v>
      </c>
      <c r="D1310" s="230">
        <f>SUM(D1304:D1309)</f>
        <v>0</v>
      </c>
      <c r="E1310" s="230">
        <f>SUM(E1304:E1309)</f>
        <v>0</v>
      </c>
      <c r="G1310" s="231" t="s">
        <v>34</v>
      </c>
      <c r="H1310" s="230">
        <f>SUM(H1304:H1309)</f>
        <v>0</v>
      </c>
      <c r="I1310" s="230">
        <f>SUM(I1304:I1309)</f>
        <v>0</v>
      </c>
      <c r="J1310" s="230">
        <f>SUM(J1304:J1309)</f>
        <v>0</v>
      </c>
      <c r="K1310" s="230">
        <f>SUM(K1304:K1309)</f>
        <v>0</v>
      </c>
    </row>
    <row r="1311" spans="1:11" ht="15" thickBot="1" x14ac:dyDescent="0.4">
      <c r="A1311" s="231" t="s">
        <v>313</v>
      </c>
      <c r="B1311" s="230">
        <f>+B1310+C1310+D1310+E1310</f>
        <v>1480</v>
      </c>
      <c r="C1311" s="230"/>
      <c r="D1311" s="230"/>
      <c r="E1311" s="230"/>
      <c r="G1311" s="231" t="s">
        <v>313</v>
      </c>
      <c r="H1311" s="230">
        <f>+H1310+I1310+J1310+K1310</f>
        <v>0</v>
      </c>
      <c r="I1311" s="230"/>
      <c r="J1311" s="230"/>
      <c r="K1311" s="230"/>
    </row>
    <row r="1312" spans="1:11" ht="15.5" thickTop="1" thickBot="1" x14ac:dyDescent="0.4">
      <c r="A1312" s="335" t="s">
        <v>298</v>
      </c>
      <c r="B1312" s="336"/>
      <c r="C1312" s="336"/>
      <c r="D1312" s="336"/>
      <c r="E1312" s="337"/>
      <c r="G1312" s="335" t="s">
        <v>298</v>
      </c>
      <c r="H1312" s="336"/>
      <c r="I1312" s="336"/>
      <c r="J1312" s="336"/>
      <c r="K1312" s="337"/>
    </row>
    <row r="1313" spans="1:11" ht="15.5" thickTop="1" thickBot="1" x14ac:dyDescent="0.4">
      <c r="A1313" s="338">
        <v>45411</v>
      </c>
      <c r="B1313" s="336"/>
      <c r="C1313" s="336"/>
      <c r="D1313" s="336"/>
      <c r="E1313" s="337"/>
      <c r="G1313" s="338">
        <v>45411</v>
      </c>
      <c r="H1313" s="336"/>
      <c r="I1313" s="336"/>
      <c r="J1313" s="336"/>
      <c r="K1313" s="337"/>
    </row>
    <row r="1314" spans="1:11" ht="15" thickTop="1" x14ac:dyDescent="0.35">
      <c r="A1314" s="267" t="s">
        <v>159</v>
      </c>
      <c r="B1314" s="267" t="s">
        <v>299</v>
      </c>
      <c r="C1314" s="267" t="s">
        <v>307</v>
      </c>
      <c r="D1314" s="267" t="s">
        <v>301</v>
      </c>
      <c r="E1314" s="268" t="s">
        <v>308</v>
      </c>
      <c r="G1314" s="267" t="s">
        <v>159</v>
      </c>
      <c r="H1314" s="267" t="s">
        <v>299</v>
      </c>
      <c r="I1314" s="267" t="s">
        <v>307</v>
      </c>
      <c r="J1314" s="267" t="s">
        <v>301</v>
      </c>
      <c r="K1314" s="268" t="s">
        <v>308</v>
      </c>
    </row>
    <row r="1315" spans="1:11" x14ac:dyDescent="0.35">
      <c r="A1315" s="269" t="s">
        <v>316</v>
      </c>
      <c r="B1315" s="270">
        <v>160</v>
      </c>
      <c r="C1315" s="270"/>
      <c r="D1315" s="270"/>
      <c r="E1315" s="270"/>
      <c r="G1315" s="269" t="s">
        <v>316</v>
      </c>
      <c r="H1315" s="270"/>
      <c r="I1315" s="270"/>
      <c r="J1315" s="270"/>
      <c r="K1315" s="270"/>
    </row>
    <row r="1316" spans="1:11" x14ac:dyDescent="0.35">
      <c r="A1316" s="271" t="s">
        <v>364</v>
      </c>
      <c r="B1316" s="272">
        <v>428</v>
      </c>
      <c r="C1316" s="272"/>
      <c r="D1316" s="272"/>
      <c r="E1316" s="272"/>
      <c r="G1316" s="271" t="s">
        <v>309</v>
      </c>
      <c r="H1316" s="272"/>
      <c r="I1316" s="272"/>
      <c r="J1316" s="272"/>
      <c r="K1316" s="272"/>
    </row>
    <row r="1317" spans="1:11" x14ac:dyDescent="0.35">
      <c r="A1317" s="269" t="s">
        <v>310</v>
      </c>
      <c r="B1317" s="270"/>
      <c r="C1317" s="270"/>
      <c r="D1317" s="270"/>
      <c r="E1317" s="270"/>
      <c r="G1317" s="269" t="s">
        <v>310</v>
      </c>
      <c r="H1317" s="270"/>
      <c r="I1317" s="270"/>
      <c r="J1317" s="270"/>
      <c r="K1317" s="270"/>
    </row>
    <row r="1318" spans="1:11" x14ac:dyDescent="0.35">
      <c r="A1318" s="271" t="s">
        <v>317</v>
      </c>
      <c r="B1318" s="272"/>
      <c r="C1318" s="272"/>
      <c r="D1318" s="272"/>
      <c r="E1318" s="272"/>
      <c r="G1318" s="271" t="s">
        <v>317</v>
      </c>
      <c r="H1318" s="272"/>
      <c r="I1318" s="272"/>
      <c r="J1318" s="272"/>
      <c r="K1318" s="272"/>
    </row>
    <row r="1319" spans="1:11" x14ac:dyDescent="0.35">
      <c r="A1319" s="269" t="s">
        <v>311</v>
      </c>
      <c r="B1319" s="270"/>
      <c r="C1319" s="270"/>
      <c r="D1319" s="270"/>
      <c r="E1319" s="270"/>
      <c r="G1319" s="269" t="s">
        <v>311</v>
      </c>
      <c r="H1319" s="270"/>
      <c r="I1319" s="270"/>
      <c r="J1319" s="270"/>
      <c r="K1319" s="270"/>
    </row>
    <row r="1320" spans="1:11" x14ac:dyDescent="0.35">
      <c r="A1320" s="271" t="s">
        <v>312</v>
      </c>
      <c r="B1320" s="272">
        <v>33021</v>
      </c>
      <c r="C1320" s="272"/>
      <c r="D1320" s="272"/>
      <c r="E1320" s="272"/>
      <c r="G1320" s="271" t="s">
        <v>312</v>
      </c>
      <c r="H1320" s="272"/>
      <c r="I1320" s="272"/>
      <c r="J1320" s="272"/>
      <c r="K1320" s="272"/>
    </row>
    <row r="1321" spans="1:11" x14ac:dyDescent="0.35">
      <c r="A1321" s="231" t="s">
        <v>34</v>
      </c>
      <c r="B1321" s="230">
        <f>SUM(B1315:B1320)</f>
        <v>33609</v>
      </c>
      <c r="C1321" s="230">
        <f>SUM(C1315:C1320)</f>
        <v>0</v>
      </c>
      <c r="D1321" s="230">
        <f>SUM(D1315:D1320)</f>
        <v>0</v>
      </c>
      <c r="E1321" s="230">
        <f>SUM(E1315:E1320)</f>
        <v>0</v>
      </c>
      <c r="G1321" s="231" t="s">
        <v>34</v>
      </c>
      <c r="H1321" s="230">
        <f>SUM(H1315:H1320)</f>
        <v>0</v>
      </c>
      <c r="I1321" s="230">
        <f>SUM(I1315:I1320)</f>
        <v>0</v>
      </c>
      <c r="J1321" s="230">
        <f>SUM(J1315:J1320)</f>
        <v>0</v>
      </c>
      <c r="K1321" s="230">
        <f>SUM(K1315:K1320)</f>
        <v>0</v>
      </c>
    </row>
    <row r="1322" spans="1:11" ht="15" thickBot="1" x14ac:dyDescent="0.4">
      <c r="A1322" s="231" t="s">
        <v>313</v>
      </c>
      <c r="B1322" s="230">
        <f>+B1321+C1321+D1321+E1321</f>
        <v>33609</v>
      </c>
      <c r="C1322" s="230"/>
      <c r="D1322" s="230"/>
      <c r="E1322" s="230"/>
      <c r="G1322" s="231" t="s">
        <v>313</v>
      </c>
      <c r="H1322" s="230">
        <f>+H1321+I1321+J1321+K1321</f>
        <v>0</v>
      </c>
      <c r="I1322" s="230"/>
      <c r="J1322" s="230"/>
      <c r="K1322" s="230"/>
    </row>
    <row r="1323" spans="1:11" ht="15.5" thickTop="1" thickBot="1" x14ac:dyDescent="0.4">
      <c r="A1323" s="335" t="s">
        <v>298</v>
      </c>
      <c r="B1323" s="336"/>
      <c r="C1323" s="336"/>
      <c r="D1323" s="336"/>
      <c r="E1323" s="337"/>
      <c r="G1323" s="335" t="s">
        <v>298</v>
      </c>
      <c r="H1323" s="336"/>
      <c r="I1323" s="336"/>
      <c r="J1323" s="336"/>
      <c r="K1323" s="337"/>
    </row>
    <row r="1324" spans="1:11" ht="15.5" thickTop="1" thickBot="1" x14ac:dyDescent="0.4">
      <c r="A1324" s="338">
        <v>45412</v>
      </c>
      <c r="B1324" s="336"/>
      <c r="C1324" s="336"/>
      <c r="D1324" s="336"/>
      <c r="E1324" s="337"/>
      <c r="G1324" s="338">
        <v>45412</v>
      </c>
      <c r="H1324" s="336"/>
      <c r="I1324" s="336"/>
      <c r="J1324" s="336"/>
      <c r="K1324" s="337"/>
    </row>
    <row r="1325" spans="1:11" ht="15" thickTop="1" x14ac:dyDescent="0.35">
      <c r="A1325" s="267" t="s">
        <v>159</v>
      </c>
      <c r="B1325" s="267" t="s">
        <v>299</v>
      </c>
      <c r="C1325" s="267" t="s">
        <v>307</v>
      </c>
      <c r="D1325" s="267" t="s">
        <v>301</v>
      </c>
      <c r="E1325" s="268" t="s">
        <v>308</v>
      </c>
      <c r="G1325" s="267" t="s">
        <v>159</v>
      </c>
      <c r="H1325" s="267" t="s">
        <v>299</v>
      </c>
      <c r="I1325" s="267" t="s">
        <v>307</v>
      </c>
      <c r="J1325" s="267" t="s">
        <v>301</v>
      </c>
      <c r="K1325" s="268" t="s">
        <v>308</v>
      </c>
    </row>
    <row r="1326" spans="1:11" x14ac:dyDescent="0.35">
      <c r="A1326" s="269" t="s">
        <v>316</v>
      </c>
      <c r="B1326" s="270"/>
      <c r="C1326" s="270"/>
      <c r="D1326" s="270"/>
      <c r="E1326" s="270"/>
      <c r="G1326" s="269" t="s">
        <v>316</v>
      </c>
      <c r="H1326" s="270"/>
      <c r="I1326" s="270"/>
      <c r="J1326" s="270"/>
      <c r="K1326" s="270"/>
    </row>
    <row r="1327" spans="1:11" x14ac:dyDescent="0.35">
      <c r="A1327" s="271" t="s">
        <v>309</v>
      </c>
      <c r="B1327" s="272"/>
      <c r="C1327" s="272"/>
      <c r="D1327" s="272"/>
      <c r="E1327" s="272"/>
      <c r="G1327" s="271" t="s">
        <v>309</v>
      </c>
      <c r="H1327" s="272"/>
      <c r="I1327" s="272"/>
      <c r="J1327" s="272"/>
      <c r="K1327" s="272"/>
    </row>
    <row r="1328" spans="1:11" x14ac:dyDescent="0.35">
      <c r="A1328" s="269" t="s">
        <v>310</v>
      </c>
      <c r="B1328" s="270"/>
      <c r="C1328" s="270"/>
      <c r="D1328" s="270"/>
      <c r="E1328" s="270"/>
      <c r="G1328" s="269" t="s">
        <v>310</v>
      </c>
      <c r="H1328" s="270"/>
      <c r="I1328" s="270"/>
      <c r="J1328" s="270"/>
      <c r="K1328" s="270"/>
    </row>
    <row r="1329" spans="1:13" x14ac:dyDescent="0.35">
      <c r="A1329" s="271" t="s">
        <v>317</v>
      </c>
      <c r="B1329" s="272"/>
      <c r="C1329" s="272"/>
      <c r="D1329" s="272"/>
      <c r="E1329" s="272"/>
      <c r="G1329" s="271" t="s">
        <v>317</v>
      </c>
      <c r="H1329" s="272"/>
      <c r="I1329" s="272"/>
      <c r="J1329" s="272"/>
      <c r="K1329" s="272"/>
    </row>
    <row r="1330" spans="1:13" x14ac:dyDescent="0.35">
      <c r="A1330" s="269" t="s">
        <v>311</v>
      </c>
      <c r="B1330" s="270"/>
      <c r="C1330" s="270"/>
      <c r="D1330" s="270"/>
      <c r="E1330" s="270"/>
      <c r="G1330" s="269" t="s">
        <v>311</v>
      </c>
      <c r="H1330" s="270">
        <v>600</v>
      </c>
      <c r="I1330" s="270"/>
      <c r="J1330" s="270"/>
      <c r="K1330" s="270"/>
    </row>
    <row r="1331" spans="1:13" x14ac:dyDescent="0.35">
      <c r="A1331" s="271" t="s">
        <v>312</v>
      </c>
      <c r="B1331" s="272">
        <v>2000</v>
      </c>
      <c r="C1331" s="272"/>
      <c r="D1331" s="272"/>
      <c r="E1331" s="272"/>
      <c r="G1331" s="271" t="s">
        <v>312</v>
      </c>
      <c r="H1331" s="272"/>
      <c r="I1331" s="272"/>
      <c r="J1331" s="272"/>
      <c r="K1331" s="272"/>
    </row>
    <row r="1332" spans="1:13" x14ac:dyDescent="0.35">
      <c r="A1332" s="231" t="s">
        <v>34</v>
      </c>
      <c r="B1332" s="230">
        <f>SUM(B1326:B1331)</f>
        <v>2000</v>
      </c>
      <c r="C1332" s="230">
        <f>SUM(C1326:C1331)</f>
        <v>0</v>
      </c>
      <c r="D1332" s="230">
        <f>SUM(D1326:D1331)</f>
        <v>0</v>
      </c>
      <c r="E1332" s="230">
        <f>SUM(E1326:E1331)</f>
        <v>0</v>
      </c>
      <c r="G1332" s="231" t="s">
        <v>34</v>
      </c>
      <c r="H1332" s="230">
        <f>SUM(H1326:H1331)</f>
        <v>600</v>
      </c>
      <c r="I1332" s="230">
        <f>SUM(I1326:I1331)</f>
        <v>0</v>
      </c>
      <c r="J1332" s="230">
        <f>SUM(J1326:J1331)</f>
        <v>0</v>
      </c>
      <c r="K1332" s="230">
        <f>SUM(K1326:K1331)</f>
        <v>0</v>
      </c>
    </row>
    <row r="1333" spans="1:13" x14ac:dyDescent="0.35">
      <c r="A1333" s="231" t="s">
        <v>313</v>
      </c>
      <c r="B1333" s="230">
        <f>+B1332+C1332+D1332+E1332</f>
        <v>2000</v>
      </c>
      <c r="C1333" s="230"/>
      <c r="D1333" s="230"/>
      <c r="E1333" s="230"/>
      <c r="G1333" s="231" t="s">
        <v>313</v>
      </c>
      <c r="H1333" s="230">
        <f>+H1332+I1332+J1332+K1332</f>
        <v>600</v>
      </c>
      <c r="I1333" s="230"/>
      <c r="J1333" s="230"/>
      <c r="K1333" s="230"/>
    </row>
    <row r="1335" spans="1:13" ht="15" thickBot="1" x14ac:dyDescent="0.4"/>
    <row r="1336" spans="1:13" ht="31" customHeight="1" thickBot="1" x14ac:dyDescent="0.4">
      <c r="A1336" s="327" t="s">
        <v>320</v>
      </c>
      <c r="B1336" s="328"/>
      <c r="C1336" s="328"/>
      <c r="D1336" s="328"/>
      <c r="E1336" s="328"/>
      <c r="F1336" s="329"/>
      <c r="G1336" s="330">
        <f>SUMIF($A$1004:M1334,"*"&amp;K1336&amp;"*",$B$1004:N1334)</f>
        <v>238987</v>
      </c>
      <c r="H1336" s="331"/>
      <c r="I1336" s="331"/>
      <c r="J1336" s="332"/>
      <c r="K1336" s="333" t="s">
        <v>313</v>
      </c>
      <c r="L1336" s="334"/>
      <c r="M1336" s="233">
        <f>+G1336</f>
        <v>238987</v>
      </c>
    </row>
    <row r="1338" spans="1:13" ht="15" thickBot="1" x14ac:dyDescent="0.4"/>
    <row r="1339" spans="1:13" ht="15.5" thickTop="1" thickBot="1" x14ac:dyDescent="0.4">
      <c r="A1339" s="335" t="s">
        <v>298</v>
      </c>
      <c r="B1339" s="336"/>
      <c r="C1339" s="336"/>
      <c r="D1339" s="336"/>
      <c r="E1339" s="337"/>
      <c r="G1339" s="335" t="s">
        <v>298</v>
      </c>
      <c r="H1339" s="336"/>
      <c r="I1339" s="336"/>
      <c r="J1339" s="336"/>
      <c r="K1339" s="337"/>
    </row>
    <row r="1340" spans="1:13" ht="15.5" thickTop="1" thickBot="1" x14ac:dyDescent="0.4">
      <c r="A1340" s="338">
        <v>45413</v>
      </c>
      <c r="B1340" s="336"/>
      <c r="C1340" s="336"/>
      <c r="D1340" s="336"/>
      <c r="E1340" s="337"/>
      <c r="G1340" s="338">
        <v>45413</v>
      </c>
      <c r="H1340" s="336"/>
      <c r="I1340" s="336"/>
      <c r="J1340" s="336"/>
      <c r="K1340" s="337"/>
    </row>
    <row r="1341" spans="1:13" ht="15" thickTop="1" x14ac:dyDescent="0.35">
      <c r="A1341" s="267" t="s">
        <v>159</v>
      </c>
      <c r="B1341" s="267" t="s">
        <v>299</v>
      </c>
      <c r="C1341" s="267" t="s">
        <v>307</v>
      </c>
      <c r="D1341" s="267" t="s">
        <v>301</v>
      </c>
      <c r="E1341" s="268" t="s">
        <v>308</v>
      </c>
      <c r="G1341" s="267" t="s">
        <v>159</v>
      </c>
      <c r="H1341" s="267" t="s">
        <v>299</v>
      </c>
      <c r="I1341" s="267" t="s">
        <v>307</v>
      </c>
      <c r="J1341" s="267" t="s">
        <v>301</v>
      </c>
      <c r="K1341" s="268" t="s">
        <v>308</v>
      </c>
    </row>
    <row r="1342" spans="1:13" x14ac:dyDescent="0.35">
      <c r="A1342" s="269" t="s">
        <v>316</v>
      </c>
      <c r="B1342" s="270">
        <v>480</v>
      </c>
      <c r="C1342" s="270"/>
      <c r="D1342" s="270"/>
      <c r="E1342" s="270"/>
      <c r="G1342" s="269" t="s">
        <v>316</v>
      </c>
      <c r="H1342" s="270"/>
      <c r="I1342" s="270"/>
      <c r="J1342" s="270"/>
      <c r="K1342" s="270"/>
    </row>
    <row r="1343" spans="1:13" x14ac:dyDescent="0.35">
      <c r="A1343" s="271" t="s">
        <v>309</v>
      </c>
      <c r="B1343" s="272"/>
      <c r="C1343" s="272"/>
      <c r="D1343" s="272"/>
      <c r="E1343" s="272"/>
      <c r="G1343" s="271" t="s">
        <v>309</v>
      </c>
      <c r="H1343" s="272"/>
      <c r="I1343" s="272"/>
      <c r="J1343" s="272"/>
      <c r="K1343" s="272"/>
    </row>
    <row r="1344" spans="1:13" x14ac:dyDescent="0.35">
      <c r="A1344" s="269" t="s">
        <v>310</v>
      </c>
      <c r="B1344" s="270"/>
      <c r="C1344" s="270"/>
      <c r="D1344" s="270"/>
      <c r="E1344" s="270"/>
      <c r="G1344" s="269" t="s">
        <v>310</v>
      </c>
      <c r="H1344" s="270"/>
      <c r="I1344" s="270"/>
      <c r="J1344" s="270"/>
      <c r="K1344" s="270"/>
    </row>
    <row r="1345" spans="1:11" x14ac:dyDescent="0.35">
      <c r="A1345" s="271" t="s">
        <v>317</v>
      </c>
      <c r="B1345" s="272"/>
      <c r="C1345" s="272"/>
      <c r="D1345" s="272"/>
      <c r="E1345" s="272"/>
      <c r="G1345" s="271" t="s">
        <v>317</v>
      </c>
      <c r="H1345" s="272"/>
      <c r="I1345" s="272"/>
      <c r="J1345" s="272"/>
      <c r="K1345" s="272"/>
    </row>
    <row r="1346" spans="1:11" x14ac:dyDescent="0.35">
      <c r="A1346" s="269" t="s">
        <v>311</v>
      </c>
      <c r="B1346" s="270"/>
      <c r="C1346" s="270"/>
      <c r="D1346" s="270"/>
      <c r="E1346" s="270"/>
      <c r="G1346" s="269" t="s">
        <v>311</v>
      </c>
      <c r="H1346" s="270"/>
      <c r="I1346" s="270"/>
      <c r="J1346" s="270"/>
      <c r="K1346" s="270"/>
    </row>
    <row r="1347" spans="1:11" x14ac:dyDescent="0.35">
      <c r="A1347" s="271" t="s">
        <v>312</v>
      </c>
      <c r="B1347" s="272">
        <v>700</v>
      </c>
      <c r="C1347" s="272"/>
      <c r="D1347" s="272"/>
      <c r="E1347" s="272"/>
      <c r="G1347" s="271" t="s">
        <v>312</v>
      </c>
      <c r="H1347" s="272"/>
      <c r="I1347" s="272"/>
      <c r="J1347" s="272"/>
      <c r="K1347" s="272"/>
    </row>
    <row r="1348" spans="1:11" x14ac:dyDescent="0.35">
      <c r="A1348" s="231" t="s">
        <v>34</v>
      </c>
      <c r="B1348" s="230">
        <f>SUM(B1342:B1347)</f>
        <v>1180</v>
      </c>
      <c r="C1348" s="230">
        <f>SUM(C1342:C1347)</f>
        <v>0</v>
      </c>
      <c r="D1348" s="230">
        <f>SUM(D1342:D1347)</f>
        <v>0</v>
      </c>
      <c r="E1348" s="230">
        <f>SUM(E1342:E1347)</f>
        <v>0</v>
      </c>
      <c r="G1348" s="231" t="s">
        <v>34</v>
      </c>
      <c r="H1348" s="230">
        <f>SUM(H1342:H1347)</f>
        <v>0</v>
      </c>
      <c r="I1348" s="230">
        <f>SUM(I1342:I1347)</f>
        <v>0</v>
      </c>
      <c r="J1348" s="230">
        <f>SUM(J1342:J1347)</f>
        <v>0</v>
      </c>
      <c r="K1348" s="230">
        <f>SUM(K1342:K1347)</f>
        <v>0</v>
      </c>
    </row>
    <row r="1349" spans="1:11" ht="15" thickBot="1" x14ac:dyDescent="0.4">
      <c r="A1349" s="231" t="s">
        <v>313</v>
      </c>
      <c r="B1349" s="230">
        <f>+B1348+C1348+D1348+E1348</f>
        <v>1180</v>
      </c>
      <c r="C1349" s="230"/>
      <c r="D1349" s="230"/>
      <c r="E1349" s="230"/>
      <c r="G1349" s="231" t="s">
        <v>313</v>
      </c>
      <c r="H1349" s="230">
        <f>+H1348+I1348+J1348+K1348</f>
        <v>0</v>
      </c>
      <c r="I1349" s="230"/>
      <c r="J1349" s="230"/>
      <c r="K1349" s="230"/>
    </row>
    <row r="1350" spans="1:11" ht="15.5" thickTop="1" thickBot="1" x14ac:dyDescent="0.4">
      <c r="A1350" s="335" t="s">
        <v>298</v>
      </c>
      <c r="B1350" s="336"/>
      <c r="C1350" s="336"/>
      <c r="D1350" s="336"/>
      <c r="E1350" s="337"/>
      <c r="G1350" s="335" t="s">
        <v>298</v>
      </c>
      <c r="H1350" s="336"/>
      <c r="I1350" s="336"/>
      <c r="J1350" s="336"/>
      <c r="K1350" s="337"/>
    </row>
    <row r="1351" spans="1:11" ht="15.5" thickTop="1" thickBot="1" x14ac:dyDescent="0.4">
      <c r="A1351" s="338">
        <v>45414</v>
      </c>
      <c r="B1351" s="336"/>
      <c r="C1351" s="336"/>
      <c r="D1351" s="336"/>
      <c r="E1351" s="337"/>
      <c r="G1351" s="338">
        <v>45414</v>
      </c>
      <c r="H1351" s="336"/>
      <c r="I1351" s="336"/>
      <c r="J1351" s="336"/>
      <c r="K1351" s="337"/>
    </row>
    <row r="1352" spans="1:11" ht="15" thickTop="1" x14ac:dyDescent="0.35">
      <c r="A1352" s="267" t="s">
        <v>159</v>
      </c>
      <c r="B1352" s="267" t="s">
        <v>299</v>
      </c>
      <c r="C1352" s="267" t="s">
        <v>307</v>
      </c>
      <c r="D1352" s="267" t="s">
        <v>301</v>
      </c>
      <c r="E1352" s="268" t="s">
        <v>308</v>
      </c>
      <c r="G1352" s="267" t="s">
        <v>159</v>
      </c>
      <c r="H1352" s="267" t="s">
        <v>299</v>
      </c>
      <c r="I1352" s="267" t="s">
        <v>307</v>
      </c>
      <c r="J1352" s="267" t="s">
        <v>301</v>
      </c>
      <c r="K1352" s="268" t="s">
        <v>308</v>
      </c>
    </row>
    <row r="1353" spans="1:11" x14ac:dyDescent="0.35">
      <c r="A1353" s="269" t="s">
        <v>316</v>
      </c>
      <c r="B1353" s="270">
        <v>500</v>
      </c>
      <c r="C1353" s="270"/>
      <c r="D1353" s="270"/>
      <c r="E1353" s="270"/>
      <c r="G1353" s="269" t="s">
        <v>316</v>
      </c>
      <c r="H1353" s="270"/>
      <c r="I1353" s="270"/>
      <c r="J1353" s="270"/>
      <c r="K1353" s="270"/>
    </row>
    <row r="1354" spans="1:11" x14ac:dyDescent="0.35">
      <c r="A1354" s="271" t="s">
        <v>592</v>
      </c>
      <c r="B1354" s="272">
        <v>1000</v>
      </c>
      <c r="C1354" s="272"/>
      <c r="D1354" s="272"/>
      <c r="E1354" s="272"/>
      <c r="G1354" s="271" t="s">
        <v>309</v>
      </c>
      <c r="H1354" s="272"/>
      <c r="I1354" s="272"/>
      <c r="J1354" s="272"/>
      <c r="K1354" s="272"/>
    </row>
    <row r="1355" spans="1:11" x14ac:dyDescent="0.35">
      <c r="A1355" s="269" t="s">
        <v>310</v>
      </c>
      <c r="B1355" s="270">
        <v>1150</v>
      </c>
      <c r="C1355" s="270"/>
      <c r="D1355" s="270"/>
      <c r="E1355" s="270"/>
      <c r="G1355" s="269" t="s">
        <v>310</v>
      </c>
      <c r="H1355" s="270"/>
      <c r="I1355" s="270"/>
      <c r="J1355" s="270"/>
      <c r="K1355" s="270"/>
    </row>
    <row r="1356" spans="1:11" x14ac:dyDescent="0.35">
      <c r="A1356" s="271" t="s">
        <v>317</v>
      </c>
      <c r="B1356" s="272"/>
      <c r="C1356" s="272"/>
      <c r="D1356" s="272"/>
      <c r="E1356" s="272"/>
      <c r="G1356" s="271" t="s">
        <v>317</v>
      </c>
      <c r="H1356" s="272"/>
      <c r="I1356" s="272"/>
      <c r="J1356" s="272"/>
      <c r="K1356" s="272"/>
    </row>
    <row r="1357" spans="1:11" x14ac:dyDescent="0.35">
      <c r="A1357" s="269" t="s">
        <v>311</v>
      </c>
      <c r="B1357" s="270"/>
      <c r="C1357" s="270"/>
      <c r="D1357" s="270"/>
      <c r="E1357" s="270"/>
      <c r="G1357" s="269" t="s">
        <v>311</v>
      </c>
      <c r="H1357" s="270"/>
      <c r="I1357" s="270"/>
      <c r="J1357" s="270"/>
      <c r="K1357" s="270"/>
    </row>
    <row r="1358" spans="1:11" x14ac:dyDescent="0.35">
      <c r="A1358" s="271" t="s">
        <v>312</v>
      </c>
      <c r="B1358" s="272">
        <v>6920</v>
      </c>
      <c r="C1358" s="272"/>
      <c r="D1358" s="272"/>
      <c r="E1358" s="272"/>
      <c r="G1358" s="271" t="s">
        <v>312</v>
      </c>
      <c r="H1358" s="272"/>
      <c r="I1358" s="272"/>
      <c r="J1358" s="272"/>
      <c r="K1358" s="272"/>
    </row>
    <row r="1359" spans="1:11" x14ac:dyDescent="0.35">
      <c r="A1359" s="231" t="s">
        <v>34</v>
      </c>
      <c r="B1359" s="230">
        <f>SUM(B1353:B1358)</f>
        <v>9570</v>
      </c>
      <c r="C1359" s="230">
        <f>SUM(C1353:C1358)</f>
        <v>0</v>
      </c>
      <c r="D1359" s="230">
        <f>SUM(D1353:D1358)</f>
        <v>0</v>
      </c>
      <c r="E1359" s="230">
        <f>SUM(E1353:E1358)</f>
        <v>0</v>
      </c>
      <c r="G1359" s="231" t="s">
        <v>34</v>
      </c>
      <c r="H1359" s="230">
        <f>SUM(H1353:H1358)</f>
        <v>0</v>
      </c>
      <c r="I1359" s="230">
        <f>SUM(I1353:I1358)</f>
        <v>0</v>
      </c>
      <c r="J1359" s="230">
        <f>SUM(J1353:J1358)</f>
        <v>0</v>
      </c>
      <c r="K1359" s="230">
        <f>SUM(K1353:K1358)</f>
        <v>0</v>
      </c>
    </row>
    <row r="1360" spans="1:11" ht="15" thickBot="1" x14ac:dyDescent="0.4">
      <c r="A1360" s="231" t="s">
        <v>313</v>
      </c>
      <c r="B1360" s="230">
        <f>+B1359+C1359+D1359+E1359</f>
        <v>9570</v>
      </c>
      <c r="C1360" s="230"/>
      <c r="D1360" s="230"/>
      <c r="E1360" s="230"/>
      <c r="G1360" s="231" t="s">
        <v>313</v>
      </c>
      <c r="H1360" s="230">
        <f>+H1359+I1359+J1359+K1359</f>
        <v>0</v>
      </c>
      <c r="I1360" s="230"/>
      <c r="J1360" s="230"/>
      <c r="K1360" s="230"/>
    </row>
    <row r="1361" spans="1:11" ht="15.5" thickTop="1" thickBot="1" x14ac:dyDescent="0.4">
      <c r="A1361" s="335" t="s">
        <v>298</v>
      </c>
      <c r="B1361" s="336"/>
      <c r="C1361" s="336"/>
      <c r="D1361" s="336"/>
      <c r="E1361" s="337"/>
      <c r="G1361" s="335" t="s">
        <v>298</v>
      </c>
      <c r="H1361" s="336"/>
      <c r="I1361" s="336"/>
      <c r="J1361" s="336"/>
      <c r="K1361" s="337"/>
    </row>
    <row r="1362" spans="1:11" ht="15.5" thickTop="1" thickBot="1" x14ac:dyDescent="0.4">
      <c r="A1362" s="338">
        <v>45415</v>
      </c>
      <c r="B1362" s="336"/>
      <c r="C1362" s="336"/>
      <c r="D1362" s="336"/>
      <c r="E1362" s="337"/>
      <c r="G1362" s="338">
        <v>45415</v>
      </c>
      <c r="H1362" s="336"/>
      <c r="I1362" s="336"/>
      <c r="J1362" s="336"/>
      <c r="K1362" s="337"/>
    </row>
    <row r="1363" spans="1:11" ht="15" thickTop="1" x14ac:dyDescent="0.35">
      <c r="A1363" s="267" t="s">
        <v>159</v>
      </c>
      <c r="B1363" s="267" t="s">
        <v>299</v>
      </c>
      <c r="C1363" s="267" t="s">
        <v>307</v>
      </c>
      <c r="D1363" s="267" t="s">
        <v>301</v>
      </c>
      <c r="E1363" s="268" t="s">
        <v>308</v>
      </c>
      <c r="G1363" s="267" t="s">
        <v>159</v>
      </c>
      <c r="H1363" s="267" t="s">
        <v>299</v>
      </c>
      <c r="I1363" s="267" t="s">
        <v>307</v>
      </c>
      <c r="J1363" s="267" t="s">
        <v>301</v>
      </c>
      <c r="K1363" s="268" t="s">
        <v>308</v>
      </c>
    </row>
    <row r="1364" spans="1:11" x14ac:dyDescent="0.35">
      <c r="A1364" s="269" t="s">
        <v>316</v>
      </c>
      <c r="B1364" s="270"/>
      <c r="C1364" s="270"/>
      <c r="D1364" s="270"/>
      <c r="E1364" s="270"/>
      <c r="G1364" s="269" t="s">
        <v>316</v>
      </c>
      <c r="H1364" s="270"/>
      <c r="I1364" s="270"/>
      <c r="J1364" s="270"/>
      <c r="K1364" s="270"/>
    </row>
    <row r="1365" spans="1:11" x14ac:dyDescent="0.35">
      <c r="A1365" s="271" t="s">
        <v>592</v>
      </c>
      <c r="B1365" s="272">
        <v>2000</v>
      </c>
      <c r="C1365" s="272"/>
      <c r="D1365" s="272"/>
      <c r="E1365" s="272"/>
      <c r="G1365" s="271" t="s">
        <v>309</v>
      </c>
      <c r="H1365" s="272"/>
      <c r="I1365" s="272"/>
      <c r="J1365" s="272"/>
      <c r="K1365" s="272"/>
    </row>
    <row r="1366" spans="1:11" x14ac:dyDescent="0.35">
      <c r="A1366" s="269" t="s">
        <v>310</v>
      </c>
      <c r="B1366" s="270">
        <v>231</v>
      </c>
      <c r="C1366" s="270"/>
      <c r="D1366" s="270"/>
      <c r="E1366" s="270"/>
      <c r="G1366" s="269" t="s">
        <v>310</v>
      </c>
      <c r="H1366" s="270"/>
      <c r="I1366" s="270"/>
      <c r="J1366" s="270"/>
      <c r="K1366" s="270"/>
    </row>
    <row r="1367" spans="1:11" x14ac:dyDescent="0.35">
      <c r="A1367" s="271" t="s">
        <v>593</v>
      </c>
      <c r="B1367" s="272">
        <v>8465</v>
      </c>
      <c r="C1367" s="272"/>
      <c r="D1367" s="272"/>
      <c r="E1367" s="272"/>
      <c r="G1367" s="271" t="s">
        <v>317</v>
      </c>
      <c r="H1367" s="272"/>
      <c r="I1367" s="272"/>
      <c r="J1367" s="272"/>
      <c r="K1367" s="272"/>
    </row>
    <row r="1368" spans="1:11" x14ac:dyDescent="0.35">
      <c r="A1368" s="269" t="s">
        <v>311</v>
      </c>
      <c r="B1368" s="270"/>
      <c r="C1368" s="270"/>
      <c r="D1368" s="270"/>
      <c r="E1368" s="270"/>
      <c r="G1368" s="269" t="s">
        <v>311</v>
      </c>
      <c r="H1368" s="270"/>
      <c r="I1368" s="270"/>
      <c r="J1368" s="270"/>
      <c r="K1368" s="270"/>
    </row>
    <row r="1369" spans="1:11" x14ac:dyDescent="0.35">
      <c r="A1369" s="271" t="s">
        <v>312</v>
      </c>
      <c r="B1369" s="272">
        <v>2735</v>
      </c>
      <c r="C1369" s="272"/>
      <c r="D1369" s="272"/>
      <c r="E1369" s="272"/>
      <c r="G1369" s="271" t="s">
        <v>312</v>
      </c>
      <c r="H1369" s="272"/>
      <c r="I1369" s="272"/>
      <c r="J1369" s="272"/>
      <c r="K1369" s="272"/>
    </row>
    <row r="1370" spans="1:11" x14ac:dyDescent="0.35">
      <c r="A1370" s="231" t="s">
        <v>34</v>
      </c>
      <c r="B1370" s="230">
        <f>SUM(B1364:B1369)</f>
        <v>13431</v>
      </c>
      <c r="C1370" s="230">
        <f>SUM(C1364:C1369)</f>
        <v>0</v>
      </c>
      <c r="D1370" s="230">
        <f>SUM(D1364:D1369)</f>
        <v>0</v>
      </c>
      <c r="E1370" s="230">
        <f>SUM(E1364:E1369)</f>
        <v>0</v>
      </c>
      <c r="G1370" s="231" t="s">
        <v>34</v>
      </c>
      <c r="H1370" s="230">
        <f>SUM(H1364:H1369)</f>
        <v>0</v>
      </c>
      <c r="I1370" s="230">
        <f>SUM(I1364:I1369)</f>
        <v>0</v>
      </c>
      <c r="J1370" s="230">
        <f>SUM(J1364:J1369)</f>
        <v>0</v>
      </c>
      <c r="K1370" s="230">
        <f>SUM(K1364:K1369)</f>
        <v>0</v>
      </c>
    </row>
    <row r="1371" spans="1:11" ht="15" thickBot="1" x14ac:dyDescent="0.4">
      <c r="A1371" s="231" t="s">
        <v>313</v>
      </c>
      <c r="B1371" s="230">
        <f>+B1370+C1370+D1370+E1370</f>
        <v>13431</v>
      </c>
      <c r="C1371" s="230"/>
      <c r="D1371" s="230"/>
      <c r="E1371" s="230"/>
      <c r="G1371" s="231" t="s">
        <v>313</v>
      </c>
      <c r="H1371" s="230">
        <f>+H1370+I1370+J1370+K1370</f>
        <v>0</v>
      </c>
      <c r="I1371" s="230"/>
      <c r="J1371" s="230"/>
      <c r="K1371" s="230"/>
    </row>
    <row r="1372" spans="1:11" ht="15.5" thickTop="1" thickBot="1" x14ac:dyDescent="0.4">
      <c r="A1372" s="335" t="s">
        <v>298</v>
      </c>
      <c r="B1372" s="336"/>
      <c r="C1372" s="336"/>
      <c r="D1372" s="336"/>
      <c r="E1372" s="337"/>
      <c r="G1372" s="335" t="s">
        <v>298</v>
      </c>
      <c r="H1372" s="336"/>
      <c r="I1372" s="336"/>
      <c r="J1372" s="336"/>
      <c r="K1372" s="337"/>
    </row>
    <row r="1373" spans="1:11" ht="15.5" thickTop="1" thickBot="1" x14ac:dyDescent="0.4">
      <c r="A1373" s="338">
        <v>45416</v>
      </c>
      <c r="B1373" s="336"/>
      <c r="C1373" s="336"/>
      <c r="D1373" s="336"/>
      <c r="E1373" s="337"/>
      <c r="G1373" s="338">
        <v>45416</v>
      </c>
      <c r="H1373" s="336"/>
      <c r="I1373" s="336"/>
      <c r="J1373" s="336"/>
      <c r="K1373" s="337"/>
    </row>
    <row r="1374" spans="1:11" ht="15" thickTop="1" x14ac:dyDescent="0.35">
      <c r="A1374" s="267" t="s">
        <v>159</v>
      </c>
      <c r="B1374" s="267" t="s">
        <v>299</v>
      </c>
      <c r="C1374" s="267" t="s">
        <v>307</v>
      </c>
      <c r="D1374" s="267" t="s">
        <v>301</v>
      </c>
      <c r="E1374" s="268" t="s">
        <v>308</v>
      </c>
      <c r="G1374" s="267" t="s">
        <v>159</v>
      </c>
      <c r="H1374" s="267" t="s">
        <v>299</v>
      </c>
      <c r="I1374" s="267" t="s">
        <v>307</v>
      </c>
      <c r="J1374" s="267" t="s">
        <v>301</v>
      </c>
      <c r="K1374" s="268" t="s">
        <v>308</v>
      </c>
    </row>
    <row r="1375" spans="1:11" x14ac:dyDescent="0.35">
      <c r="A1375" s="269" t="s">
        <v>497</v>
      </c>
      <c r="B1375" s="270">
        <v>2500</v>
      </c>
      <c r="C1375" s="270"/>
      <c r="D1375" s="270"/>
      <c r="E1375" s="270"/>
      <c r="G1375" s="269" t="s">
        <v>497</v>
      </c>
      <c r="H1375" s="270">
        <v>1400</v>
      </c>
      <c r="I1375" s="270"/>
      <c r="J1375" s="270"/>
      <c r="K1375" s="270"/>
    </row>
    <row r="1376" spans="1:11" x14ac:dyDescent="0.35">
      <c r="A1376" s="271" t="s">
        <v>497</v>
      </c>
      <c r="B1376" s="272">
        <v>1700</v>
      </c>
      <c r="C1376" s="272"/>
      <c r="D1376" s="272"/>
      <c r="E1376" s="272"/>
      <c r="G1376" s="271" t="s">
        <v>497</v>
      </c>
      <c r="H1376" s="272"/>
      <c r="I1376" s="272"/>
      <c r="J1376" s="272"/>
      <c r="K1376" s="272"/>
    </row>
    <row r="1377" spans="1:11" x14ac:dyDescent="0.35">
      <c r="A1377" s="269" t="s">
        <v>378</v>
      </c>
      <c r="B1377" s="270">
        <v>2200</v>
      </c>
      <c r="C1377" s="270"/>
      <c r="D1377" s="270"/>
      <c r="E1377" s="270"/>
      <c r="G1377" s="269" t="s">
        <v>310</v>
      </c>
      <c r="H1377" s="270"/>
      <c r="I1377" s="270"/>
      <c r="J1377" s="270"/>
      <c r="K1377" s="270"/>
    </row>
    <row r="1378" spans="1:11" x14ac:dyDescent="0.35">
      <c r="A1378" s="271" t="s">
        <v>370</v>
      </c>
      <c r="B1378" s="272">
        <v>2090</v>
      </c>
      <c r="C1378" s="272"/>
      <c r="D1378" s="272"/>
      <c r="E1378" s="272"/>
      <c r="G1378" s="271" t="s">
        <v>317</v>
      </c>
      <c r="H1378" s="272"/>
      <c r="I1378" s="272"/>
      <c r="J1378" s="272"/>
      <c r="K1378" s="272"/>
    </row>
    <row r="1379" spans="1:11" x14ac:dyDescent="0.35">
      <c r="A1379" s="269" t="s">
        <v>591</v>
      </c>
      <c r="B1379" s="270">
        <v>28</v>
      </c>
      <c r="C1379" s="270"/>
      <c r="D1379" s="270"/>
      <c r="E1379" s="270"/>
      <c r="G1379" s="269" t="s">
        <v>311</v>
      </c>
      <c r="H1379" s="270"/>
      <c r="I1379" s="270"/>
      <c r="J1379" s="270"/>
      <c r="K1379" s="270"/>
    </row>
    <row r="1380" spans="1:11" x14ac:dyDescent="0.35">
      <c r="A1380" s="271" t="s">
        <v>312</v>
      </c>
      <c r="B1380" s="272">
        <v>700</v>
      </c>
      <c r="C1380" s="272"/>
      <c r="D1380" s="272"/>
      <c r="E1380" s="272"/>
      <c r="G1380" s="271" t="s">
        <v>312</v>
      </c>
      <c r="H1380" s="272"/>
      <c r="I1380" s="272"/>
      <c r="J1380" s="272"/>
      <c r="K1380" s="272"/>
    </row>
    <row r="1381" spans="1:11" x14ac:dyDescent="0.35">
      <c r="A1381" s="231" t="s">
        <v>34</v>
      </c>
      <c r="B1381" s="230">
        <f>SUM(B1375:B1380)</f>
        <v>9218</v>
      </c>
      <c r="C1381" s="230">
        <f>SUM(C1375:C1380)</f>
        <v>0</v>
      </c>
      <c r="D1381" s="230">
        <f>SUM(D1375:D1380)</f>
        <v>0</v>
      </c>
      <c r="E1381" s="230">
        <f>SUM(E1375:E1380)</f>
        <v>0</v>
      </c>
      <c r="G1381" s="231" t="s">
        <v>34</v>
      </c>
      <c r="H1381" s="230">
        <f>SUM(H1375:H1380)</f>
        <v>1400</v>
      </c>
      <c r="I1381" s="230">
        <f>SUM(I1375:I1380)</f>
        <v>0</v>
      </c>
      <c r="J1381" s="230">
        <f>SUM(J1375:J1380)</f>
        <v>0</v>
      </c>
      <c r="K1381" s="230">
        <f>SUM(K1375:K1380)</f>
        <v>0</v>
      </c>
    </row>
    <row r="1382" spans="1:11" ht="15" thickBot="1" x14ac:dyDescent="0.4">
      <c r="A1382" s="231" t="s">
        <v>313</v>
      </c>
      <c r="B1382" s="230">
        <f>+B1381+C1381+D1381+E1381</f>
        <v>9218</v>
      </c>
      <c r="C1382" s="230"/>
      <c r="D1382" s="230"/>
      <c r="E1382" s="230"/>
      <c r="G1382" s="231" t="s">
        <v>313</v>
      </c>
      <c r="H1382" s="230">
        <f>+H1381+I1381+J1381+K1381</f>
        <v>1400</v>
      </c>
      <c r="I1382" s="230"/>
      <c r="J1382" s="230"/>
      <c r="K1382" s="230"/>
    </row>
    <row r="1383" spans="1:11" ht="15.5" thickTop="1" thickBot="1" x14ac:dyDescent="0.4">
      <c r="A1383" s="335" t="s">
        <v>298</v>
      </c>
      <c r="B1383" s="336"/>
      <c r="C1383" s="336"/>
      <c r="D1383" s="336"/>
      <c r="E1383" s="337"/>
      <c r="G1383" s="335" t="s">
        <v>298</v>
      </c>
      <c r="H1383" s="336"/>
      <c r="I1383" s="336"/>
      <c r="J1383" s="336"/>
      <c r="K1383" s="337"/>
    </row>
    <row r="1384" spans="1:11" ht="15.5" thickTop="1" thickBot="1" x14ac:dyDescent="0.4">
      <c r="A1384" s="338">
        <v>45417</v>
      </c>
      <c r="B1384" s="336"/>
      <c r="C1384" s="336"/>
      <c r="D1384" s="336"/>
      <c r="E1384" s="337"/>
      <c r="G1384" s="338">
        <v>45417</v>
      </c>
      <c r="H1384" s="336"/>
      <c r="I1384" s="336"/>
      <c r="J1384" s="336"/>
      <c r="K1384" s="337"/>
    </row>
    <row r="1385" spans="1:11" ht="15" thickTop="1" x14ac:dyDescent="0.35">
      <c r="A1385" s="267" t="s">
        <v>159</v>
      </c>
      <c r="B1385" s="267" t="s">
        <v>299</v>
      </c>
      <c r="C1385" s="267" t="s">
        <v>307</v>
      </c>
      <c r="D1385" s="267" t="s">
        <v>301</v>
      </c>
      <c r="E1385" s="268" t="s">
        <v>308</v>
      </c>
      <c r="G1385" s="267" t="s">
        <v>159</v>
      </c>
      <c r="H1385" s="267" t="s">
        <v>299</v>
      </c>
      <c r="I1385" s="267" t="s">
        <v>307</v>
      </c>
      <c r="J1385" s="267" t="s">
        <v>301</v>
      </c>
      <c r="K1385" s="268" t="s">
        <v>308</v>
      </c>
    </row>
    <row r="1386" spans="1:11" x14ac:dyDescent="0.35">
      <c r="A1386" s="269" t="s">
        <v>316</v>
      </c>
      <c r="B1386" s="270"/>
      <c r="C1386" s="270"/>
      <c r="D1386" s="270"/>
      <c r="E1386" s="270"/>
      <c r="G1386" s="269" t="s">
        <v>316</v>
      </c>
      <c r="H1386" s="270"/>
      <c r="I1386" s="270"/>
      <c r="J1386" s="270"/>
      <c r="K1386" s="270"/>
    </row>
    <row r="1387" spans="1:11" x14ac:dyDescent="0.35">
      <c r="A1387" s="271" t="s">
        <v>309</v>
      </c>
      <c r="B1387" s="272"/>
      <c r="C1387" s="272"/>
      <c r="D1387" s="272"/>
      <c r="E1387" s="272"/>
      <c r="G1387" s="271" t="s">
        <v>309</v>
      </c>
      <c r="H1387" s="272"/>
      <c r="I1387" s="272"/>
      <c r="J1387" s="272"/>
      <c r="K1387" s="272"/>
    </row>
    <row r="1388" spans="1:11" x14ac:dyDescent="0.35">
      <c r="A1388" s="269" t="s">
        <v>310</v>
      </c>
      <c r="B1388" s="270"/>
      <c r="C1388" s="270"/>
      <c r="D1388" s="270"/>
      <c r="E1388" s="270"/>
      <c r="G1388" s="269" t="s">
        <v>310</v>
      </c>
      <c r="H1388" s="270"/>
      <c r="I1388" s="270"/>
      <c r="J1388" s="270"/>
      <c r="K1388" s="270"/>
    </row>
    <row r="1389" spans="1:11" x14ac:dyDescent="0.35">
      <c r="A1389" s="271" t="s">
        <v>317</v>
      </c>
      <c r="B1389" s="272"/>
      <c r="C1389" s="272"/>
      <c r="D1389" s="272"/>
      <c r="E1389" s="272"/>
      <c r="G1389" s="271" t="s">
        <v>317</v>
      </c>
      <c r="H1389" s="272"/>
      <c r="I1389" s="272"/>
      <c r="J1389" s="272"/>
      <c r="K1389" s="272"/>
    </row>
    <row r="1390" spans="1:11" x14ac:dyDescent="0.35">
      <c r="A1390" s="269" t="s">
        <v>311</v>
      </c>
      <c r="B1390" s="270"/>
      <c r="C1390" s="270"/>
      <c r="D1390" s="270"/>
      <c r="E1390" s="270"/>
      <c r="G1390" s="269" t="s">
        <v>311</v>
      </c>
      <c r="H1390" s="270"/>
      <c r="I1390" s="270"/>
      <c r="J1390" s="270"/>
      <c r="K1390" s="270"/>
    </row>
    <row r="1391" spans="1:11" x14ac:dyDescent="0.35">
      <c r="A1391" s="271" t="s">
        <v>312</v>
      </c>
      <c r="B1391" s="272"/>
      <c r="C1391" s="272"/>
      <c r="D1391" s="272"/>
      <c r="E1391" s="272"/>
      <c r="G1391" s="271" t="s">
        <v>312</v>
      </c>
      <c r="H1391" s="272"/>
      <c r="I1391" s="272"/>
      <c r="J1391" s="272"/>
      <c r="K1391" s="272"/>
    </row>
    <row r="1392" spans="1:11" x14ac:dyDescent="0.35">
      <c r="A1392" s="231" t="s">
        <v>34</v>
      </c>
      <c r="B1392" s="230">
        <f>SUM(B1386:B1391)</f>
        <v>0</v>
      </c>
      <c r="C1392" s="230">
        <f>SUM(C1386:C1391)</f>
        <v>0</v>
      </c>
      <c r="D1392" s="230">
        <f>SUM(D1386:D1391)</f>
        <v>0</v>
      </c>
      <c r="E1392" s="230">
        <f>SUM(E1386:E1391)</f>
        <v>0</v>
      </c>
      <c r="G1392" s="231" t="s">
        <v>34</v>
      </c>
      <c r="H1392" s="230">
        <f>SUM(H1386:H1391)</f>
        <v>0</v>
      </c>
      <c r="I1392" s="230">
        <f>SUM(I1386:I1391)</f>
        <v>0</v>
      </c>
      <c r="J1392" s="230">
        <f>SUM(J1386:J1391)</f>
        <v>0</v>
      </c>
      <c r="K1392" s="230">
        <f>SUM(K1386:K1391)</f>
        <v>0</v>
      </c>
    </row>
    <row r="1393" spans="1:11" ht="15" thickBot="1" x14ac:dyDescent="0.4">
      <c r="A1393" s="231" t="s">
        <v>313</v>
      </c>
      <c r="B1393" s="230">
        <f>+B1392+C1392+D1392+E1392</f>
        <v>0</v>
      </c>
      <c r="C1393" s="230"/>
      <c r="D1393" s="230"/>
      <c r="E1393" s="230"/>
      <c r="G1393" s="231" t="s">
        <v>313</v>
      </c>
      <c r="H1393" s="230">
        <f>+H1392+I1392+J1392+K1392</f>
        <v>0</v>
      </c>
      <c r="I1393" s="230"/>
      <c r="J1393" s="230"/>
      <c r="K1393" s="230"/>
    </row>
    <row r="1394" spans="1:11" ht="15.5" thickTop="1" thickBot="1" x14ac:dyDescent="0.4">
      <c r="A1394" s="335" t="s">
        <v>298</v>
      </c>
      <c r="B1394" s="336"/>
      <c r="C1394" s="336"/>
      <c r="D1394" s="336"/>
      <c r="E1394" s="337"/>
      <c r="G1394" s="335" t="s">
        <v>298</v>
      </c>
      <c r="H1394" s="336"/>
      <c r="I1394" s="336"/>
      <c r="J1394" s="336"/>
      <c r="K1394" s="337"/>
    </row>
    <row r="1395" spans="1:11" ht="15.5" thickTop="1" thickBot="1" x14ac:dyDescent="0.4">
      <c r="A1395" s="338">
        <v>45418</v>
      </c>
      <c r="B1395" s="336"/>
      <c r="C1395" s="336"/>
      <c r="D1395" s="336"/>
      <c r="E1395" s="337"/>
      <c r="G1395" s="338">
        <v>45418</v>
      </c>
      <c r="H1395" s="336"/>
      <c r="I1395" s="336"/>
      <c r="J1395" s="336"/>
      <c r="K1395" s="337"/>
    </row>
    <row r="1396" spans="1:11" ht="15" thickTop="1" x14ac:dyDescent="0.35">
      <c r="A1396" s="267" t="s">
        <v>159</v>
      </c>
      <c r="B1396" s="267" t="s">
        <v>299</v>
      </c>
      <c r="C1396" s="267" t="s">
        <v>307</v>
      </c>
      <c r="D1396" s="267" t="s">
        <v>301</v>
      </c>
      <c r="E1396" s="268" t="s">
        <v>308</v>
      </c>
      <c r="G1396" s="267" t="s">
        <v>159</v>
      </c>
      <c r="H1396" s="267" t="s">
        <v>299</v>
      </c>
      <c r="I1396" s="267" t="s">
        <v>307</v>
      </c>
      <c r="J1396" s="267" t="s">
        <v>301</v>
      </c>
      <c r="K1396" s="268" t="s">
        <v>308</v>
      </c>
    </row>
    <row r="1397" spans="1:11" x14ac:dyDescent="0.35">
      <c r="A1397" s="269" t="s">
        <v>316</v>
      </c>
      <c r="B1397" s="270">
        <v>180</v>
      </c>
      <c r="C1397" s="270"/>
      <c r="D1397" s="270"/>
      <c r="E1397" s="270"/>
      <c r="G1397" s="269" t="s">
        <v>378</v>
      </c>
      <c r="H1397" s="270"/>
      <c r="I1397" s="270">
        <v>2200</v>
      </c>
      <c r="J1397" s="270"/>
      <c r="K1397" s="270"/>
    </row>
    <row r="1398" spans="1:11" x14ac:dyDescent="0.35">
      <c r="A1398" s="271" t="s">
        <v>364</v>
      </c>
      <c r="B1398" s="272">
        <v>55</v>
      </c>
      <c r="C1398" s="272"/>
      <c r="D1398" s="272"/>
      <c r="E1398" s="272"/>
      <c r="G1398" s="271" t="s">
        <v>309</v>
      </c>
      <c r="H1398" s="272"/>
      <c r="I1398" s="272"/>
      <c r="J1398" s="272"/>
      <c r="K1398" s="272"/>
    </row>
    <row r="1399" spans="1:11" x14ac:dyDescent="0.35">
      <c r="A1399" s="269" t="s">
        <v>310</v>
      </c>
      <c r="B1399" s="270">
        <v>5023</v>
      </c>
      <c r="C1399" s="270"/>
      <c r="D1399" s="270"/>
      <c r="E1399" s="270"/>
      <c r="G1399" s="269" t="s">
        <v>310</v>
      </c>
      <c r="H1399" s="270"/>
      <c r="I1399" s="270"/>
      <c r="J1399" s="270"/>
      <c r="K1399" s="270"/>
    </row>
    <row r="1400" spans="1:11" x14ac:dyDescent="0.35">
      <c r="A1400" s="271" t="s">
        <v>381</v>
      </c>
      <c r="B1400" s="272">
        <v>582</v>
      </c>
      <c r="C1400" s="272"/>
      <c r="D1400" s="272"/>
      <c r="E1400" s="272"/>
      <c r="G1400" s="271" t="s">
        <v>317</v>
      </c>
      <c r="H1400" s="272"/>
      <c r="I1400" s="272"/>
      <c r="J1400" s="272"/>
      <c r="K1400" s="272"/>
    </row>
    <row r="1401" spans="1:11" x14ac:dyDescent="0.35">
      <c r="A1401" s="269" t="s">
        <v>311</v>
      </c>
      <c r="B1401" s="270"/>
      <c r="C1401" s="270"/>
      <c r="D1401" s="270"/>
      <c r="E1401" s="270"/>
      <c r="G1401" s="269" t="s">
        <v>311</v>
      </c>
      <c r="H1401" s="270"/>
      <c r="I1401" s="270"/>
      <c r="J1401" s="270"/>
      <c r="K1401" s="270"/>
    </row>
    <row r="1402" spans="1:11" x14ac:dyDescent="0.35">
      <c r="A1402" s="271" t="s">
        <v>312</v>
      </c>
      <c r="B1402" s="272"/>
      <c r="C1402" s="272"/>
      <c r="D1402" s="272"/>
      <c r="E1402" s="272"/>
      <c r="G1402" s="271" t="s">
        <v>312</v>
      </c>
      <c r="H1402" s="272"/>
      <c r="I1402" s="272"/>
      <c r="J1402" s="272"/>
      <c r="K1402" s="272"/>
    </row>
    <row r="1403" spans="1:11" x14ac:dyDescent="0.35">
      <c r="A1403" s="231" t="s">
        <v>34</v>
      </c>
      <c r="B1403" s="230">
        <f>SUM(B1397:B1402)</f>
        <v>5840</v>
      </c>
      <c r="C1403" s="230">
        <f>SUM(C1397:C1402)</f>
        <v>0</v>
      </c>
      <c r="D1403" s="230">
        <f>SUM(D1397:D1402)</f>
        <v>0</v>
      </c>
      <c r="E1403" s="230">
        <f>SUM(E1397:E1402)</f>
        <v>0</v>
      </c>
      <c r="G1403" s="231" t="s">
        <v>34</v>
      </c>
      <c r="H1403" s="230">
        <f>SUM(H1397:H1402)</f>
        <v>0</v>
      </c>
      <c r="I1403" s="230">
        <f>SUM(I1397:I1402)</f>
        <v>2200</v>
      </c>
      <c r="J1403" s="230">
        <f>SUM(J1397:J1402)</f>
        <v>0</v>
      </c>
      <c r="K1403" s="230">
        <f>SUM(K1397:K1402)</f>
        <v>0</v>
      </c>
    </row>
    <row r="1404" spans="1:11" ht="15" thickBot="1" x14ac:dyDescent="0.4">
      <c r="A1404" s="231" t="s">
        <v>313</v>
      </c>
      <c r="B1404" s="230">
        <f>+B1403+C1403+D1403+E1403</f>
        <v>5840</v>
      </c>
      <c r="C1404" s="230"/>
      <c r="D1404" s="230"/>
      <c r="E1404" s="230"/>
      <c r="G1404" s="231" t="s">
        <v>313</v>
      </c>
      <c r="H1404" s="230">
        <f>+H1403+I1403+J1403+K1403</f>
        <v>2200</v>
      </c>
      <c r="I1404" s="230"/>
      <c r="J1404" s="230"/>
      <c r="K1404" s="230"/>
    </row>
    <row r="1405" spans="1:11" ht="15.5" thickTop="1" thickBot="1" x14ac:dyDescent="0.4">
      <c r="A1405" s="335" t="s">
        <v>298</v>
      </c>
      <c r="B1405" s="336"/>
      <c r="C1405" s="336"/>
      <c r="D1405" s="336"/>
      <c r="E1405" s="337"/>
      <c r="G1405" s="335" t="s">
        <v>298</v>
      </c>
      <c r="H1405" s="336"/>
      <c r="I1405" s="336"/>
      <c r="J1405" s="336"/>
      <c r="K1405" s="337"/>
    </row>
    <row r="1406" spans="1:11" ht="15.5" thickTop="1" thickBot="1" x14ac:dyDescent="0.4">
      <c r="A1406" s="338">
        <v>45419</v>
      </c>
      <c r="B1406" s="336"/>
      <c r="C1406" s="336"/>
      <c r="D1406" s="336"/>
      <c r="E1406" s="337"/>
      <c r="G1406" s="338">
        <v>45419</v>
      </c>
      <c r="H1406" s="336"/>
      <c r="I1406" s="336"/>
      <c r="J1406" s="336"/>
      <c r="K1406" s="337"/>
    </row>
    <row r="1407" spans="1:11" ht="15" thickTop="1" x14ac:dyDescent="0.35">
      <c r="A1407" s="267" t="s">
        <v>159</v>
      </c>
      <c r="B1407" s="267" t="s">
        <v>299</v>
      </c>
      <c r="C1407" s="267" t="s">
        <v>307</v>
      </c>
      <c r="D1407" s="267" t="s">
        <v>301</v>
      </c>
      <c r="E1407" s="268" t="s">
        <v>308</v>
      </c>
      <c r="G1407" s="267" t="s">
        <v>159</v>
      </c>
      <c r="H1407" s="267" t="s">
        <v>299</v>
      </c>
      <c r="I1407" s="267" t="s">
        <v>307</v>
      </c>
      <c r="J1407" s="267" t="s">
        <v>301</v>
      </c>
      <c r="K1407" s="268" t="s">
        <v>308</v>
      </c>
    </row>
    <row r="1408" spans="1:11" x14ac:dyDescent="0.35">
      <c r="A1408" s="269" t="s">
        <v>589</v>
      </c>
      <c r="B1408" s="270">
        <v>1100</v>
      </c>
      <c r="C1408" s="270"/>
      <c r="D1408" s="270"/>
      <c r="E1408" s="270"/>
      <c r="G1408" s="269" t="s">
        <v>316</v>
      </c>
      <c r="H1408" s="270"/>
      <c r="I1408" s="270"/>
      <c r="J1408" s="270"/>
      <c r="K1408" s="270"/>
    </row>
    <row r="1409" spans="1:11" x14ac:dyDescent="0.35">
      <c r="A1409" s="271" t="s">
        <v>590</v>
      </c>
      <c r="B1409" s="272">
        <v>1800</v>
      </c>
      <c r="C1409" s="272"/>
      <c r="D1409" s="272"/>
      <c r="E1409" s="272"/>
      <c r="G1409" s="271" t="s">
        <v>309</v>
      </c>
      <c r="H1409" s="272"/>
      <c r="I1409" s="272"/>
      <c r="J1409" s="272"/>
      <c r="K1409" s="272"/>
    </row>
    <row r="1410" spans="1:11" x14ac:dyDescent="0.35">
      <c r="A1410" s="269" t="s">
        <v>310</v>
      </c>
      <c r="B1410" s="270"/>
      <c r="C1410" s="270"/>
      <c r="D1410" s="270"/>
      <c r="E1410" s="270"/>
      <c r="G1410" s="269" t="s">
        <v>310</v>
      </c>
      <c r="H1410" s="270"/>
      <c r="I1410" s="270"/>
      <c r="J1410" s="270"/>
      <c r="K1410" s="270"/>
    </row>
    <row r="1411" spans="1:11" x14ac:dyDescent="0.35">
      <c r="A1411" s="271" t="s">
        <v>317</v>
      </c>
      <c r="B1411" s="272"/>
      <c r="C1411" s="272"/>
      <c r="D1411" s="272"/>
      <c r="E1411" s="272"/>
      <c r="G1411" s="271" t="s">
        <v>317</v>
      </c>
      <c r="H1411" s="272"/>
      <c r="I1411" s="272"/>
      <c r="J1411" s="272"/>
      <c r="K1411" s="272"/>
    </row>
    <row r="1412" spans="1:11" x14ac:dyDescent="0.35">
      <c r="A1412" s="269" t="s">
        <v>311</v>
      </c>
      <c r="B1412" s="270"/>
      <c r="C1412" s="270"/>
      <c r="D1412" s="270"/>
      <c r="E1412" s="270"/>
      <c r="G1412" s="269" t="s">
        <v>311</v>
      </c>
      <c r="H1412" s="270"/>
      <c r="I1412" s="270"/>
      <c r="J1412" s="270"/>
      <c r="K1412" s="270"/>
    </row>
    <row r="1413" spans="1:11" x14ac:dyDescent="0.35">
      <c r="A1413" s="271" t="s">
        <v>312</v>
      </c>
      <c r="B1413" s="272"/>
      <c r="C1413" s="272"/>
      <c r="D1413" s="272"/>
      <c r="E1413" s="272"/>
      <c r="G1413" s="271" t="s">
        <v>312</v>
      </c>
      <c r="H1413" s="272"/>
      <c r="I1413" s="272"/>
      <c r="J1413" s="272"/>
      <c r="K1413" s="272"/>
    </row>
    <row r="1414" spans="1:11" x14ac:dyDescent="0.35">
      <c r="A1414" s="231" t="s">
        <v>34</v>
      </c>
      <c r="B1414" s="230">
        <f>SUM(B1408:B1413)</f>
        <v>2900</v>
      </c>
      <c r="C1414" s="230">
        <f>SUM(C1408:C1413)</f>
        <v>0</v>
      </c>
      <c r="D1414" s="230">
        <f>SUM(D1408:D1413)</f>
        <v>0</v>
      </c>
      <c r="E1414" s="230">
        <f>SUM(E1408:E1413)</f>
        <v>0</v>
      </c>
      <c r="G1414" s="231" t="s">
        <v>34</v>
      </c>
      <c r="H1414" s="230">
        <f>SUM(H1408:H1413)</f>
        <v>0</v>
      </c>
      <c r="I1414" s="230">
        <f>SUM(I1408:I1413)</f>
        <v>0</v>
      </c>
      <c r="J1414" s="230">
        <f>SUM(J1408:J1413)</f>
        <v>0</v>
      </c>
      <c r="K1414" s="230">
        <f>SUM(K1408:K1413)</f>
        <v>0</v>
      </c>
    </row>
    <row r="1415" spans="1:11" ht="15" thickBot="1" x14ac:dyDescent="0.4">
      <c r="A1415" s="231" t="s">
        <v>313</v>
      </c>
      <c r="B1415" s="230">
        <f>+B1414+C1414+D1414+E1414</f>
        <v>2900</v>
      </c>
      <c r="C1415" s="230"/>
      <c r="D1415" s="230"/>
      <c r="E1415" s="230"/>
      <c r="G1415" s="231" t="s">
        <v>313</v>
      </c>
      <c r="H1415" s="230">
        <f>+H1414+I1414+J1414+K1414</f>
        <v>0</v>
      </c>
      <c r="I1415" s="230"/>
      <c r="J1415" s="230"/>
      <c r="K1415" s="230"/>
    </row>
    <row r="1416" spans="1:11" ht="15.5" thickTop="1" thickBot="1" x14ac:dyDescent="0.4">
      <c r="A1416" s="335" t="s">
        <v>298</v>
      </c>
      <c r="B1416" s="336"/>
      <c r="C1416" s="336"/>
      <c r="D1416" s="336"/>
      <c r="E1416" s="337"/>
      <c r="G1416" s="335" t="s">
        <v>298</v>
      </c>
      <c r="H1416" s="336"/>
      <c r="I1416" s="336"/>
      <c r="J1416" s="336"/>
      <c r="K1416" s="337"/>
    </row>
    <row r="1417" spans="1:11" ht="15.5" thickTop="1" thickBot="1" x14ac:dyDescent="0.4">
      <c r="A1417" s="338">
        <v>45420</v>
      </c>
      <c r="B1417" s="336"/>
      <c r="C1417" s="336"/>
      <c r="D1417" s="336"/>
      <c r="E1417" s="337"/>
      <c r="G1417" s="338">
        <v>45420</v>
      </c>
      <c r="H1417" s="336"/>
      <c r="I1417" s="336"/>
      <c r="J1417" s="336"/>
      <c r="K1417" s="337"/>
    </row>
    <row r="1418" spans="1:11" ht="15" thickTop="1" x14ac:dyDescent="0.35">
      <c r="A1418" s="267" t="s">
        <v>159</v>
      </c>
      <c r="B1418" s="267" t="s">
        <v>299</v>
      </c>
      <c r="C1418" s="267" t="s">
        <v>307</v>
      </c>
      <c r="D1418" s="267" t="s">
        <v>301</v>
      </c>
      <c r="E1418" s="268" t="s">
        <v>308</v>
      </c>
      <c r="G1418" s="267" t="s">
        <v>159</v>
      </c>
      <c r="H1418" s="267" t="s">
        <v>299</v>
      </c>
      <c r="I1418" s="267" t="s">
        <v>307</v>
      </c>
      <c r="J1418" s="267" t="s">
        <v>301</v>
      </c>
      <c r="K1418" s="268" t="s">
        <v>308</v>
      </c>
    </row>
    <row r="1419" spans="1:11" x14ac:dyDescent="0.35">
      <c r="A1419" s="269" t="s">
        <v>316</v>
      </c>
      <c r="B1419" s="270">
        <v>400</v>
      </c>
      <c r="C1419" s="270"/>
      <c r="D1419" s="270"/>
      <c r="E1419" s="270"/>
      <c r="G1419" s="269" t="s">
        <v>316</v>
      </c>
      <c r="H1419" s="270"/>
      <c r="I1419" s="270"/>
      <c r="J1419" s="270"/>
      <c r="K1419" s="270"/>
    </row>
    <row r="1420" spans="1:11" x14ac:dyDescent="0.35">
      <c r="A1420" s="271" t="s">
        <v>309</v>
      </c>
      <c r="B1420" s="272"/>
      <c r="C1420" s="272"/>
      <c r="D1420" s="272"/>
      <c r="E1420" s="272"/>
      <c r="G1420" s="271" t="s">
        <v>309</v>
      </c>
      <c r="H1420" s="272"/>
      <c r="I1420" s="272"/>
      <c r="J1420" s="272"/>
      <c r="K1420" s="272"/>
    </row>
    <row r="1421" spans="1:11" x14ac:dyDescent="0.35">
      <c r="A1421" s="269" t="s">
        <v>310</v>
      </c>
      <c r="B1421" s="270">
        <v>122</v>
      </c>
      <c r="C1421" s="270"/>
      <c r="D1421" s="270"/>
      <c r="E1421" s="270"/>
      <c r="G1421" s="269" t="s">
        <v>310</v>
      </c>
      <c r="H1421" s="270"/>
      <c r="I1421" s="270"/>
      <c r="J1421" s="270"/>
      <c r="K1421" s="270"/>
    </row>
    <row r="1422" spans="1:11" x14ac:dyDescent="0.35">
      <c r="A1422" s="271" t="s">
        <v>317</v>
      </c>
      <c r="B1422" s="272"/>
      <c r="C1422" s="272"/>
      <c r="D1422" s="272"/>
      <c r="E1422" s="272"/>
      <c r="G1422" s="271" t="s">
        <v>317</v>
      </c>
      <c r="H1422" s="272"/>
      <c r="I1422" s="272"/>
      <c r="J1422" s="272"/>
      <c r="K1422" s="272"/>
    </row>
    <row r="1423" spans="1:11" x14ac:dyDescent="0.35">
      <c r="A1423" s="269" t="s">
        <v>311</v>
      </c>
      <c r="B1423" s="270"/>
      <c r="C1423" s="270"/>
      <c r="D1423" s="270"/>
      <c r="E1423" s="270"/>
      <c r="G1423" s="269" t="s">
        <v>311</v>
      </c>
      <c r="H1423" s="270"/>
      <c r="I1423" s="270"/>
      <c r="J1423" s="270"/>
      <c r="K1423" s="270"/>
    </row>
    <row r="1424" spans="1:11" x14ac:dyDescent="0.35">
      <c r="A1424" s="271" t="s">
        <v>312</v>
      </c>
      <c r="B1424" s="272"/>
      <c r="C1424" s="272"/>
      <c r="D1424" s="272"/>
      <c r="E1424" s="272"/>
      <c r="G1424" s="271" t="s">
        <v>312</v>
      </c>
      <c r="H1424" s="272"/>
      <c r="I1424" s="272"/>
      <c r="J1424" s="272"/>
      <c r="K1424" s="272"/>
    </row>
    <row r="1425" spans="1:11" x14ac:dyDescent="0.35">
      <c r="A1425" s="231" t="s">
        <v>34</v>
      </c>
      <c r="B1425" s="230">
        <f>SUM(B1419:B1424)</f>
        <v>522</v>
      </c>
      <c r="C1425" s="230">
        <f>SUM(C1419:C1424)</f>
        <v>0</v>
      </c>
      <c r="D1425" s="230">
        <f>SUM(D1419:D1424)</f>
        <v>0</v>
      </c>
      <c r="E1425" s="230">
        <f>SUM(E1419:E1424)</f>
        <v>0</v>
      </c>
      <c r="G1425" s="231" t="s">
        <v>34</v>
      </c>
      <c r="H1425" s="230">
        <f>SUM(H1419:H1424)</f>
        <v>0</v>
      </c>
      <c r="I1425" s="230">
        <f>SUM(I1419:I1424)</f>
        <v>0</v>
      </c>
      <c r="J1425" s="230">
        <f>SUM(J1419:J1424)</f>
        <v>0</v>
      </c>
      <c r="K1425" s="230">
        <f>SUM(K1419:K1424)</f>
        <v>0</v>
      </c>
    </row>
    <row r="1426" spans="1:11" ht="15" thickBot="1" x14ac:dyDescent="0.4">
      <c r="A1426" s="231" t="s">
        <v>313</v>
      </c>
      <c r="B1426" s="230">
        <f>+B1425+C1425+D1425+E1425</f>
        <v>522</v>
      </c>
      <c r="C1426" s="230"/>
      <c r="D1426" s="230"/>
      <c r="E1426" s="230"/>
      <c r="G1426" s="231" t="s">
        <v>313</v>
      </c>
      <c r="H1426" s="230">
        <f>+H1425+I1425+J1425+K1425</f>
        <v>0</v>
      </c>
      <c r="I1426" s="230"/>
      <c r="J1426" s="230"/>
      <c r="K1426" s="230"/>
    </row>
    <row r="1427" spans="1:11" ht="15.5" thickTop="1" thickBot="1" x14ac:dyDescent="0.4">
      <c r="A1427" s="335" t="s">
        <v>298</v>
      </c>
      <c r="B1427" s="336"/>
      <c r="C1427" s="336"/>
      <c r="D1427" s="336"/>
      <c r="E1427" s="337"/>
      <c r="G1427" s="335" t="s">
        <v>298</v>
      </c>
      <c r="H1427" s="336"/>
      <c r="I1427" s="336"/>
      <c r="J1427" s="336"/>
      <c r="K1427" s="337"/>
    </row>
    <row r="1428" spans="1:11" ht="15.5" thickTop="1" thickBot="1" x14ac:dyDescent="0.4">
      <c r="A1428" s="338">
        <v>45421</v>
      </c>
      <c r="B1428" s="336"/>
      <c r="C1428" s="336"/>
      <c r="D1428" s="336"/>
      <c r="E1428" s="337"/>
      <c r="G1428" s="338">
        <v>45421</v>
      </c>
      <c r="H1428" s="336"/>
      <c r="I1428" s="336"/>
      <c r="J1428" s="336"/>
      <c r="K1428" s="337"/>
    </row>
    <row r="1429" spans="1:11" ht="15" thickTop="1" x14ac:dyDescent="0.35">
      <c r="A1429" s="267" t="s">
        <v>159</v>
      </c>
      <c r="B1429" s="267" t="s">
        <v>299</v>
      </c>
      <c r="C1429" s="267" t="s">
        <v>307</v>
      </c>
      <c r="D1429" s="267" t="s">
        <v>301</v>
      </c>
      <c r="E1429" s="268" t="s">
        <v>308</v>
      </c>
      <c r="G1429" s="267" t="s">
        <v>159</v>
      </c>
      <c r="H1429" s="267" t="s">
        <v>299</v>
      </c>
      <c r="I1429" s="267" t="s">
        <v>307</v>
      </c>
      <c r="J1429" s="267" t="s">
        <v>301</v>
      </c>
      <c r="K1429" s="268" t="s">
        <v>308</v>
      </c>
    </row>
    <row r="1430" spans="1:11" x14ac:dyDescent="0.35">
      <c r="A1430" s="269" t="s">
        <v>316</v>
      </c>
      <c r="B1430" s="270"/>
      <c r="C1430" s="270"/>
      <c r="D1430" s="270"/>
      <c r="E1430" s="270"/>
      <c r="G1430" s="269" t="s">
        <v>316</v>
      </c>
      <c r="H1430" s="270">
        <v>225</v>
      </c>
      <c r="I1430" s="270"/>
      <c r="J1430" s="270"/>
      <c r="K1430" s="270"/>
    </row>
    <row r="1431" spans="1:11" x14ac:dyDescent="0.35">
      <c r="A1431" s="271" t="s">
        <v>508</v>
      </c>
      <c r="B1431" s="272">
        <v>1600</v>
      </c>
      <c r="C1431" s="272"/>
      <c r="D1431" s="272"/>
      <c r="E1431" s="272"/>
      <c r="G1431" s="271" t="s">
        <v>309</v>
      </c>
      <c r="H1431" s="272"/>
      <c r="I1431" s="272"/>
      <c r="J1431" s="272"/>
      <c r="K1431" s="272"/>
    </row>
    <row r="1432" spans="1:11" x14ac:dyDescent="0.35">
      <c r="A1432" s="269" t="s">
        <v>310</v>
      </c>
      <c r="B1432" s="270">
        <v>1380</v>
      </c>
      <c r="C1432" s="270"/>
      <c r="D1432" s="270"/>
      <c r="E1432" s="270"/>
      <c r="G1432" s="269" t="s">
        <v>310</v>
      </c>
      <c r="H1432" s="270"/>
      <c r="I1432" s="270"/>
      <c r="J1432" s="270"/>
      <c r="K1432" s="270"/>
    </row>
    <row r="1433" spans="1:11" x14ac:dyDescent="0.35">
      <c r="A1433" s="271" t="s">
        <v>369</v>
      </c>
      <c r="B1433" s="272">
        <v>55</v>
      </c>
      <c r="C1433" s="272"/>
      <c r="D1433" s="272"/>
      <c r="E1433" s="272"/>
      <c r="G1433" s="271" t="s">
        <v>317</v>
      </c>
      <c r="H1433" s="272"/>
      <c r="I1433" s="272"/>
      <c r="J1433" s="272"/>
      <c r="K1433" s="272"/>
    </row>
    <row r="1434" spans="1:11" x14ac:dyDescent="0.35">
      <c r="A1434" s="269" t="s">
        <v>311</v>
      </c>
      <c r="B1434" s="270"/>
      <c r="C1434" s="270"/>
      <c r="D1434" s="270"/>
      <c r="E1434" s="270"/>
      <c r="G1434" s="269" t="s">
        <v>311</v>
      </c>
      <c r="H1434" s="270"/>
      <c r="I1434" s="270"/>
      <c r="J1434" s="270"/>
      <c r="K1434" s="270"/>
    </row>
    <row r="1435" spans="1:11" x14ac:dyDescent="0.35">
      <c r="A1435" s="271" t="s">
        <v>312</v>
      </c>
      <c r="B1435" s="272">
        <v>5280</v>
      </c>
      <c r="C1435" s="272"/>
      <c r="D1435" s="272"/>
      <c r="E1435" s="272"/>
      <c r="G1435" s="271" t="s">
        <v>312</v>
      </c>
      <c r="H1435" s="272"/>
      <c r="I1435" s="272"/>
      <c r="J1435" s="272"/>
      <c r="K1435" s="272"/>
    </row>
    <row r="1436" spans="1:11" x14ac:dyDescent="0.35">
      <c r="A1436" s="231" t="s">
        <v>34</v>
      </c>
      <c r="B1436" s="230">
        <f>SUM(B1430:B1435)</f>
        <v>8315</v>
      </c>
      <c r="C1436" s="230">
        <f>SUM(C1430:C1435)</f>
        <v>0</v>
      </c>
      <c r="D1436" s="230">
        <f>SUM(D1430:D1435)</f>
        <v>0</v>
      </c>
      <c r="E1436" s="230">
        <f>SUM(E1430:E1435)</f>
        <v>0</v>
      </c>
      <c r="G1436" s="231" t="s">
        <v>34</v>
      </c>
      <c r="H1436" s="230">
        <f>SUM(H1430:H1435)</f>
        <v>225</v>
      </c>
      <c r="I1436" s="230">
        <f>SUM(I1430:I1435)</f>
        <v>0</v>
      </c>
      <c r="J1436" s="230">
        <f>SUM(J1430:J1435)</f>
        <v>0</v>
      </c>
      <c r="K1436" s="230">
        <f>SUM(K1430:K1435)</f>
        <v>0</v>
      </c>
    </row>
    <row r="1437" spans="1:11" ht="15" thickBot="1" x14ac:dyDescent="0.4">
      <c r="A1437" s="231" t="s">
        <v>313</v>
      </c>
      <c r="B1437" s="230">
        <f>+B1436+C1436+D1436+E1436</f>
        <v>8315</v>
      </c>
      <c r="C1437" s="230"/>
      <c r="D1437" s="230"/>
      <c r="E1437" s="230"/>
      <c r="G1437" s="231" t="s">
        <v>313</v>
      </c>
      <c r="H1437" s="230">
        <f>+H1436+I1436+J1436+K1436</f>
        <v>225</v>
      </c>
      <c r="I1437" s="230"/>
      <c r="J1437" s="230"/>
      <c r="K1437" s="230"/>
    </row>
    <row r="1438" spans="1:11" ht="15.5" thickTop="1" thickBot="1" x14ac:dyDescent="0.4">
      <c r="A1438" s="335" t="s">
        <v>298</v>
      </c>
      <c r="B1438" s="336"/>
      <c r="C1438" s="336"/>
      <c r="D1438" s="336"/>
      <c r="E1438" s="337"/>
      <c r="G1438" s="335" t="s">
        <v>298</v>
      </c>
      <c r="H1438" s="336"/>
      <c r="I1438" s="336"/>
      <c r="J1438" s="336"/>
      <c r="K1438" s="337"/>
    </row>
    <row r="1439" spans="1:11" ht="15.5" thickTop="1" thickBot="1" x14ac:dyDescent="0.4">
      <c r="A1439" s="338">
        <v>45422</v>
      </c>
      <c r="B1439" s="336"/>
      <c r="C1439" s="336"/>
      <c r="D1439" s="336"/>
      <c r="E1439" s="337"/>
      <c r="G1439" s="338">
        <v>45422</v>
      </c>
      <c r="H1439" s="336"/>
      <c r="I1439" s="336"/>
      <c r="J1439" s="336"/>
      <c r="K1439" s="337"/>
    </row>
    <row r="1440" spans="1:11" ht="15" thickTop="1" x14ac:dyDescent="0.35">
      <c r="A1440" s="267" t="s">
        <v>159</v>
      </c>
      <c r="B1440" s="267" t="s">
        <v>299</v>
      </c>
      <c r="C1440" s="267" t="s">
        <v>307</v>
      </c>
      <c r="D1440" s="267" t="s">
        <v>301</v>
      </c>
      <c r="E1440" s="268" t="s">
        <v>308</v>
      </c>
      <c r="G1440" s="267" t="s">
        <v>159</v>
      </c>
      <c r="H1440" s="267" t="s">
        <v>299</v>
      </c>
      <c r="I1440" s="267" t="s">
        <v>307</v>
      </c>
      <c r="J1440" s="267" t="s">
        <v>301</v>
      </c>
      <c r="K1440" s="268" t="s">
        <v>308</v>
      </c>
    </row>
    <row r="1441" spans="1:11" x14ac:dyDescent="0.35">
      <c r="A1441" s="269" t="s">
        <v>316</v>
      </c>
      <c r="B1441" s="270">
        <v>140</v>
      </c>
      <c r="C1441" s="270"/>
      <c r="D1441" s="270"/>
      <c r="E1441" s="270"/>
      <c r="G1441" s="269" t="s">
        <v>316</v>
      </c>
      <c r="H1441" s="270"/>
      <c r="I1441" s="270"/>
      <c r="J1441" s="270"/>
      <c r="K1441" s="270"/>
    </row>
    <row r="1442" spans="1:11" x14ac:dyDescent="0.35">
      <c r="A1442" s="271" t="s">
        <v>309</v>
      </c>
      <c r="B1442" s="272"/>
      <c r="C1442" s="272"/>
      <c r="D1442" s="272"/>
      <c r="E1442" s="272"/>
      <c r="G1442" s="271" t="s">
        <v>309</v>
      </c>
      <c r="H1442" s="272"/>
      <c r="I1442" s="272"/>
      <c r="J1442" s="272"/>
      <c r="K1442" s="272"/>
    </row>
    <row r="1443" spans="1:11" x14ac:dyDescent="0.35">
      <c r="A1443" s="269" t="s">
        <v>310</v>
      </c>
      <c r="B1443" s="270"/>
      <c r="C1443" s="270"/>
      <c r="D1443" s="270"/>
      <c r="E1443" s="270"/>
      <c r="G1443" s="269" t="s">
        <v>310</v>
      </c>
      <c r="H1443" s="270"/>
      <c r="I1443" s="270"/>
      <c r="J1443" s="270"/>
      <c r="K1443" s="270"/>
    </row>
    <row r="1444" spans="1:11" x14ac:dyDescent="0.35">
      <c r="A1444" s="271" t="s">
        <v>317</v>
      </c>
      <c r="B1444" s="272"/>
      <c r="C1444" s="272"/>
      <c r="D1444" s="272"/>
      <c r="E1444" s="272"/>
      <c r="G1444" s="271" t="s">
        <v>317</v>
      </c>
      <c r="H1444" s="272"/>
      <c r="I1444" s="272"/>
      <c r="J1444" s="272"/>
      <c r="K1444" s="272"/>
    </row>
    <row r="1445" spans="1:11" x14ac:dyDescent="0.35">
      <c r="A1445" s="269" t="s">
        <v>311</v>
      </c>
      <c r="B1445" s="270"/>
      <c r="C1445" s="270"/>
      <c r="D1445" s="270"/>
      <c r="E1445" s="270"/>
      <c r="G1445" s="269" t="s">
        <v>311</v>
      </c>
      <c r="H1445" s="270"/>
      <c r="I1445" s="270"/>
      <c r="J1445" s="270"/>
      <c r="K1445" s="270"/>
    </row>
    <row r="1446" spans="1:11" x14ac:dyDescent="0.35">
      <c r="A1446" s="271" t="s">
        <v>312</v>
      </c>
      <c r="B1446" s="272">
        <v>2060</v>
      </c>
      <c r="C1446" s="272"/>
      <c r="D1446" s="272"/>
      <c r="E1446" s="272"/>
      <c r="G1446" s="271" t="s">
        <v>312</v>
      </c>
      <c r="H1446" s="272"/>
      <c r="I1446" s="272"/>
      <c r="J1446" s="272"/>
      <c r="K1446" s="272"/>
    </row>
    <row r="1447" spans="1:11" x14ac:dyDescent="0.35">
      <c r="A1447" s="231" t="s">
        <v>34</v>
      </c>
      <c r="B1447" s="230">
        <f>SUM(B1441:B1446)</f>
        <v>2200</v>
      </c>
      <c r="C1447" s="230">
        <f>SUM(C1441:C1446)</f>
        <v>0</v>
      </c>
      <c r="D1447" s="230">
        <f>SUM(D1441:D1446)</f>
        <v>0</v>
      </c>
      <c r="E1447" s="230">
        <f>SUM(E1441:E1446)</f>
        <v>0</v>
      </c>
      <c r="G1447" s="231" t="s">
        <v>34</v>
      </c>
      <c r="H1447" s="230">
        <f>SUM(H1441:H1446)</f>
        <v>0</v>
      </c>
      <c r="I1447" s="230">
        <f>SUM(I1441:I1446)</f>
        <v>0</v>
      </c>
      <c r="J1447" s="230">
        <f>SUM(J1441:J1446)</f>
        <v>0</v>
      </c>
      <c r="K1447" s="230">
        <f>SUM(K1441:K1446)</f>
        <v>0</v>
      </c>
    </row>
    <row r="1448" spans="1:11" ht="15" thickBot="1" x14ac:dyDescent="0.4">
      <c r="A1448" s="231" t="s">
        <v>313</v>
      </c>
      <c r="B1448" s="230">
        <f>+B1447+C1447+D1447+E1447</f>
        <v>2200</v>
      </c>
      <c r="C1448" s="230"/>
      <c r="D1448" s="230"/>
      <c r="E1448" s="230"/>
      <c r="G1448" s="231" t="s">
        <v>313</v>
      </c>
      <c r="H1448" s="230">
        <f>+H1447+I1447+J1447+K1447</f>
        <v>0</v>
      </c>
      <c r="I1448" s="230"/>
      <c r="J1448" s="230"/>
      <c r="K1448" s="230"/>
    </row>
    <row r="1449" spans="1:11" ht="15.5" thickTop="1" thickBot="1" x14ac:dyDescent="0.4">
      <c r="A1449" s="335" t="s">
        <v>298</v>
      </c>
      <c r="B1449" s="336"/>
      <c r="C1449" s="336"/>
      <c r="D1449" s="336"/>
      <c r="E1449" s="337"/>
      <c r="G1449" s="335" t="s">
        <v>298</v>
      </c>
      <c r="H1449" s="336"/>
      <c r="I1449" s="336"/>
      <c r="J1449" s="336"/>
      <c r="K1449" s="337"/>
    </row>
    <row r="1450" spans="1:11" ht="15.5" thickTop="1" thickBot="1" x14ac:dyDescent="0.4">
      <c r="A1450" s="338">
        <v>45423</v>
      </c>
      <c r="B1450" s="336"/>
      <c r="C1450" s="336"/>
      <c r="D1450" s="336"/>
      <c r="E1450" s="337"/>
      <c r="G1450" s="338">
        <v>45423</v>
      </c>
      <c r="H1450" s="336"/>
      <c r="I1450" s="336"/>
      <c r="J1450" s="336"/>
      <c r="K1450" s="337"/>
    </row>
    <row r="1451" spans="1:11" ht="15" thickTop="1" x14ac:dyDescent="0.35">
      <c r="A1451" s="267" t="s">
        <v>159</v>
      </c>
      <c r="B1451" s="267" t="s">
        <v>299</v>
      </c>
      <c r="C1451" s="267" t="s">
        <v>307</v>
      </c>
      <c r="D1451" s="267" t="s">
        <v>301</v>
      </c>
      <c r="E1451" s="268" t="s">
        <v>308</v>
      </c>
      <c r="G1451" s="267" t="s">
        <v>159</v>
      </c>
      <c r="H1451" s="267" t="s">
        <v>299</v>
      </c>
      <c r="I1451" s="267" t="s">
        <v>307</v>
      </c>
      <c r="J1451" s="267" t="s">
        <v>301</v>
      </c>
      <c r="K1451" s="268" t="s">
        <v>308</v>
      </c>
    </row>
    <row r="1452" spans="1:11" x14ac:dyDescent="0.35">
      <c r="A1452" s="269" t="s">
        <v>497</v>
      </c>
      <c r="B1452" s="270">
        <v>2500</v>
      </c>
      <c r="C1452" s="270"/>
      <c r="D1452" s="270"/>
      <c r="E1452" s="270"/>
      <c r="G1452" s="269" t="s">
        <v>497</v>
      </c>
      <c r="H1452" s="270">
        <v>1400</v>
      </c>
      <c r="I1452" s="270"/>
      <c r="J1452" s="270"/>
      <c r="K1452" s="270"/>
    </row>
    <row r="1453" spans="1:11" x14ac:dyDescent="0.35">
      <c r="A1453" s="271" t="s">
        <v>497</v>
      </c>
      <c r="B1453" s="272">
        <v>1700</v>
      </c>
      <c r="C1453" s="272"/>
      <c r="D1453" s="272"/>
      <c r="E1453" s="272"/>
      <c r="G1453" s="271" t="s">
        <v>309</v>
      </c>
      <c r="H1453" s="272"/>
      <c r="I1453" s="272"/>
      <c r="J1453" s="272"/>
      <c r="K1453" s="272"/>
    </row>
    <row r="1454" spans="1:11" x14ac:dyDescent="0.35">
      <c r="A1454" s="269" t="s">
        <v>310</v>
      </c>
      <c r="B1454" s="270"/>
      <c r="C1454" s="270"/>
      <c r="D1454" s="270"/>
      <c r="E1454" s="270"/>
      <c r="G1454" s="269" t="s">
        <v>310</v>
      </c>
      <c r="H1454" s="270"/>
      <c r="I1454" s="270"/>
      <c r="J1454" s="270"/>
      <c r="K1454" s="270"/>
    </row>
    <row r="1455" spans="1:11" x14ac:dyDescent="0.35">
      <c r="A1455" s="271" t="s">
        <v>317</v>
      </c>
      <c r="B1455" s="272"/>
      <c r="C1455" s="272"/>
      <c r="D1455" s="272"/>
      <c r="E1455" s="272"/>
      <c r="G1455" s="271" t="s">
        <v>317</v>
      </c>
      <c r="H1455" s="272"/>
      <c r="I1455" s="272"/>
      <c r="J1455" s="272"/>
      <c r="K1455" s="272"/>
    </row>
    <row r="1456" spans="1:11" x14ac:dyDescent="0.35">
      <c r="A1456" s="269" t="s">
        <v>591</v>
      </c>
      <c r="B1456" s="270">
        <v>48</v>
      </c>
      <c r="C1456" s="270"/>
      <c r="D1456" s="270"/>
      <c r="E1456" s="270"/>
      <c r="G1456" s="269" t="s">
        <v>311</v>
      </c>
      <c r="H1456" s="270"/>
      <c r="I1456" s="270"/>
      <c r="J1456" s="270"/>
      <c r="K1456" s="270"/>
    </row>
    <row r="1457" spans="1:11" x14ac:dyDescent="0.35">
      <c r="A1457" s="271" t="s">
        <v>312</v>
      </c>
      <c r="B1457" s="272">
        <v>27359</v>
      </c>
      <c r="C1457" s="272"/>
      <c r="D1457" s="272"/>
      <c r="E1457" s="272"/>
      <c r="G1457" s="271" t="s">
        <v>312</v>
      </c>
      <c r="H1457" s="272"/>
      <c r="I1457" s="272"/>
      <c r="J1457" s="272"/>
      <c r="K1457" s="272"/>
    </row>
    <row r="1458" spans="1:11" x14ac:dyDescent="0.35">
      <c r="A1458" s="231" t="s">
        <v>34</v>
      </c>
      <c r="B1458" s="230">
        <f>SUM(B1452:B1457)</f>
        <v>31607</v>
      </c>
      <c r="C1458" s="230">
        <f>SUM(C1452:C1457)</f>
        <v>0</v>
      </c>
      <c r="D1458" s="230">
        <f>SUM(D1452:D1457)</f>
        <v>0</v>
      </c>
      <c r="E1458" s="230">
        <f>SUM(E1452:E1457)</f>
        <v>0</v>
      </c>
      <c r="G1458" s="231" t="s">
        <v>34</v>
      </c>
      <c r="H1458" s="230">
        <f>SUM(H1452:H1457)</f>
        <v>1400</v>
      </c>
      <c r="I1458" s="230">
        <f>SUM(I1452:I1457)</f>
        <v>0</v>
      </c>
      <c r="J1458" s="230">
        <f>SUM(J1452:J1457)</f>
        <v>0</v>
      </c>
      <c r="K1458" s="230">
        <f>SUM(K1452:K1457)</f>
        <v>0</v>
      </c>
    </row>
    <row r="1459" spans="1:11" ht="15" thickBot="1" x14ac:dyDescent="0.4">
      <c r="A1459" s="231" t="s">
        <v>313</v>
      </c>
      <c r="B1459" s="230">
        <f>+B1458+C1458+D1458+E1458</f>
        <v>31607</v>
      </c>
      <c r="C1459" s="230"/>
      <c r="D1459" s="230"/>
      <c r="E1459" s="230"/>
      <c r="G1459" s="231" t="s">
        <v>313</v>
      </c>
      <c r="H1459" s="230">
        <f>+H1458+I1458+J1458+K1458</f>
        <v>1400</v>
      </c>
      <c r="I1459" s="230"/>
      <c r="J1459" s="230"/>
      <c r="K1459" s="230"/>
    </row>
    <row r="1460" spans="1:11" ht="15.5" thickTop="1" thickBot="1" x14ac:dyDescent="0.4">
      <c r="A1460" s="335" t="s">
        <v>298</v>
      </c>
      <c r="B1460" s="336"/>
      <c r="C1460" s="336"/>
      <c r="D1460" s="336"/>
      <c r="E1460" s="337"/>
      <c r="G1460" s="335" t="s">
        <v>298</v>
      </c>
      <c r="H1460" s="336"/>
      <c r="I1460" s="336"/>
      <c r="J1460" s="336"/>
      <c r="K1460" s="337"/>
    </row>
    <row r="1461" spans="1:11" ht="15.5" thickTop="1" thickBot="1" x14ac:dyDescent="0.4">
      <c r="A1461" s="338">
        <v>45424</v>
      </c>
      <c r="B1461" s="336"/>
      <c r="C1461" s="336"/>
      <c r="D1461" s="336"/>
      <c r="E1461" s="337"/>
      <c r="G1461" s="338">
        <v>45424</v>
      </c>
      <c r="H1461" s="336"/>
      <c r="I1461" s="336"/>
      <c r="J1461" s="336"/>
      <c r="K1461" s="337"/>
    </row>
    <row r="1462" spans="1:11" ht="15" thickTop="1" x14ac:dyDescent="0.35">
      <c r="A1462" s="267" t="s">
        <v>159</v>
      </c>
      <c r="B1462" s="267" t="s">
        <v>299</v>
      </c>
      <c r="C1462" s="267" t="s">
        <v>307</v>
      </c>
      <c r="D1462" s="267" t="s">
        <v>301</v>
      </c>
      <c r="E1462" s="268" t="s">
        <v>308</v>
      </c>
      <c r="G1462" s="267" t="s">
        <v>159</v>
      </c>
      <c r="H1462" s="267" t="s">
        <v>299</v>
      </c>
      <c r="I1462" s="267" t="s">
        <v>307</v>
      </c>
      <c r="J1462" s="267" t="s">
        <v>301</v>
      </c>
      <c r="K1462" s="268" t="s">
        <v>308</v>
      </c>
    </row>
    <row r="1463" spans="1:11" x14ac:dyDescent="0.35">
      <c r="A1463" s="269" t="s">
        <v>316</v>
      </c>
      <c r="B1463" s="270">
        <v>110</v>
      </c>
      <c r="C1463" s="270"/>
      <c r="D1463" s="270"/>
      <c r="E1463" s="270"/>
      <c r="G1463" s="269" t="s">
        <v>316</v>
      </c>
      <c r="H1463" s="270"/>
      <c r="I1463" s="270"/>
      <c r="J1463" s="270"/>
      <c r="K1463" s="270"/>
    </row>
    <row r="1464" spans="1:11" x14ac:dyDescent="0.35">
      <c r="A1464" s="271" t="s">
        <v>309</v>
      </c>
      <c r="B1464" s="272"/>
      <c r="C1464" s="272"/>
      <c r="D1464" s="272"/>
      <c r="E1464" s="272"/>
      <c r="G1464" s="271" t="s">
        <v>309</v>
      </c>
      <c r="H1464" s="272"/>
      <c r="I1464" s="272"/>
      <c r="J1464" s="272"/>
      <c r="K1464" s="272"/>
    </row>
    <row r="1465" spans="1:11" x14ac:dyDescent="0.35">
      <c r="A1465" s="269" t="s">
        <v>310</v>
      </c>
      <c r="B1465" s="270"/>
      <c r="C1465" s="270"/>
      <c r="D1465" s="270"/>
      <c r="E1465" s="270"/>
      <c r="G1465" s="269" t="s">
        <v>310</v>
      </c>
      <c r="H1465" s="270"/>
      <c r="I1465" s="270"/>
      <c r="J1465" s="270"/>
      <c r="K1465" s="270"/>
    </row>
    <row r="1466" spans="1:11" x14ac:dyDescent="0.35">
      <c r="A1466" s="271" t="s">
        <v>317</v>
      </c>
      <c r="B1466" s="272"/>
      <c r="C1466" s="272"/>
      <c r="D1466" s="272"/>
      <c r="E1466" s="272"/>
      <c r="G1466" s="271" t="s">
        <v>317</v>
      </c>
      <c r="H1466" s="272"/>
      <c r="I1466" s="272"/>
      <c r="J1466" s="272"/>
      <c r="K1466" s="272"/>
    </row>
    <row r="1467" spans="1:11" x14ac:dyDescent="0.35">
      <c r="A1467" s="269" t="s">
        <v>311</v>
      </c>
      <c r="B1467" s="270"/>
      <c r="C1467" s="270"/>
      <c r="D1467" s="270"/>
      <c r="E1467" s="270"/>
      <c r="G1467" s="269" t="s">
        <v>311</v>
      </c>
      <c r="H1467" s="270"/>
      <c r="I1467" s="270"/>
      <c r="J1467" s="270"/>
      <c r="K1467" s="270"/>
    </row>
    <row r="1468" spans="1:11" x14ac:dyDescent="0.35">
      <c r="A1468" s="271" t="s">
        <v>312</v>
      </c>
      <c r="B1468" s="272">
        <v>2405</v>
      </c>
      <c r="C1468" s="272"/>
      <c r="D1468" s="272"/>
      <c r="E1468" s="272"/>
      <c r="G1468" s="271" t="s">
        <v>312</v>
      </c>
      <c r="H1468" s="272"/>
      <c r="I1468" s="272"/>
      <c r="J1468" s="272"/>
      <c r="K1468" s="272"/>
    </row>
    <row r="1469" spans="1:11" x14ac:dyDescent="0.35">
      <c r="A1469" s="231" t="s">
        <v>34</v>
      </c>
      <c r="B1469" s="230">
        <f>SUM(B1463:B1468)</f>
        <v>2515</v>
      </c>
      <c r="C1469" s="230">
        <f>SUM(C1463:C1468)</f>
        <v>0</v>
      </c>
      <c r="D1469" s="230">
        <f>SUM(D1463:D1468)</f>
        <v>0</v>
      </c>
      <c r="E1469" s="230">
        <f>SUM(E1463:E1468)</f>
        <v>0</v>
      </c>
      <c r="G1469" s="231" t="s">
        <v>34</v>
      </c>
      <c r="H1469" s="230">
        <f>SUM(H1463:H1468)</f>
        <v>0</v>
      </c>
      <c r="I1469" s="230">
        <f>SUM(I1463:I1468)</f>
        <v>0</v>
      </c>
      <c r="J1469" s="230">
        <f>SUM(J1463:J1468)</f>
        <v>0</v>
      </c>
      <c r="K1469" s="230">
        <f>SUM(K1463:K1468)</f>
        <v>0</v>
      </c>
    </row>
    <row r="1470" spans="1:11" ht="15" thickBot="1" x14ac:dyDescent="0.4">
      <c r="A1470" s="231" t="s">
        <v>313</v>
      </c>
      <c r="B1470" s="230">
        <f>+B1469+C1469+D1469+E1469</f>
        <v>2515</v>
      </c>
      <c r="C1470" s="230"/>
      <c r="D1470" s="230"/>
      <c r="E1470" s="230"/>
      <c r="G1470" s="231" t="s">
        <v>313</v>
      </c>
      <c r="H1470" s="230">
        <f>+H1469+I1469+J1469+K1469</f>
        <v>0</v>
      </c>
      <c r="I1470" s="230"/>
      <c r="J1470" s="230"/>
      <c r="K1470" s="230"/>
    </row>
    <row r="1471" spans="1:11" ht="15.5" thickTop="1" thickBot="1" x14ac:dyDescent="0.4">
      <c r="A1471" s="335" t="s">
        <v>298</v>
      </c>
      <c r="B1471" s="336"/>
      <c r="C1471" s="336"/>
      <c r="D1471" s="336"/>
      <c r="E1471" s="337"/>
      <c r="G1471" s="335" t="s">
        <v>298</v>
      </c>
      <c r="H1471" s="336"/>
      <c r="I1471" s="336"/>
      <c r="J1471" s="336"/>
      <c r="K1471" s="337"/>
    </row>
    <row r="1472" spans="1:11" ht="15.5" thickTop="1" thickBot="1" x14ac:dyDescent="0.4">
      <c r="A1472" s="338">
        <v>45425</v>
      </c>
      <c r="B1472" s="336"/>
      <c r="C1472" s="336"/>
      <c r="D1472" s="336"/>
      <c r="E1472" s="337"/>
      <c r="G1472" s="338">
        <v>45425</v>
      </c>
      <c r="H1472" s="336"/>
      <c r="I1472" s="336"/>
      <c r="J1472" s="336"/>
      <c r="K1472" s="337"/>
    </row>
    <row r="1473" spans="1:11" ht="15" thickTop="1" x14ac:dyDescent="0.35">
      <c r="A1473" s="267" t="s">
        <v>159</v>
      </c>
      <c r="B1473" s="267" t="s">
        <v>299</v>
      </c>
      <c r="C1473" s="267" t="s">
        <v>307</v>
      </c>
      <c r="D1473" s="267" t="s">
        <v>301</v>
      </c>
      <c r="E1473" s="268" t="s">
        <v>308</v>
      </c>
      <c r="G1473" s="267" t="s">
        <v>159</v>
      </c>
      <c r="H1473" s="267" t="s">
        <v>299</v>
      </c>
      <c r="I1473" s="267" t="s">
        <v>307</v>
      </c>
      <c r="J1473" s="267" t="s">
        <v>301</v>
      </c>
      <c r="K1473" s="268" t="s">
        <v>308</v>
      </c>
    </row>
    <row r="1474" spans="1:11" x14ac:dyDescent="0.35">
      <c r="A1474" s="269" t="s">
        <v>316</v>
      </c>
      <c r="B1474" s="270"/>
      <c r="C1474" s="270"/>
      <c r="D1474" s="270"/>
      <c r="E1474" s="270"/>
      <c r="G1474" s="269" t="s">
        <v>316</v>
      </c>
      <c r="H1474" s="270"/>
      <c r="I1474" s="270"/>
      <c r="J1474" s="270"/>
      <c r="K1474" s="270"/>
    </row>
    <row r="1475" spans="1:11" x14ac:dyDescent="0.35">
      <c r="A1475" s="271" t="s">
        <v>309</v>
      </c>
      <c r="B1475" s="272"/>
      <c r="C1475" s="272"/>
      <c r="D1475" s="272"/>
      <c r="E1475" s="272"/>
      <c r="G1475" s="271" t="s">
        <v>309</v>
      </c>
      <c r="H1475" s="272"/>
      <c r="I1475" s="272"/>
      <c r="J1475" s="272"/>
      <c r="K1475" s="272"/>
    </row>
    <row r="1476" spans="1:11" x14ac:dyDescent="0.35">
      <c r="A1476" s="269" t="s">
        <v>310</v>
      </c>
      <c r="B1476" s="270"/>
      <c r="C1476" s="270"/>
      <c r="D1476" s="270"/>
      <c r="E1476" s="270"/>
      <c r="G1476" s="269" t="s">
        <v>310</v>
      </c>
      <c r="H1476" s="270"/>
      <c r="I1476" s="270"/>
      <c r="J1476" s="270"/>
      <c r="K1476" s="270"/>
    </row>
    <row r="1477" spans="1:11" x14ac:dyDescent="0.35">
      <c r="A1477" s="271" t="s">
        <v>317</v>
      </c>
      <c r="B1477" s="272"/>
      <c r="C1477" s="272"/>
      <c r="D1477" s="272"/>
      <c r="E1477" s="272"/>
      <c r="G1477" s="271" t="s">
        <v>317</v>
      </c>
      <c r="H1477" s="272"/>
      <c r="I1477" s="272"/>
      <c r="J1477" s="272"/>
      <c r="K1477" s="272"/>
    </row>
    <row r="1478" spans="1:11" x14ac:dyDescent="0.35">
      <c r="A1478" s="269" t="s">
        <v>311</v>
      </c>
      <c r="B1478" s="270"/>
      <c r="C1478" s="270"/>
      <c r="D1478" s="270"/>
      <c r="E1478" s="270"/>
      <c r="G1478" s="269" t="s">
        <v>311</v>
      </c>
      <c r="H1478" s="270"/>
      <c r="I1478" s="270"/>
      <c r="J1478" s="270"/>
      <c r="K1478" s="270"/>
    </row>
    <row r="1479" spans="1:11" x14ac:dyDescent="0.35">
      <c r="A1479" s="271" t="s">
        <v>312</v>
      </c>
      <c r="B1479" s="272"/>
      <c r="C1479" s="272"/>
      <c r="D1479" s="272"/>
      <c r="E1479" s="272"/>
      <c r="G1479" s="271" t="s">
        <v>312</v>
      </c>
      <c r="H1479" s="272"/>
      <c r="I1479" s="272"/>
      <c r="J1479" s="272"/>
      <c r="K1479" s="272"/>
    </row>
    <row r="1480" spans="1:11" x14ac:dyDescent="0.35">
      <c r="A1480" s="231" t="s">
        <v>34</v>
      </c>
      <c r="B1480" s="230">
        <f>SUM(B1474:B1479)</f>
        <v>0</v>
      </c>
      <c r="C1480" s="230">
        <f>SUM(C1474:C1479)</f>
        <v>0</v>
      </c>
      <c r="D1480" s="230">
        <f>SUM(D1474:D1479)</f>
        <v>0</v>
      </c>
      <c r="E1480" s="230">
        <f>SUM(E1474:E1479)</f>
        <v>0</v>
      </c>
      <c r="G1480" s="231" t="s">
        <v>34</v>
      </c>
      <c r="H1480" s="230">
        <f>SUM(H1474:H1479)</f>
        <v>0</v>
      </c>
      <c r="I1480" s="230">
        <f>SUM(I1474:I1479)</f>
        <v>0</v>
      </c>
      <c r="J1480" s="230">
        <f>SUM(J1474:J1479)</f>
        <v>0</v>
      </c>
      <c r="K1480" s="230">
        <f>SUM(K1474:K1479)</f>
        <v>0</v>
      </c>
    </row>
    <row r="1481" spans="1:11" ht="15" thickBot="1" x14ac:dyDescent="0.4">
      <c r="A1481" s="231" t="s">
        <v>313</v>
      </c>
      <c r="B1481" s="230">
        <f>+B1480+C1480+D1480+E1480</f>
        <v>0</v>
      </c>
      <c r="C1481" s="230"/>
      <c r="D1481" s="230"/>
      <c r="E1481" s="230"/>
      <c r="G1481" s="231" t="s">
        <v>313</v>
      </c>
      <c r="H1481" s="230">
        <f>+H1480+I1480+J1480+K1480</f>
        <v>0</v>
      </c>
      <c r="I1481" s="230"/>
      <c r="J1481" s="230"/>
      <c r="K1481" s="230"/>
    </row>
    <row r="1482" spans="1:11" ht="15.5" thickTop="1" thickBot="1" x14ac:dyDescent="0.4">
      <c r="A1482" s="335" t="s">
        <v>298</v>
      </c>
      <c r="B1482" s="336"/>
      <c r="C1482" s="336"/>
      <c r="D1482" s="336"/>
      <c r="E1482" s="337"/>
      <c r="G1482" s="335" t="s">
        <v>298</v>
      </c>
      <c r="H1482" s="336"/>
      <c r="I1482" s="336"/>
      <c r="J1482" s="336"/>
      <c r="K1482" s="337"/>
    </row>
    <row r="1483" spans="1:11" ht="15.5" thickTop="1" thickBot="1" x14ac:dyDescent="0.4">
      <c r="A1483" s="338">
        <v>45426</v>
      </c>
      <c r="B1483" s="336"/>
      <c r="C1483" s="336"/>
      <c r="D1483" s="336"/>
      <c r="E1483" s="337"/>
      <c r="G1483" s="338">
        <v>45426</v>
      </c>
      <c r="H1483" s="336"/>
      <c r="I1483" s="336"/>
      <c r="J1483" s="336"/>
      <c r="K1483" s="337"/>
    </row>
    <row r="1484" spans="1:11" ht="15" thickTop="1" x14ac:dyDescent="0.35">
      <c r="A1484" s="267" t="s">
        <v>159</v>
      </c>
      <c r="B1484" s="267" t="s">
        <v>299</v>
      </c>
      <c r="C1484" s="267" t="s">
        <v>307</v>
      </c>
      <c r="D1484" s="267" t="s">
        <v>301</v>
      </c>
      <c r="E1484" s="268" t="s">
        <v>308</v>
      </c>
      <c r="G1484" s="267" t="s">
        <v>159</v>
      </c>
      <c r="H1484" s="267" t="s">
        <v>299</v>
      </c>
      <c r="I1484" s="267" t="s">
        <v>307</v>
      </c>
      <c r="J1484" s="267" t="s">
        <v>301</v>
      </c>
      <c r="K1484" s="268" t="s">
        <v>308</v>
      </c>
    </row>
    <row r="1485" spans="1:11" x14ac:dyDescent="0.35">
      <c r="A1485" s="269" t="s">
        <v>316</v>
      </c>
      <c r="B1485" s="270"/>
      <c r="C1485" s="270"/>
      <c r="D1485" s="270"/>
      <c r="E1485" s="270"/>
      <c r="G1485" s="269" t="s">
        <v>316</v>
      </c>
      <c r="H1485" s="270"/>
      <c r="I1485" s="270"/>
      <c r="J1485" s="270"/>
      <c r="K1485" s="270"/>
    </row>
    <row r="1486" spans="1:11" x14ac:dyDescent="0.35">
      <c r="A1486" s="271" t="s">
        <v>309</v>
      </c>
      <c r="B1486" s="272"/>
      <c r="C1486" s="272"/>
      <c r="D1486" s="272"/>
      <c r="E1486" s="272"/>
      <c r="G1486" s="271" t="s">
        <v>309</v>
      </c>
      <c r="H1486" s="272"/>
      <c r="I1486" s="272"/>
      <c r="J1486" s="272"/>
      <c r="K1486" s="272"/>
    </row>
    <row r="1487" spans="1:11" x14ac:dyDescent="0.35">
      <c r="A1487" s="269" t="s">
        <v>310</v>
      </c>
      <c r="B1487" s="270"/>
      <c r="C1487" s="270"/>
      <c r="D1487" s="270"/>
      <c r="E1487" s="270"/>
      <c r="G1487" s="269" t="s">
        <v>310</v>
      </c>
      <c r="H1487" s="270"/>
      <c r="I1487" s="270"/>
      <c r="J1487" s="270"/>
      <c r="K1487" s="270"/>
    </row>
    <row r="1488" spans="1:11" x14ac:dyDescent="0.35">
      <c r="A1488" s="271" t="s">
        <v>317</v>
      </c>
      <c r="B1488" s="272"/>
      <c r="C1488" s="272"/>
      <c r="D1488" s="272"/>
      <c r="E1488" s="272"/>
      <c r="G1488" s="271" t="s">
        <v>317</v>
      </c>
      <c r="H1488" s="272"/>
      <c r="I1488" s="272"/>
      <c r="J1488" s="272"/>
      <c r="K1488" s="272"/>
    </row>
    <row r="1489" spans="1:11" x14ac:dyDescent="0.35">
      <c r="A1489" s="269" t="s">
        <v>311</v>
      </c>
      <c r="B1489" s="270"/>
      <c r="C1489" s="270"/>
      <c r="D1489" s="270"/>
      <c r="E1489" s="270"/>
      <c r="G1489" s="269" t="s">
        <v>311</v>
      </c>
      <c r="H1489" s="270"/>
      <c r="I1489" s="270"/>
      <c r="J1489" s="270"/>
      <c r="K1489" s="270"/>
    </row>
    <row r="1490" spans="1:11" x14ac:dyDescent="0.35">
      <c r="A1490" s="271" t="s">
        <v>312</v>
      </c>
      <c r="B1490" s="272"/>
      <c r="C1490" s="272"/>
      <c r="D1490" s="272"/>
      <c r="E1490" s="272"/>
      <c r="G1490" s="271" t="s">
        <v>312</v>
      </c>
      <c r="H1490" s="272"/>
      <c r="I1490" s="272"/>
      <c r="J1490" s="272"/>
      <c r="K1490" s="272"/>
    </row>
    <row r="1491" spans="1:11" x14ac:dyDescent="0.35">
      <c r="A1491" s="231" t="s">
        <v>34</v>
      </c>
      <c r="B1491" s="230">
        <f>SUM(B1485:B1490)</f>
        <v>0</v>
      </c>
      <c r="C1491" s="230">
        <f>SUM(C1485:C1490)</f>
        <v>0</v>
      </c>
      <c r="D1491" s="230">
        <f>SUM(D1485:D1490)</f>
        <v>0</v>
      </c>
      <c r="E1491" s="230">
        <f>SUM(E1485:E1490)</f>
        <v>0</v>
      </c>
      <c r="G1491" s="231" t="s">
        <v>34</v>
      </c>
      <c r="H1491" s="230">
        <f>SUM(H1485:H1490)</f>
        <v>0</v>
      </c>
      <c r="I1491" s="230">
        <f>SUM(I1485:I1490)</f>
        <v>0</v>
      </c>
      <c r="J1491" s="230">
        <f>SUM(J1485:J1490)</f>
        <v>0</v>
      </c>
      <c r="K1491" s="230">
        <f>SUM(K1485:K1490)</f>
        <v>0</v>
      </c>
    </row>
    <row r="1492" spans="1:11" ht="15" thickBot="1" x14ac:dyDescent="0.4">
      <c r="A1492" s="231" t="s">
        <v>313</v>
      </c>
      <c r="B1492" s="230">
        <f>+B1491+C1491+D1491+E1491</f>
        <v>0</v>
      </c>
      <c r="C1492" s="230"/>
      <c r="D1492" s="230"/>
      <c r="E1492" s="230"/>
      <c r="G1492" s="231" t="s">
        <v>313</v>
      </c>
      <c r="H1492" s="230">
        <f>+H1491+I1491+J1491+K1491</f>
        <v>0</v>
      </c>
      <c r="I1492" s="230"/>
      <c r="J1492" s="230"/>
      <c r="K1492" s="230"/>
    </row>
    <row r="1493" spans="1:11" ht="15.5" thickTop="1" thickBot="1" x14ac:dyDescent="0.4">
      <c r="A1493" s="335" t="s">
        <v>298</v>
      </c>
      <c r="B1493" s="336"/>
      <c r="C1493" s="336"/>
      <c r="D1493" s="336"/>
      <c r="E1493" s="337"/>
      <c r="G1493" s="335" t="s">
        <v>298</v>
      </c>
      <c r="H1493" s="336"/>
      <c r="I1493" s="336"/>
      <c r="J1493" s="336"/>
      <c r="K1493" s="337"/>
    </row>
    <row r="1494" spans="1:11" ht="15.5" thickTop="1" thickBot="1" x14ac:dyDescent="0.4">
      <c r="A1494" s="338">
        <v>45427</v>
      </c>
      <c r="B1494" s="336"/>
      <c r="C1494" s="336"/>
      <c r="D1494" s="336"/>
      <c r="E1494" s="337"/>
      <c r="G1494" s="338">
        <v>45427</v>
      </c>
      <c r="H1494" s="336"/>
      <c r="I1494" s="336"/>
      <c r="J1494" s="336"/>
      <c r="K1494" s="337"/>
    </row>
    <row r="1495" spans="1:11" ht="15" thickTop="1" x14ac:dyDescent="0.35">
      <c r="A1495" s="267" t="s">
        <v>159</v>
      </c>
      <c r="B1495" s="267" t="s">
        <v>299</v>
      </c>
      <c r="C1495" s="267" t="s">
        <v>307</v>
      </c>
      <c r="D1495" s="267" t="s">
        <v>301</v>
      </c>
      <c r="E1495" s="268" t="s">
        <v>308</v>
      </c>
      <c r="G1495" s="267" t="s">
        <v>159</v>
      </c>
      <c r="H1495" s="267" t="s">
        <v>299</v>
      </c>
      <c r="I1495" s="267" t="s">
        <v>307</v>
      </c>
      <c r="J1495" s="267" t="s">
        <v>301</v>
      </c>
      <c r="K1495" s="268" t="s">
        <v>308</v>
      </c>
    </row>
    <row r="1496" spans="1:11" x14ac:dyDescent="0.35">
      <c r="A1496" s="269" t="s">
        <v>316</v>
      </c>
      <c r="B1496" s="270"/>
      <c r="C1496" s="270"/>
      <c r="D1496" s="270"/>
      <c r="E1496" s="270"/>
      <c r="G1496" s="269" t="s">
        <v>316</v>
      </c>
      <c r="H1496" s="270"/>
      <c r="I1496" s="270"/>
      <c r="J1496" s="270"/>
      <c r="K1496" s="270"/>
    </row>
    <row r="1497" spans="1:11" x14ac:dyDescent="0.35">
      <c r="A1497" s="271" t="s">
        <v>309</v>
      </c>
      <c r="B1497" s="272"/>
      <c r="C1497" s="272"/>
      <c r="D1497" s="272"/>
      <c r="E1497" s="272"/>
      <c r="G1497" s="271" t="s">
        <v>309</v>
      </c>
      <c r="H1497" s="272"/>
      <c r="I1497" s="272"/>
      <c r="J1497" s="272"/>
      <c r="K1497" s="272"/>
    </row>
    <row r="1498" spans="1:11" x14ac:dyDescent="0.35">
      <c r="A1498" s="269" t="s">
        <v>310</v>
      </c>
      <c r="B1498" s="270"/>
      <c r="C1498" s="270"/>
      <c r="D1498" s="270"/>
      <c r="E1498" s="270"/>
      <c r="G1498" s="269" t="s">
        <v>310</v>
      </c>
      <c r="H1498" s="270"/>
      <c r="I1498" s="270"/>
      <c r="J1498" s="270"/>
      <c r="K1498" s="270"/>
    </row>
    <row r="1499" spans="1:11" x14ac:dyDescent="0.35">
      <c r="A1499" s="271" t="s">
        <v>317</v>
      </c>
      <c r="B1499" s="272"/>
      <c r="C1499" s="272"/>
      <c r="D1499" s="272"/>
      <c r="E1499" s="272"/>
      <c r="G1499" s="271" t="s">
        <v>317</v>
      </c>
      <c r="H1499" s="272"/>
      <c r="I1499" s="272"/>
      <c r="J1499" s="272"/>
      <c r="K1499" s="272"/>
    </row>
    <row r="1500" spans="1:11" x14ac:dyDescent="0.35">
      <c r="A1500" s="269" t="s">
        <v>311</v>
      </c>
      <c r="B1500" s="270"/>
      <c r="C1500" s="270"/>
      <c r="D1500" s="270"/>
      <c r="E1500" s="270"/>
      <c r="G1500" s="269" t="s">
        <v>311</v>
      </c>
      <c r="H1500" s="270"/>
      <c r="I1500" s="270"/>
      <c r="J1500" s="270"/>
      <c r="K1500" s="270"/>
    </row>
    <row r="1501" spans="1:11" x14ac:dyDescent="0.35">
      <c r="A1501" s="271" t="s">
        <v>312</v>
      </c>
      <c r="B1501" s="272"/>
      <c r="C1501" s="272"/>
      <c r="D1501" s="272"/>
      <c r="E1501" s="272"/>
      <c r="G1501" s="271" t="s">
        <v>312</v>
      </c>
      <c r="H1501" s="272"/>
      <c r="I1501" s="272"/>
      <c r="J1501" s="272"/>
      <c r="K1501" s="272"/>
    </row>
    <row r="1502" spans="1:11" x14ac:dyDescent="0.35">
      <c r="A1502" s="231" t="s">
        <v>34</v>
      </c>
      <c r="B1502" s="230">
        <f>SUM(B1496:B1501)</f>
        <v>0</v>
      </c>
      <c r="C1502" s="230">
        <f>SUM(C1496:C1501)</f>
        <v>0</v>
      </c>
      <c r="D1502" s="230">
        <f>SUM(D1496:D1501)</f>
        <v>0</v>
      </c>
      <c r="E1502" s="230">
        <f>SUM(E1496:E1501)</f>
        <v>0</v>
      </c>
      <c r="G1502" s="231" t="s">
        <v>34</v>
      </c>
      <c r="H1502" s="230">
        <f>SUM(H1496:H1501)</f>
        <v>0</v>
      </c>
      <c r="I1502" s="230">
        <f>SUM(I1496:I1501)</f>
        <v>0</v>
      </c>
      <c r="J1502" s="230">
        <f>SUM(J1496:J1501)</f>
        <v>0</v>
      </c>
      <c r="K1502" s="230">
        <f>SUM(K1496:K1501)</f>
        <v>0</v>
      </c>
    </row>
    <row r="1503" spans="1:11" ht="15" thickBot="1" x14ac:dyDescent="0.4">
      <c r="A1503" s="231" t="s">
        <v>313</v>
      </c>
      <c r="B1503" s="230">
        <f>+B1502+C1502+D1502+E1502</f>
        <v>0</v>
      </c>
      <c r="C1503" s="230"/>
      <c r="D1503" s="230"/>
      <c r="E1503" s="230"/>
      <c r="G1503" s="231" t="s">
        <v>313</v>
      </c>
      <c r="H1503" s="230">
        <f>+H1502+I1502+J1502+K1502</f>
        <v>0</v>
      </c>
      <c r="I1503" s="230"/>
      <c r="J1503" s="230"/>
      <c r="K1503" s="230"/>
    </row>
    <row r="1504" spans="1:11" ht="15.5" thickTop="1" thickBot="1" x14ac:dyDescent="0.4">
      <c r="A1504" s="335" t="s">
        <v>298</v>
      </c>
      <c r="B1504" s="336"/>
      <c r="C1504" s="336"/>
      <c r="D1504" s="336"/>
      <c r="E1504" s="337"/>
      <c r="G1504" s="335" t="s">
        <v>298</v>
      </c>
      <c r="H1504" s="336"/>
      <c r="I1504" s="336"/>
      <c r="J1504" s="336"/>
      <c r="K1504" s="337"/>
    </row>
    <row r="1505" spans="1:11" ht="15.5" thickTop="1" thickBot="1" x14ac:dyDescent="0.4">
      <c r="A1505" s="338">
        <v>45428</v>
      </c>
      <c r="B1505" s="336"/>
      <c r="C1505" s="336"/>
      <c r="D1505" s="336"/>
      <c r="E1505" s="337"/>
      <c r="G1505" s="338">
        <v>45428</v>
      </c>
      <c r="H1505" s="336"/>
      <c r="I1505" s="336"/>
      <c r="J1505" s="336"/>
      <c r="K1505" s="337"/>
    </row>
    <row r="1506" spans="1:11" ht="15" thickTop="1" x14ac:dyDescent="0.35">
      <c r="A1506" s="267" t="s">
        <v>159</v>
      </c>
      <c r="B1506" s="267" t="s">
        <v>299</v>
      </c>
      <c r="C1506" s="267" t="s">
        <v>307</v>
      </c>
      <c r="D1506" s="267" t="s">
        <v>301</v>
      </c>
      <c r="E1506" s="268" t="s">
        <v>308</v>
      </c>
      <c r="G1506" s="267" t="s">
        <v>159</v>
      </c>
      <c r="H1506" s="267" t="s">
        <v>299</v>
      </c>
      <c r="I1506" s="267" t="s">
        <v>307</v>
      </c>
      <c r="J1506" s="267" t="s">
        <v>301</v>
      </c>
      <c r="K1506" s="268" t="s">
        <v>308</v>
      </c>
    </row>
    <row r="1507" spans="1:11" x14ac:dyDescent="0.35">
      <c r="A1507" s="269" t="s">
        <v>316</v>
      </c>
      <c r="B1507" s="270"/>
      <c r="C1507" s="270"/>
      <c r="D1507" s="270"/>
      <c r="E1507" s="270"/>
      <c r="G1507" s="269" t="s">
        <v>316</v>
      </c>
      <c r="H1507" s="270"/>
      <c r="I1507" s="270"/>
      <c r="J1507" s="270"/>
      <c r="K1507" s="270"/>
    </row>
    <row r="1508" spans="1:11" x14ac:dyDescent="0.35">
      <c r="A1508" s="271" t="s">
        <v>309</v>
      </c>
      <c r="B1508" s="272"/>
      <c r="C1508" s="272"/>
      <c r="D1508" s="272"/>
      <c r="E1508" s="272"/>
      <c r="G1508" s="271" t="s">
        <v>309</v>
      </c>
      <c r="H1508" s="272"/>
      <c r="I1508" s="272"/>
      <c r="J1508" s="272"/>
      <c r="K1508" s="272"/>
    </row>
    <row r="1509" spans="1:11" x14ac:dyDescent="0.35">
      <c r="A1509" s="269" t="s">
        <v>310</v>
      </c>
      <c r="B1509" s="270"/>
      <c r="C1509" s="270"/>
      <c r="D1509" s="270"/>
      <c r="E1509" s="270"/>
      <c r="G1509" s="269" t="s">
        <v>310</v>
      </c>
      <c r="H1509" s="270"/>
      <c r="I1509" s="270"/>
      <c r="J1509" s="270"/>
      <c r="K1509" s="270"/>
    </row>
    <row r="1510" spans="1:11" x14ac:dyDescent="0.35">
      <c r="A1510" s="271" t="s">
        <v>317</v>
      </c>
      <c r="B1510" s="272"/>
      <c r="C1510" s="272"/>
      <c r="D1510" s="272"/>
      <c r="E1510" s="272"/>
      <c r="G1510" s="271" t="s">
        <v>317</v>
      </c>
      <c r="H1510" s="272"/>
      <c r="I1510" s="272"/>
      <c r="J1510" s="272"/>
      <c r="K1510" s="272"/>
    </row>
    <row r="1511" spans="1:11" x14ac:dyDescent="0.35">
      <c r="A1511" s="269" t="s">
        <v>311</v>
      </c>
      <c r="B1511" s="270"/>
      <c r="C1511" s="270"/>
      <c r="D1511" s="270"/>
      <c r="E1511" s="270"/>
      <c r="G1511" s="269" t="s">
        <v>311</v>
      </c>
      <c r="H1511" s="270"/>
      <c r="I1511" s="270"/>
      <c r="J1511" s="270"/>
      <c r="K1511" s="270"/>
    </row>
    <row r="1512" spans="1:11" x14ac:dyDescent="0.35">
      <c r="A1512" s="271" t="s">
        <v>312</v>
      </c>
      <c r="B1512" s="272"/>
      <c r="C1512" s="272"/>
      <c r="D1512" s="272"/>
      <c r="E1512" s="272"/>
      <c r="G1512" s="271" t="s">
        <v>312</v>
      </c>
      <c r="H1512" s="272"/>
      <c r="I1512" s="272"/>
      <c r="J1512" s="272"/>
      <c r="K1512" s="272"/>
    </row>
    <row r="1513" spans="1:11" x14ac:dyDescent="0.35">
      <c r="A1513" s="231" t="s">
        <v>34</v>
      </c>
      <c r="B1513" s="230">
        <f>SUM(B1507:B1512)</f>
        <v>0</v>
      </c>
      <c r="C1513" s="230">
        <f>SUM(C1507:C1512)</f>
        <v>0</v>
      </c>
      <c r="D1513" s="230">
        <f>SUM(D1507:D1512)</f>
        <v>0</v>
      </c>
      <c r="E1513" s="230">
        <f>SUM(E1507:E1512)</f>
        <v>0</v>
      </c>
      <c r="G1513" s="231" t="s">
        <v>34</v>
      </c>
      <c r="H1513" s="230">
        <f>SUM(H1507:H1512)</f>
        <v>0</v>
      </c>
      <c r="I1513" s="230">
        <f>SUM(I1507:I1512)</f>
        <v>0</v>
      </c>
      <c r="J1513" s="230">
        <f>SUM(J1507:J1512)</f>
        <v>0</v>
      </c>
      <c r="K1513" s="230">
        <f>SUM(K1507:K1512)</f>
        <v>0</v>
      </c>
    </row>
    <row r="1514" spans="1:11" ht="15" thickBot="1" x14ac:dyDescent="0.4">
      <c r="A1514" s="231" t="s">
        <v>313</v>
      </c>
      <c r="B1514" s="230">
        <f>+B1513+C1513+D1513+E1513</f>
        <v>0</v>
      </c>
      <c r="C1514" s="230"/>
      <c r="D1514" s="230"/>
      <c r="E1514" s="230"/>
      <c r="G1514" s="231" t="s">
        <v>313</v>
      </c>
      <c r="H1514" s="230">
        <f>+H1513+I1513+J1513+K1513</f>
        <v>0</v>
      </c>
      <c r="I1514" s="230"/>
      <c r="J1514" s="230"/>
      <c r="K1514" s="230"/>
    </row>
    <row r="1515" spans="1:11" ht="15.5" thickTop="1" thickBot="1" x14ac:dyDescent="0.4">
      <c r="A1515" s="335" t="s">
        <v>298</v>
      </c>
      <c r="B1515" s="336"/>
      <c r="C1515" s="336"/>
      <c r="D1515" s="336"/>
      <c r="E1515" s="337"/>
      <c r="G1515" s="335" t="s">
        <v>298</v>
      </c>
      <c r="H1515" s="336"/>
      <c r="I1515" s="336"/>
      <c r="J1515" s="336"/>
      <c r="K1515" s="337"/>
    </row>
    <row r="1516" spans="1:11" ht="15.5" thickTop="1" thickBot="1" x14ac:dyDescent="0.4">
      <c r="A1516" s="338">
        <v>45429</v>
      </c>
      <c r="B1516" s="336"/>
      <c r="C1516" s="336"/>
      <c r="D1516" s="336"/>
      <c r="E1516" s="337"/>
      <c r="G1516" s="338">
        <v>45429</v>
      </c>
      <c r="H1516" s="336"/>
      <c r="I1516" s="336"/>
      <c r="J1516" s="336"/>
      <c r="K1516" s="337"/>
    </row>
    <row r="1517" spans="1:11" ht="15" thickTop="1" x14ac:dyDescent="0.35">
      <c r="A1517" s="267" t="s">
        <v>159</v>
      </c>
      <c r="B1517" s="267" t="s">
        <v>299</v>
      </c>
      <c r="C1517" s="267" t="s">
        <v>307</v>
      </c>
      <c r="D1517" s="267" t="s">
        <v>301</v>
      </c>
      <c r="E1517" s="268" t="s">
        <v>308</v>
      </c>
      <c r="G1517" s="267" t="s">
        <v>159</v>
      </c>
      <c r="H1517" s="267" t="s">
        <v>299</v>
      </c>
      <c r="I1517" s="267" t="s">
        <v>307</v>
      </c>
      <c r="J1517" s="267" t="s">
        <v>301</v>
      </c>
      <c r="K1517" s="268" t="s">
        <v>308</v>
      </c>
    </row>
    <row r="1518" spans="1:11" x14ac:dyDescent="0.35">
      <c r="A1518" s="269" t="s">
        <v>316</v>
      </c>
      <c r="B1518" s="270"/>
      <c r="C1518" s="270"/>
      <c r="D1518" s="270"/>
      <c r="E1518" s="270"/>
      <c r="G1518" s="269" t="s">
        <v>316</v>
      </c>
      <c r="H1518" s="270"/>
      <c r="I1518" s="270"/>
      <c r="J1518" s="270"/>
      <c r="K1518" s="270"/>
    </row>
    <row r="1519" spans="1:11" x14ac:dyDescent="0.35">
      <c r="A1519" s="271" t="s">
        <v>309</v>
      </c>
      <c r="B1519" s="272"/>
      <c r="C1519" s="272"/>
      <c r="D1519" s="272"/>
      <c r="E1519" s="272"/>
      <c r="G1519" s="271" t="s">
        <v>309</v>
      </c>
      <c r="H1519" s="272"/>
      <c r="I1519" s="272"/>
      <c r="J1519" s="272"/>
      <c r="K1519" s="272"/>
    </row>
    <row r="1520" spans="1:11" x14ac:dyDescent="0.35">
      <c r="A1520" s="269" t="s">
        <v>310</v>
      </c>
      <c r="B1520" s="270"/>
      <c r="C1520" s="270"/>
      <c r="D1520" s="270"/>
      <c r="E1520" s="270"/>
      <c r="G1520" s="269" t="s">
        <v>310</v>
      </c>
      <c r="H1520" s="270"/>
      <c r="I1520" s="270"/>
      <c r="J1520" s="270"/>
      <c r="K1520" s="270"/>
    </row>
    <row r="1521" spans="1:11" x14ac:dyDescent="0.35">
      <c r="A1521" s="271" t="s">
        <v>317</v>
      </c>
      <c r="B1521" s="272"/>
      <c r="C1521" s="272"/>
      <c r="D1521" s="272"/>
      <c r="E1521" s="272"/>
      <c r="G1521" s="271" t="s">
        <v>317</v>
      </c>
      <c r="H1521" s="272"/>
      <c r="I1521" s="272"/>
      <c r="J1521" s="272"/>
      <c r="K1521" s="272"/>
    </row>
    <row r="1522" spans="1:11" x14ac:dyDescent="0.35">
      <c r="A1522" s="269" t="s">
        <v>311</v>
      </c>
      <c r="B1522" s="270"/>
      <c r="C1522" s="270"/>
      <c r="D1522" s="270"/>
      <c r="E1522" s="270"/>
      <c r="G1522" s="269" t="s">
        <v>311</v>
      </c>
      <c r="H1522" s="270"/>
      <c r="I1522" s="270"/>
      <c r="J1522" s="270"/>
      <c r="K1522" s="270"/>
    </row>
    <row r="1523" spans="1:11" x14ac:dyDescent="0.35">
      <c r="A1523" s="271" t="s">
        <v>312</v>
      </c>
      <c r="B1523" s="272"/>
      <c r="C1523" s="272"/>
      <c r="D1523" s="272"/>
      <c r="E1523" s="272"/>
      <c r="G1523" s="271" t="s">
        <v>312</v>
      </c>
      <c r="H1523" s="272"/>
      <c r="I1523" s="272"/>
      <c r="J1523" s="272"/>
      <c r="K1523" s="272"/>
    </row>
    <row r="1524" spans="1:11" x14ac:dyDescent="0.35">
      <c r="A1524" s="231" t="s">
        <v>34</v>
      </c>
      <c r="B1524" s="230">
        <f>SUM(B1518:B1523)</f>
        <v>0</v>
      </c>
      <c r="C1524" s="230">
        <f>SUM(C1518:C1523)</f>
        <v>0</v>
      </c>
      <c r="D1524" s="230">
        <f>SUM(D1518:D1523)</f>
        <v>0</v>
      </c>
      <c r="E1524" s="230">
        <f>SUM(E1518:E1523)</f>
        <v>0</v>
      </c>
      <c r="G1524" s="231" t="s">
        <v>34</v>
      </c>
      <c r="H1524" s="230">
        <f>SUM(H1518:H1523)</f>
        <v>0</v>
      </c>
      <c r="I1524" s="230">
        <f>SUM(I1518:I1523)</f>
        <v>0</v>
      </c>
      <c r="J1524" s="230">
        <f>SUM(J1518:J1523)</f>
        <v>0</v>
      </c>
      <c r="K1524" s="230">
        <f>SUM(K1518:K1523)</f>
        <v>0</v>
      </c>
    </row>
    <row r="1525" spans="1:11" ht="15" thickBot="1" x14ac:dyDescent="0.4">
      <c r="A1525" s="231" t="s">
        <v>313</v>
      </c>
      <c r="B1525" s="230">
        <f>+B1524+C1524+D1524+E1524</f>
        <v>0</v>
      </c>
      <c r="C1525" s="230"/>
      <c r="D1525" s="230"/>
      <c r="E1525" s="230"/>
      <c r="G1525" s="231" t="s">
        <v>313</v>
      </c>
      <c r="H1525" s="230">
        <f>+H1524+I1524+J1524+K1524</f>
        <v>0</v>
      </c>
      <c r="I1525" s="230"/>
      <c r="J1525" s="230"/>
      <c r="K1525" s="230"/>
    </row>
    <row r="1526" spans="1:11" ht="15.5" thickTop="1" thickBot="1" x14ac:dyDescent="0.4">
      <c r="A1526" s="335" t="s">
        <v>298</v>
      </c>
      <c r="B1526" s="336"/>
      <c r="C1526" s="336"/>
      <c r="D1526" s="336"/>
      <c r="E1526" s="337"/>
      <c r="G1526" s="335" t="s">
        <v>298</v>
      </c>
      <c r="H1526" s="336"/>
      <c r="I1526" s="336"/>
      <c r="J1526" s="336"/>
      <c r="K1526" s="337"/>
    </row>
    <row r="1527" spans="1:11" ht="15.5" thickTop="1" thickBot="1" x14ac:dyDescent="0.4">
      <c r="A1527" s="338">
        <v>45430</v>
      </c>
      <c r="B1527" s="336"/>
      <c r="C1527" s="336"/>
      <c r="D1527" s="336"/>
      <c r="E1527" s="337"/>
      <c r="G1527" s="338">
        <v>45430</v>
      </c>
      <c r="H1527" s="336"/>
      <c r="I1527" s="336"/>
      <c r="J1527" s="336"/>
      <c r="K1527" s="337"/>
    </row>
    <row r="1528" spans="1:11" ht="15" thickTop="1" x14ac:dyDescent="0.35">
      <c r="A1528" s="267" t="s">
        <v>159</v>
      </c>
      <c r="B1528" s="267" t="s">
        <v>299</v>
      </c>
      <c r="C1528" s="267" t="s">
        <v>307</v>
      </c>
      <c r="D1528" s="267" t="s">
        <v>301</v>
      </c>
      <c r="E1528" s="268" t="s">
        <v>308</v>
      </c>
      <c r="G1528" s="267" t="s">
        <v>159</v>
      </c>
      <c r="H1528" s="267" t="s">
        <v>299</v>
      </c>
      <c r="I1528" s="267" t="s">
        <v>307</v>
      </c>
      <c r="J1528" s="267" t="s">
        <v>301</v>
      </c>
      <c r="K1528" s="268" t="s">
        <v>308</v>
      </c>
    </row>
    <row r="1529" spans="1:11" x14ac:dyDescent="0.35">
      <c r="A1529" s="269" t="s">
        <v>316</v>
      </c>
      <c r="B1529" s="270"/>
      <c r="C1529" s="270"/>
      <c r="D1529" s="270"/>
      <c r="E1529" s="270"/>
      <c r="G1529" s="269" t="s">
        <v>316</v>
      </c>
      <c r="H1529" s="270"/>
      <c r="I1529" s="270"/>
      <c r="J1529" s="270"/>
      <c r="K1529" s="270"/>
    </row>
    <row r="1530" spans="1:11" x14ac:dyDescent="0.35">
      <c r="A1530" s="271" t="s">
        <v>309</v>
      </c>
      <c r="B1530" s="272"/>
      <c r="C1530" s="272"/>
      <c r="D1530" s="272"/>
      <c r="E1530" s="272"/>
      <c r="G1530" s="271" t="s">
        <v>309</v>
      </c>
      <c r="H1530" s="272"/>
      <c r="I1530" s="272"/>
      <c r="J1530" s="272"/>
      <c r="K1530" s="272"/>
    </row>
    <row r="1531" spans="1:11" x14ac:dyDescent="0.35">
      <c r="A1531" s="269" t="s">
        <v>310</v>
      </c>
      <c r="B1531" s="270"/>
      <c r="C1531" s="270"/>
      <c r="D1531" s="270"/>
      <c r="E1531" s="270"/>
      <c r="G1531" s="269" t="s">
        <v>310</v>
      </c>
      <c r="H1531" s="270"/>
      <c r="I1531" s="270"/>
      <c r="J1531" s="270"/>
      <c r="K1531" s="270"/>
    </row>
    <row r="1532" spans="1:11" x14ac:dyDescent="0.35">
      <c r="A1532" s="271" t="s">
        <v>317</v>
      </c>
      <c r="B1532" s="272"/>
      <c r="C1532" s="272"/>
      <c r="D1532" s="272"/>
      <c r="E1532" s="272"/>
      <c r="G1532" s="271" t="s">
        <v>317</v>
      </c>
      <c r="H1532" s="272"/>
      <c r="I1532" s="272"/>
      <c r="J1532" s="272"/>
      <c r="K1532" s="272"/>
    </row>
    <row r="1533" spans="1:11" x14ac:dyDescent="0.35">
      <c r="A1533" s="269" t="s">
        <v>311</v>
      </c>
      <c r="B1533" s="270"/>
      <c r="C1533" s="270"/>
      <c r="D1533" s="270"/>
      <c r="E1533" s="270"/>
      <c r="G1533" s="269" t="s">
        <v>311</v>
      </c>
      <c r="H1533" s="270"/>
      <c r="I1533" s="270"/>
      <c r="J1533" s="270"/>
      <c r="K1533" s="270"/>
    </row>
    <row r="1534" spans="1:11" x14ac:dyDescent="0.35">
      <c r="A1534" s="271" t="s">
        <v>312</v>
      </c>
      <c r="B1534" s="272"/>
      <c r="C1534" s="272"/>
      <c r="D1534" s="272"/>
      <c r="E1534" s="272"/>
      <c r="G1534" s="271" t="s">
        <v>312</v>
      </c>
      <c r="H1534" s="272"/>
      <c r="I1534" s="272"/>
      <c r="J1534" s="272"/>
      <c r="K1534" s="272"/>
    </row>
    <row r="1535" spans="1:11" x14ac:dyDescent="0.35">
      <c r="A1535" s="231" t="s">
        <v>34</v>
      </c>
      <c r="B1535" s="230">
        <f>SUM(B1529:B1534)</f>
        <v>0</v>
      </c>
      <c r="C1535" s="230">
        <f>SUM(C1529:C1534)</f>
        <v>0</v>
      </c>
      <c r="D1535" s="230">
        <f>SUM(D1529:D1534)</f>
        <v>0</v>
      </c>
      <c r="E1535" s="230">
        <f>SUM(E1529:E1534)</f>
        <v>0</v>
      </c>
      <c r="G1535" s="231" t="s">
        <v>34</v>
      </c>
      <c r="H1535" s="230">
        <f>SUM(H1529:H1534)</f>
        <v>0</v>
      </c>
      <c r="I1535" s="230">
        <f>SUM(I1529:I1534)</f>
        <v>0</v>
      </c>
      <c r="J1535" s="230">
        <f>SUM(J1529:J1534)</f>
        <v>0</v>
      </c>
      <c r="K1535" s="230">
        <f>SUM(K1529:K1534)</f>
        <v>0</v>
      </c>
    </row>
    <row r="1536" spans="1:11" ht="15" thickBot="1" x14ac:dyDescent="0.4">
      <c r="A1536" s="231" t="s">
        <v>313</v>
      </c>
      <c r="B1536" s="230">
        <f>+B1535+C1535+D1535+E1535</f>
        <v>0</v>
      </c>
      <c r="C1536" s="230"/>
      <c r="D1536" s="230"/>
      <c r="E1536" s="230"/>
      <c r="G1536" s="231" t="s">
        <v>313</v>
      </c>
      <c r="H1536" s="230">
        <f>+H1535+I1535+J1535+K1535</f>
        <v>0</v>
      </c>
      <c r="I1536" s="230"/>
      <c r="J1536" s="230"/>
      <c r="K1536" s="230"/>
    </row>
    <row r="1537" spans="1:11" ht="15.5" thickTop="1" thickBot="1" x14ac:dyDescent="0.4">
      <c r="A1537" s="335" t="s">
        <v>298</v>
      </c>
      <c r="B1537" s="336"/>
      <c r="C1537" s="336"/>
      <c r="D1537" s="336"/>
      <c r="E1537" s="337"/>
      <c r="G1537" s="335" t="s">
        <v>298</v>
      </c>
      <c r="H1537" s="336"/>
      <c r="I1537" s="336"/>
      <c r="J1537" s="336"/>
      <c r="K1537" s="337"/>
    </row>
    <row r="1538" spans="1:11" ht="15.5" thickTop="1" thickBot="1" x14ac:dyDescent="0.4">
      <c r="A1538" s="338">
        <v>45431</v>
      </c>
      <c r="B1538" s="336"/>
      <c r="C1538" s="336"/>
      <c r="D1538" s="336"/>
      <c r="E1538" s="337"/>
      <c r="G1538" s="338">
        <v>45431</v>
      </c>
      <c r="H1538" s="336"/>
      <c r="I1538" s="336"/>
      <c r="J1538" s="336"/>
      <c r="K1538" s="337"/>
    </row>
    <row r="1539" spans="1:11" ht="15" thickTop="1" x14ac:dyDescent="0.35">
      <c r="A1539" s="267" t="s">
        <v>159</v>
      </c>
      <c r="B1539" s="267" t="s">
        <v>299</v>
      </c>
      <c r="C1539" s="267" t="s">
        <v>307</v>
      </c>
      <c r="D1539" s="267" t="s">
        <v>301</v>
      </c>
      <c r="E1539" s="268" t="s">
        <v>308</v>
      </c>
      <c r="G1539" s="267" t="s">
        <v>159</v>
      </c>
      <c r="H1539" s="267" t="s">
        <v>299</v>
      </c>
      <c r="I1539" s="267" t="s">
        <v>307</v>
      </c>
      <c r="J1539" s="267" t="s">
        <v>301</v>
      </c>
      <c r="K1539" s="268" t="s">
        <v>308</v>
      </c>
    </row>
    <row r="1540" spans="1:11" x14ac:dyDescent="0.35">
      <c r="A1540" s="269" t="s">
        <v>316</v>
      </c>
      <c r="B1540" s="270"/>
      <c r="C1540" s="270"/>
      <c r="D1540" s="270"/>
      <c r="E1540" s="270"/>
      <c r="G1540" s="269" t="s">
        <v>316</v>
      </c>
      <c r="H1540" s="270"/>
      <c r="I1540" s="270"/>
      <c r="J1540" s="270"/>
      <c r="K1540" s="270"/>
    </row>
    <row r="1541" spans="1:11" x14ac:dyDescent="0.35">
      <c r="A1541" s="271" t="s">
        <v>309</v>
      </c>
      <c r="B1541" s="272"/>
      <c r="C1541" s="272"/>
      <c r="D1541" s="272"/>
      <c r="E1541" s="272"/>
      <c r="G1541" s="271" t="s">
        <v>309</v>
      </c>
      <c r="H1541" s="272"/>
      <c r="I1541" s="272"/>
      <c r="J1541" s="272"/>
      <c r="K1541" s="272"/>
    </row>
    <row r="1542" spans="1:11" x14ac:dyDescent="0.35">
      <c r="A1542" s="269" t="s">
        <v>310</v>
      </c>
      <c r="B1542" s="270"/>
      <c r="C1542" s="270"/>
      <c r="D1542" s="270"/>
      <c r="E1542" s="270"/>
      <c r="G1542" s="269" t="s">
        <v>310</v>
      </c>
      <c r="H1542" s="270"/>
      <c r="I1542" s="270"/>
      <c r="J1542" s="270"/>
      <c r="K1542" s="270"/>
    </row>
    <row r="1543" spans="1:11" x14ac:dyDescent="0.35">
      <c r="A1543" s="271" t="s">
        <v>317</v>
      </c>
      <c r="B1543" s="272"/>
      <c r="C1543" s="272"/>
      <c r="D1543" s="272"/>
      <c r="E1543" s="272"/>
      <c r="G1543" s="271" t="s">
        <v>317</v>
      </c>
      <c r="H1543" s="272"/>
      <c r="I1543" s="272"/>
      <c r="J1543" s="272"/>
      <c r="K1543" s="272"/>
    </row>
    <row r="1544" spans="1:11" x14ac:dyDescent="0.35">
      <c r="A1544" s="269" t="s">
        <v>311</v>
      </c>
      <c r="B1544" s="270"/>
      <c r="C1544" s="270"/>
      <c r="D1544" s="270"/>
      <c r="E1544" s="270"/>
      <c r="G1544" s="269" t="s">
        <v>311</v>
      </c>
      <c r="H1544" s="270"/>
      <c r="I1544" s="270"/>
      <c r="J1544" s="270"/>
      <c r="K1544" s="270"/>
    </row>
    <row r="1545" spans="1:11" x14ac:dyDescent="0.35">
      <c r="A1545" s="271" t="s">
        <v>312</v>
      </c>
      <c r="B1545" s="272"/>
      <c r="C1545" s="272"/>
      <c r="D1545" s="272"/>
      <c r="E1545" s="272"/>
      <c r="G1545" s="271" t="s">
        <v>312</v>
      </c>
      <c r="H1545" s="272"/>
      <c r="I1545" s="272"/>
      <c r="J1545" s="272"/>
      <c r="K1545" s="272"/>
    </row>
    <row r="1546" spans="1:11" x14ac:dyDescent="0.35">
      <c r="A1546" s="231" t="s">
        <v>34</v>
      </c>
      <c r="B1546" s="230">
        <f>SUM(B1540:B1545)</f>
        <v>0</v>
      </c>
      <c r="C1546" s="230">
        <f>SUM(C1540:C1545)</f>
        <v>0</v>
      </c>
      <c r="D1546" s="230">
        <f>SUM(D1540:D1545)</f>
        <v>0</v>
      </c>
      <c r="E1546" s="230">
        <f>SUM(E1540:E1545)</f>
        <v>0</v>
      </c>
      <c r="G1546" s="231" t="s">
        <v>34</v>
      </c>
      <c r="H1546" s="230">
        <f>SUM(H1540:H1545)</f>
        <v>0</v>
      </c>
      <c r="I1546" s="230">
        <f>SUM(I1540:I1545)</f>
        <v>0</v>
      </c>
      <c r="J1546" s="230">
        <f>SUM(J1540:J1545)</f>
        <v>0</v>
      </c>
      <c r="K1546" s="230">
        <f>SUM(K1540:K1545)</f>
        <v>0</v>
      </c>
    </row>
    <row r="1547" spans="1:11" ht="15" thickBot="1" x14ac:dyDescent="0.4">
      <c r="A1547" s="231" t="s">
        <v>313</v>
      </c>
      <c r="B1547" s="230">
        <f>+B1546+C1546+D1546+E1546</f>
        <v>0</v>
      </c>
      <c r="C1547" s="230"/>
      <c r="D1547" s="230"/>
      <c r="E1547" s="230"/>
      <c r="G1547" s="231" t="s">
        <v>313</v>
      </c>
      <c r="H1547" s="230">
        <f>+H1546+I1546+J1546+K1546</f>
        <v>0</v>
      </c>
      <c r="I1547" s="230"/>
      <c r="J1547" s="230"/>
      <c r="K1547" s="230"/>
    </row>
    <row r="1548" spans="1:11" ht="15.5" thickTop="1" thickBot="1" x14ac:dyDescent="0.4">
      <c r="A1548" s="335" t="s">
        <v>298</v>
      </c>
      <c r="B1548" s="336"/>
      <c r="C1548" s="336"/>
      <c r="D1548" s="336"/>
      <c r="E1548" s="337"/>
      <c r="G1548" s="335" t="s">
        <v>298</v>
      </c>
      <c r="H1548" s="336"/>
      <c r="I1548" s="336"/>
      <c r="J1548" s="336"/>
      <c r="K1548" s="337"/>
    </row>
    <row r="1549" spans="1:11" ht="15.5" thickTop="1" thickBot="1" x14ac:dyDescent="0.4">
      <c r="A1549" s="338">
        <v>45432</v>
      </c>
      <c r="B1549" s="336"/>
      <c r="C1549" s="336"/>
      <c r="D1549" s="336"/>
      <c r="E1549" s="337"/>
      <c r="G1549" s="338">
        <v>45432</v>
      </c>
      <c r="H1549" s="336"/>
      <c r="I1549" s="336"/>
      <c r="J1549" s="336"/>
      <c r="K1549" s="337"/>
    </row>
    <row r="1550" spans="1:11" ht="15" thickTop="1" x14ac:dyDescent="0.35">
      <c r="A1550" s="267" t="s">
        <v>159</v>
      </c>
      <c r="B1550" s="267" t="s">
        <v>299</v>
      </c>
      <c r="C1550" s="267" t="s">
        <v>307</v>
      </c>
      <c r="D1550" s="267" t="s">
        <v>301</v>
      </c>
      <c r="E1550" s="268" t="s">
        <v>308</v>
      </c>
      <c r="G1550" s="267" t="s">
        <v>159</v>
      </c>
      <c r="H1550" s="267" t="s">
        <v>299</v>
      </c>
      <c r="I1550" s="267" t="s">
        <v>307</v>
      </c>
      <c r="J1550" s="267" t="s">
        <v>301</v>
      </c>
      <c r="K1550" s="268" t="s">
        <v>308</v>
      </c>
    </row>
    <row r="1551" spans="1:11" x14ac:dyDescent="0.35">
      <c r="A1551" s="269" t="s">
        <v>316</v>
      </c>
      <c r="B1551" s="270"/>
      <c r="C1551" s="270"/>
      <c r="D1551" s="270"/>
      <c r="E1551" s="270"/>
      <c r="G1551" s="269" t="s">
        <v>316</v>
      </c>
      <c r="H1551" s="270"/>
      <c r="I1551" s="270"/>
      <c r="J1551" s="270"/>
      <c r="K1551" s="270"/>
    </row>
    <row r="1552" spans="1:11" x14ac:dyDescent="0.35">
      <c r="A1552" s="271" t="s">
        <v>309</v>
      </c>
      <c r="B1552" s="272"/>
      <c r="C1552" s="272"/>
      <c r="D1552" s="272"/>
      <c r="E1552" s="272"/>
      <c r="G1552" s="271" t="s">
        <v>309</v>
      </c>
      <c r="H1552" s="272"/>
      <c r="I1552" s="272"/>
      <c r="J1552" s="272"/>
      <c r="K1552" s="272"/>
    </row>
    <row r="1553" spans="1:11" x14ac:dyDescent="0.35">
      <c r="A1553" s="269" t="s">
        <v>310</v>
      </c>
      <c r="B1553" s="270"/>
      <c r="C1553" s="270"/>
      <c r="D1553" s="270"/>
      <c r="E1553" s="270"/>
      <c r="G1553" s="269" t="s">
        <v>310</v>
      </c>
      <c r="H1553" s="270"/>
      <c r="I1553" s="270"/>
      <c r="J1553" s="270"/>
      <c r="K1553" s="270"/>
    </row>
    <row r="1554" spans="1:11" x14ac:dyDescent="0.35">
      <c r="A1554" s="271" t="s">
        <v>317</v>
      </c>
      <c r="B1554" s="272"/>
      <c r="C1554" s="272"/>
      <c r="D1554" s="272"/>
      <c r="E1554" s="272"/>
      <c r="G1554" s="271" t="s">
        <v>317</v>
      </c>
      <c r="H1554" s="272"/>
      <c r="I1554" s="272"/>
      <c r="J1554" s="272"/>
      <c r="K1554" s="272"/>
    </row>
    <row r="1555" spans="1:11" x14ac:dyDescent="0.35">
      <c r="A1555" s="269" t="s">
        <v>311</v>
      </c>
      <c r="B1555" s="270"/>
      <c r="C1555" s="270"/>
      <c r="D1555" s="270"/>
      <c r="E1555" s="270"/>
      <c r="G1555" s="269" t="s">
        <v>311</v>
      </c>
      <c r="H1555" s="270"/>
      <c r="I1555" s="270"/>
      <c r="J1555" s="270"/>
      <c r="K1555" s="270"/>
    </row>
    <row r="1556" spans="1:11" x14ac:dyDescent="0.35">
      <c r="A1556" s="271" t="s">
        <v>312</v>
      </c>
      <c r="B1556" s="272"/>
      <c r="C1556" s="272"/>
      <c r="D1556" s="272"/>
      <c r="E1556" s="272"/>
      <c r="G1556" s="271" t="s">
        <v>312</v>
      </c>
      <c r="H1556" s="272"/>
      <c r="I1556" s="272"/>
      <c r="J1556" s="272"/>
      <c r="K1556" s="272"/>
    </row>
    <row r="1557" spans="1:11" x14ac:dyDescent="0.35">
      <c r="A1557" s="231" t="s">
        <v>34</v>
      </c>
      <c r="B1557" s="230">
        <f>SUM(B1551:B1556)</f>
        <v>0</v>
      </c>
      <c r="C1557" s="230">
        <f>SUM(C1551:C1556)</f>
        <v>0</v>
      </c>
      <c r="D1557" s="230">
        <f>SUM(D1551:D1556)</f>
        <v>0</v>
      </c>
      <c r="E1557" s="230">
        <f>SUM(E1551:E1556)</f>
        <v>0</v>
      </c>
      <c r="G1557" s="231" t="s">
        <v>34</v>
      </c>
      <c r="H1557" s="230">
        <f>SUM(H1551:H1556)</f>
        <v>0</v>
      </c>
      <c r="I1557" s="230">
        <f>SUM(I1551:I1556)</f>
        <v>0</v>
      </c>
      <c r="J1557" s="230">
        <f>SUM(J1551:J1556)</f>
        <v>0</v>
      </c>
      <c r="K1557" s="230">
        <f>SUM(K1551:K1556)</f>
        <v>0</v>
      </c>
    </row>
    <row r="1558" spans="1:11" ht="15" thickBot="1" x14ac:dyDescent="0.4">
      <c r="A1558" s="231" t="s">
        <v>313</v>
      </c>
      <c r="B1558" s="230">
        <f>+B1557+C1557+D1557+E1557</f>
        <v>0</v>
      </c>
      <c r="C1558" s="230"/>
      <c r="D1558" s="230"/>
      <c r="E1558" s="230"/>
      <c r="G1558" s="231" t="s">
        <v>313</v>
      </c>
      <c r="H1558" s="230">
        <f>+H1557+I1557+J1557+K1557</f>
        <v>0</v>
      </c>
      <c r="I1558" s="230"/>
      <c r="J1558" s="230"/>
      <c r="K1558" s="230"/>
    </row>
    <row r="1559" spans="1:11" ht="15.5" thickTop="1" thickBot="1" x14ac:dyDescent="0.4">
      <c r="A1559" s="335" t="s">
        <v>298</v>
      </c>
      <c r="B1559" s="336"/>
      <c r="C1559" s="336"/>
      <c r="D1559" s="336"/>
      <c r="E1559" s="337"/>
      <c r="G1559" s="335" t="s">
        <v>298</v>
      </c>
      <c r="H1559" s="336"/>
      <c r="I1559" s="336"/>
      <c r="J1559" s="336"/>
      <c r="K1559" s="337"/>
    </row>
    <row r="1560" spans="1:11" ht="15.5" thickTop="1" thickBot="1" x14ac:dyDescent="0.4">
      <c r="A1560" s="338">
        <v>45433</v>
      </c>
      <c r="B1560" s="336"/>
      <c r="C1560" s="336"/>
      <c r="D1560" s="336"/>
      <c r="E1560" s="337"/>
      <c r="G1560" s="338">
        <v>45433</v>
      </c>
      <c r="H1560" s="336"/>
      <c r="I1560" s="336"/>
      <c r="J1560" s="336"/>
      <c r="K1560" s="337"/>
    </row>
    <row r="1561" spans="1:11" ht="15" thickTop="1" x14ac:dyDescent="0.35">
      <c r="A1561" s="267" t="s">
        <v>159</v>
      </c>
      <c r="B1561" s="267" t="s">
        <v>299</v>
      </c>
      <c r="C1561" s="267" t="s">
        <v>307</v>
      </c>
      <c r="D1561" s="267" t="s">
        <v>301</v>
      </c>
      <c r="E1561" s="268" t="s">
        <v>308</v>
      </c>
      <c r="G1561" s="267" t="s">
        <v>159</v>
      </c>
      <c r="H1561" s="267" t="s">
        <v>299</v>
      </c>
      <c r="I1561" s="267" t="s">
        <v>307</v>
      </c>
      <c r="J1561" s="267" t="s">
        <v>301</v>
      </c>
      <c r="K1561" s="268" t="s">
        <v>308</v>
      </c>
    </row>
    <row r="1562" spans="1:11" x14ac:dyDescent="0.35">
      <c r="A1562" s="269" t="s">
        <v>316</v>
      </c>
      <c r="B1562" s="270"/>
      <c r="C1562" s="270"/>
      <c r="D1562" s="270"/>
      <c r="E1562" s="270"/>
      <c r="G1562" s="269" t="s">
        <v>316</v>
      </c>
      <c r="H1562" s="270"/>
      <c r="I1562" s="270"/>
      <c r="J1562" s="270"/>
      <c r="K1562" s="270"/>
    </row>
    <row r="1563" spans="1:11" x14ac:dyDescent="0.35">
      <c r="A1563" s="271" t="s">
        <v>309</v>
      </c>
      <c r="B1563" s="272"/>
      <c r="C1563" s="272"/>
      <c r="D1563" s="272"/>
      <c r="E1563" s="272"/>
      <c r="G1563" s="271" t="s">
        <v>309</v>
      </c>
      <c r="H1563" s="272"/>
      <c r="I1563" s="272"/>
      <c r="J1563" s="272"/>
      <c r="K1563" s="272"/>
    </row>
    <row r="1564" spans="1:11" x14ac:dyDescent="0.35">
      <c r="A1564" s="269" t="s">
        <v>310</v>
      </c>
      <c r="B1564" s="270"/>
      <c r="C1564" s="270"/>
      <c r="D1564" s="270"/>
      <c r="E1564" s="270"/>
      <c r="G1564" s="269" t="s">
        <v>310</v>
      </c>
      <c r="H1564" s="270"/>
      <c r="I1564" s="270"/>
      <c r="J1564" s="270"/>
      <c r="K1564" s="270"/>
    </row>
    <row r="1565" spans="1:11" x14ac:dyDescent="0.35">
      <c r="A1565" s="271" t="s">
        <v>317</v>
      </c>
      <c r="B1565" s="272"/>
      <c r="C1565" s="272"/>
      <c r="D1565" s="272"/>
      <c r="E1565" s="272"/>
      <c r="G1565" s="271" t="s">
        <v>317</v>
      </c>
      <c r="H1565" s="272"/>
      <c r="I1565" s="272"/>
      <c r="J1565" s="272"/>
      <c r="K1565" s="272"/>
    </row>
    <row r="1566" spans="1:11" x14ac:dyDescent="0.35">
      <c r="A1566" s="269" t="s">
        <v>311</v>
      </c>
      <c r="B1566" s="270"/>
      <c r="C1566" s="270"/>
      <c r="D1566" s="270"/>
      <c r="E1566" s="270"/>
      <c r="G1566" s="269" t="s">
        <v>311</v>
      </c>
      <c r="H1566" s="270"/>
      <c r="I1566" s="270"/>
      <c r="J1566" s="270"/>
      <c r="K1566" s="270"/>
    </row>
    <row r="1567" spans="1:11" x14ac:dyDescent="0.35">
      <c r="A1567" s="271" t="s">
        <v>312</v>
      </c>
      <c r="B1567" s="272"/>
      <c r="C1567" s="272"/>
      <c r="D1567" s="272"/>
      <c r="E1567" s="272"/>
      <c r="G1567" s="271" t="s">
        <v>312</v>
      </c>
      <c r="H1567" s="272"/>
      <c r="I1567" s="272"/>
      <c r="J1567" s="272"/>
      <c r="K1567" s="272"/>
    </row>
    <row r="1568" spans="1:11" x14ac:dyDescent="0.35">
      <c r="A1568" s="231" t="s">
        <v>34</v>
      </c>
      <c r="B1568" s="230">
        <f>SUM(B1562:B1567)</f>
        <v>0</v>
      </c>
      <c r="C1568" s="230">
        <f>SUM(C1562:C1567)</f>
        <v>0</v>
      </c>
      <c r="D1568" s="230">
        <f>SUM(D1562:D1567)</f>
        <v>0</v>
      </c>
      <c r="E1568" s="230">
        <f>SUM(E1562:E1567)</f>
        <v>0</v>
      </c>
      <c r="G1568" s="231" t="s">
        <v>34</v>
      </c>
      <c r="H1568" s="230">
        <f>SUM(H1562:H1567)</f>
        <v>0</v>
      </c>
      <c r="I1568" s="230">
        <f>SUM(I1562:I1567)</f>
        <v>0</v>
      </c>
      <c r="J1568" s="230">
        <f>SUM(J1562:J1567)</f>
        <v>0</v>
      </c>
      <c r="K1568" s="230">
        <f>SUM(K1562:K1567)</f>
        <v>0</v>
      </c>
    </row>
    <row r="1569" spans="1:11" ht="15" thickBot="1" x14ac:dyDescent="0.4">
      <c r="A1569" s="231" t="s">
        <v>313</v>
      </c>
      <c r="B1569" s="230">
        <f>+B1568+C1568+D1568+E1568</f>
        <v>0</v>
      </c>
      <c r="C1569" s="230"/>
      <c r="D1569" s="230"/>
      <c r="E1569" s="230"/>
      <c r="G1569" s="231" t="s">
        <v>313</v>
      </c>
      <c r="H1569" s="230">
        <f>+H1568+I1568+J1568+K1568</f>
        <v>0</v>
      </c>
      <c r="I1569" s="230"/>
      <c r="J1569" s="230"/>
      <c r="K1569" s="230"/>
    </row>
    <row r="1570" spans="1:11" ht="15.5" thickTop="1" thickBot="1" x14ac:dyDescent="0.4">
      <c r="A1570" s="335" t="s">
        <v>298</v>
      </c>
      <c r="B1570" s="336"/>
      <c r="C1570" s="336"/>
      <c r="D1570" s="336"/>
      <c r="E1570" s="337"/>
      <c r="G1570" s="335" t="s">
        <v>298</v>
      </c>
      <c r="H1570" s="336"/>
      <c r="I1570" s="336"/>
      <c r="J1570" s="336"/>
      <c r="K1570" s="337"/>
    </row>
    <row r="1571" spans="1:11" ht="15.5" thickTop="1" thickBot="1" x14ac:dyDescent="0.4">
      <c r="A1571" s="338">
        <v>45434</v>
      </c>
      <c r="B1571" s="336"/>
      <c r="C1571" s="336"/>
      <c r="D1571" s="336"/>
      <c r="E1571" s="337"/>
      <c r="G1571" s="338">
        <v>45434</v>
      </c>
      <c r="H1571" s="336"/>
      <c r="I1571" s="336"/>
      <c r="J1571" s="336"/>
      <c r="K1571" s="337"/>
    </row>
    <row r="1572" spans="1:11" ht="15" thickTop="1" x14ac:dyDescent="0.35">
      <c r="A1572" s="267" t="s">
        <v>159</v>
      </c>
      <c r="B1572" s="267" t="s">
        <v>299</v>
      </c>
      <c r="C1572" s="267" t="s">
        <v>307</v>
      </c>
      <c r="D1572" s="267" t="s">
        <v>301</v>
      </c>
      <c r="E1572" s="268" t="s">
        <v>308</v>
      </c>
      <c r="G1572" s="267" t="s">
        <v>159</v>
      </c>
      <c r="H1572" s="267" t="s">
        <v>299</v>
      </c>
      <c r="I1572" s="267" t="s">
        <v>307</v>
      </c>
      <c r="J1572" s="267" t="s">
        <v>301</v>
      </c>
      <c r="K1572" s="268" t="s">
        <v>308</v>
      </c>
    </row>
    <row r="1573" spans="1:11" x14ac:dyDescent="0.35">
      <c r="A1573" s="269" t="s">
        <v>316</v>
      </c>
      <c r="B1573" s="270"/>
      <c r="C1573" s="270"/>
      <c r="D1573" s="270"/>
      <c r="E1573" s="270"/>
      <c r="G1573" s="269" t="s">
        <v>316</v>
      </c>
      <c r="H1573" s="270"/>
      <c r="I1573" s="270"/>
      <c r="J1573" s="270"/>
      <c r="K1573" s="270"/>
    </row>
    <row r="1574" spans="1:11" x14ac:dyDescent="0.35">
      <c r="A1574" s="271" t="s">
        <v>309</v>
      </c>
      <c r="B1574" s="272"/>
      <c r="C1574" s="272"/>
      <c r="D1574" s="272"/>
      <c r="E1574" s="272"/>
      <c r="G1574" s="271" t="s">
        <v>309</v>
      </c>
      <c r="H1574" s="272"/>
      <c r="I1574" s="272"/>
      <c r="J1574" s="272"/>
      <c r="K1574" s="272"/>
    </row>
    <row r="1575" spans="1:11" x14ac:dyDescent="0.35">
      <c r="A1575" s="269" t="s">
        <v>310</v>
      </c>
      <c r="B1575" s="270"/>
      <c r="C1575" s="270"/>
      <c r="D1575" s="270"/>
      <c r="E1575" s="270"/>
      <c r="G1575" s="269" t="s">
        <v>310</v>
      </c>
      <c r="H1575" s="270"/>
      <c r="I1575" s="270"/>
      <c r="J1575" s="270"/>
      <c r="K1575" s="270"/>
    </row>
    <row r="1576" spans="1:11" x14ac:dyDescent="0.35">
      <c r="A1576" s="271" t="s">
        <v>317</v>
      </c>
      <c r="B1576" s="272"/>
      <c r="C1576" s="272"/>
      <c r="D1576" s="272"/>
      <c r="E1576" s="272"/>
      <c r="G1576" s="271" t="s">
        <v>317</v>
      </c>
      <c r="H1576" s="272"/>
      <c r="I1576" s="272"/>
      <c r="J1576" s="272"/>
      <c r="K1576" s="272"/>
    </row>
    <row r="1577" spans="1:11" x14ac:dyDescent="0.35">
      <c r="A1577" s="269" t="s">
        <v>311</v>
      </c>
      <c r="B1577" s="270"/>
      <c r="C1577" s="270"/>
      <c r="D1577" s="270"/>
      <c r="E1577" s="270"/>
      <c r="G1577" s="269" t="s">
        <v>311</v>
      </c>
      <c r="H1577" s="270"/>
      <c r="I1577" s="270"/>
      <c r="J1577" s="270"/>
      <c r="K1577" s="270"/>
    </row>
    <row r="1578" spans="1:11" x14ac:dyDescent="0.35">
      <c r="A1578" s="271" t="s">
        <v>312</v>
      </c>
      <c r="B1578" s="272"/>
      <c r="C1578" s="272"/>
      <c r="D1578" s="272"/>
      <c r="E1578" s="272"/>
      <c r="G1578" s="271" t="s">
        <v>312</v>
      </c>
      <c r="H1578" s="272"/>
      <c r="I1578" s="272"/>
      <c r="J1578" s="272"/>
      <c r="K1578" s="272"/>
    </row>
    <row r="1579" spans="1:11" x14ac:dyDescent="0.35">
      <c r="A1579" s="231" t="s">
        <v>34</v>
      </c>
      <c r="B1579" s="230">
        <f>SUM(B1573:B1578)</f>
        <v>0</v>
      </c>
      <c r="C1579" s="230">
        <f>SUM(C1573:C1578)</f>
        <v>0</v>
      </c>
      <c r="D1579" s="230">
        <f>SUM(D1573:D1578)</f>
        <v>0</v>
      </c>
      <c r="E1579" s="230">
        <f>SUM(E1573:E1578)</f>
        <v>0</v>
      </c>
      <c r="G1579" s="231" t="s">
        <v>34</v>
      </c>
      <c r="H1579" s="230">
        <f>SUM(H1573:H1578)</f>
        <v>0</v>
      </c>
      <c r="I1579" s="230">
        <f>SUM(I1573:I1578)</f>
        <v>0</v>
      </c>
      <c r="J1579" s="230">
        <f>SUM(J1573:J1578)</f>
        <v>0</v>
      </c>
      <c r="K1579" s="230">
        <f>SUM(K1573:K1578)</f>
        <v>0</v>
      </c>
    </row>
    <row r="1580" spans="1:11" ht="15" thickBot="1" x14ac:dyDescent="0.4">
      <c r="A1580" s="231" t="s">
        <v>313</v>
      </c>
      <c r="B1580" s="230">
        <f>+B1579+C1579+D1579+E1579</f>
        <v>0</v>
      </c>
      <c r="C1580" s="230"/>
      <c r="D1580" s="230"/>
      <c r="E1580" s="230"/>
      <c r="G1580" s="231" t="s">
        <v>313</v>
      </c>
      <c r="H1580" s="230">
        <f>+H1579+I1579+J1579+K1579</f>
        <v>0</v>
      </c>
      <c r="I1580" s="230"/>
      <c r="J1580" s="230"/>
      <c r="K1580" s="230"/>
    </row>
    <row r="1581" spans="1:11" ht="15.5" thickTop="1" thickBot="1" x14ac:dyDescent="0.4">
      <c r="A1581" s="335" t="s">
        <v>298</v>
      </c>
      <c r="B1581" s="336"/>
      <c r="C1581" s="336"/>
      <c r="D1581" s="336"/>
      <c r="E1581" s="337"/>
      <c r="G1581" s="335" t="s">
        <v>298</v>
      </c>
      <c r="H1581" s="336"/>
      <c r="I1581" s="336"/>
      <c r="J1581" s="336"/>
      <c r="K1581" s="337"/>
    </row>
    <row r="1582" spans="1:11" ht="15.5" thickTop="1" thickBot="1" x14ac:dyDescent="0.4">
      <c r="A1582" s="338">
        <v>45435</v>
      </c>
      <c r="B1582" s="336"/>
      <c r="C1582" s="336"/>
      <c r="D1582" s="336"/>
      <c r="E1582" s="337"/>
      <c r="G1582" s="338">
        <v>45435</v>
      </c>
      <c r="H1582" s="336"/>
      <c r="I1582" s="336"/>
      <c r="J1582" s="336"/>
      <c r="K1582" s="337"/>
    </row>
    <row r="1583" spans="1:11" ht="15" thickTop="1" x14ac:dyDescent="0.35">
      <c r="A1583" s="267" t="s">
        <v>159</v>
      </c>
      <c r="B1583" s="267" t="s">
        <v>299</v>
      </c>
      <c r="C1583" s="267" t="s">
        <v>307</v>
      </c>
      <c r="D1583" s="267" t="s">
        <v>301</v>
      </c>
      <c r="E1583" s="268" t="s">
        <v>308</v>
      </c>
      <c r="G1583" s="267" t="s">
        <v>159</v>
      </c>
      <c r="H1583" s="267" t="s">
        <v>299</v>
      </c>
      <c r="I1583" s="267" t="s">
        <v>307</v>
      </c>
      <c r="J1583" s="267" t="s">
        <v>301</v>
      </c>
      <c r="K1583" s="268" t="s">
        <v>308</v>
      </c>
    </row>
    <row r="1584" spans="1:11" x14ac:dyDescent="0.35">
      <c r="A1584" s="269" t="s">
        <v>316</v>
      </c>
      <c r="B1584" s="270"/>
      <c r="C1584" s="270"/>
      <c r="D1584" s="270"/>
      <c r="E1584" s="270"/>
      <c r="G1584" s="269" t="s">
        <v>316</v>
      </c>
      <c r="H1584" s="270"/>
      <c r="I1584" s="270"/>
      <c r="J1584" s="270"/>
      <c r="K1584" s="270"/>
    </row>
    <row r="1585" spans="1:11" x14ac:dyDescent="0.35">
      <c r="A1585" s="271" t="s">
        <v>309</v>
      </c>
      <c r="B1585" s="272"/>
      <c r="C1585" s="272"/>
      <c r="D1585" s="272"/>
      <c r="E1585" s="272"/>
      <c r="G1585" s="271" t="s">
        <v>309</v>
      </c>
      <c r="H1585" s="272"/>
      <c r="I1585" s="272"/>
      <c r="J1585" s="272"/>
      <c r="K1585" s="272"/>
    </row>
    <row r="1586" spans="1:11" x14ac:dyDescent="0.35">
      <c r="A1586" s="269" t="s">
        <v>310</v>
      </c>
      <c r="B1586" s="270"/>
      <c r="C1586" s="270"/>
      <c r="D1586" s="270"/>
      <c r="E1586" s="270"/>
      <c r="G1586" s="269" t="s">
        <v>310</v>
      </c>
      <c r="H1586" s="270"/>
      <c r="I1586" s="270"/>
      <c r="J1586" s="270"/>
      <c r="K1586" s="270"/>
    </row>
    <row r="1587" spans="1:11" x14ac:dyDescent="0.35">
      <c r="A1587" s="271" t="s">
        <v>317</v>
      </c>
      <c r="B1587" s="272"/>
      <c r="C1587" s="272"/>
      <c r="D1587" s="272"/>
      <c r="E1587" s="272"/>
      <c r="G1587" s="271" t="s">
        <v>317</v>
      </c>
      <c r="H1587" s="272"/>
      <c r="I1587" s="272"/>
      <c r="J1587" s="272"/>
      <c r="K1587" s="272"/>
    </row>
    <row r="1588" spans="1:11" x14ac:dyDescent="0.35">
      <c r="A1588" s="269" t="s">
        <v>311</v>
      </c>
      <c r="B1588" s="270"/>
      <c r="C1588" s="270"/>
      <c r="D1588" s="270"/>
      <c r="E1588" s="270"/>
      <c r="G1588" s="269" t="s">
        <v>311</v>
      </c>
      <c r="H1588" s="270"/>
      <c r="I1588" s="270"/>
      <c r="J1588" s="270"/>
      <c r="K1588" s="270"/>
    </row>
    <row r="1589" spans="1:11" x14ac:dyDescent="0.35">
      <c r="A1589" s="271" t="s">
        <v>312</v>
      </c>
      <c r="B1589" s="272"/>
      <c r="C1589" s="272"/>
      <c r="D1589" s="272"/>
      <c r="E1589" s="272"/>
      <c r="G1589" s="271" t="s">
        <v>312</v>
      </c>
      <c r="H1589" s="272"/>
      <c r="I1589" s="272"/>
      <c r="J1589" s="272"/>
      <c r="K1589" s="272"/>
    </row>
    <row r="1590" spans="1:11" x14ac:dyDescent="0.35">
      <c r="A1590" s="231" t="s">
        <v>34</v>
      </c>
      <c r="B1590" s="230">
        <f>SUM(B1584:B1589)</f>
        <v>0</v>
      </c>
      <c r="C1590" s="230">
        <f>SUM(C1584:C1589)</f>
        <v>0</v>
      </c>
      <c r="D1590" s="230">
        <f>SUM(D1584:D1589)</f>
        <v>0</v>
      </c>
      <c r="E1590" s="230">
        <f>SUM(E1584:E1589)</f>
        <v>0</v>
      </c>
      <c r="G1590" s="231" t="s">
        <v>34</v>
      </c>
      <c r="H1590" s="230">
        <f>SUM(H1584:H1589)</f>
        <v>0</v>
      </c>
      <c r="I1590" s="230">
        <f>SUM(I1584:I1589)</f>
        <v>0</v>
      </c>
      <c r="J1590" s="230">
        <f>SUM(J1584:J1589)</f>
        <v>0</v>
      </c>
      <c r="K1590" s="230">
        <f>SUM(K1584:K1589)</f>
        <v>0</v>
      </c>
    </row>
    <row r="1591" spans="1:11" ht="15" thickBot="1" x14ac:dyDescent="0.4">
      <c r="A1591" s="231" t="s">
        <v>313</v>
      </c>
      <c r="B1591" s="230">
        <f>+B1590+C1590+D1590+E1590</f>
        <v>0</v>
      </c>
      <c r="C1591" s="230"/>
      <c r="D1591" s="230"/>
      <c r="E1591" s="230"/>
      <c r="G1591" s="231" t="s">
        <v>313</v>
      </c>
      <c r="H1591" s="230">
        <f>+H1590+I1590+J1590+K1590</f>
        <v>0</v>
      </c>
      <c r="I1591" s="230"/>
      <c r="J1591" s="230"/>
      <c r="K1591" s="230"/>
    </row>
    <row r="1592" spans="1:11" ht="15.5" thickTop="1" thickBot="1" x14ac:dyDescent="0.4">
      <c r="A1592" s="335" t="s">
        <v>298</v>
      </c>
      <c r="B1592" s="336"/>
      <c r="C1592" s="336"/>
      <c r="D1592" s="336"/>
      <c r="E1592" s="337"/>
      <c r="G1592" s="335" t="s">
        <v>298</v>
      </c>
      <c r="H1592" s="336"/>
      <c r="I1592" s="336"/>
      <c r="J1592" s="336"/>
      <c r="K1592" s="337"/>
    </row>
    <row r="1593" spans="1:11" ht="15.5" thickTop="1" thickBot="1" x14ac:dyDescent="0.4">
      <c r="A1593" s="338">
        <v>45436</v>
      </c>
      <c r="B1593" s="336"/>
      <c r="C1593" s="336"/>
      <c r="D1593" s="336"/>
      <c r="E1593" s="337"/>
      <c r="G1593" s="338">
        <v>45436</v>
      </c>
      <c r="H1593" s="336"/>
      <c r="I1593" s="336"/>
      <c r="J1593" s="336"/>
      <c r="K1593" s="337"/>
    </row>
    <row r="1594" spans="1:11" ht="15" thickTop="1" x14ac:dyDescent="0.35">
      <c r="A1594" s="267" t="s">
        <v>159</v>
      </c>
      <c r="B1594" s="267" t="s">
        <v>299</v>
      </c>
      <c r="C1594" s="267" t="s">
        <v>307</v>
      </c>
      <c r="D1594" s="267" t="s">
        <v>301</v>
      </c>
      <c r="E1594" s="268" t="s">
        <v>308</v>
      </c>
      <c r="G1594" s="267" t="s">
        <v>159</v>
      </c>
      <c r="H1594" s="267" t="s">
        <v>299</v>
      </c>
      <c r="I1594" s="267" t="s">
        <v>307</v>
      </c>
      <c r="J1594" s="267" t="s">
        <v>301</v>
      </c>
      <c r="K1594" s="268" t="s">
        <v>308</v>
      </c>
    </row>
    <row r="1595" spans="1:11" x14ac:dyDescent="0.35">
      <c r="A1595" s="269" t="s">
        <v>316</v>
      </c>
      <c r="B1595" s="270"/>
      <c r="C1595" s="270"/>
      <c r="D1595" s="270"/>
      <c r="E1595" s="270"/>
      <c r="G1595" s="269" t="s">
        <v>316</v>
      </c>
      <c r="H1595" s="270"/>
      <c r="I1595" s="270"/>
      <c r="J1595" s="270"/>
      <c r="K1595" s="270"/>
    </row>
    <row r="1596" spans="1:11" x14ac:dyDescent="0.35">
      <c r="A1596" s="271" t="s">
        <v>309</v>
      </c>
      <c r="B1596" s="272"/>
      <c r="C1596" s="272"/>
      <c r="D1596" s="272"/>
      <c r="E1596" s="272"/>
      <c r="G1596" s="271" t="s">
        <v>309</v>
      </c>
      <c r="H1596" s="272"/>
      <c r="I1596" s="272"/>
      <c r="J1596" s="272"/>
      <c r="K1596" s="272"/>
    </row>
    <row r="1597" spans="1:11" x14ac:dyDescent="0.35">
      <c r="A1597" s="269" t="s">
        <v>310</v>
      </c>
      <c r="B1597" s="270"/>
      <c r="C1597" s="270"/>
      <c r="D1597" s="270"/>
      <c r="E1597" s="270"/>
      <c r="G1597" s="269" t="s">
        <v>310</v>
      </c>
      <c r="H1597" s="270"/>
      <c r="I1597" s="270"/>
      <c r="J1597" s="270"/>
      <c r="K1597" s="270"/>
    </row>
    <row r="1598" spans="1:11" x14ac:dyDescent="0.35">
      <c r="A1598" s="271" t="s">
        <v>317</v>
      </c>
      <c r="B1598" s="272"/>
      <c r="C1598" s="272"/>
      <c r="D1598" s="272"/>
      <c r="E1598" s="272"/>
      <c r="G1598" s="271" t="s">
        <v>317</v>
      </c>
      <c r="H1598" s="272"/>
      <c r="I1598" s="272"/>
      <c r="J1598" s="272"/>
      <c r="K1598" s="272"/>
    </row>
    <row r="1599" spans="1:11" x14ac:dyDescent="0.35">
      <c r="A1599" s="269" t="s">
        <v>311</v>
      </c>
      <c r="B1599" s="270"/>
      <c r="C1599" s="270"/>
      <c r="D1599" s="270"/>
      <c r="E1599" s="270"/>
      <c r="G1599" s="269" t="s">
        <v>311</v>
      </c>
      <c r="H1599" s="270"/>
      <c r="I1599" s="270"/>
      <c r="J1599" s="270"/>
      <c r="K1599" s="270"/>
    </row>
    <row r="1600" spans="1:11" x14ac:dyDescent="0.35">
      <c r="A1600" s="271" t="s">
        <v>312</v>
      </c>
      <c r="B1600" s="272"/>
      <c r="C1600" s="272"/>
      <c r="D1600" s="272"/>
      <c r="E1600" s="272"/>
      <c r="G1600" s="271" t="s">
        <v>312</v>
      </c>
      <c r="H1600" s="272"/>
      <c r="I1600" s="272"/>
      <c r="J1600" s="272"/>
      <c r="K1600" s="272"/>
    </row>
    <row r="1601" spans="1:11" x14ac:dyDescent="0.35">
      <c r="A1601" s="231" t="s">
        <v>34</v>
      </c>
      <c r="B1601" s="230">
        <f>SUM(B1595:B1600)</f>
        <v>0</v>
      </c>
      <c r="C1601" s="230">
        <f>SUM(C1595:C1600)</f>
        <v>0</v>
      </c>
      <c r="D1601" s="230">
        <f>SUM(D1595:D1600)</f>
        <v>0</v>
      </c>
      <c r="E1601" s="230">
        <f>SUM(E1595:E1600)</f>
        <v>0</v>
      </c>
      <c r="G1601" s="231" t="s">
        <v>34</v>
      </c>
      <c r="H1601" s="230">
        <f>SUM(H1595:H1600)</f>
        <v>0</v>
      </c>
      <c r="I1601" s="230">
        <f>SUM(I1595:I1600)</f>
        <v>0</v>
      </c>
      <c r="J1601" s="230">
        <f>SUM(J1595:J1600)</f>
        <v>0</v>
      </c>
      <c r="K1601" s="230">
        <f>SUM(K1595:K1600)</f>
        <v>0</v>
      </c>
    </row>
    <row r="1602" spans="1:11" ht="15" thickBot="1" x14ac:dyDescent="0.4">
      <c r="A1602" s="231" t="s">
        <v>313</v>
      </c>
      <c r="B1602" s="230">
        <f>+B1601+C1601+D1601+E1601</f>
        <v>0</v>
      </c>
      <c r="C1602" s="230"/>
      <c r="D1602" s="230"/>
      <c r="E1602" s="230"/>
      <c r="G1602" s="231" t="s">
        <v>313</v>
      </c>
      <c r="H1602" s="230">
        <f>+H1601+I1601+J1601+K1601</f>
        <v>0</v>
      </c>
      <c r="I1602" s="230"/>
      <c r="J1602" s="230"/>
      <c r="K1602" s="230"/>
    </row>
    <row r="1603" spans="1:11" ht="15.5" thickTop="1" thickBot="1" x14ac:dyDescent="0.4">
      <c r="A1603" s="335" t="s">
        <v>298</v>
      </c>
      <c r="B1603" s="336"/>
      <c r="C1603" s="336"/>
      <c r="D1603" s="336"/>
      <c r="E1603" s="337"/>
      <c r="G1603" s="335" t="s">
        <v>298</v>
      </c>
      <c r="H1603" s="336"/>
      <c r="I1603" s="336"/>
      <c r="J1603" s="336"/>
      <c r="K1603" s="337"/>
    </row>
    <row r="1604" spans="1:11" ht="15.5" thickTop="1" thickBot="1" x14ac:dyDescent="0.4">
      <c r="A1604" s="338">
        <v>45437</v>
      </c>
      <c r="B1604" s="336"/>
      <c r="C1604" s="336"/>
      <c r="D1604" s="336"/>
      <c r="E1604" s="337"/>
      <c r="G1604" s="338">
        <v>45437</v>
      </c>
      <c r="H1604" s="336"/>
      <c r="I1604" s="336"/>
      <c r="J1604" s="336"/>
      <c r="K1604" s="337"/>
    </row>
    <row r="1605" spans="1:11" ht="15" thickTop="1" x14ac:dyDescent="0.35">
      <c r="A1605" s="267" t="s">
        <v>159</v>
      </c>
      <c r="B1605" s="267" t="s">
        <v>299</v>
      </c>
      <c r="C1605" s="267" t="s">
        <v>307</v>
      </c>
      <c r="D1605" s="267" t="s">
        <v>301</v>
      </c>
      <c r="E1605" s="268" t="s">
        <v>308</v>
      </c>
      <c r="G1605" s="267" t="s">
        <v>159</v>
      </c>
      <c r="H1605" s="267" t="s">
        <v>299</v>
      </c>
      <c r="I1605" s="267" t="s">
        <v>307</v>
      </c>
      <c r="J1605" s="267" t="s">
        <v>301</v>
      </c>
      <c r="K1605" s="268" t="s">
        <v>308</v>
      </c>
    </row>
    <row r="1606" spans="1:11" x14ac:dyDescent="0.35">
      <c r="A1606" s="269" t="s">
        <v>316</v>
      </c>
      <c r="B1606" s="270"/>
      <c r="C1606" s="270"/>
      <c r="D1606" s="270"/>
      <c r="E1606" s="270"/>
      <c r="G1606" s="269" t="s">
        <v>316</v>
      </c>
      <c r="H1606" s="270"/>
      <c r="I1606" s="270"/>
      <c r="J1606" s="270"/>
      <c r="K1606" s="270"/>
    </row>
    <row r="1607" spans="1:11" x14ac:dyDescent="0.35">
      <c r="A1607" s="271" t="s">
        <v>309</v>
      </c>
      <c r="B1607" s="272"/>
      <c r="C1607" s="272"/>
      <c r="D1607" s="272"/>
      <c r="E1607" s="272"/>
      <c r="G1607" s="271" t="s">
        <v>309</v>
      </c>
      <c r="H1607" s="272"/>
      <c r="I1607" s="272"/>
      <c r="J1607" s="272"/>
      <c r="K1607" s="272"/>
    </row>
    <row r="1608" spans="1:11" x14ac:dyDescent="0.35">
      <c r="A1608" s="269" t="s">
        <v>310</v>
      </c>
      <c r="B1608" s="270"/>
      <c r="C1608" s="270"/>
      <c r="D1608" s="270"/>
      <c r="E1608" s="270"/>
      <c r="G1608" s="269" t="s">
        <v>310</v>
      </c>
      <c r="H1608" s="270"/>
      <c r="I1608" s="270"/>
      <c r="J1608" s="270"/>
      <c r="K1608" s="270"/>
    </row>
    <row r="1609" spans="1:11" x14ac:dyDescent="0.35">
      <c r="A1609" s="271" t="s">
        <v>317</v>
      </c>
      <c r="B1609" s="272"/>
      <c r="C1609" s="272"/>
      <c r="D1609" s="272"/>
      <c r="E1609" s="272"/>
      <c r="G1609" s="271" t="s">
        <v>317</v>
      </c>
      <c r="H1609" s="272"/>
      <c r="I1609" s="272"/>
      <c r="J1609" s="272"/>
      <c r="K1609" s="272"/>
    </row>
    <row r="1610" spans="1:11" x14ac:dyDescent="0.35">
      <c r="A1610" s="269" t="s">
        <v>311</v>
      </c>
      <c r="B1610" s="270"/>
      <c r="C1610" s="270"/>
      <c r="D1610" s="270"/>
      <c r="E1610" s="270"/>
      <c r="G1610" s="269" t="s">
        <v>311</v>
      </c>
      <c r="H1610" s="270"/>
      <c r="I1610" s="270"/>
      <c r="J1610" s="270"/>
      <c r="K1610" s="270"/>
    </row>
    <row r="1611" spans="1:11" x14ac:dyDescent="0.35">
      <c r="A1611" s="271" t="s">
        <v>312</v>
      </c>
      <c r="B1611" s="272"/>
      <c r="C1611" s="272"/>
      <c r="D1611" s="272"/>
      <c r="E1611" s="272"/>
      <c r="G1611" s="271" t="s">
        <v>312</v>
      </c>
      <c r="H1611" s="272"/>
      <c r="I1611" s="272"/>
      <c r="J1611" s="272"/>
      <c r="K1611" s="272"/>
    </row>
    <row r="1612" spans="1:11" x14ac:dyDescent="0.35">
      <c r="A1612" s="231" t="s">
        <v>34</v>
      </c>
      <c r="B1612" s="230">
        <f>SUM(B1606:B1611)</f>
        <v>0</v>
      </c>
      <c r="C1612" s="230">
        <f>SUM(C1606:C1611)</f>
        <v>0</v>
      </c>
      <c r="D1612" s="230">
        <f>SUM(D1606:D1611)</f>
        <v>0</v>
      </c>
      <c r="E1612" s="230">
        <f>SUM(E1606:E1611)</f>
        <v>0</v>
      </c>
      <c r="G1612" s="231" t="s">
        <v>34</v>
      </c>
      <c r="H1612" s="230">
        <f>SUM(H1606:H1611)</f>
        <v>0</v>
      </c>
      <c r="I1612" s="230">
        <f>SUM(I1606:I1611)</f>
        <v>0</v>
      </c>
      <c r="J1612" s="230">
        <f>SUM(J1606:J1611)</f>
        <v>0</v>
      </c>
      <c r="K1612" s="230">
        <f>SUM(K1606:K1611)</f>
        <v>0</v>
      </c>
    </row>
    <row r="1613" spans="1:11" ht="15" thickBot="1" x14ac:dyDescent="0.4">
      <c r="A1613" s="231" t="s">
        <v>313</v>
      </c>
      <c r="B1613" s="230">
        <f>+B1612+C1612+D1612+E1612</f>
        <v>0</v>
      </c>
      <c r="C1613" s="230"/>
      <c r="D1613" s="230"/>
      <c r="E1613" s="230"/>
      <c r="G1613" s="231" t="s">
        <v>313</v>
      </c>
      <c r="H1613" s="230">
        <f>+H1612+I1612+J1612+K1612</f>
        <v>0</v>
      </c>
      <c r="I1613" s="230"/>
      <c r="J1613" s="230"/>
      <c r="K1613" s="230"/>
    </row>
    <row r="1614" spans="1:11" ht="15.5" thickTop="1" thickBot="1" x14ac:dyDescent="0.4">
      <c r="A1614" s="335" t="s">
        <v>298</v>
      </c>
      <c r="B1614" s="336"/>
      <c r="C1614" s="336"/>
      <c r="D1614" s="336"/>
      <c r="E1614" s="337"/>
      <c r="G1614" s="335" t="s">
        <v>298</v>
      </c>
      <c r="H1614" s="336"/>
      <c r="I1614" s="336"/>
      <c r="J1614" s="336"/>
      <c r="K1614" s="337"/>
    </row>
    <row r="1615" spans="1:11" ht="15.5" thickTop="1" thickBot="1" x14ac:dyDescent="0.4">
      <c r="A1615" s="338">
        <v>45438</v>
      </c>
      <c r="B1615" s="336"/>
      <c r="C1615" s="336"/>
      <c r="D1615" s="336"/>
      <c r="E1615" s="337"/>
      <c r="G1615" s="338">
        <v>45438</v>
      </c>
      <c r="H1615" s="336"/>
      <c r="I1615" s="336"/>
      <c r="J1615" s="336"/>
      <c r="K1615" s="337"/>
    </row>
    <row r="1616" spans="1:11" ht="15" thickTop="1" x14ac:dyDescent="0.35">
      <c r="A1616" s="267" t="s">
        <v>159</v>
      </c>
      <c r="B1616" s="267" t="s">
        <v>299</v>
      </c>
      <c r="C1616" s="267" t="s">
        <v>307</v>
      </c>
      <c r="D1616" s="267" t="s">
        <v>301</v>
      </c>
      <c r="E1616" s="268" t="s">
        <v>308</v>
      </c>
      <c r="G1616" s="267" t="s">
        <v>159</v>
      </c>
      <c r="H1616" s="267" t="s">
        <v>299</v>
      </c>
      <c r="I1616" s="267" t="s">
        <v>307</v>
      </c>
      <c r="J1616" s="267" t="s">
        <v>301</v>
      </c>
      <c r="K1616" s="268" t="s">
        <v>308</v>
      </c>
    </row>
    <row r="1617" spans="1:11" x14ac:dyDescent="0.35">
      <c r="A1617" s="269" t="s">
        <v>316</v>
      </c>
      <c r="B1617" s="270"/>
      <c r="C1617" s="270"/>
      <c r="D1617" s="270"/>
      <c r="E1617" s="270"/>
      <c r="G1617" s="269" t="s">
        <v>316</v>
      </c>
      <c r="H1617" s="270"/>
      <c r="I1617" s="270"/>
      <c r="J1617" s="270"/>
      <c r="K1617" s="270"/>
    </row>
    <row r="1618" spans="1:11" x14ac:dyDescent="0.35">
      <c r="A1618" s="271" t="s">
        <v>309</v>
      </c>
      <c r="B1618" s="272"/>
      <c r="C1618" s="272"/>
      <c r="D1618" s="272"/>
      <c r="E1618" s="272"/>
      <c r="G1618" s="271" t="s">
        <v>309</v>
      </c>
      <c r="H1618" s="272"/>
      <c r="I1618" s="272"/>
      <c r="J1618" s="272"/>
      <c r="K1618" s="272"/>
    </row>
    <row r="1619" spans="1:11" x14ac:dyDescent="0.35">
      <c r="A1619" s="269" t="s">
        <v>310</v>
      </c>
      <c r="B1619" s="270"/>
      <c r="C1619" s="270"/>
      <c r="D1619" s="270"/>
      <c r="E1619" s="270"/>
      <c r="G1619" s="269" t="s">
        <v>310</v>
      </c>
      <c r="H1619" s="270"/>
      <c r="I1619" s="270"/>
      <c r="J1619" s="270"/>
      <c r="K1619" s="270"/>
    </row>
    <row r="1620" spans="1:11" x14ac:dyDescent="0.35">
      <c r="A1620" s="271" t="s">
        <v>317</v>
      </c>
      <c r="B1620" s="272"/>
      <c r="C1620" s="272"/>
      <c r="D1620" s="272"/>
      <c r="E1620" s="272"/>
      <c r="G1620" s="271" t="s">
        <v>317</v>
      </c>
      <c r="H1620" s="272"/>
      <c r="I1620" s="272"/>
      <c r="J1620" s="272"/>
      <c r="K1620" s="272"/>
    </row>
    <row r="1621" spans="1:11" x14ac:dyDescent="0.35">
      <c r="A1621" s="269" t="s">
        <v>311</v>
      </c>
      <c r="B1621" s="270"/>
      <c r="C1621" s="270"/>
      <c r="D1621" s="270"/>
      <c r="E1621" s="270"/>
      <c r="G1621" s="269" t="s">
        <v>311</v>
      </c>
      <c r="H1621" s="270"/>
      <c r="I1621" s="270"/>
      <c r="J1621" s="270"/>
      <c r="K1621" s="270"/>
    </row>
    <row r="1622" spans="1:11" x14ac:dyDescent="0.35">
      <c r="A1622" s="271" t="s">
        <v>312</v>
      </c>
      <c r="B1622" s="272"/>
      <c r="C1622" s="272"/>
      <c r="D1622" s="272"/>
      <c r="E1622" s="272"/>
      <c r="G1622" s="271" t="s">
        <v>312</v>
      </c>
      <c r="H1622" s="272"/>
      <c r="I1622" s="272"/>
      <c r="J1622" s="272"/>
      <c r="K1622" s="272"/>
    </row>
    <row r="1623" spans="1:11" x14ac:dyDescent="0.35">
      <c r="A1623" s="231" t="s">
        <v>34</v>
      </c>
      <c r="B1623" s="230">
        <f>SUM(B1617:B1622)</f>
        <v>0</v>
      </c>
      <c r="C1623" s="230">
        <f>SUM(C1617:C1622)</f>
        <v>0</v>
      </c>
      <c r="D1623" s="230">
        <f>SUM(D1617:D1622)</f>
        <v>0</v>
      </c>
      <c r="E1623" s="230">
        <f>SUM(E1617:E1622)</f>
        <v>0</v>
      </c>
      <c r="G1623" s="231" t="s">
        <v>34</v>
      </c>
      <c r="H1623" s="230">
        <f>SUM(H1617:H1622)</f>
        <v>0</v>
      </c>
      <c r="I1623" s="230">
        <f>SUM(I1617:I1622)</f>
        <v>0</v>
      </c>
      <c r="J1623" s="230">
        <f>SUM(J1617:J1622)</f>
        <v>0</v>
      </c>
      <c r="K1623" s="230">
        <f>SUM(K1617:K1622)</f>
        <v>0</v>
      </c>
    </row>
    <row r="1624" spans="1:11" ht="15" thickBot="1" x14ac:dyDescent="0.4">
      <c r="A1624" s="231" t="s">
        <v>313</v>
      </c>
      <c r="B1624" s="230">
        <f>+B1623+C1623+D1623+E1623</f>
        <v>0</v>
      </c>
      <c r="C1624" s="230"/>
      <c r="D1624" s="230"/>
      <c r="E1624" s="230"/>
      <c r="G1624" s="231" t="s">
        <v>313</v>
      </c>
      <c r="H1624" s="230">
        <f>+H1623+I1623+J1623+K1623</f>
        <v>0</v>
      </c>
      <c r="I1624" s="230"/>
      <c r="J1624" s="230"/>
      <c r="K1624" s="230"/>
    </row>
    <row r="1625" spans="1:11" ht="15.5" thickTop="1" thickBot="1" x14ac:dyDescent="0.4">
      <c r="A1625" s="335" t="s">
        <v>298</v>
      </c>
      <c r="B1625" s="336"/>
      <c r="C1625" s="336"/>
      <c r="D1625" s="336"/>
      <c r="E1625" s="337"/>
      <c r="G1625" s="335" t="s">
        <v>298</v>
      </c>
      <c r="H1625" s="336"/>
      <c r="I1625" s="336"/>
      <c r="J1625" s="336"/>
      <c r="K1625" s="337"/>
    </row>
    <row r="1626" spans="1:11" ht="15.5" thickTop="1" thickBot="1" x14ac:dyDescent="0.4">
      <c r="A1626" s="338">
        <v>45439</v>
      </c>
      <c r="B1626" s="336"/>
      <c r="C1626" s="336"/>
      <c r="D1626" s="336"/>
      <c r="E1626" s="337"/>
      <c r="G1626" s="338">
        <v>45439</v>
      </c>
      <c r="H1626" s="336"/>
      <c r="I1626" s="336"/>
      <c r="J1626" s="336"/>
      <c r="K1626" s="337"/>
    </row>
    <row r="1627" spans="1:11" ht="15" thickTop="1" x14ac:dyDescent="0.35">
      <c r="A1627" s="267" t="s">
        <v>159</v>
      </c>
      <c r="B1627" s="267" t="s">
        <v>299</v>
      </c>
      <c r="C1627" s="267" t="s">
        <v>307</v>
      </c>
      <c r="D1627" s="267" t="s">
        <v>301</v>
      </c>
      <c r="E1627" s="268" t="s">
        <v>308</v>
      </c>
      <c r="G1627" s="267" t="s">
        <v>159</v>
      </c>
      <c r="H1627" s="267" t="s">
        <v>299</v>
      </c>
      <c r="I1627" s="267" t="s">
        <v>307</v>
      </c>
      <c r="J1627" s="267" t="s">
        <v>301</v>
      </c>
      <c r="K1627" s="268" t="s">
        <v>308</v>
      </c>
    </row>
    <row r="1628" spans="1:11" x14ac:dyDescent="0.35">
      <c r="A1628" s="269" t="s">
        <v>316</v>
      </c>
      <c r="B1628" s="270"/>
      <c r="C1628" s="270"/>
      <c r="D1628" s="270"/>
      <c r="E1628" s="270"/>
      <c r="G1628" s="269" t="s">
        <v>316</v>
      </c>
      <c r="H1628" s="270"/>
      <c r="I1628" s="270"/>
      <c r="J1628" s="270"/>
      <c r="K1628" s="270"/>
    </row>
    <row r="1629" spans="1:11" x14ac:dyDescent="0.35">
      <c r="A1629" s="271" t="s">
        <v>309</v>
      </c>
      <c r="B1629" s="272"/>
      <c r="C1629" s="272"/>
      <c r="D1629" s="272"/>
      <c r="E1629" s="272"/>
      <c r="G1629" s="271" t="s">
        <v>309</v>
      </c>
      <c r="H1629" s="272"/>
      <c r="I1629" s="272"/>
      <c r="J1629" s="272"/>
      <c r="K1629" s="272"/>
    </row>
    <row r="1630" spans="1:11" x14ac:dyDescent="0.35">
      <c r="A1630" s="269" t="s">
        <v>310</v>
      </c>
      <c r="B1630" s="270"/>
      <c r="C1630" s="270"/>
      <c r="D1630" s="270"/>
      <c r="E1630" s="270"/>
      <c r="G1630" s="269" t="s">
        <v>310</v>
      </c>
      <c r="H1630" s="270"/>
      <c r="I1630" s="270"/>
      <c r="J1630" s="270"/>
      <c r="K1630" s="270"/>
    </row>
    <row r="1631" spans="1:11" x14ac:dyDescent="0.35">
      <c r="A1631" s="271" t="s">
        <v>317</v>
      </c>
      <c r="B1631" s="272"/>
      <c r="C1631" s="272"/>
      <c r="D1631" s="272"/>
      <c r="E1631" s="272"/>
      <c r="G1631" s="271" t="s">
        <v>317</v>
      </c>
      <c r="H1631" s="272"/>
      <c r="I1631" s="272"/>
      <c r="J1631" s="272"/>
      <c r="K1631" s="272"/>
    </row>
    <row r="1632" spans="1:11" x14ac:dyDescent="0.35">
      <c r="A1632" s="269" t="s">
        <v>311</v>
      </c>
      <c r="B1632" s="270"/>
      <c r="C1632" s="270"/>
      <c r="D1632" s="270"/>
      <c r="E1632" s="270"/>
      <c r="G1632" s="269" t="s">
        <v>311</v>
      </c>
      <c r="H1632" s="270"/>
      <c r="I1632" s="270"/>
      <c r="J1632" s="270"/>
      <c r="K1632" s="270"/>
    </row>
    <row r="1633" spans="1:11" x14ac:dyDescent="0.35">
      <c r="A1633" s="271" t="s">
        <v>312</v>
      </c>
      <c r="B1633" s="272"/>
      <c r="C1633" s="272"/>
      <c r="D1633" s="272"/>
      <c r="E1633" s="272"/>
      <c r="G1633" s="271" t="s">
        <v>312</v>
      </c>
      <c r="H1633" s="272"/>
      <c r="I1633" s="272"/>
      <c r="J1633" s="272"/>
      <c r="K1633" s="272"/>
    </row>
    <row r="1634" spans="1:11" x14ac:dyDescent="0.35">
      <c r="A1634" s="231" t="s">
        <v>34</v>
      </c>
      <c r="B1634" s="230">
        <f>SUM(B1628:B1633)</f>
        <v>0</v>
      </c>
      <c r="C1634" s="230">
        <f>SUM(C1628:C1633)</f>
        <v>0</v>
      </c>
      <c r="D1634" s="230">
        <f>SUM(D1628:D1633)</f>
        <v>0</v>
      </c>
      <c r="E1634" s="230">
        <f>SUM(E1628:E1633)</f>
        <v>0</v>
      </c>
      <c r="G1634" s="231" t="s">
        <v>34</v>
      </c>
      <c r="H1634" s="230">
        <f>SUM(H1628:H1633)</f>
        <v>0</v>
      </c>
      <c r="I1634" s="230">
        <f>SUM(I1628:I1633)</f>
        <v>0</v>
      </c>
      <c r="J1634" s="230">
        <f>SUM(J1628:J1633)</f>
        <v>0</v>
      </c>
      <c r="K1634" s="230">
        <f>SUM(K1628:K1633)</f>
        <v>0</v>
      </c>
    </row>
    <row r="1635" spans="1:11" ht="15" thickBot="1" x14ac:dyDescent="0.4">
      <c r="A1635" s="231" t="s">
        <v>313</v>
      </c>
      <c r="B1635" s="230">
        <f>+B1634+C1634+D1634+E1634</f>
        <v>0</v>
      </c>
      <c r="C1635" s="230"/>
      <c r="D1635" s="230"/>
      <c r="E1635" s="230"/>
      <c r="G1635" s="231" t="s">
        <v>313</v>
      </c>
      <c r="H1635" s="230">
        <f>+H1634+I1634+J1634+K1634</f>
        <v>0</v>
      </c>
      <c r="I1635" s="230"/>
      <c r="J1635" s="230"/>
      <c r="K1635" s="230"/>
    </row>
    <row r="1636" spans="1:11" ht="15.5" thickTop="1" thickBot="1" x14ac:dyDescent="0.4">
      <c r="A1636" s="335" t="s">
        <v>298</v>
      </c>
      <c r="B1636" s="336"/>
      <c r="C1636" s="336"/>
      <c r="D1636" s="336"/>
      <c r="E1636" s="337"/>
      <c r="G1636" s="335" t="s">
        <v>298</v>
      </c>
      <c r="H1636" s="336"/>
      <c r="I1636" s="336"/>
      <c r="J1636" s="336"/>
      <c r="K1636" s="337"/>
    </row>
    <row r="1637" spans="1:11" ht="15.5" thickTop="1" thickBot="1" x14ac:dyDescent="0.4">
      <c r="A1637" s="338">
        <v>45440</v>
      </c>
      <c r="B1637" s="336"/>
      <c r="C1637" s="336"/>
      <c r="D1637" s="336"/>
      <c r="E1637" s="337"/>
      <c r="G1637" s="338">
        <v>45440</v>
      </c>
      <c r="H1637" s="336"/>
      <c r="I1637" s="336"/>
      <c r="J1637" s="336"/>
      <c r="K1637" s="337"/>
    </row>
    <row r="1638" spans="1:11" ht="15" thickTop="1" x14ac:dyDescent="0.35">
      <c r="A1638" s="267" t="s">
        <v>159</v>
      </c>
      <c r="B1638" s="267" t="s">
        <v>299</v>
      </c>
      <c r="C1638" s="267" t="s">
        <v>307</v>
      </c>
      <c r="D1638" s="267" t="s">
        <v>301</v>
      </c>
      <c r="E1638" s="268" t="s">
        <v>308</v>
      </c>
      <c r="G1638" s="267" t="s">
        <v>159</v>
      </c>
      <c r="H1638" s="267" t="s">
        <v>299</v>
      </c>
      <c r="I1638" s="267" t="s">
        <v>307</v>
      </c>
      <c r="J1638" s="267" t="s">
        <v>301</v>
      </c>
      <c r="K1638" s="268" t="s">
        <v>308</v>
      </c>
    </row>
    <row r="1639" spans="1:11" x14ac:dyDescent="0.35">
      <c r="A1639" s="269" t="s">
        <v>316</v>
      </c>
      <c r="B1639" s="270"/>
      <c r="C1639" s="270"/>
      <c r="D1639" s="270"/>
      <c r="E1639" s="270"/>
      <c r="G1639" s="269" t="s">
        <v>316</v>
      </c>
      <c r="H1639" s="270"/>
      <c r="I1639" s="270"/>
      <c r="J1639" s="270"/>
      <c r="K1639" s="270"/>
    </row>
    <row r="1640" spans="1:11" x14ac:dyDescent="0.35">
      <c r="A1640" s="271" t="s">
        <v>309</v>
      </c>
      <c r="B1640" s="272"/>
      <c r="C1640" s="272"/>
      <c r="D1640" s="272"/>
      <c r="E1640" s="272"/>
      <c r="G1640" s="271" t="s">
        <v>309</v>
      </c>
      <c r="H1640" s="272"/>
      <c r="I1640" s="272"/>
      <c r="J1640" s="272"/>
      <c r="K1640" s="272"/>
    </row>
    <row r="1641" spans="1:11" x14ac:dyDescent="0.35">
      <c r="A1641" s="269" t="s">
        <v>310</v>
      </c>
      <c r="B1641" s="270"/>
      <c r="C1641" s="270"/>
      <c r="D1641" s="270"/>
      <c r="E1641" s="270"/>
      <c r="G1641" s="269" t="s">
        <v>310</v>
      </c>
      <c r="H1641" s="270"/>
      <c r="I1641" s="270"/>
      <c r="J1641" s="270"/>
      <c r="K1641" s="270"/>
    </row>
    <row r="1642" spans="1:11" x14ac:dyDescent="0.35">
      <c r="A1642" s="271" t="s">
        <v>317</v>
      </c>
      <c r="B1642" s="272"/>
      <c r="C1642" s="272"/>
      <c r="D1642" s="272"/>
      <c r="E1642" s="272"/>
      <c r="G1642" s="271" t="s">
        <v>317</v>
      </c>
      <c r="H1642" s="272"/>
      <c r="I1642" s="272"/>
      <c r="J1642" s="272"/>
      <c r="K1642" s="272"/>
    </row>
    <row r="1643" spans="1:11" x14ac:dyDescent="0.35">
      <c r="A1643" s="269" t="s">
        <v>311</v>
      </c>
      <c r="B1643" s="270"/>
      <c r="C1643" s="270"/>
      <c r="D1643" s="270"/>
      <c r="E1643" s="270"/>
      <c r="G1643" s="269" t="s">
        <v>311</v>
      </c>
      <c r="H1643" s="270"/>
      <c r="I1643" s="270"/>
      <c r="J1643" s="270"/>
      <c r="K1643" s="270"/>
    </row>
    <row r="1644" spans="1:11" x14ac:dyDescent="0.35">
      <c r="A1644" s="271" t="s">
        <v>312</v>
      </c>
      <c r="B1644" s="272"/>
      <c r="C1644" s="272"/>
      <c r="D1644" s="272"/>
      <c r="E1644" s="272"/>
      <c r="G1644" s="271" t="s">
        <v>312</v>
      </c>
      <c r="H1644" s="272"/>
      <c r="I1644" s="272"/>
      <c r="J1644" s="272"/>
      <c r="K1644" s="272"/>
    </row>
    <row r="1645" spans="1:11" x14ac:dyDescent="0.35">
      <c r="A1645" s="231" t="s">
        <v>34</v>
      </c>
      <c r="B1645" s="230">
        <f>SUM(B1639:B1644)</f>
        <v>0</v>
      </c>
      <c r="C1645" s="230">
        <f>SUM(C1639:C1644)</f>
        <v>0</v>
      </c>
      <c r="D1645" s="230">
        <f>SUM(D1639:D1644)</f>
        <v>0</v>
      </c>
      <c r="E1645" s="230">
        <f>SUM(E1639:E1644)</f>
        <v>0</v>
      </c>
      <c r="G1645" s="231" t="s">
        <v>34</v>
      </c>
      <c r="H1645" s="230">
        <f>SUM(H1639:H1644)</f>
        <v>0</v>
      </c>
      <c r="I1645" s="230">
        <f>SUM(I1639:I1644)</f>
        <v>0</v>
      </c>
      <c r="J1645" s="230">
        <f>SUM(J1639:J1644)</f>
        <v>0</v>
      </c>
      <c r="K1645" s="230">
        <f>SUM(K1639:K1644)</f>
        <v>0</v>
      </c>
    </row>
    <row r="1646" spans="1:11" ht="15" thickBot="1" x14ac:dyDescent="0.4">
      <c r="A1646" s="231" t="s">
        <v>313</v>
      </c>
      <c r="B1646" s="230">
        <f>+B1645+C1645+D1645+E1645</f>
        <v>0</v>
      </c>
      <c r="C1646" s="230"/>
      <c r="D1646" s="230"/>
      <c r="E1646" s="230"/>
      <c r="G1646" s="231" t="s">
        <v>313</v>
      </c>
      <c r="H1646" s="230">
        <f>+H1645+I1645+J1645+K1645</f>
        <v>0</v>
      </c>
      <c r="I1646" s="230"/>
      <c r="J1646" s="230"/>
      <c r="K1646" s="230"/>
    </row>
    <row r="1647" spans="1:11" ht="15.5" thickTop="1" thickBot="1" x14ac:dyDescent="0.4">
      <c r="A1647" s="335" t="s">
        <v>298</v>
      </c>
      <c r="B1647" s="336"/>
      <c r="C1647" s="336"/>
      <c r="D1647" s="336"/>
      <c r="E1647" s="337"/>
      <c r="G1647" s="335" t="s">
        <v>298</v>
      </c>
      <c r="H1647" s="336"/>
      <c r="I1647" s="336"/>
      <c r="J1647" s="336"/>
      <c r="K1647" s="337"/>
    </row>
    <row r="1648" spans="1:11" ht="15.5" thickTop="1" thickBot="1" x14ac:dyDescent="0.4">
      <c r="A1648" s="338">
        <v>45441</v>
      </c>
      <c r="B1648" s="336"/>
      <c r="C1648" s="336"/>
      <c r="D1648" s="336"/>
      <c r="E1648" s="337"/>
      <c r="G1648" s="338">
        <v>45441</v>
      </c>
      <c r="H1648" s="336"/>
      <c r="I1648" s="336"/>
      <c r="J1648" s="336"/>
      <c r="K1648" s="337"/>
    </row>
    <row r="1649" spans="1:11" ht="15" thickTop="1" x14ac:dyDescent="0.35">
      <c r="A1649" s="267" t="s">
        <v>159</v>
      </c>
      <c r="B1649" s="267" t="s">
        <v>299</v>
      </c>
      <c r="C1649" s="267" t="s">
        <v>307</v>
      </c>
      <c r="D1649" s="267" t="s">
        <v>301</v>
      </c>
      <c r="E1649" s="268" t="s">
        <v>308</v>
      </c>
      <c r="G1649" s="267" t="s">
        <v>159</v>
      </c>
      <c r="H1649" s="267" t="s">
        <v>299</v>
      </c>
      <c r="I1649" s="267" t="s">
        <v>307</v>
      </c>
      <c r="J1649" s="267" t="s">
        <v>301</v>
      </c>
      <c r="K1649" s="268" t="s">
        <v>308</v>
      </c>
    </row>
    <row r="1650" spans="1:11" x14ac:dyDescent="0.35">
      <c r="A1650" s="269" t="s">
        <v>316</v>
      </c>
      <c r="B1650" s="270"/>
      <c r="C1650" s="270"/>
      <c r="D1650" s="270"/>
      <c r="E1650" s="270"/>
      <c r="G1650" s="269" t="s">
        <v>316</v>
      </c>
      <c r="H1650" s="270"/>
      <c r="I1650" s="270"/>
      <c r="J1650" s="270"/>
      <c r="K1650" s="270"/>
    </row>
    <row r="1651" spans="1:11" x14ac:dyDescent="0.35">
      <c r="A1651" s="271" t="s">
        <v>309</v>
      </c>
      <c r="B1651" s="272"/>
      <c r="C1651" s="272"/>
      <c r="D1651" s="272"/>
      <c r="E1651" s="272"/>
      <c r="G1651" s="271" t="s">
        <v>309</v>
      </c>
      <c r="H1651" s="272"/>
      <c r="I1651" s="272"/>
      <c r="J1651" s="272"/>
      <c r="K1651" s="272"/>
    </row>
    <row r="1652" spans="1:11" x14ac:dyDescent="0.35">
      <c r="A1652" s="269" t="s">
        <v>310</v>
      </c>
      <c r="B1652" s="270"/>
      <c r="C1652" s="270"/>
      <c r="D1652" s="270"/>
      <c r="E1652" s="270"/>
      <c r="G1652" s="269" t="s">
        <v>310</v>
      </c>
      <c r="H1652" s="270"/>
      <c r="I1652" s="270"/>
      <c r="J1652" s="270"/>
      <c r="K1652" s="270"/>
    </row>
    <row r="1653" spans="1:11" x14ac:dyDescent="0.35">
      <c r="A1653" s="271" t="s">
        <v>317</v>
      </c>
      <c r="B1653" s="272"/>
      <c r="C1653" s="272"/>
      <c r="D1653" s="272"/>
      <c r="E1653" s="272"/>
      <c r="G1653" s="271" t="s">
        <v>317</v>
      </c>
      <c r="H1653" s="272"/>
      <c r="I1653" s="272"/>
      <c r="J1653" s="272"/>
      <c r="K1653" s="272"/>
    </row>
    <row r="1654" spans="1:11" x14ac:dyDescent="0.35">
      <c r="A1654" s="269" t="s">
        <v>311</v>
      </c>
      <c r="B1654" s="270"/>
      <c r="C1654" s="270"/>
      <c r="D1654" s="270"/>
      <c r="E1654" s="270"/>
      <c r="G1654" s="269" t="s">
        <v>311</v>
      </c>
      <c r="H1654" s="270"/>
      <c r="I1654" s="270"/>
      <c r="J1654" s="270"/>
      <c r="K1654" s="270"/>
    </row>
    <row r="1655" spans="1:11" x14ac:dyDescent="0.35">
      <c r="A1655" s="271" t="s">
        <v>312</v>
      </c>
      <c r="B1655" s="272"/>
      <c r="C1655" s="272"/>
      <c r="D1655" s="272"/>
      <c r="E1655" s="272"/>
      <c r="G1655" s="271" t="s">
        <v>312</v>
      </c>
      <c r="H1655" s="272"/>
      <c r="I1655" s="272"/>
      <c r="J1655" s="272"/>
      <c r="K1655" s="272"/>
    </row>
    <row r="1656" spans="1:11" x14ac:dyDescent="0.35">
      <c r="A1656" s="231" t="s">
        <v>34</v>
      </c>
      <c r="B1656" s="230">
        <f>SUM(B1650:B1655)</f>
        <v>0</v>
      </c>
      <c r="C1656" s="230">
        <f>SUM(C1650:C1655)</f>
        <v>0</v>
      </c>
      <c r="D1656" s="230">
        <f>SUM(D1650:D1655)</f>
        <v>0</v>
      </c>
      <c r="E1656" s="230">
        <f>SUM(E1650:E1655)</f>
        <v>0</v>
      </c>
      <c r="G1656" s="231" t="s">
        <v>34</v>
      </c>
      <c r="H1656" s="230">
        <f>SUM(H1650:H1655)</f>
        <v>0</v>
      </c>
      <c r="I1656" s="230">
        <f>SUM(I1650:I1655)</f>
        <v>0</v>
      </c>
      <c r="J1656" s="230">
        <f>SUM(J1650:J1655)</f>
        <v>0</v>
      </c>
      <c r="K1656" s="230">
        <f>SUM(K1650:K1655)</f>
        <v>0</v>
      </c>
    </row>
    <row r="1657" spans="1:11" ht="15" thickBot="1" x14ac:dyDescent="0.4">
      <c r="A1657" s="231" t="s">
        <v>313</v>
      </c>
      <c r="B1657" s="230">
        <f>+B1656+C1656+D1656+E1656</f>
        <v>0</v>
      </c>
      <c r="C1657" s="230"/>
      <c r="D1657" s="230"/>
      <c r="E1657" s="230"/>
      <c r="G1657" s="231" t="s">
        <v>313</v>
      </c>
      <c r="H1657" s="230">
        <f>+H1656+I1656+J1656+K1656</f>
        <v>0</v>
      </c>
      <c r="I1657" s="230"/>
      <c r="J1657" s="230"/>
      <c r="K1657" s="230"/>
    </row>
    <row r="1658" spans="1:11" ht="15.5" thickTop="1" thickBot="1" x14ac:dyDescent="0.4">
      <c r="A1658" s="335" t="s">
        <v>298</v>
      </c>
      <c r="B1658" s="336"/>
      <c r="C1658" s="336"/>
      <c r="D1658" s="336"/>
      <c r="E1658" s="337"/>
      <c r="G1658" s="335" t="s">
        <v>298</v>
      </c>
      <c r="H1658" s="336"/>
      <c r="I1658" s="336"/>
      <c r="J1658" s="336"/>
      <c r="K1658" s="337"/>
    </row>
    <row r="1659" spans="1:11" ht="15.5" thickTop="1" thickBot="1" x14ac:dyDescent="0.4">
      <c r="A1659" s="338">
        <v>45442</v>
      </c>
      <c r="B1659" s="336"/>
      <c r="C1659" s="336"/>
      <c r="D1659" s="336"/>
      <c r="E1659" s="337"/>
      <c r="G1659" s="338">
        <v>45442</v>
      </c>
      <c r="H1659" s="336"/>
      <c r="I1659" s="336"/>
      <c r="J1659" s="336"/>
      <c r="K1659" s="337"/>
    </row>
    <row r="1660" spans="1:11" ht="15" thickTop="1" x14ac:dyDescent="0.35">
      <c r="A1660" s="267" t="s">
        <v>159</v>
      </c>
      <c r="B1660" s="267" t="s">
        <v>299</v>
      </c>
      <c r="C1660" s="267" t="s">
        <v>307</v>
      </c>
      <c r="D1660" s="267" t="s">
        <v>301</v>
      </c>
      <c r="E1660" s="268" t="s">
        <v>308</v>
      </c>
      <c r="G1660" s="267" t="s">
        <v>159</v>
      </c>
      <c r="H1660" s="267" t="s">
        <v>299</v>
      </c>
      <c r="I1660" s="267" t="s">
        <v>307</v>
      </c>
      <c r="J1660" s="267" t="s">
        <v>301</v>
      </c>
      <c r="K1660" s="268" t="s">
        <v>308</v>
      </c>
    </row>
    <row r="1661" spans="1:11" x14ac:dyDescent="0.35">
      <c r="A1661" s="269" t="s">
        <v>316</v>
      </c>
      <c r="B1661" s="270"/>
      <c r="C1661" s="270"/>
      <c r="D1661" s="270"/>
      <c r="E1661" s="270"/>
      <c r="G1661" s="269" t="s">
        <v>316</v>
      </c>
      <c r="H1661" s="270"/>
      <c r="I1661" s="270"/>
      <c r="J1661" s="270"/>
      <c r="K1661" s="270"/>
    </row>
    <row r="1662" spans="1:11" x14ac:dyDescent="0.35">
      <c r="A1662" s="271" t="s">
        <v>309</v>
      </c>
      <c r="B1662" s="272"/>
      <c r="C1662" s="272"/>
      <c r="D1662" s="272"/>
      <c r="E1662" s="272"/>
      <c r="G1662" s="271" t="s">
        <v>309</v>
      </c>
      <c r="H1662" s="272"/>
      <c r="I1662" s="272"/>
      <c r="J1662" s="272"/>
      <c r="K1662" s="272"/>
    </row>
    <row r="1663" spans="1:11" x14ac:dyDescent="0.35">
      <c r="A1663" s="269" t="s">
        <v>310</v>
      </c>
      <c r="B1663" s="270"/>
      <c r="C1663" s="270"/>
      <c r="D1663" s="270"/>
      <c r="E1663" s="270"/>
      <c r="G1663" s="269" t="s">
        <v>310</v>
      </c>
      <c r="H1663" s="270"/>
      <c r="I1663" s="270"/>
      <c r="J1663" s="270"/>
      <c r="K1663" s="270"/>
    </row>
    <row r="1664" spans="1:11" x14ac:dyDescent="0.35">
      <c r="A1664" s="271" t="s">
        <v>317</v>
      </c>
      <c r="B1664" s="272"/>
      <c r="C1664" s="272"/>
      <c r="D1664" s="272"/>
      <c r="E1664" s="272"/>
      <c r="G1664" s="271" t="s">
        <v>317</v>
      </c>
      <c r="H1664" s="272"/>
      <c r="I1664" s="272"/>
      <c r="J1664" s="272"/>
      <c r="K1664" s="272"/>
    </row>
    <row r="1665" spans="1:11" x14ac:dyDescent="0.35">
      <c r="A1665" s="269" t="s">
        <v>311</v>
      </c>
      <c r="B1665" s="270"/>
      <c r="C1665" s="270"/>
      <c r="D1665" s="270"/>
      <c r="E1665" s="270"/>
      <c r="G1665" s="269" t="s">
        <v>311</v>
      </c>
      <c r="H1665" s="270"/>
      <c r="I1665" s="270"/>
      <c r="J1665" s="270"/>
      <c r="K1665" s="270"/>
    </row>
    <row r="1666" spans="1:11" x14ac:dyDescent="0.35">
      <c r="A1666" s="271" t="s">
        <v>312</v>
      </c>
      <c r="B1666" s="272"/>
      <c r="C1666" s="272"/>
      <c r="D1666" s="272"/>
      <c r="E1666" s="272"/>
      <c r="G1666" s="271" t="s">
        <v>312</v>
      </c>
      <c r="H1666" s="272"/>
      <c r="I1666" s="272"/>
      <c r="J1666" s="272"/>
      <c r="K1666" s="272"/>
    </row>
    <row r="1667" spans="1:11" x14ac:dyDescent="0.35">
      <c r="A1667" s="231" t="s">
        <v>34</v>
      </c>
      <c r="B1667" s="230">
        <f>SUM(B1661:B1666)</f>
        <v>0</v>
      </c>
      <c r="C1667" s="230">
        <f>SUM(C1661:C1666)</f>
        <v>0</v>
      </c>
      <c r="D1667" s="230">
        <f>SUM(D1661:D1666)</f>
        <v>0</v>
      </c>
      <c r="E1667" s="230">
        <f>SUM(E1661:E1666)</f>
        <v>0</v>
      </c>
      <c r="G1667" s="231" t="s">
        <v>34</v>
      </c>
      <c r="H1667" s="230">
        <f>SUM(H1661:H1666)</f>
        <v>0</v>
      </c>
      <c r="I1667" s="230">
        <f>SUM(I1661:I1666)</f>
        <v>0</v>
      </c>
      <c r="J1667" s="230">
        <f>SUM(J1661:J1666)</f>
        <v>0</v>
      </c>
      <c r="K1667" s="230">
        <f>SUM(K1661:K1666)</f>
        <v>0</v>
      </c>
    </row>
    <row r="1668" spans="1:11" ht="15" thickBot="1" x14ac:dyDescent="0.4">
      <c r="A1668" s="231" t="s">
        <v>313</v>
      </c>
      <c r="B1668" s="230">
        <f>+B1667+C1667+D1667+E1667</f>
        <v>0</v>
      </c>
      <c r="C1668" s="230"/>
      <c r="D1668" s="230"/>
      <c r="E1668" s="230"/>
      <c r="G1668" s="231" t="s">
        <v>313</v>
      </c>
      <c r="H1668" s="230">
        <f>+H1667+I1667+J1667+K1667</f>
        <v>0</v>
      </c>
      <c r="I1668" s="230"/>
      <c r="J1668" s="230"/>
      <c r="K1668" s="230"/>
    </row>
    <row r="1669" spans="1:11" ht="15.5" thickTop="1" thickBot="1" x14ac:dyDescent="0.4">
      <c r="A1669" s="335" t="s">
        <v>298</v>
      </c>
      <c r="B1669" s="336"/>
      <c r="C1669" s="336"/>
      <c r="D1669" s="336"/>
      <c r="E1669" s="337"/>
      <c r="G1669" s="335" t="s">
        <v>298</v>
      </c>
      <c r="H1669" s="336"/>
      <c r="I1669" s="336"/>
      <c r="J1669" s="336"/>
      <c r="K1669" s="337"/>
    </row>
    <row r="1670" spans="1:11" ht="15.5" thickTop="1" thickBot="1" x14ac:dyDescent="0.4">
      <c r="A1670" s="338">
        <v>45443</v>
      </c>
      <c r="B1670" s="336"/>
      <c r="C1670" s="336"/>
      <c r="D1670" s="336"/>
      <c r="E1670" s="337"/>
      <c r="G1670" s="338">
        <v>45443</v>
      </c>
      <c r="H1670" s="336"/>
      <c r="I1670" s="336"/>
      <c r="J1670" s="336"/>
      <c r="K1670" s="337"/>
    </row>
    <row r="1671" spans="1:11" ht="15" thickTop="1" x14ac:dyDescent="0.35">
      <c r="A1671" s="267" t="s">
        <v>159</v>
      </c>
      <c r="B1671" s="267" t="s">
        <v>299</v>
      </c>
      <c r="C1671" s="267" t="s">
        <v>307</v>
      </c>
      <c r="D1671" s="267" t="s">
        <v>301</v>
      </c>
      <c r="E1671" s="268" t="s">
        <v>308</v>
      </c>
      <c r="G1671" s="267" t="s">
        <v>159</v>
      </c>
      <c r="H1671" s="267" t="s">
        <v>299</v>
      </c>
      <c r="I1671" s="267" t="s">
        <v>307</v>
      </c>
      <c r="J1671" s="267" t="s">
        <v>301</v>
      </c>
      <c r="K1671" s="268" t="s">
        <v>308</v>
      </c>
    </row>
    <row r="1672" spans="1:11" x14ac:dyDescent="0.35">
      <c r="A1672" s="269" t="s">
        <v>316</v>
      </c>
      <c r="B1672" s="270"/>
      <c r="C1672" s="270"/>
      <c r="D1672" s="270"/>
      <c r="E1672" s="270"/>
      <c r="G1672" s="269" t="s">
        <v>316</v>
      </c>
      <c r="H1672" s="270"/>
      <c r="I1672" s="270"/>
      <c r="J1672" s="270"/>
      <c r="K1672" s="270"/>
    </row>
    <row r="1673" spans="1:11" x14ac:dyDescent="0.35">
      <c r="A1673" s="271" t="s">
        <v>309</v>
      </c>
      <c r="B1673" s="272"/>
      <c r="C1673" s="272"/>
      <c r="D1673" s="272"/>
      <c r="E1673" s="272"/>
      <c r="G1673" s="271" t="s">
        <v>309</v>
      </c>
      <c r="H1673" s="272"/>
      <c r="I1673" s="272"/>
      <c r="J1673" s="272"/>
      <c r="K1673" s="272"/>
    </row>
    <row r="1674" spans="1:11" x14ac:dyDescent="0.35">
      <c r="A1674" s="269" t="s">
        <v>310</v>
      </c>
      <c r="B1674" s="270"/>
      <c r="C1674" s="270"/>
      <c r="D1674" s="270"/>
      <c r="E1674" s="270"/>
      <c r="G1674" s="269" t="s">
        <v>310</v>
      </c>
      <c r="H1674" s="270"/>
      <c r="I1674" s="270"/>
      <c r="J1674" s="270"/>
      <c r="K1674" s="270"/>
    </row>
    <row r="1675" spans="1:11" x14ac:dyDescent="0.35">
      <c r="A1675" s="271" t="s">
        <v>317</v>
      </c>
      <c r="B1675" s="272"/>
      <c r="C1675" s="272"/>
      <c r="D1675" s="272"/>
      <c r="E1675" s="272"/>
      <c r="G1675" s="271" t="s">
        <v>317</v>
      </c>
      <c r="H1675" s="272"/>
      <c r="I1675" s="272"/>
      <c r="J1675" s="272"/>
      <c r="K1675" s="272"/>
    </row>
    <row r="1676" spans="1:11" x14ac:dyDescent="0.35">
      <c r="A1676" s="269" t="s">
        <v>311</v>
      </c>
      <c r="B1676" s="270"/>
      <c r="C1676" s="270"/>
      <c r="D1676" s="270"/>
      <c r="E1676" s="270"/>
      <c r="G1676" s="269" t="s">
        <v>311</v>
      </c>
      <c r="H1676" s="270"/>
      <c r="I1676" s="270"/>
      <c r="J1676" s="270"/>
      <c r="K1676" s="270"/>
    </row>
    <row r="1677" spans="1:11" x14ac:dyDescent="0.35">
      <c r="A1677" s="271" t="s">
        <v>312</v>
      </c>
      <c r="B1677" s="272"/>
      <c r="C1677" s="272"/>
      <c r="D1677" s="272"/>
      <c r="E1677" s="272"/>
      <c r="G1677" s="271" t="s">
        <v>312</v>
      </c>
      <c r="H1677" s="272"/>
      <c r="I1677" s="272"/>
      <c r="J1677" s="272"/>
      <c r="K1677" s="272"/>
    </row>
    <row r="1678" spans="1:11" x14ac:dyDescent="0.35">
      <c r="A1678" s="231" t="s">
        <v>34</v>
      </c>
      <c r="B1678" s="230">
        <f>SUM(B1672:B1677)</f>
        <v>0</v>
      </c>
      <c r="C1678" s="230">
        <f>SUM(C1672:C1677)</f>
        <v>0</v>
      </c>
      <c r="D1678" s="230">
        <f>SUM(D1672:D1677)</f>
        <v>0</v>
      </c>
      <c r="E1678" s="230">
        <f>SUM(E1672:E1677)</f>
        <v>0</v>
      </c>
      <c r="G1678" s="231" t="s">
        <v>34</v>
      </c>
      <c r="H1678" s="230">
        <f>SUM(H1672:H1677)</f>
        <v>0</v>
      </c>
      <c r="I1678" s="230">
        <f>SUM(I1672:I1677)</f>
        <v>0</v>
      </c>
      <c r="J1678" s="230">
        <f>SUM(J1672:J1677)</f>
        <v>0</v>
      </c>
      <c r="K1678" s="230">
        <f>SUM(K1672:K1677)</f>
        <v>0</v>
      </c>
    </row>
    <row r="1679" spans="1:11" x14ac:dyDescent="0.35">
      <c r="A1679" s="231" t="s">
        <v>313</v>
      </c>
      <c r="B1679" s="230">
        <f>+B1678+C1678+D1678+E1678</f>
        <v>0</v>
      </c>
      <c r="C1679" s="230"/>
      <c r="D1679" s="230"/>
      <c r="E1679" s="230"/>
      <c r="G1679" s="231" t="s">
        <v>313</v>
      </c>
      <c r="H1679" s="230">
        <f>+H1678+I1678+J1678+K1678</f>
        <v>0</v>
      </c>
      <c r="I1679" s="230"/>
      <c r="J1679" s="230"/>
      <c r="K1679" s="230"/>
    </row>
    <row r="1680" spans="1:11" ht="15" thickBot="1" x14ac:dyDescent="0.4"/>
    <row r="1681" spans="1:13" ht="30.5" customHeight="1" thickBot="1" x14ac:dyDescent="0.4">
      <c r="A1681" s="327" t="s">
        <v>325</v>
      </c>
      <c r="B1681" s="328"/>
      <c r="C1681" s="328"/>
      <c r="D1681" s="328"/>
      <c r="E1681" s="328"/>
      <c r="F1681" s="329"/>
      <c r="G1681" s="330">
        <f>SUMIF($A$1338:M1679,"*"&amp;K1681&amp;"*",$B$1338:N1679)</f>
        <v>92523</v>
      </c>
      <c r="H1681" s="331"/>
      <c r="I1681" s="331"/>
      <c r="J1681" s="332"/>
      <c r="K1681" s="333" t="s">
        <v>313</v>
      </c>
      <c r="L1681" s="334"/>
      <c r="M1681" s="233">
        <f>+G1681</f>
        <v>92523</v>
      </c>
    </row>
    <row r="1683" spans="1:13" ht="15" thickBot="1" x14ac:dyDescent="0.4"/>
    <row r="1684" spans="1:13" ht="15.5" thickTop="1" thickBot="1" x14ac:dyDescent="0.4">
      <c r="A1684" s="335" t="s">
        <v>298</v>
      </c>
      <c r="B1684" s="336"/>
      <c r="C1684" s="336"/>
      <c r="D1684" s="336"/>
      <c r="E1684" s="337"/>
      <c r="G1684" s="335" t="s">
        <v>298</v>
      </c>
      <c r="H1684" s="336"/>
      <c r="I1684" s="336"/>
      <c r="J1684" s="336"/>
      <c r="K1684" s="337"/>
    </row>
    <row r="1685" spans="1:13" ht="15.5" thickTop="1" thickBot="1" x14ac:dyDescent="0.4">
      <c r="A1685" s="338">
        <v>45444</v>
      </c>
      <c r="B1685" s="336"/>
      <c r="C1685" s="336"/>
      <c r="D1685" s="336"/>
      <c r="E1685" s="337"/>
      <c r="G1685" s="338">
        <v>45444</v>
      </c>
      <c r="H1685" s="336"/>
      <c r="I1685" s="336"/>
      <c r="J1685" s="336"/>
      <c r="K1685" s="337"/>
    </row>
    <row r="1686" spans="1:13" ht="15" thickTop="1" x14ac:dyDescent="0.35">
      <c r="A1686" s="267" t="s">
        <v>159</v>
      </c>
      <c r="B1686" s="267" t="s">
        <v>299</v>
      </c>
      <c r="C1686" s="267" t="s">
        <v>307</v>
      </c>
      <c r="D1686" s="267" t="s">
        <v>301</v>
      </c>
      <c r="E1686" s="268" t="s">
        <v>308</v>
      </c>
      <c r="G1686" s="267" t="s">
        <v>159</v>
      </c>
      <c r="H1686" s="267" t="s">
        <v>299</v>
      </c>
      <c r="I1686" s="267" t="s">
        <v>307</v>
      </c>
      <c r="J1686" s="267" t="s">
        <v>301</v>
      </c>
      <c r="K1686" s="268" t="s">
        <v>308</v>
      </c>
    </row>
    <row r="1687" spans="1:13" x14ac:dyDescent="0.35">
      <c r="A1687" s="269" t="s">
        <v>316</v>
      </c>
      <c r="B1687" s="270"/>
      <c r="C1687" s="270"/>
      <c r="D1687" s="270"/>
      <c r="E1687" s="270"/>
      <c r="G1687" s="269" t="s">
        <v>316</v>
      </c>
      <c r="H1687" s="270"/>
      <c r="I1687" s="270"/>
      <c r="J1687" s="270"/>
      <c r="K1687" s="270"/>
    </row>
    <row r="1688" spans="1:13" x14ac:dyDescent="0.35">
      <c r="A1688" s="271" t="s">
        <v>309</v>
      </c>
      <c r="B1688" s="272"/>
      <c r="C1688" s="272"/>
      <c r="D1688" s="272"/>
      <c r="E1688" s="272"/>
      <c r="G1688" s="271" t="s">
        <v>309</v>
      </c>
      <c r="H1688" s="272"/>
      <c r="I1688" s="272"/>
      <c r="J1688" s="272"/>
      <c r="K1688" s="272"/>
    </row>
    <row r="1689" spans="1:13" x14ac:dyDescent="0.35">
      <c r="A1689" s="269" t="s">
        <v>310</v>
      </c>
      <c r="B1689" s="270"/>
      <c r="C1689" s="270"/>
      <c r="D1689" s="270"/>
      <c r="E1689" s="270"/>
      <c r="G1689" s="269" t="s">
        <v>310</v>
      </c>
      <c r="H1689" s="270"/>
      <c r="I1689" s="270"/>
      <c r="J1689" s="270"/>
      <c r="K1689" s="270"/>
    </row>
    <row r="1690" spans="1:13" x14ac:dyDescent="0.35">
      <c r="A1690" s="271" t="s">
        <v>317</v>
      </c>
      <c r="B1690" s="272"/>
      <c r="C1690" s="272"/>
      <c r="D1690" s="272"/>
      <c r="E1690" s="272"/>
      <c r="G1690" s="271" t="s">
        <v>317</v>
      </c>
      <c r="H1690" s="272"/>
      <c r="I1690" s="272"/>
      <c r="J1690" s="272"/>
      <c r="K1690" s="272"/>
    </row>
    <row r="1691" spans="1:13" x14ac:dyDescent="0.35">
      <c r="A1691" s="269" t="s">
        <v>311</v>
      </c>
      <c r="B1691" s="270"/>
      <c r="C1691" s="270"/>
      <c r="D1691" s="270"/>
      <c r="E1691" s="270"/>
      <c r="G1691" s="269" t="s">
        <v>311</v>
      </c>
      <c r="H1691" s="270"/>
      <c r="I1691" s="270"/>
      <c r="J1691" s="270"/>
      <c r="K1691" s="270"/>
    </row>
    <row r="1692" spans="1:13" x14ac:dyDescent="0.35">
      <c r="A1692" s="271" t="s">
        <v>312</v>
      </c>
      <c r="B1692" s="272"/>
      <c r="C1692" s="272"/>
      <c r="D1692" s="272"/>
      <c r="E1692" s="272"/>
      <c r="G1692" s="271" t="s">
        <v>312</v>
      </c>
      <c r="H1692" s="272"/>
      <c r="I1692" s="272"/>
      <c r="J1692" s="272"/>
      <c r="K1692" s="272"/>
    </row>
    <row r="1693" spans="1:13" x14ac:dyDescent="0.35">
      <c r="A1693" s="231" t="s">
        <v>34</v>
      </c>
      <c r="B1693" s="230">
        <f>SUM(B1687:B1692)</f>
        <v>0</v>
      </c>
      <c r="C1693" s="230">
        <f>SUM(C1687:C1692)</f>
        <v>0</v>
      </c>
      <c r="D1693" s="230">
        <f>SUM(D1687:D1692)</f>
        <v>0</v>
      </c>
      <c r="E1693" s="230">
        <f>SUM(E1687:E1692)</f>
        <v>0</v>
      </c>
      <c r="G1693" s="231" t="s">
        <v>34</v>
      </c>
      <c r="H1693" s="230">
        <f>SUM(H1687:H1692)</f>
        <v>0</v>
      </c>
      <c r="I1693" s="230">
        <f>SUM(I1687:I1692)</f>
        <v>0</v>
      </c>
      <c r="J1693" s="230">
        <f>SUM(J1687:J1692)</f>
        <v>0</v>
      </c>
      <c r="K1693" s="230">
        <f>SUM(K1687:K1692)</f>
        <v>0</v>
      </c>
    </row>
    <row r="1694" spans="1:13" ht="15" thickBot="1" x14ac:dyDescent="0.4">
      <c r="A1694" s="231" t="s">
        <v>313</v>
      </c>
      <c r="B1694" s="230">
        <f>+B1693+C1693+D1693+E1693</f>
        <v>0</v>
      </c>
      <c r="C1694" s="230"/>
      <c r="D1694" s="230"/>
      <c r="E1694" s="230"/>
      <c r="G1694" s="231" t="s">
        <v>313</v>
      </c>
      <c r="H1694" s="230">
        <f>+H1693+I1693+J1693+K1693</f>
        <v>0</v>
      </c>
      <c r="I1694" s="230"/>
      <c r="J1694" s="230"/>
      <c r="K1694" s="230"/>
    </row>
    <row r="1695" spans="1:13" ht="15.5" thickTop="1" thickBot="1" x14ac:dyDescent="0.4">
      <c r="A1695" s="335" t="s">
        <v>298</v>
      </c>
      <c r="B1695" s="336"/>
      <c r="C1695" s="336"/>
      <c r="D1695" s="336"/>
      <c r="E1695" s="337"/>
      <c r="G1695" s="335" t="s">
        <v>298</v>
      </c>
      <c r="H1695" s="336"/>
      <c r="I1695" s="336"/>
      <c r="J1695" s="336"/>
      <c r="K1695" s="337"/>
    </row>
    <row r="1696" spans="1:13" ht="15.5" thickTop="1" thickBot="1" x14ac:dyDescent="0.4">
      <c r="A1696" s="338">
        <v>45445</v>
      </c>
      <c r="B1696" s="336"/>
      <c r="C1696" s="336"/>
      <c r="D1696" s="336"/>
      <c r="E1696" s="337"/>
      <c r="G1696" s="338">
        <v>45445</v>
      </c>
      <c r="H1696" s="336"/>
      <c r="I1696" s="336"/>
      <c r="J1696" s="336"/>
      <c r="K1696" s="337"/>
    </row>
    <row r="1697" spans="1:11" ht="15" thickTop="1" x14ac:dyDescent="0.35">
      <c r="A1697" s="267" t="s">
        <v>159</v>
      </c>
      <c r="B1697" s="267" t="s">
        <v>299</v>
      </c>
      <c r="C1697" s="267" t="s">
        <v>307</v>
      </c>
      <c r="D1697" s="267" t="s">
        <v>301</v>
      </c>
      <c r="E1697" s="268" t="s">
        <v>308</v>
      </c>
      <c r="G1697" s="267" t="s">
        <v>159</v>
      </c>
      <c r="H1697" s="267" t="s">
        <v>299</v>
      </c>
      <c r="I1697" s="267" t="s">
        <v>307</v>
      </c>
      <c r="J1697" s="267" t="s">
        <v>301</v>
      </c>
      <c r="K1697" s="268" t="s">
        <v>308</v>
      </c>
    </row>
    <row r="1698" spans="1:11" x14ac:dyDescent="0.35">
      <c r="A1698" s="269" t="s">
        <v>316</v>
      </c>
      <c r="B1698" s="270"/>
      <c r="C1698" s="270"/>
      <c r="D1698" s="270"/>
      <c r="E1698" s="270"/>
      <c r="G1698" s="269" t="s">
        <v>316</v>
      </c>
      <c r="H1698" s="270"/>
      <c r="I1698" s="270"/>
      <c r="J1698" s="270"/>
      <c r="K1698" s="270"/>
    </row>
    <row r="1699" spans="1:11" x14ac:dyDescent="0.35">
      <c r="A1699" s="271" t="s">
        <v>309</v>
      </c>
      <c r="B1699" s="272"/>
      <c r="C1699" s="272"/>
      <c r="D1699" s="272"/>
      <c r="E1699" s="272"/>
      <c r="G1699" s="271" t="s">
        <v>309</v>
      </c>
      <c r="H1699" s="272"/>
      <c r="I1699" s="272"/>
      <c r="J1699" s="272"/>
      <c r="K1699" s="272"/>
    </row>
    <row r="1700" spans="1:11" x14ac:dyDescent="0.35">
      <c r="A1700" s="269" t="s">
        <v>310</v>
      </c>
      <c r="B1700" s="270"/>
      <c r="C1700" s="270"/>
      <c r="D1700" s="270"/>
      <c r="E1700" s="270"/>
      <c r="G1700" s="269" t="s">
        <v>310</v>
      </c>
      <c r="H1700" s="270"/>
      <c r="I1700" s="270"/>
      <c r="J1700" s="270"/>
      <c r="K1700" s="270"/>
    </row>
    <row r="1701" spans="1:11" x14ac:dyDescent="0.35">
      <c r="A1701" s="271" t="s">
        <v>317</v>
      </c>
      <c r="B1701" s="272"/>
      <c r="C1701" s="272"/>
      <c r="D1701" s="272"/>
      <c r="E1701" s="272"/>
      <c r="G1701" s="271" t="s">
        <v>317</v>
      </c>
      <c r="H1701" s="272"/>
      <c r="I1701" s="272"/>
      <c r="J1701" s="272"/>
      <c r="K1701" s="272"/>
    </row>
    <row r="1702" spans="1:11" x14ac:dyDescent="0.35">
      <c r="A1702" s="269" t="s">
        <v>311</v>
      </c>
      <c r="B1702" s="270"/>
      <c r="C1702" s="270"/>
      <c r="D1702" s="270"/>
      <c r="E1702" s="270"/>
      <c r="G1702" s="269" t="s">
        <v>311</v>
      </c>
      <c r="H1702" s="270"/>
      <c r="I1702" s="270"/>
      <c r="J1702" s="270"/>
      <c r="K1702" s="270"/>
    </row>
    <row r="1703" spans="1:11" x14ac:dyDescent="0.35">
      <c r="A1703" s="271" t="s">
        <v>312</v>
      </c>
      <c r="B1703" s="272"/>
      <c r="C1703" s="272"/>
      <c r="D1703" s="272"/>
      <c r="E1703" s="272"/>
      <c r="G1703" s="271" t="s">
        <v>312</v>
      </c>
      <c r="H1703" s="272"/>
      <c r="I1703" s="272"/>
      <c r="J1703" s="272"/>
      <c r="K1703" s="272"/>
    </row>
    <row r="1704" spans="1:11" x14ac:dyDescent="0.35">
      <c r="A1704" s="231" t="s">
        <v>34</v>
      </c>
      <c r="B1704" s="230">
        <f>SUM(B1698:B1703)</f>
        <v>0</v>
      </c>
      <c r="C1704" s="230">
        <f>SUM(C1698:C1703)</f>
        <v>0</v>
      </c>
      <c r="D1704" s="230">
        <f>SUM(D1698:D1703)</f>
        <v>0</v>
      </c>
      <c r="E1704" s="230">
        <f>SUM(E1698:E1703)</f>
        <v>0</v>
      </c>
      <c r="G1704" s="231" t="s">
        <v>34</v>
      </c>
      <c r="H1704" s="230">
        <f>SUM(H1698:H1703)</f>
        <v>0</v>
      </c>
      <c r="I1704" s="230">
        <f>SUM(I1698:I1703)</f>
        <v>0</v>
      </c>
      <c r="J1704" s="230">
        <f>SUM(J1698:J1703)</f>
        <v>0</v>
      </c>
      <c r="K1704" s="230">
        <f>SUM(K1698:K1703)</f>
        <v>0</v>
      </c>
    </row>
    <row r="1705" spans="1:11" ht="15" thickBot="1" x14ac:dyDescent="0.4">
      <c r="A1705" s="231" t="s">
        <v>313</v>
      </c>
      <c r="B1705" s="230">
        <f>+B1704+C1704+D1704+E1704</f>
        <v>0</v>
      </c>
      <c r="C1705" s="230"/>
      <c r="D1705" s="230"/>
      <c r="E1705" s="230"/>
      <c r="G1705" s="231" t="s">
        <v>313</v>
      </c>
      <c r="H1705" s="230">
        <f>+H1704+I1704+J1704+K1704</f>
        <v>0</v>
      </c>
      <c r="I1705" s="230"/>
      <c r="J1705" s="230"/>
      <c r="K1705" s="230"/>
    </row>
    <row r="1706" spans="1:11" ht="15.5" thickTop="1" thickBot="1" x14ac:dyDescent="0.4">
      <c r="A1706" s="335" t="s">
        <v>298</v>
      </c>
      <c r="B1706" s="336"/>
      <c r="C1706" s="336"/>
      <c r="D1706" s="336"/>
      <c r="E1706" s="337"/>
      <c r="G1706" s="335" t="s">
        <v>298</v>
      </c>
      <c r="H1706" s="336"/>
      <c r="I1706" s="336"/>
      <c r="J1706" s="336"/>
      <c r="K1706" s="337"/>
    </row>
    <row r="1707" spans="1:11" ht="15.5" thickTop="1" thickBot="1" x14ac:dyDescent="0.4">
      <c r="A1707" s="338">
        <v>45446</v>
      </c>
      <c r="B1707" s="336"/>
      <c r="C1707" s="336"/>
      <c r="D1707" s="336"/>
      <c r="E1707" s="337"/>
      <c r="G1707" s="338">
        <v>45446</v>
      </c>
      <c r="H1707" s="336"/>
      <c r="I1707" s="336"/>
      <c r="J1707" s="336"/>
      <c r="K1707" s="337"/>
    </row>
    <row r="1708" spans="1:11" ht="15" thickTop="1" x14ac:dyDescent="0.35">
      <c r="A1708" s="267" t="s">
        <v>159</v>
      </c>
      <c r="B1708" s="267" t="s">
        <v>299</v>
      </c>
      <c r="C1708" s="267" t="s">
        <v>307</v>
      </c>
      <c r="D1708" s="267" t="s">
        <v>301</v>
      </c>
      <c r="E1708" s="268" t="s">
        <v>308</v>
      </c>
      <c r="G1708" s="267" t="s">
        <v>159</v>
      </c>
      <c r="H1708" s="267" t="s">
        <v>299</v>
      </c>
      <c r="I1708" s="267" t="s">
        <v>307</v>
      </c>
      <c r="J1708" s="267" t="s">
        <v>301</v>
      </c>
      <c r="K1708" s="268" t="s">
        <v>308</v>
      </c>
    </row>
    <row r="1709" spans="1:11" x14ac:dyDescent="0.35">
      <c r="A1709" s="269" t="s">
        <v>316</v>
      </c>
      <c r="B1709" s="270"/>
      <c r="C1709" s="270"/>
      <c r="D1709" s="270"/>
      <c r="E1709" s="270"/>
      <c r="G1709" s="269" t="s">
        <v>316</v>
      </c>
      <c r="H1709" s="270"/>
      <c r="I1709" s="270"/>
      <c r="J1709" s="270"/>
      <c r="K1709" s="270"/>
    </row>
    <row r="1710" spans="1:11" x14ac:dyDescent="0.35">
      <c r="A1710" s="271" t="s">
        <v>309</v>
      </c>
      <c r="B1710" s="272"/>
      <c r="C1710" s="272"/>
      <c r="D1710" s="272"/>
      <c r="E1710" s="272"/>
      <c r="G1710" s="271" t="s">
        <v>309</v>
      </c>
      <c r="H1710" s="272"/>
      <c r="I1710" s="272"/>
      <c r="J1710" s="272"/>
      <c r="K1710" s="272"/>
    </row>
    <row r="1711" spans="1:11" x14ac:dyDescent="0.35">
      <c r="A1711" s="269" t="s">
        <v>310</v>
      </c>
      <c r="B1711" s="270"/>
      <c r="C1711" s="270"/>
      <c r="D1711" s="270"/>
      <c r="E1711" s="270"/>
      <c r="G1711" s="269" t="s">
        <v>310</v>
      </c>
      <c r="H1711" s="270"/>
      <c r="I1711" s="270"/>
      <c r="J1711" s="270"/>
      <c r="K1711" s="270"/>
    </row>
    <row r="1712" spans="1:11" x14ac:dyDescent="0.35">
      <c r="A1712" s="271" t="s">
        <v>317</v>
      </c>
      <c r="B1712" s="272"/>
      <c r="C1712" s="272"/>
      <c r="D1712" s="272"/>
      <c r="E1712" s="272"/>
      <c r="G1712" s="271" t="s">
        <v>317</v>
      </c>
      <c r="H1712" s="272"/>
      <c r="I1712" s="272"/>
      <c r="J1712" s="272"/>
      <c r="K1712" s="272"/>
    </row>
    <row r="1713" spans="1:11" x14ac:dyDescent="0.35">
      <c r="A1713" s="269" t="s">
        <v>311</v>
      </c>
      <c r="B1713" s="270"/>
      <c r="C1713" s="270"/>
      <c r="D1713" s="270"/>
      <c r="E1713" s="270"/>
      <c r="G1713" s="269" t="s">
        <v>311</v>
      </c>
      <c r="H1713" s="270"/>
      <c r="I1713" s="270"/>
      <c r="J1713" s="270"/>
      <c r="K1713" s="270"/>
    </row>
    <row r="1714" spans="1:11" x14ac:dyDescent="0.35">
      <c r="A1714" s="271" t="s">
        <v>312</v>
      </c>
      <c r="B1714" s="272"/>
      <c r="C1714" s="272"/>
      <c r="D1714" s="272"/>
      <c r="E1714" s="272"/>
      <c r="G1714" s="271" t="s">
        <v>312</v>
      </c>
      <c r="H1714" s="272"/>
      <c r="I1714" s="272"/>
      <c r="J1714" s="272"/>
      <c r="K1714" s="272"/>
    </row>
    <row r="1715" spans="1:11" x14ac:dyDescent="0.35">
      <c r="A1715" s="231" t="s">
        <v>34</v>
      </c>
      <c r="B1715" s="230">
        <f>SUM(B1709:B1714)</f>
        <v>0</v>
      </c>
      <c r="C1715" s="230">
        <f>SUM(C1709:C1714)</f>
        <v>0</v>
      </c>
      <c r="D1715" s="230">
        <f>SUM(D1709:D1714)</f>
        <v>0</v>
      </c>
      <c r="E1715" s="230">
        <f>SUM(E1709:E1714)</f>
        <v>0</v>
      </c>
      <c r="G1715" s="231" t="s">
        <v>34</v>
      </c>
      <c r="H1715" s="230">
        <f>SUM(H1709:H1714)</f>
        <v>0</v>
      </c>
      <c r="I1715" s="230">
        <f>SUM(I1709:I1714)</f>
        <v>0</v>
      </c>
      <c r="J1715" s="230">
        <f>SUM(J1709:J1714)</f>
        <v>0</v>
      </c>
      <c r="K1715" s="230">
        <f>SUM(K1709:K1714)</f>
        <v>0</v>
      </c>
    </row>
    <row r="1716" spans="1:11" ht="15" thickBot="1" x14ac:dyDescent="0.4">
      <c r="A1716" s="231" t="s">
        <v>313</v>
      </c>
      <c r="B1716" s="230">
        <f>+B1715+C1715+D1715+E1715</f>
        <v>0</v>
      </c>
      <c r="C1716" s="230"/>
      <c r="D1716" s="230"/>
      <c r="E1716" s="230"/>
      <c r="G1716" s="231" t="s">
        <v>313</v>
      </c>
      <c r="H1716" s="230">
        <f>+H1715+I1715+J1715+K1715</f>
        <v>0</v>
      </c>
      <c r="I1716" s="230"/>
      <c r="J1716" s="230"/>
      <c r="K1716" s="230"/>
    </row>
    <row r="1717" spans="1:11" ht="15.5" thickTop="1" thickBot="1" x14ac:dyDescent="0.4">
      <c r="A1717" s="335" t="s">
        <v>298</v>
      </c>
      <c r="B1717" s="336"/>
      <c r="C1717" s="336"/>
      <c r="D1717" s="336"/>
      <c r="E1717" s="337"/>
      <c r="G1717" s="335" t="s">
        <v>298</v>
      </c>
      <c r="H1717" s="336"/>
      <c r="I1717" s="336"/>
      <c r="J1717" s="336"/>
      <c r="K1717" s="337"/>
    </row>
    <row r="1718" spans="1:11" ht="15.5" thickTop="1" thickBot="1" x14ac:dyDescent="0.4">
      <c r="A1718" s="338">
        <v>45447</v>
      </c>
      <c r="B1718" s="336"/>
      <c r="C1718" s="336"/>
      <c r="D1718" s="336"/>
      <c r="E1718" s="337"/>
      <c r="G1718" s="338">
        <v>45447</v>
      </c>
      <c r="H1718" s="336"/>
      <c r="I1718" s="336"/>
      <c r="J1718" s="336"/>
      <c r="K1718" s="337"/>
    </row>
    <row r="1719" spans="1:11" ht="15" thickTop="1" x14ac:dyDescent="0.35">
      <c r="A1719" s="267" t="s">
        <v>159</v>
      </c>
      <c r="B1719" s="267" t="s">
        <v>299</v>
      </c>
      <c r="C1719" s="267" t="s">
        <v>307</v>
      </c>
      <c r="D1719" s="267" t="s">
        <v>301</v>
      </c>
      <c r="E1719" s="268" t="s">
        <v>308</v>
      </c>
      <c r="G1719" s="267" t="s">
        <v>159</v>
      </c>
      <c r="H1719" s="267" t="s">
        <v>299</v>
      </c>
      <c r="I1719" s="267" t="s">
        <v>307</v>
      </c>
      <c r="J1719" s="267" t="s">
        <v>301</v>
      </c>
      <c r="K1719" s="268" t="s">
        <v>308</v>
      </c>
    </row>
    <row r="1720" spans="1:11" x14ac:dyDescent="0.35">
      <c r="A1720" s="269" t="s">
        <v>316</v>
      </c>
      <c r="B1720" s="270"/>
      <c r="C1720" s="270"/>
      <c r="D1720" s="270"/>
      <c r="E1720" s="270"/>
      <c r="G1720" s="269" t="s">
        <v>316</v>
      </c>
      <c r="H1720" s="270"/>
      <c r="I1720" s="270"/>
      <c r="J1720" s="270"/>
      <c r="K1720" s="270"/>
    </row>
    <row r="1721" spans="1:11" x14ac:dyDescent="0.35">
      <c r="A1721" s="271" t="s">
        <v>309</v>
      </c>
      <c r="B1721" s="272"/>
      <c r="C1721" s="272"/>
      <c r="D1721" s="272"/>
      <c r="E1721" s="272"/>
      <c r="G1721" s="271" t="s">
        <v>309</v>
      </c>
      <c r="H1721" s="272"/>
      <c r="I1721" s="272"/>
      <c r="J1721" s="272"/>
      <c r="K1721" s="272"/>
    </row>
    <row r="1722" spans="1:11" x14ac:dyDescent="0.35">
      <c r="A1722" s="269" t="s">
        <v>310</v>
      </c>
      <c r="B1722" s="270"/>
      <c r="C1722" s="270"/>
      <c r="D1722" s="270"/>
      <c r="E1722" s="270"/>
      <c r="G1722" s="269" t="s">
        <v>310</v>
      </c>
      <c r="H1722" s="270"/>
      <c r="I1722" s="270"/>
      <c r="J1722" s="270"/>
      <c r="K1722" s="270"/>
    </row>
    <row r="1723" spans="1:11" x14ac:dyDescent="0.35">
      <c r="A1723" s="271" t="s">
        <v>317</v>
      </c>
      <c r="B1723" s="272"/>
      <c r="C1723" s="272"/>
      <c r="D1723" s="272"/>
      <c r="E1723" s="272"/>
      <c r="G1723" s="271" t="s">
        <v>317</v>
      </c>
      <c r="H1723" s="272"/>
      <c r="I1723" s="272"/>
      <c r="J1723" s="272"/>
      <c r="K1723" s="272"/>
    </row>
    <row r="1724" spans="1:11" x14ac:dyDescent="0.35">
      <c r="A1724" s="269" t="s">
        <v>311</v>
      </c>
      <c r="B1724" s="270"/>
      <c r="C1724" s="270"/>
      <c r="D1724" s="270"/>
      <c r="E1724" s="270"/>
      <c r="G1724" s="269" t="s">
        <v>311</v>
      </c>
      <c r="H1724" s="270"/>
      <c r="I1724" s="270"/>
      <c r="J1724" s="270"/>
      <c r="K1724" s="270"/>
    </row>
    <row r="1725" spans="1:11" x14ac:dyDescent="0.35">
      <c r="A1725" s="271" t="s">
        <v>312</v>
      </c>
      <c r="B1725" s="272"/>
      <c r="C1725" s="272"/>
      <c r="D1725" s="272"/>
      <c r="E1725" s="272"/>
      <c r="G1725" s="271" t="s">
        <v>312</v>
      </c>
      <c r="H1725" s="272"/>
      <c r="I1725" s="272"/>
      <c r="J1725" s="272"/>
      <c r="K1725" s="272"/>
    </row>
    <row r="1726" spans="1:11" x14ac:dyDescent="0.35">
      <c r="A1726" s="231" t="s">
        <v>34</v>
      </c>
      <c r="B1726" s="230">
        <f>SUM(B1720:B1725)</f>
        <v>0</v>
      </c>
      <c r="C1726" s="230">
        <f>SUM(C1720:C1725)</f>
        <v>0</v>
      </c>
      <c r="D1726" s="230">
        <f>SUM(D1720:D1725)</f>
        <v>0</v>
      </c>
      <c r="E1726" s="230">
        <f>SUM(E1720:E1725)</f>
        <v>0</v>
      </c>
      <c r="G1726" s="231" t="s">
        <v>34</v>
      </c>
      <c r="H1726" s="230">
        <f>SUM(H1720:H1725)</f>
        <v>0</v>
      </c>
      <c r="I1726" s="230">
        <f>SUM(I1720:I1725)</f>
        <v>0</v>
      </c>
      <c r="J1726" s="230">
        <f>SUM(J1720:J1725)</f>
        <v>0</v>
      </c>
      <c r="K1726" s="230">
        <f>SUM(K1720:K1725)</f>
        <v>0</v>
      </c>
    </row>
    <row r="1727" spans="1:11" ht="15" thickBot="1" x14ac:dyDescent="0.4">
      <c r="A1727" s="231" t="s">
        <v>313</v>
      </c>
      <c r="B1727" s="230">
        <f>+B1726+C1726+D1726+E1726</f>
        <v>0</v>
      </c>
      <c r="C1727" s="230"/>
      <c r="D1727" s="230"/>
      <c r="E1727" s="230"/>
      <c r="G1727" s="231" t="s">
        <v>313</v>
      </c>
      <c r="H1727" s="230">
        <f>+H1726+I1726+J1726+K1726</f>
        <v>0</v>
      </c>
      <c r="I1727" s="230"/>
      <c r="J1727" s="230"/>
      <c r="K1727" s="230"/>
    </row>
    <row r="1728" spans="1:11" ht="15.5" thickTop="1" thickBot="1" x14ac:dyDescent="0.4">
      <c r="A1728" s="335" t="s">
        <v>298</v>
      </c>
      <c r="B1728" s="336"/>
      <c r="C1728" s="336"/>
      <c r="D1728" s="336"/>
      <c r="E1728" s="337"/>
      <c r="G1728" s="335" t="s">
        <v>298</v>
      </c>
      <c r="H1728" s="336"/>
      <c r="I1728" s="336"/>
      <c r="J1728" s="336"/>
      <c r="K1728" s="337"/>
    </row>
    <row r="1729" spans="1:11" ht="15.5" thickTop="1" thickBot="1" x14ac:dyDescent="0.4">
      <c r="A1729" s="338">
        <v>45448</v>
      </c>
      <c r="B1729" s="336"/>
      <c r="C1729" s="336"/>
      <c r="D1729" s="336"/>
      <c r="E1729" s="337"/>
      <c r="G1729" s="338">
        <v>45448</v>
      </c>
      <c r="H1729" s="336"/>
      <c r="I1729" s="336"/>
      <c r="J1729" s="336"/>
      <c r="K1729" s="337"/>
    </row>
    <row r="1730" spans="1:11" ht="15" thickTop="1" x14ac:dyDescent="0.35">
      <c r="A1730" s="267" t="s">
        <v>159</v>
      </c>
      <c r="B1730" s="267" t="s">
        <v>299</v>
      </c>
      <c r="C1730" s="267" t="s">
        <v>307</v>
      </c>
      <c r="D1730" s="267" t="s">
        <v>301</v>
      </c>
      <c r="E1730" s="268" t="s">
        <v>308</v>
      </c>
      <c r="G1730" s="267" t="s">
        <v>159</v>
      </c>
      <c r="H1730" s="267" t="s">
        <v>299</v>
      </c>
      <c r="I1730" s="267" t="s">
        <v>307</v>
      </c>
      <c r="J1730" s="267" t="s">
        <v>301</v>
      </c>
      <c r="K1730" s="268" t="s">
        <v>308</v>
      </c>
    </row>
    <row r="1731" spans="1:11" x14ac:dyDescent="0.35">
      <c r="A1731" s="269" t="s">
        <v>316</v>
      </c>
      <c r="B1731" s="270"/>
      <c r="C1731" s="270"/>
      <c r="D1731" s="270"/>
      <c r="E1731" s="270"/>
      <c r="G1731" s="269" t="s">
        <v>316</v>
      </c>
      <c r="H1731" s="270"/>
      <c r="I1731" s="270"/>
      <c r="J1731" s="270"/>
      <c r="K1731" s="270"/>
    </row>
    <row r="1732" spans="1:11" x14ac:dyDescent="0.35">
      <c r="A1732" s="271" t="s">
        <v>309</v>
      </c>
      <c r="B1732" s="272"/>
      <c r="C1732" s="272"/>
      <c r="D1732" s="272"/>
      <c r="E1732" s="272"/>
      <c r="G1732" s="271" t="s">
        <v>309</v>
      </c>
      <c r="H1732" s="272"/>
      <c r="I1732" s="272"/>
      <c r="J1732" s="272"/>
      <c r="K1732" s="272"/>
    </row>
    <row r="1733" spans="1:11" x14ac:dyDescent="0.35">
      <c r="A1733" s="269" t="s">
        <v>310</v>
      </c>
      <c r="B1733" s="270"/>
      <c r="C1733" s="270"/>
      <c r="D1733" s="270"/>
      <c r="E1733" s="270"/>
      <c r="G1733" s="269" t="s">
        <v>310</v>
      </c>
      <c r="H1733" s="270"/>
      <c r="I1733" s="270"/>
      <c r="J1733" s="270"/>
      <c r="K1733" s="270"/>
    </row>
    <row r="1734" spans="1:11" x14ac:dyDescent="0.35">
      <c r="A1734" s="271" t="s">
        <v>317</v>
      </c>
      <c r="B1734" s="272"/>
      <c r="C1734" s="272"/>
      <c r="D1734" s="272"/>
      <c r="E1734" s="272"/>
      <c r="G1734" s="271" t="s">
        <v>317</v>
      </c>
      <c r="H1734" s="272"/>
      <c r="I1734" s="272"/>
      <c r="J1734" s="272"/>
      <c r="K1734" s="272"/>
    </row>
    <row r="1735" spans="1:11" x14ac:dyDescent="0.35">
      <c r="A1735" s="269" t="s">
        <v>311</v>
      </c>
      <c r="B1735" s="270"/>
      <c r="C1735" s="270"/>
      <c r="D1735" s="270"/>
      <c r="E1735" s="270"/>
      <c r="G1735" s="269" t="s">
        <v>311</v>
      </c>
      <c r="H1735" s="270"/>
      <c r="I1735" s="270"/>
      <c r="J1735" s="270"/>
      <c r="K1735" s="270"/>
    </row>
    <row r="1736" spans="1:11" x14ac:dyDescent="0.35">
      <c r="A1736" s="271" t="s">
        <v>312</v>
      </c>
      <c r="B1736" s="272"/>
      <c r="C1736" s="272"/>
      <c r="D1736" s="272"/>
      <c r="E1736" s="272"/>
      <c r="G1736" s="271" t="s">
        <v>312</v>
      </c>
      <c r="H1736" s="272"/>
      <c r="I1736" s="272"/>
      <c r="J1736" s="272"/>
      <c r="K1736" s="272"/>
    </row>
    <row r="1737" spans="1:11" x14ac:dyDescent="0.35">
      <c r="A1737" s="231" t="s">
        <v>34</v>
      </c>
      <c r="B1737" s="230">
        <f>SUM(B1731:B1736)</f>
        <v>0</v>
      </c>
      <c r="C1737" s="230">
        <f>SUM(C1731:C1736)</f>
        <v>0</v>
      </c>
      <c r="D1737" s="230">
        <f>SUM(D1731:D1736)</f>
        <v>0</v>
      </c>
      <c r="E1737" s="230">
        <f>SUM(E1731:E1736)</f>
        <v>0</v>
      </c>
      <c r="G1737" s="231" t="s">
        <v>34</v>
      </c>
      <c r="H1737" s="230">
        <f>SUM(H1731:H1736)</f>
        <v>0</v>
      </c>
      <c r="I1737" s="230">
        <f>SUM(I1731:I1736)</f>
        <v>0</v>
      </c>
      <c r="J1737" s="230">
        <f>SUM(J1731:J1736)</f>
        <v>0</v>
      </c>
      <c r="K1737" s="230">
        <f>SUM(K1731:K1736)</f>
        <v>0</v>
      </c>
    </row>
    <row r="1738" spans="1:11" ht="15" thickBot="1" x14ac:dyDescent="0.4">
      <c r="A1738" s="231" t="s">
        <v>313</v>
      </c>
      <c r="B1738" s="230">
        <f>+B1737+C1737+D1737+E1737</f>
        <v>0</v>
      </c>
      <c r="C1738" s="230"/>
      <c r="D1738" s="230"/>
      <c r="E1738" s="230"/>
      <c r="G1738" s="231" t="s">
        <v>313</v>
      </c>
      <c r="H1738" s="230">
        <f>+H1737+I1737+J1737+K1737</f>
        <v>0</v>
      </c>
      <c r="I1738" s="230"/>
      <c r="J1738" s="230"/>
      <c r="K1738" s="230"/>
    </row>
    <row r="1739" spans="1:11" ht="15.5" thickTop="1" thickBot="1" x14ac:dyDescent="0.4">
      <c r="A1739" s="335" t="s">
        <v>298</v>
      </c>
      <c r="B1739" s="336"/>
      <c r="C1739" s="336"/>
      <c r="D1739" s="336"/>
      <c r="E1739" s="337"/>
      <c r="G1739" s="335" t="s">
        <v>298</v>
      </c>
      <c r="H1739" s="336"/>
      <c r="I1739" s="336"/>
      <c r="J1739" s="336"/>
      <c r="K1739" s="337"/>
    </row>
    <row r="1740" spans="1:11" ht="15.5" thickTop="1" thickBot="1" x14ac:dyDescent="0.4">
      <c r="A1740" s="338">
        <v>45449</v>
      </c>
      <c r="B1740" s="336"/>
      <c r="C1740" s="336"/>
      <c r="D1740" s="336"/>
      <c r="E1740" s="337"/>
      <c r="G1740" s="338">
        <v>45449</v>
      </c>
      <c r="H1740" s="336"/>
      <c r="I1740" s="336"/>
      <c r="J1740" s="336"/>
      <c r="K1740" s="337"/>
    </row>
    <row r="1741" spans="1:11" ht="15" thickTop="1" x14ac:dyDescent="0.35">
      <c r="A1741" s="267" t="s">
        <v>159</v>
      </c>
      <c r="B1741" s="267" t="s">
        <v>299</v>
      </c>
      <c r="C1741" s="267" t="s">
        <v>307</v>
      </c>
      <c r="D1741" s="267" t="s">
        <v>301</v>
      </c>
      <c r="E1741" s="268" t="s">
        <v>308</v>
      </c>
      <c r="G1741" s="267" t="s">
        <v>159</v>
      </c>
      <c r="H1741" s="267" t="s">
        <v>299</v>
      </c>
      <c r="I1741" s="267" t="s">
        <v>307</v>
      </c>
      <c r="J1741" s="267" t="s">
        <v>301</v>
      </c>
      <c r="K1741" s="268" t="s">
        <v>308</v>
      </c>
    </row>
    <row r="1742" spans="1:11" x14ac:dyDescent="0.35">
      <c r="A1742" s="269" t="s">
        <v>316</v>
      </c>
      <c r="B1742" s="270"/>
      <c r="C1742" s="270"/>
      <c r="D1742" s="270"/>
      <c r="E1742" s="270"/>
      <c r="G1742" s="269" t="s">
        <v>316</v>
      </c>
      <c r="H1742" s="270"/>
      <c r="I1742" s="270"/>
      <c r="J1742" s="270"/>
      <c r="K1742" s="270"/>
    </row>
    <row r="1743" spans="1:11" x14ac:dyDescent="0.35">
      <c r="A1743" s="271" t="s">
        <v>309</v>
      </c>
      <c r="B1743" s="272"/>
      <c r="C1743" s="272"/>
      <c r="D1743" s="272"/>
      <c r="E1743" s="272"/>
      <c r="G1743" s="271" t="s">
        <v>309</v>
      </c>
      <c r="H1743" s="272"/>
      <c r="I1743" s="272"/>
      <c r="J1743" s="272"/>
      <c r="K1743" s="272"/>
    </row>
    <row r="1744" spans="1:11" x14ac:dyDescent="0.35">
      <c r="A1744" s="269" t="s">
        <v>310</v>
      </c>
      <c r="B1744" s="270"/>
      <c r="C1744" s="270"/>
      <c r="D1744" s="270"/>
      <c r="E1744" s="270"/>
      <c r="G1744" s="269" t="s">
        <v>310</v>
      </c>
      <c r="H1744" s="270"/>
      <c r="I1744" s="270"/>
      <c r="J1744" s="270"/>
      <c r="K1744" s="270"/>
    </row>
    <row r="1745" spans="1:11" x14ac:dyDescent="0.35">
      <c r="A1745" s="271" t="s">
        <v>317</v>
      </c>
      <c r="B1745" s="272"/>
      <c r="C1745" s="272"/>
      <c r="D1745" s="272"/>
      <c r="E1745" s="272"/>
      <c r="G1745" s="271" t="s">
        <v>317</v>
      </c>
      <c r="H1745" s="272"/>
      <c r="I1745" s="272"/>
      <c r="J1745" s="272"/>
      <c r="K1745" s="272"/>
    </row>
    <row r="1746" spans="1:11" x14ac:dyDescent="0.35">
      <c r="A1746" s="269" t="s">
        <v>311</v>
      </c>
      <c r="B1746" s="270"/>
      <c r="C1746" s="270"/>
      <c r="D1746" s="270"/>
      <c r="E1746" s="270"/>
      <c r="G1746" s="269" t="s">
        <v>311</v>
      </c>
      <c r="H1746" s="270"/>
      <c r="I1746" s="270"/>
      <c r="J1746" s="270"/>
      <c r="K1746" s="270"/>
    </row>
    <row r="1747" spans="1:11" x14ac:dyDescent="0.35">
      <c r="A1747" s="271" t="s">
        <v>312</v>
      </c>
      <c r="B1747" s="272"/>
      <c r="C1747" s="272"/>
      <c r="D1747" s="272"/>
      <c r="E1747" s="272"/>
      <c r="G1747" s="271" t="s">
        <v>312</v>
      </c>
      <c r="H1747" s="272"/>
      <c r="I1747" s="272"/>
      <c r="J1747" s="272"/>
      <c r="K1747" s="272"/>
    </row>
    <row r="1748" spans="1:11" x14ac:dyDescent="0.35">
      <c r="A1748" s="231" t="s">
        <v>34</v>
      </c>
      <c r="B1748" s="230">
        <f>SUM(B1742:B1747)</f>
        <v>0</v>
      </c>
      <c r="C1748" s="230">
        <f>SUM(C1742:C1747)</f>
        <v>0</v>
      </c>
      <c r="D1748" s="230">
        <f>SUM(D1742:D1747)</f>
        <v>0</v>
      </c>
      <c r="E1748" s="230">
        <f>SUM(E1742:E1747)</f>
        <v>0</v>
      </c>
      <c r="G1748" s="231" t="s">
        <v>34</v>
      </c>
      <c r="H1748" s="230">
        <f>SUM(H1742:H1747)</f>
        <v>0</v>
      </c>
      <c r="I1748" s="230">
        <f>SUM(I1742:I1747)</f>
        <v>0</v>
      </c>
      <c r="J1748" s="230">
        <f>SUM(J1742:J1747)</f>
        <v>0</v>
      </c>
      <c r="K1748" s="230">
        <f>SUM(K1742:K1747)</f>
        <v>0</v>
      </c>
    </row>
    <row r="1749" spans="1:11" ht="15" thickBot="1" x14ac:dyDescent="0.4">
      <c r="A1749" s="231" t="s">
        <v>313</v>
      </c>
      <c r="B1749" s="230">
        <f>+B1748+C1748+D1748+E1748</f>
        <v>0</v>
      </c>
      <c r="C1749" s="230"/>
      <c r="D1749" s="230"/>
      <c r="E1749" s="230"/>
      <c r="G1749" s="231" t="s">
        <v>313</v>
      </c>
      <c r="H1749" s="230">
        <f>+H1748+I1748+J1748+K1748</f>
        <v>0</v>
      </c>
      <c r="I1749" s="230"/>
      <c r="J1749" s="230"/>
      <c r="K1749" s="230"/>
    </row>
    <row r="1750" spans="1:11" ht="15.5" thickTop="1" thickBot="1" x14ac:dyDescent="0.4">
      <c r="A1750" s="335" t="s">
        <v>298</v>
      </c>
      <c r="B1750" s="336"/>
      <c r="C1750" s="336"/>
      <c r="D1750" s="336"/>
      <c r="E1750" s="337"/>
      <c r="G1750" s="335" t="s">
        <v>298</v>
      </c>
      <c r="H1750" s="336"/>
      <c r="I1750" s="336"/>
      <c r="J1750" s="336"/>
      <c r="K1750" s="337"/>
    </row>
    <row r="1751" spans="1:11" ht="15.5" thickTop="1" thickBot="1" x14ac:dyDescent="0.4">
      <c r="A1751" s="338">
        <v>45450</v>
      </c>
      <c r="B1751" s="336"/>
      <c r="C1751" s="336"/>
      <c r="D1751" s="336"/>
      <c r="E1751" s="337"/>
      <c r="G1751" s="338">
        <v>45450</v>
      </c>
      <c r="H1751" s="336"/>
      <c r="I1751" s="336"/>
      <c r="J1751" s="336"/>
      <c r="K1751" s="337"/>
    </row>
    <row r="1752" spans="1:11" ht="15" thickTop="1" x14ac:dyDescent="0.35">
      <c r="A1752" s="267" t="s">
        <v>159</v>
      </c>
      <c r="B1752" s="267" t="s">
        <v>299</v>
      </c>
      <c r="C1752" s="267" t="s">
        <v>307</v>
      </c>
      <c r="D1752" s="267" t="s">
        <v>301</v>
      </c>
      <c r="E1752" s="268" t="s">
        <v>308</v>
      </c>
      <c r="G1752" s="267" t="s">
        <v>159</v>
      </c>
      <c r="H1752" s="267" t="s">
        <v>299</v>
      </c>
      <c r="I1752" s="267" t="s">
        <v>307</v>
      </c>
      <c r="J1752" s="267" t="s">
        <v>301</v>
      </c>
      <c r="K1752" s="268" t="s">
        <v>308</v>
      </c>
    </row>
    <row r="1753" spans="1:11" x14ac:dyDescent="0.35">
      <c r="A1753" s="269" t="s">
        <v>316</v>
      </c>
      <c r="B1753" s="270"/>
      <c r="C1753" s="270"/>
      <c r="D1753" s="270"/>
      <c r="E1753" s="270"/>
      <c r="G1753" s="269" t="s">
        <v>316</v>
      </c>
      <c r="H1753" s="270"/>
      <c r="I1753" s="270"/>
      <c r="J1753" s="270"/>
      <c r="K1753" s="270"/>
    </row>
    <row r="1754" spans="1:11" x14ac:dyDescent="0.35">
      <c r="A1754" s="271" t="s">
        <v>309</v>
      </c>
      <c r="B1754" s="272"/>
      <c r="C1754" s="272"/>
      <c r="D1754" s="272"/>
      <c r="E1754" s="272"/>
      <c r="G1754" s="271" t="s">
        <v>309</v>
      </c>
      <c r="H1754" s="272"/>
      <c r="I1754" s="272"/>
      <c r="J1754" s="272"/>
      <c r="K1754" s="272"/>
    </row>
    <row r="1755" spans="1:11" x14ac:dyDescent="0.35">
      <c r="A1755" s="269" t="s">
        <v>310</v>
      </c>
      <c r="B1755" s="270"/>
      <c r="C1755" s="270"/>
      <c r="D1755" s="270"/>
      <c r="E1755" s="270"/>
      <c r="G1755" s="269" t="s">
        <v>310</v>
      </c>
      <c r="H1755" s="270"/>
      <c r="I1755" s="270"/>
      <c r="J1755" s="270"/>
      <c r="K1755" s="270"/>
    </row>
    <row r="1756" spans="1:11" x14ac:dyDescent="0.35">
      <c r="A1756" s="271" t="s">
        <v>317</v>
      </c>
      <c r="B1756" s="272"/>
      <c r="C1756" s="272"/>
      <c r="D1756" s="272"/>
      <c r="E1756" s="272"/>
      <c r="G1756" s="271" t="s">
        <v>317</v>
      </c>
      <c r="H1756" s="272"/>
      <c r="I1756" s="272"/>
      <c r="J1756" s="272"/>
      <c r="K1756" s="272"/>
    </row>
    <row r="1757" spans="1:11" x14ac:dyDescent="0.35">
      <c r="A1757" s="269" t="s">
        <v>311</v>
      </c>
      <c r="B1757" s="270"/>
      <c r="C1757" s="270"/>
      <c r="D1757" s="270"/>
      <c r="E1757" s="270"/>
      <c r="G1757" s="269" t="s">
        <v>311</v>
      </c>
      <c r="H1757" s="270"/>
      <c r="I1757" s="270"/>
      <c r="J1757" s="270"/>
      <c r="K1757" s="270"/>
    </row>
    <row r="1758" spans="1:11" x14ac:dyDescent="0.35">
      <c r="A1758" s="271" t="s">
        <v>312</v>
      </c>
      <c r="B1758" s="272"/>
      <c r="C1758" s="272"/>
      <c r="D1758" s="272"/>
      <c r="E1758" s="272"/>
      <c r="G1758" s="271" t="s">
        <v>312</v>
      </c>
      <c r="H1758" s="272"/>
      <c r="I1758" s="272"/>
      <c r="J1758" s="272"/>
      <c r="K1758" s="272"/>
    </row>
    <row r="1759" spans="1:11" x14ac:dyDescent="0.35">
      <c r="A1759" s="231" t="s">
        <v>34</v>
      </c>
      <c r="B1759" s="230">
        <f>SUM(B1753:B1758)</f>
        <v>0</v>
      </c>
      <c r="C1759" s="230">
        <f>SUM(C1753:C1758)</f>
        <v>0</v>
      </c>
      <c r="D1759" s="230">
        <f>SUM(D1753:D1758)</f>
        <v>0</v>
      </c>
      <c r="E1759" s="230">
        <f>SUM(E1753:E1758)</f>
        <v>0</v>
      </c>
      <c r="G1759" s="231" t="s">
        <v>34</v>
      </c>
      <c r="H1759" s="230">
        <f>SUM(H1753:H1758)</f>
        <v>0</v>
      </c>
      <c r="I1759" s="230">
        <f>SUM(I1753:I1758)</f>
        <v>0</v>
      </c>
      <c r="J1759" s="230">
        <f>SUM(J1753:J1758)</f>
        <v>0</v>
      </c>
      <c r="K1759" s="230">
        <f>SUM(K1753:K1758)</f>
        <v>0</v>
      </c>
    </row>
    <row r="1760" spans="1:11" ht="15" thickBot="1" x14ac:dyDescent="0.4">
      <c r="A1760" s="231" t="s">
        <v>313</v>
      </c>
      <c r="B1760" s="230">
        <f>+B1759+C1759+D1759+E1759</f>
        <v>0</v>
      </c>
      <c r="C1760" s="230"/>
      <c r="D1760" s="230"/>
      <c r="E1760" s="230"/>
      <c r="G1760" s="231" t="s">
        <v>313</v>
      </c>
      <c r="H1760" s="230">
        <f>+H1759+I1759+J1759+K1759</f>
        <v>0</v>
      </c>
      <c r="I1760" s="230"/>
      <c r="J1760" s="230"/>
      <c r="K1760" s="230"/>
    </row>
    <row r="1761" spans="1:11" ht="15.5" thickTop="1" thickBot="1" x14ac:dyDescent="0.4">
      <c r="A1761" s="335" t="s">
        <v>298</v>
      </c>
      <c r="B1761" s="336"/>
      <c r="C1761" s="336"/>
      <c r="D1761" s="336"/>
      <c r="E1761" s="337"/>
      <c r="G1761" s="335" t="s">
        <v>298</v>
      </c>
      <c r="H1761" s="336"/>
      <c r="I1761" s="336"/>
      <c r="J1761" s="336"/>
      <c r="K1761" s="337"/>
    </row>
    <row r="1762" spans="1:11" ht="15.5" thickTop="1" thickBot="1" x14ac:dyDescent="0.4">
      <c r="A1762" s="338">
        <v>45451</v>
      </c>
      <c r="B1762" s="336"/>
      <c r="C1762" s="336"/>
      <c r="D1762" s="336"/>
      <c r="E1762" s="337"/>
      <c r="G1762" s="338">
        <v>45451</v>
      </c>
      <c r="H1762" s="336"/>
      <c r="I1762" s="336"/>
      <c r="J1762" s="336"/>
      <c r="K1762" s="337"/>
    </row>
    <row r="1763" spans="1:11" ht="15" thickTop="1" x14ac:dyDescent="0.35">
      <c r="A1763" s="267" t="s">
        <v>159</v>
      </c>
      <c r="B1763" s="267" t="s">
        <v>299</v>
      </c>
      <c r="C1763" s="267" t="s">
        <v>307</v>
      </c>
      <c r="D1763" s="267" t="s">
        <v>301</v>
      </c>
      <c r="E1763" s="268" t="s">
        <v>308</v>
      </c>
      <c r="G1763" s="267" t="s">
        <v>159</v>
      </c>
      <c r="H1763" s="267" t="s">
        <v>299</v>
      </c>
      <c r="I1763" s="267" t="s">
        <v>307</v>
      </c>
      <c r="J1763" s="267" t="s">
        <v>301</v>
      </c>
      <c r="K1763" s="268" t="s">
        <v>308</v>
      </c>
    </row>
    <row r="1764" spans="1:11" x14ac:dyDescent="0.35">
      <c r="A1764" s="269" t="s">
        <v>316</v>
      </c>
      <c r="B1764" s="270"/>
      <c r="C1764" s="270"/>
      <c r="D1764" s="270"/>
      <c r="E1764" s="270"/>
      <c r="G1764" s="269" t="s">
        <v>316</v>
      </c>
      <c r="H1764" s="270"/>
      <c r="I1764" s="270"/>
      <c r="J1764" s="270"/>
      <c r="K1764" s="270"/>
    </row>
    <row r="1765" spans="1:11" x14ac:dyDescent="0.35">
      <c r="A1765" s="271" t="s">
        <v>309</v>
      </c>
      <c r="B1765" s="272"/>
      <c r="C1765" s="272"/>
      <c r="D1765" s="272"/>
      <c r="E1765" s="272"/>
      <c r="G1765" s="271" t="s">
        <v>309</v>
      </c>
      <c r="H1765" s="272"/>
      <c r="I1765" s="272"/>
      <c r="J1765" s="272"/>
      <c r="K1765" s="272"/>
    </row>
    <row r="1766" spans="1:11" x14ac:dyDescent="0.35">
      <c r="A1766" s="269" t="s">
        <v>310</v>
      </c>
      <c r="B1766" s="270"/>
      <c r="C1766" s="270"/>
      <c r="D1766" s="270"/>
      <c r="E1766" s="270"/>
      <c r="G1766" s="269" t="s">
        <v>310</v>
      </c>
      <c r="H1766" s="270"/>
      <c r="I1766" s="270"/>
      <c r="J1766" s="270"/>
      <c r="K1766" s="270"/>
    </row>
    <row r="1767" spans="1:11" x14ac:dyDescent="0.35">
      <c r="A1767" s="271" t="s">
        <v>317</v>
      </c>
      <c r="B1767" s="272"/>
      <c r="C1767" s="272"/>
      <c r="D1767" s="272"/>
      <c r="E1767" s="272"/>
      <c r="G1767" s="271" t="s">
        <v>317</v>
      </c>
      <c r="H1767" s="272"/>
      <c r="I1767" s="272"/>
      <c r="J1767" s="272"/>
      <c r="K1767" s="272"/>
    </row>
    <row r="1768" spans="1:11" x14ac:dyDescent="0.35">
      <c r="A1768" s="269" t="s">
        <v>311</v>
      </c>
      <c r="B1768" s="270"/>
      <c r="C1768" s="270"/>
      <c r="D1768" s="270"/>
      <c r="E1768" s="270"/>
      <c r="G1768" s="269" t="s">
        <v>311</v>
      </c>
      <c r="H1768" s="270"/>
      <c r="I1768" s="270"/>
      <c r="J1768" s="270"/>
      <c r="K1768" s="270"/>
    </row>
    <row r="1769" spans="1:11" x14ac:dyDescent="0.35">
      <c r="A1769" s="271" t="s">
        <v>312</v>
      </c>
      <c r="B1769" s="272"/>
      <c r="C1769" s="272"/>
      <c r="D1769" s="272"/>
      <c r="E1769" s="272"/>
      <c r="G1769" s="271" t="s">
        <v>312</v>
      </c>
      <c r="H1769" s="272"/>
      <c r="I1769" s="272"/>
      <c r="J1769" s="272"/>
      <c r="K1769" s="272"/>
    </row>
    <row r="1770" spans="1:11" x14ac:dyDescent="0.35">
      <c r="A1770" s="231" t="s">
        <v>34</v>
      </c>
      <c r="B1770" s="230">
        <f>SUM(B1764:B1769)</f>
        <v>0</v>
      </c>
      <c r="C1770" s="230">
        <f>SUM(C1764:C1769)</f>
        <v>0</v>
      </c>
      <c r="D1770" s="230">
        <f>SUM(D1764:D1769)</f>
        <v>0</v>
      </c>
      <c r="E1770" s="230">
        <f>SUM(E1764:E1769)</f>
        <v>0</v>
      </c>
      <c r="G1770" s="231" t="s">
        <v>34</v>
      </c>
      <c r="H1770" s="230">
        <f>SUM(H1764:H1769)</f>
        <v>0</v>
      </c>
      <c r="I1770" s="230">
        <f>SUM(I1764:I1769)</f>
        <v>0</v>
      </c>
      <c r="J1770" s="230">
        <f>SUM(J1764:J1769)</f>
        <v>0</v>
      </c>
      <c r="K1770" s="230">
        <f>SUM(K1764:K1769)</f>
        <v>0</v>
      </c>
    </row>
    <row r="1771" spans="1:11" ht="15" thickBot="1" x14ac:dyDescent="0.4">
      <c r="A1771" s="231" t="s">
        <v>313</v>
      </c>
      <c r="B1771" s="230">
        <f>+B1770+C1770+D1770+E1770</f>
        <v>0</v>
      </c>
      <c r="C1771" s="230"/>
      <c r="D1771" s="230"/>
      <c r="E1771" s="230"/>
      <c r="G1771" s="231" t="s">
        <v>313</v>
      </c>
      <c r="H1771" s="230">
        <f>+H1770+I1770+J1770+K1770</f>
        <v>0</v>
      </c>
      <c r="I1771" s="230"/>
      <c r="J1771" s="230"/>
      <c r="K1771" s="230"/>
    </row>
    <row r="1772" spans="1:11" ht="15.5" thickTop="1" thickBot="1" x14ac:dyDescent="0.4">
      <c r="A1772" s="335" t="s">
        <v>298</v>
      </c>
      <c r="B1772" s="336"/>
      <c r="C1772" s="336"/>
      <c r="D1772" s="336"/>
      <c r="E1772" s="337"/>
      <c r="G1772" s="335" t="s">
        <v>298</v>
      </c>
      <c r="H1772" s="336"/>
      <c r="I1772" s="336"/>
      <c r="J1772" s="336"/>
      <c r="K1772" s="337"/>
    </row>
    <row r="1773" spans="1:11" ht="15.5" thickTop="1" thickBot="1" x14ac:dyDescent="0.4">
      <c r="A1773" s="338">
        <v>45452</v>
      </c>
      <c r="B1773" s="336"/>
      <c r="C1773" s="336"/>
      <c r="D1773" s="336"/>
      <c r="E1773" s="337"/>
      <c r="G1773" s="338">
        <v>45452</v>
      </c>
      <c r="H1773" s="336"/>
      <c r="I1773" s="336"/>
      <c r="J1773" s="336"/>
      <c r="K1773" s="337"/>
    </row>
    <row r="1774" spans="1:11" ht="15" thickTop="1" x14ac:dyDescent="0.35">
      <c r="A1774" s="267" t="s">
        <v>159</v>
      </c>
      <c r="B1774" s="267" t="s">
        <v>299</v>
      </c>
      <c r="C1774" s="267" t="s">
        <v>307</v>
      </c>
      <c r="D1774" s="267" t="s">
        <v>301</v>
      </c>
      <c r="E1774" s="268" t="s">
        <v>308</v>
      </c>
      <c r="G1774" s="267" t="s">
        <v>159</v>
      </c>
      <c r="H1774" s="267" t="s">
        <v>299</v>
      </c>
      <c r="I1774" s="267" t="s">
        <v>307</v>
      </c>
      <c r="J1774" s="267" t="s">
        <v>301</v>
      </c>
      <c r="K1774" s="268" t="s">
        <v>308</v>
      </c>
    </row>
    <row r="1775" spans="1:11" x14ac:dyDescent="0.35">
      <c r="A1775" s="269" t="s">
        <v>316</v>
      </c>
      <c r="B1775" s="270"/>
      <c r="C1775" s="270"/>
      <c r="D1775" s="270"/>
      <c r="E1775" s="270"/>
      <c r="G1775" s="269" t="s">
        <v>316</v>
      </c>
      <c r="H1775" s="270"/>
      <c r="I1775" s="270"/>
      <c r="J1775" s="270"/>
      <c r="K1775" s="270"/>
    </row>
    <row r="1776" spans="1:11" x14ac:dyDescent="0.35">
      <c r="A1776" s="271" t="s">
        <v>309</v>
      </c>
      <c r="B1776" s="272"/>
      <c r="C1776" s="272"/>
      <c r="D1776" s="272"/>
      <c r="E1776" s="272"/>
      <c r="G1776" s="271" t="s">
        <v>309</v>
      </c>
      <c r="H1776" s="272"/>
      <c r="I1776" s="272"/>
      <c r="J1776" s="272"/>
      <c r="K1776" s="272"/>
    </row>
    <row r="1777" spans="1:11" x14ac:dyDescent="0.35">
      <c r="A1777" s="269" t="s">
        <v>310</v>
      </c>
      <c r="B1777" s="270"/>
      <c r="C1777" s="270"/>
      <c r="D1777" s="270"/>
      <c r="E1777" s="270"/>
      <c r="G1777" s="269" t="s">
        <v>310</v>
      </c>
      <c r="H1777" s="270"/>
      <c r="I1777" s="270"/>
      <c r="J1777" s="270"/>
      <c r="K1777" s="270"/>
    </row>
    <row r="1778" spans="1:11" x14ac:dyDescent="0.35">
      <c r="A1778" s="271" t="s">
        <v>317</v>
      </c>
      <c r="B1778" s="272"/>
      <c r="C1778" s="272"/>
      <c r="D1778" s="272"/>
      <c r="E1778" s="272"/>
      <c r="G1778" s="271" t="s">
        <v>317</v>
      </c>
      <c r="H1778" s="272"/>
      <c r="I1778" s="272"/>
      <c r="J1778" s="272"/>
      <c r="K1778" s="272"/>
    </row>
    <row r="1779" spans="1:11" x14ac:dyDescent="0.35">
      <c r="A1779" s="269" t="s">
        <v>311</v>
      </c>
      <c r="B1779" s="270"/>
      <c r="C1779" s="270"/>
      <c r="D1779" s="270"/>
      <c r="E1779" s="270"/>
      <c r="G1779" s="269" t="s">
        <v>311</v>
      </c>
      <c r="H1779" s="270"/>
      <c r="I1779" s="270"/>
      <c r="J1779" s="270"/>
      <c r="K1779" s="270"/>
    </row>
    <row r="1780" spans="1:11" x14ac:dyDescent="0.35">
      <c r="A1780" s="271" t="s">
        <v>312</v>
      </c>
      <c r="B1780" s="272"/>
      <c r="C1780" s="272"/>
      <c r="D1780" s="272"/>
      <c r="E1780" s="272"/>
      <c r="G1780" s="271" t="s">
        <v>312</v>
      </c>
      <c r="H1780" s="272"/>
      <c r="I1780" s="272"/>
      <c r="J1780" s="272"/>
      <c r="K1780" s="272"/>
    </row>
    <row r="1781" spans="1:11" x14ac:dyDescent="0.35">
      <c r="A1781" s="231" t="s">
        <v>34</v>
      </c>
      <c r="B1781" s="230">
        <f>SUM(B1775:B1780)</f>
        <v>0</v>
      </c>
      <c r="C1781" s="230">
        <f>SUM(C1775:C1780)</f>
        <v>0</v>
      </c>
      <c r="D1781" s="230">
        <f>SUM(D1775:D1780)</f>
        <v>0</v>
      </c>
      <c r="E1781" s="230">
        <f>SUM(E1775:E1780)</f>
        <v>0</v>
      </c>
      <c r="G1781" s="231" t="s">
        <v>34</v>
      </c>
      <c r="H1781" s="230">
        <f>SUM(H1775:H1780)</f>
        <v>0</v>
      </c>
      <c r="I1781" s="230">
        <f>SUM(I1775:I1780)</f>
        <v>0</v>
      </c>
      <c r="J1781" s="230">
        <f>SUM(J1775:J1780)</f>
        <v>0</v>
      </c>
      <c r="K1781" s="230">
        <f>SUM(K1775:K1780)</f>
        <v>0</v>
      </c>
    </row>
    <row r="1782" spans="1:11" ht="15" thickBot="1" x14ac:dyDescent="0.4">
      <c r="A1782" s="231" t="s">
        <v>313</v>
      </c>
      <c r="B1782" s="230">
        <f>+B1781+C1781+D1781+E1781</f>
        <v>0</v>
      </c>
      <c r="C1782" s="230"/>
      <c r="D1782" s="230"/>
      <c r="E1782" s="230"/>
      <c r="G1782" s="231" t="s">
        <v>313</v>
      </c>
      <c r="H1782" s="230">
        <f>+H1781+I1781+J1781+K1781</f>
        <v>0</v>
      </c>
      <c r="I1782" s="230"/>
      <c r="J1782" s="230"/>
      <c r="K1782" s="230"/>
    </row>
    <row r="1783" spans="1:11" ht="15.5" thickTop="1" thickBot="1" x14ac:dyDescent="0.4">
      <c r="A1783" s="335" t="s">
        <v>298</v>
      </c>
      <c r="B1783" s="336"/>
      <c r="C1783" s="336"/>
      <c r="D1783" s="336"/>
      <c r="E1783" s="337"/>
      <c r="G1783" s="335" t="s">
        <v>298</v>
      </c>
      <c r="H1783" s="336"/>
      <c r="I1783" s="336"/>
      <c r="J1783" s="336"/>
      <c r="K1783" s="337"/>
    </row>
    <row r="1784" spans="1:11" ht="15.5" thickTop="1" thickBot="1" x14ac:dyDescent="0.4">
      <c r="A1784" s="338">
        <v>45453</v>
      </c>
      <c r="B1784" s="336"/>
      <c r="C1784" s="336"/>
      <c r="D1784" s="336"/>
      <c r="E1784" s="337"/>
      <c r="G1784" s="338">
        <v>45453</v>
      </c>
      <c r="H1784" s="336"/>
      <c r="I1784" s="336"/>
      <c r="J1784" s="336"/>
      <c r="K1784" s="337"/>
    </row>
    <row r="1785" spans="1:11" ht="15" thickTop="1" x14ac:dyDescent="0.35">
      <c r="A1785" s="267" t="s">
        <v>159</v>
      </c>
      <c r="B1785" s="267" t="s">
        <v>299</v>
      </c>
      <c r="C1785" s="267" t="s">
        <v>307</v>
      </c>
      <c r="D1785" s="267" t="s">
        <v>301</v>
      </c>
      <c r="E1785" s="268" t="s">
        <v>308</v>
      </c>
      <c r="G1785" s="267" t="s">
        <v>159</v>
      </c>
      <c r="H1785" s="267" t="s">
        <v>299</v>
      </c>
      <c r="I1785" s="267" t="s">
        <v>307</v>
      </c>
      <c r="J1785" s="267" t="s">
        <v>301</v>
      </c>
      <c r="K1785" s="268" t="s">
        <v>308</v>
      </c>
    </row>
    <row r="1786" spans="1:11" x14ac:dyDescent="0.35">
      <c r="A1786" s="269" t="s">
        <v>316</v>
      </c>
      <c r="B1786" s="270"/>
      <c r="C1786" s="270"/>
      <c r="D1786" s="270"/>
      <c r="E1786" s="270"/>
      <c r="G1786" s="269" t="s">
        <v>316</v>
      </c>
      <c r="H1786" s="270"/>
      <c r="I1786" s="270"/>
      <c r="J1786" s="270"/>
      <c r="K1786" s="270"/>
    </row>
    <row r="1787" spans="1:11" x14ac:dyDescent="0.35">
      <c r="A1787" s="271" t="s">
        <v>309</v>
      </c>
      <c r="B1787" s="272"/>
      <c r="C1787" s="272"/>
      <c r="D1787" s="272"/>
      <c r="E1787" s="272"/>
      <c r="G1787" s="271" t="s">
        <v>309</v>
      </c>
      <c r="H1787" s="272"/>
      <c r="I1787" s="272"/>
      <c r="J1787" s="272"/>
      <c r="K1787" s="272"/>
    </row>
    <row r="1788" spans="1:11" x14ac:dyDescent="0.35">
      <c r="A1788" s="269" t="s">
        <v>310</v>
      </c>
      <c r="B1788" s="270"/>
      <c r="C1788" s="270"/>
      <c r="D1788" s="270"/>
      <c r="E1788" s="270"/>
      <c r="G1788" s="269" t="s">
        <v>310</v>
      </c>
      <c r="H1788" s="270"/>
      <c r="I1788" s="270"/>
      <c r="J1788" s="270"/>
      <c r="K1788" s="270"/>
    </row>
    <row r="1789" spans="1:11" x14ac:dyDescent="0.35">
      <c r="A1789" s="271" t="s">
        <v>317</v>
      </c>
      <c r="B1789" s="272"/>
      <c r="C1789" s="272"/>
      <c r="D1789" s="272"/>
      <c r="E1789" s="272"/>
      <c r="G1789" s="271" t="s">
        <v>317</v>
      </c>
      <c r="H1789" s="272"/>
      <c r="I1789" s="272"/>
      <c r="J1789" s="272"/>
      <c r="K1789" s="272"/>
    </row>
    <row r="1790" spans="1:11" x14ac:dyDescent="0.35">
      <c r="A1790" s="269" t="s">
        <v>311</v>
      </c>
      <c r="B1790" s="270"/>
      <c r="C1790" s="270"/>
      <c r="D1790" s="270"/>
      <c r="E1790" s="270"/>
      <c r="G1790" s="269" t="s">
        <v>311</v>
      </c>
      <c r="H1790" s="270"/>
      <c r="I1790" s="270"/>
      <c r="J1790" s="270"/>
      <c r="K1790" s="270"/>
    </row>
    <row r="1791" spans="1:11" x14ac:dyDescent="0.35">
      <c r="A1791" s="271" t="s">
        <v>312</v>
      </c>
      <c r="B1791" s="272"/>
      <c r="C1791" s="272"/>
      <c r="D1791" s="272"/>
      <c r="E1791" s="272"/>
      <c r="G1791" s="271" t="s">
        <v>312</v>
      </c>
      <c r="H1791" s="272"/>
      <c r="I1791" s="272"/>
      <c r="J1791" s="272"/>
      <c r="K1791" s="272"/>
    </row>
    <row r="1792" spans="1:11" x14ac:dyDescent="0.35">
      <c r="A1792" s="231" t="s">
        <v>34</v>
      </c>
      <c r="B1792" s="230">
        <f>SUM(B1786:B1791)</f>
        <v>0</v>
      </c>
      <c r="C1792" s="230">
        <f>SUM(C1786:C1791)</f>
        <v>0</v>
      </c>
      <c r="D1792" s="230">
        <f>SUM(D1786:D1791)</f>
        <v>0</v>
      </c>
      <c r="E1792" s="230">
        <f>SUM(E1786:E1791)</f>
        <v>0</v>
      </c>
      <c r="G1792" s="231" t="s">
        <v>34</v>
      </c>
      <c r="H1792" s="230">
        <f>SUM(H1786:H1791)</f>
        <v>0</v>
      </c>
      <c r="I1792" s="230">
        <f>SUM(I1786:I1791)</f>
        <v>0</v>
      </c>
      <c r="J1792" s="230">
        <f>SUM(J1786:J1791)</f>
        <v>0</v>
      </c>
      <c r="K1792" s="230">
        <f>SUM(K1786:K1791)</f>
        <v>0</v>
      </c>
    </row>
    <row r="1793" spans="1:11" ht="15" thickBot="1" x14ac:dyDescent="0.4">
      <c r="A1793" s="231" t="s">
        <v>313</v>
      </c>
      <c r="B1793" s="230">
        <f>+B1792+C1792+D1792+E1792</f>
        <v>0</v>
      </c>
      <c r="C1793" s="230"/>
      <c r="D1793" s="230"/>
      <c r="E1793" s="230"/>
      <c r="G1793" s="231" t="s">
        <v>313</v>
      </c>
      <c r="H1793" s="230">
        <f>+H1792+I1792+J1792+K1792</f>
        <v>0</v>
      </c>
      <c r="I1793" s="230"/>
      <c r="J1793" s="230"/>
      <c r="K1793" s="230"/>
    </row>
    <row r="1794" spans="1:11" ht="15.5" thickTop="1" thickBot="1" x14ac:dyDescent="0.4">
      <c r="A1794" s="335" t="s">
        <v>298</v>
      </c>
      <c r="B1794" s="336"/>
      <c r="C1794" s="336"/>
      <c r="D1794" s="336"/>
      <c r="E1794" s="337"/>
      <c r="G1794" s="335" t="s">
        <v>298</v>
      </c>
      <c r="H1794" s="336"/>
      <c r="I1794" s="336"/>
      <c r="J1794" s="336"/>
      <c r="K1794" s="337"/>
    </row>
    <row r="1795" spans="1:11" ht="15.5" thickTop="1" thickBot="1" x14ac:dyDescent="0.4">
      <c r="A1795" s="338">
        <v>45454</v>
      </c>
      <c r="B1795" s="336"/>
      <c r="C1795" s="336"/>
      <c r="D1795" s="336"/>
      <c r="E1795" s="337"/>
      <c r="G1795" s="338">
        <v>45454</v>
      </c>
      <c r="H1795" s="336"/>
      <c r="I1795" s="336"/>
      <c r="J1795" s="336"/>
      <c r="K1795" s="337"/>
    </row>
    <row r="1796" spans="1:11" ht="15" thickTop="1" x14ac:dyDescent="0.35">
      <c r="A1796" s="267" t="s">
        <v>159</v>
      </c>
      <c r="B1796" s="267" t="s">
        <v>299</v>
      </c>
      <c r="C1796" s="267" t="s">
        <v>307</v>
      </c>
      <c r="D1796" s="267" t="s">
        <v>301</v>
      </c>
      <c r="E1796" s="268" t="s">
        <v>308</v>
      </c>
      <c r="G1796" s="267" t="s">
        <v>159</v>
      </c>
      <c r="H1796" s="267" t="s">
        <v>299</v>
      </c>
      <c r="I1796" s="267" t="s">
        <v>307</v>
      </c>
      <c r="J1796" s="267" t="s">
        <v>301</v>
      </c>
      <c r="K1796" s="268" t="s">
        <v>308</v>
      </c>
    </row>
    <row r="1797" spans="1:11" x14ac:dyDescent="0.35">
      <c r="A1797" s="269" t="s">
        <v>316</v>
      </c>
      <c r="B1797" s="270"/>
      <c r="C1797" s="270"/>
      <c r="D1797" s="270"/>
      <c r="E1797" s="270"/>
      <c r="G1797" s="269" t="s">
        <v>316</v>
      </c>
      <c r="H1797" s="270"/>
      <c r="I1797" s="270"/>
      <c r="J1797" s="270"/>
      <c r="K1797" s="270"/>
    </row>
    <row r="1798" spans="1:11" x14ac:dyDescent="0.35">
      <c r="A1798" s="271" t="s">
        <v>378</v>
      </c>
      <c r="B1798" s="272">
        <v>2400</v>
      </c>
      <c r="C1798" s="272"/>
      <c r="D1798" s="272"/>
      <c r="E1798" s="272"/>
      <c r="G1798" s="271" t="s">
        <v>309</v>
      </c>
      <c r="H1798" s="272"/>
      <c r="I1798" s="272"/>
      <c r="J1798" s="272"/>
      <c r="K1798" s="272"/>
    </row>
    <row r="1799" spans="1:11" x14ac:dyDescent="0.35">
      <c r="A1799" s="269" t="s">
        <v>310</v>
      </c>
      <c r="B1799" s="270"/>
      <c r="C1799" s="270"/>
      <c r="D1799" s="270"/>
      <c r="E1799" s="270"/>
      <c r="G1799" s="269" t="s">
        <v>310</v>
      </c>
      <c r="H1799" s="270"/>
      <c r="I1799" s="270"/>
      <c r="J1799" s="270"/>
      <c r="K1799" s="270"/>
    </row>
    <row r="1800" spans="1:11" x14ac:dyDescent="0.35">
      <c r="A1800" s="271" t="s">
        <v>317</v>
      </c>
      <c r="B1800" s="272"/>
      <c r="C1800" s="272"/>
      <c r="D1800" s="272"/>
      <c r="E1800" s="272"/>
      <c r="G1800" s="271" t="s">
        <v>317</v>
      </c>
      <c r="H1800" s="272"/>
      <c r="I1800" s="272"/>
      <c r="J1800" s="272"/>
      <c r="K1800" s="272"/>
    </row>
    <row r="1801" spans="1:11" x14ac:dyDescent="0.35">
      <c r="A1801" s="269" t="s">
        <v>311</v>
      </c>
      <c r="B1801" s="270"/>
      <c r="C1801" s="270"/>
      <c r="D1801" s="270"/>
      <c r="E1801" s="270"/>
      <c r="G1801" s="269" t="s">
        <v>311</v>
      </c>
      <c r="H1801" s="270"/>
      <c r="I1801" s="270"/>
      <c r="J1801" s="270"/>
      <c r="K1801" s="270"/>
    </row>
    <row r="1802" spans="1:11" x14ac:dyDescent="0.35">
      <c r="A1802" s="271" t="s">
        <v>312</v>
      </c>
      <c r="B1802" s="272">
        <v>10000</v>
      </c>
      <c r="C1802" s="272"/>
      <c r="D1802" s="272"/>
      <c r="E1802" s="272"/>
      <c r="G1802" s="271" t="s">
        <v>312</v>
      </c>
      <c r="H1802" s="272"/>
      <c r="I1802" s="272"/>
      <c r="J1802" s="272"/>
      <c r="K1802" s="272"/>
    </row>
    <row r="1803" spans="1:11" x14ac:dyDescent="0.35">
      <c r="A1803" s="231" t="s">
        <v>34</v>
      </c>
      <c r="B1803" s="230">
        <f>SUM(B1797:B1802)</f>
        <v>12400</v>
      </c>
      <c r="C1803" s="230">
        <f>SUM(C1797:C1802)</f>
        <v>0</v>
      </c>
      <c r="D1803" s="230">
        <f>SUM(D1797:D1802)</f>
        <v>0</v>
      </c>
      <c r="E1803" s="230">
        <f>SUM(E1797:E1802)</f>
        <v>0</v>
      </c>
      <c r="G1803" s="231" t="s">
        <v>34</v>
      </c>
      <c r="H1803" s="230">
        <f>SUM(H1797:H1802)</f>
        <v>0</v>
      </c>
      <c r="I1803" s="230">
        <f>SUM(I1797:I1802)</f>
        <v>0</v>
      </c>
      <c r="J1803" s="230">
        <f>SUM(J1797:J1802)</f>
        <v>0</v>
      </c>
      <c r="K1803" s="230">
        <f>SUM(K1797:K1802)</f>
        <v>0</v>
      </c>
    </row>
    <row r="1804" spans="1:11" ht="15" thickBot="1" x14ac:dyDescent="0.4">
      <c r="A1804" s="231" t="s">
        <v>313</v>
      </c>
      <c r="B1804" s="230">
        <f>+B1803+C1803+D1803+E1803</f>
        <v>12400</v>
      </c>
      <c r="C1804" s="230"/>
      <c r="D1804" s="230"/>
      <c r="E1804" s="230"/>
      <c r="G1804" s="231" t="s">
        <v>313</v>
      </c>
      <c r="H1804" s="230">
        <f>+H1803+I1803+J1803+K1803</f>
        <v>0</v>
      </c>
      <c r="I1804" s="230"/>
      <c r="J1804" s="230"/>
      <c r="K1804" s="230"/>
    </row>
    <row r="1805" spans="1:11" ht="15.5" thickTop="1" thickBot="1" x14ac:dyDescent="0.4">
      <c r="A1805" s="335" t="s">
        <v>298</v>
      </c>
      <c r="B1805" s="336"/>
      <c r="C1805" s="336"/>
      <c r="D1805" s="336"/>
      <c r="E1805" s="337"/>
      <c r="G1805" s="335" t="s">
        <v>298</v>
      </c>
      <c r="H1805" s="336"/>
      <c r="I1805" s="336"/>
      <c r="J1805" s="336"/>
      <c r="K1805" s="337"/>
    </row>
    <row r="1806" spans="1:11" ht="15.5" thickTop="1" thickBot="1" x14ac:dyDescent="0.4">
      <c r="A1806" s="338">
        <v>45455</v>
      </c>
      <c r="B1806" s="336"/>
      <c r="C1806" s="336"/>
      <c r="D1806" s="336"/>
      <c r="E1806" s="337"/>
      <c r="G1806" s="338">
        <v>45455</v>
      </c>
      <c r="H1806" s="336"/>
      <c r="I1806" s="336"/>
      <c r="J1806" s="336"/>
      <c r="K1806" s="337"/>
    </row>
    <row r="1807" spans="1:11" ht="15" thickTop="1" x14ac:dyDescent="0.35">
      <c r="A1807" s="267" t="s">
        <v>159</v>
      </c>
      <c r="B1807" s="267" t="s">
        <v>299</v>
      </c>
      <c r="C1807" s="267" t="s">
        <v>307</v>
      </c>
      <c r="D1807" s="267" t="s">
        <v>301</v>
      </c>
      <c r="E1807" s="268" t="s">
        <v>308</v>
      </c>
      <c r="G1807" s="267" t="s">
        <v>159</v>
      </c>
      <c r="H1807" s="267" t="s">
        <v>299</v>
      </c>
      <c r="I1807" s="267" t="s">
        <v>307</v>
      </c>
      <c r="J1807" s="267" t="s">
        <v>301</v>
      </c>
      <c r="K1807" s="268" t="s">
        <v>308</v>
      </c>
    </row>
    <row r="1808" spans="1:11" x14ac:dyDescent="0.35">
      <c r="A1808" s="269" t="s">
        <v>316</v>
      </c>
      <c r="B1808" s="270">
        <v>138</v>
      </c>
      <c r="C1808" s="270"/>
      <c r="D1808" s="270"/>
      <c r="E1808" s="270"/>
      <c r="G1808" s="269" t="s">
        <v>316</v>
      </c>
      <c r="H1808" s="270"/>
      <c r="I1808" s="270"/>
      <c r="J1808" s="270"/>
      <c r="K1808" s="270"/>
    </row>
    <row r="1809" spans="1:11" x14ac:dyDescent="0.35">
      <c r="A1809" s="271" t="s">
        <v>309</v>
      </c>
      <c r="B1809" s="272"/>
      <c r="C1809" s="272"/>
      <c r="D1809" s="272"/>
      <c r="E1809" s="272"/>
      <c r="G1809" s="271" t="s">
        <v>309</v>
      </c>
      <c r="H1809" s="272"/>
      <c r="I1809" s="272"/>
      <c r="J1809" s="272"/>
      <c r="K1809" s="272"/>
    </row>
    <row r="1810" spans="1:11" x14ac:dyDescent="0.35">
      <c r="A1810" s="269" t="s">
        <v>310</v>
      </c>
      <c r="B1810" s="270"/>
      <c r="C1810" s="270"/>
      <c r="D1810" s="270"/>
      <c r="E1810" s="270"/>
      <c r="G1810" s="269" t="s">
        <v>310</v>
      </c>
      <c r="H1810" s="270"/>
      <c r="I1810" s="270"/>
      <c r="J1810" s="270"/>
      <c r="K1810" s="270"/>
    </row>
    <row r="1811" spans="1:11" x14ac:dyDescent="0.35">
      <c r="A1811" s="271" t="s">
        <v>317</v>
      </c>
      <c r="B1811" s="272"/>
      <c r="C1811" s="272"/>
      <c r="D1811" s="272"/>
      <c r="E1811" s="272"/>
      <c r="G1811" s="271" t="s">
        <v>317</v>
      </c>
      <c r="H1811" s="272"/>
      <c r="I1811" s="272"/>
      <c r="J1811" s="272"/>
      <c r="K1811" s="272"/>
    </row>
    <row r="1812" spans="1:11" x14ac:dyDescent="0.35">
      <c r="A1812" s="269" t="s">
        <v>311</v>
      </c>
      <c r="B1812" s="270"/>
      <c r="C1812" s="270"/>
      <c r="D1812" s="270"/>
      <c r="E1812" s="270"/>
      <c r="G1812" s="269" t="s">
        <v>311</v>
      </c>
      <c r="H1812" s="270"/>
      <c r="I1812" s="270"/>
      <c r="J1812" s="270"/>
      <c r="K1812" s="270"/>
    </row>
    <row r="1813" spans="1:11" x14ac:dyDescent="0.35">
      <c r="A1813" s="271" t="s">
        <v>312</v>
      </c>
      <c r="B1813" s="272"/>
      <c r="C1813" s="272"/>
      <c r="D1813" s="272"/>
      <c r="E1813" s="272"/>
      <c r="G1813" s="271" t="s">
        <v>312</v>
      </c>
      <c r="H1813" s="272"/>
      <c r="I1813" s="272"/>
      <c r="J1813" s="272"/>
      <c r="K1813" s="272"/>
    </row>
    <row r="1814" spans="1:11" x14ac:dyDescent="0.35">
      <c r="A1814" s="231" t="s">
        <v>34</v>
      </c>
      <c r="B1814" s="230">
        <f>SUM(B1808:B1813)</f>
        <v>138</v>
      </c>
      <c r="C1814" s="230">
        <f>SUM(C1808:C1813)</f>
        <v>0</v>
      </c>
      <c r="D1814" s="230">
        <f>SUM(D1808:D1813)</f>
        <v>0</v>
      </c>
      <c r="E1814" s="230">
        <f>SUM(E1808:E1813)</f>
        <v>0</v>
      </c>
      <c r="G1814" s="231" t="s">
        <v>34</v>
      </c>
      <c r="H1814" s="230">
        <f>SUM(H1808:H1813)</f>
        <v>0</v>
      </c>
      <c r="I1814" s="230">
        <f>SUM(I1808:I1813)</f>
        <v>0</v>
      </c>
      <c r="J1814" s="230">
        <f>SUM(J1808:J1813)</f>
        <v>0</v>
      </c>
      <c r="K1814" s="230">
        <f>SUM(K1808:K1813)</f>
        <v>0</v>
      </c>
    </row>
    <row r="1815" spans="1:11" ht="15" thickBot="1" x14ac:dyDescent="0.4">
      <c r="A1815" s="231" t="s">
        <v>313</v>
      </c>
      <c r="B1815" s="230">
        <f>+B1814+C1814+D1814+E1814</f>
        <v>138</v>
      </c>
      <c r="C1815" s="230"/>
      <c r="D1815" s="230"/>
      <c r="E1815" s="230"/>
      <c r="G1815" s="231" t="s">
        <v>313</v>
      </c>
      <c r="H1815" s="230">
        <f>+H1814+I1814+J1814+K1814</f>
        <v>0</v>
      </c>
      <c r="I1815" s="230"/>
      <c r="J1815" s="230"/>
      <c r="K1815" s="230"/>
    </row>
    <row r="1816" spans="1:11" ht="15.5" thickTop="1" thickBot="1" x14ac:dyDescent="0.4">
      <c r="A1816" s="335" t="s">
        <v>298</v>
      </c>
      <c r="B1816" s="336"/>
      <c r="C1816" s="336"/>
      <c r="D1816" s="336"/>
      <c r="E1816" s="337"/>
      <c r="G1816" s="335" t="s">
        <v>298</v>
      </c>
      <c r="H1816" s="336"/>
      <c r="I1816" s="336"/>
      <c r="J1816" s="336"/>
      <c r="K1816" s="337"/>
    </row>
    <row r="1817" spans="1:11" ht="15.5" thickTop="1" thickBot="1" x14ac:dyDescent="0.4">
      <c r="A1817" s="338">
        <v>45456</v>
      </c>
      <c r="B1817" s="336"/>
      <c r="C1817" s="336"/>
      <c r="D1817" s="336"/>
      <c r="E1817" s="337"/>
      <c r="G1817" s="338">
        <v>45456</v>
      </c>
      <c r="H1817" s="336"/>
      <c r="I1817" s="336"/>
      <c r="J1817" s="336"/>
      <c r="K1817" s="337"/>
    </row>
    <row r="1818" spans="1:11" ht="15" thickTop="1" x14ac:dyDescent="0.35">
      <c r="A1818" s="267" t="s">
        <v>159</v>
      </c>
      <c r="B1818" s="267" t="s">
        <v>299</v>
      </c>
      <c r="C1818" s="267" t="s">
        <v>307</v>
      </c>
      <c r="D1818" s="267" t="s">
        <v>301</v>
      </c>
      <c r="E1818" s="268" t="s">
        <v>308</v>
      </c>
      <c r="G1818" s="267" t="s">
        <v>159</v>
      </c>
      <c r="H1818" s="267" t="s">
        <v>299</v>
      </c>
      <c r="I1818" s="267" t="s">
        <v>307</v>
      </c>
      <c r="J1818" s="267" t="s">
        <v>301</v>
      </c>
      <c r="K1818" s="268" t="s">
        <v>308</v>
      </c>
    </row>
    <row r="1819" spans="1:11" x14ac:dyDescent="0.35">
      <c r="A1819" s="269" t="s">
        <v>316</v>
      </c>
      <c r="B1819" s="270"/>
      <c r="C1819" s="270"/>
      <c r="D1819" s="270"/>
      <c r="E1819" s="270"/>
      <c r="G1819" s="269" t="s">
        <v>316</v>
      </c>
      <c r="H1819" s="270"/>
      <c r="I1819" s="270"/>
      <c r="J1819" s="270"/>
      <c r="K1819" s="270"/>
    </row>
    <row r="1820" spans="1:11" x14ac:dyDescent="0.35">
      <c r="A1820" s="271" t="s">
        <v>309</v>
      </c>
      <c r="B1820" s="272"/>
      <c r="C1820" s="272"/>
      <c r="D1820" s="272"/>
      <c r="E1820" s="272"/>
      <c r="G1820" s="271" t="s">
        <v>309</v>
      </c>
      <c r="H1820" s="272"/>
      <c r="I1820" s="272"/>
      <c r="J1820" s="272"/>
      <c r="K1820" s="272"/>
    </row>
    <row r="1821" spans="1:11" x14ac:dyDescent="0.35">
      <c r="A1821" s="269" t="s">
        <v>310</v>
      </c>
      <c r="B1821" s="270"/>
      <c r="C1821" s="270"/>
      <c r="D1821" s="270"/>
      <c r="E1821" s="270"/>
      <c r="G1821" s="269" t="s">
        <v>310</v>
      </c>
      <c r="H1821" s="270"/>
      <c r="I1821" s="270"/>
      <c r="J1821" s="270"/>
      <c r="K1821" s="270"/>
    </row>
    <row r="1822" spans="1:11" x14ac:dyDescent="0.35">
      <c r="A1822" s="271" t="s">
        <v>317</v>
      </c>
      <c r="B1822" s="272"/>
      <c r="C1822" s="272"/>
      <c r="D1822" s="272"/>
      <c r="E1822" s="272"/>
      <c r="G1822" s="271" t="s">
        <v>317</v>
      </c>
      <c r="H1822" s="272"/>
      <c r="I1822" s="272"/>
      <c r="J1822" s="272"/>
      <c r="K1822" s="272"/>
    </row>
    <row r="1823" spans="1:11" x14ac:dyDescent="0.35">
      <c r="A1823" s="269" t="s">
        <v>311</v>
      </c>
      <c r="B1823" s="270"/>
      <c r="C1823" s="270"/>
      <c r="D1823" s="270"/>
      <c r="E1823" s="270"/>
      <c r="G1823" s="269" t="s">
        <v>311</v>
      </c>
      <c r="H1823" s="270"/>
      <c r="I1823" s="270"/>
      <c r="J1823" s="270"/>
      <c r="K1823" s="270"/>
    </row>
    <row r="1824" spans="1:11" x14ac:dyDescent="0.35">
      <c r="A1824" s="271" t="s">
        <v>312</v>
      </c>
      <c r="B1824" s="272"/>
      <c r="C1824" s="272"/>
      <c r="D1824" s="272"/>
      <c r="E1824" s="272"/>
      <c r="G1824" s="271" t="s">
        <v>312</v>
      </c>
      <c r="H1824" s="272"/>
      <c r="I1824" s="272"/>
      <c r="J1824" s="272"/>
      <c r="K1824" s="272"/>
    </row>
    <row r="1825" spans="1:11" x14ac:dyDescent="0.35">
      <c r="A1825" s="231" t="s">
        <v>34</v>
      </c>
      <c r="B1825" s="230">
        <f>SUM(B1819:B1824)</f>
        <v>0</v>
      </c>
      <c r="C1825" s="230">
        <f>SUM(C1819:C1824)</f>
        <v>0</v>
      </c>
      <c r="D1825" s="230">
        <f>SUM(D1819:D1824)</f>
        <v>0</v>
      </c>
      <c r="E1825" s="230">
        <f>SUM(E1819:E1824)</f>
        <v>0</v>
      </c>
      <c r="G1825" s="231" t="s">
        <v>34</v>
      </c>
      <c r="H1825" s="230">
        <f>SUM(H1819:H1824)</f>
        <v>0</v>
      </c>
      <c r="I1825" s="230">
        <f>SUM(I1819:I1824)</f>
        <v>0</v>
      </c>
      <c r="J1825" s="230">
        <f>SUM(J1819:J1824)</f>
        <v>0</v>
      </c>
      <c r="K1825" s="230">
        <f>SUM(K1819:K1824)</f>
        <v>0</v>
      </c>
    </row>
    <row r="1826" spans="1:11" ht="15" thickBot="1" x14ac:dyDescent="0.4">
      <c r="A1826" s="231" t="s">
        <v>313</v>
      </c>
      <c r="B1826" s="230">
        <f>+B1825+C1825+D1825+E1825</f>
        <v>0</v>
      </c>
      <c r="C1826" s="230"/>
      <c r="D1826" s="230"/>
      <c r="E1826" s="230"/>
      <c r="G1826" s="231" t="s">
        <v>313</v>
      </c>
      <c r="H1826" s="230">
        <f>+H1825+I1825+J1825+K1825</f>
        <v>0</v>
      </c>
      <c r="I1826" s="230"/>
      <c r="J1826" s="230"/>
      <c r="K1826" s="230"/>
    </row>
    <row r="1827" spans="1:11" ht="15.5" thickTop="1" thickBot="1" x14ac:dyDescent="0.4">
      <c r="A1827" s="335" t="s">
        <v>298</v>
      </c>
      <c r="B1827" s="336"/>
      <c r="C1827" s="336"/>
      <c r="D1827" s="336"/>
      <c r="E1827" s="337"/>
      <c r="G1827" s="335" t="s">
        <v>298</v>
      </c>
      <c r="H1827" s="336"/>
      <c r="I1827" s="336"/>
      <c r="J1827" s="336"/>
      <c r="K1827" s="337"/>
    </row>
    <row r="1828" spans="1:11" ht="15.5" thickTop="1" thickBot="1" x14ac:dyDescent="0.4">
      <c r="A1828" s="338">
        <v>45457</v>
      </c>
      <c r="B1828" s="336"/>
      <c r="C1828" s="336"/>
      <c r="D1828" s="336"/>
      <c r="E1828" s="337"/>
      <c r="G1828" s="338">
        <v>45457</v>
      </c>
      <c r="H1828" s="336"/>
      <c r="I1828" s="336"/>
      <c r="J1828" s="336"/>
      <c r="K1828" s="337"/>
    </row>
    <row r="1829" spans="1:11" ht="15" thickTop="1" x14ac:dyDescent="0.35">
      <c r="A1829" s="267" t="s">
        <v>159</v>
      </c>
      <c r="B1829" s="267" t="s">
        <v>299</v>
      </c>
      <c r="C1829" s="267" t="s">
        <v>307</v>
      </c>
      <c r="D1829" s="267" t="s">
        <v>301</v>
      </c>
      <c r="E1829" s="268" t="s">
        <v>308</v>
      </c>
      <c r="G1829" s="267" t="s">
        <v>159</v>
      </c>
      <c r="H1829" s="267" t="s">
        <v>299</v>
      </c>
      <c r="I1829" s="267" t="s">
        <v>307</v>
      </c>
      <c r="J1829" s="267" t="s">
        <v>301</v>
      </c>
      <c r="K1829" s="268" t="s">
        <v>308</v>
      </c>
    </row>
    <row r="1830" spans="1:11" x14ac:dyDescent="0.35">
      <c r="A1830" s="269" t="s">
        <v>316</v>
      </c>
      <c r="B1830" s="270">
        <v>240</v>
      </c>
      <c r="C1830" s="270"/>
      <c r="D1830" s="270"/>
      <c r="E1830" s="270"/>
      <c r="G1830" s="269" t="s">
        <v>316</v>
      </c>
      <c r="H1830" s="270"/>
      <c r="I1830" s="270"/>
      <c r="J1830" s="270"/>
      <c r="K1830" s="270"/>
    </row>
    <row r="1831" spans="1:11" x14ac:dyDescent="0.35">
      <c r="A1831" s="271" t="s">
        <v>309</v>
      </c>
      <c r="B1831" s="272">
        <v>300</v>
      </c>
      <c r="C1831" s="272"/>
      <c r="D1831" s="272"/>
      <c r="E1831" s="272"/>
      <c r="G1831" s="271" t="s">
        <v>309</v>
      </c>
      <c r="H1831" s="272"/>
      <c r="I1831" s="272"/>
      <c r="J1831" s="272"/>
      <c r="K1831" s="272"/>
    </row>
    <row r="1832" spans="1:11" x14ac:dyDescent="0.35">
      <c r="A1832" s="269" t="s">
        <v>310</v>
      </c>
      <c r="B1832" s="270">
        <v>7300</v>
      </c>
      <c r="C1832" s="270"/>
      <c r="D1832" s="270"/>
      <c r="E1832" s="270"/>
      <c r="G1832" s="269" t="s">
        <v>310</v>
      </c>
      <c r="H1832" s="270"/>
      <c r="I1832" s="270"/>
      <c r="J1832" s="270"/>
      <c r="K1832" s="270"/>
    </row>
    <row r="1833" spans="1:11" x14ac:dyDescent="0.35">
      <c r="A1833" s="271" t="s">
        <v>317</v>
      </c>
      <c r="B1833" s="272"/>
      <c r="C1833" s="272"/>
      <c r="D1833" s="272"/>
      <c r="E1833" s="272"/>
      <c r="G1833" s="271" t="s">
        <v>317</v>
      </c>
      <c r="H1833" s="272"/>
      <c r="I1833" s="272"/>
      <c r="J1833" s="272"/>
      <c r="K1833" s="272"/>
    </row>
    <row r="1834" spans="1:11" x14ac:dyDescent="0.35">
      <c r="A1834" s="269" t="s">
        <v>311</v>
      </c>
      <c r="B1834" s="270"/>
      <c r="C1834" s="270"/>
      <c r="D1834" s="270"/>
      <c r="E1834" s="270"/>
      <c r="G1834" s="269" t="s">
        <v>311</v>
      </c>
      <c r="H1834" s="270"/>
      <c r="I1834" s="270"/>
      <c r="J1834" s="270"/>
      <c r="K1834" s="270"/>
    </row>
    <row r="1835" spans="1:11" x14ac:dyDescent="0.35">
      <c r="A1835" s="271" t="s">
        <v>312</v>
      </c>
      <c r="B1835" s="272">
        <v>5875</v>
      </c>
      <c r="C1835" s="272"/>
      <c r="D1835" s="272"/>
      <c r="E1835" s="272"/>
      <c r="G1835" s="271" t="s">
        <v>312</v>
      </c>
      <c r="H1835" s="272"/>
      <c r="I1835" s="272"/>
      <c r="J1835" s="272"/>
      <c r="K1835" s="272"/>
    </row>
    <row r="1836" spans="1:11" x14ac:dyDescent="0.35">
      <c r="A1836" s="231" t="s">
        <v>34</v>
      </c>
      <c r="B1836" s="230">
        <f>SUM(B1830:B1835)</f>
        <v>13715</v>
      </c>
      <c r="C1836" s="230">
        <f>SUM(C1830:C1835)</f>
        <v>0</v>
      </c>
      <c r="D1836" s="230">
        <f>SUM(D1830:D1835)</f>
        <v>0</v>
      </c>
      <c r="E1836" s="230">
        <f>SUM(E1830:E1835)</f>
        <v>0</v>
      </c>
      <c r="G1836" s="231" t="s">
        <v>34</v>
      </c>
      <c r="H1836" s="230">
        <f>SUM(H1830:H1835)</f>
        <v>0</v>
      </c>
      <c r="I1836" s="230">
        <f>SUM(I1830:I1835)</f>
        <v>0</v>
      </c>
      <c r="J1836" s="230">
        <f>SUM(J1830:J1835)</f>
        <v>0</v>
      </c>
      <c r="K1836" s="230">
        <f>SUM(K1830:K1835)</f>
        <v>0</v>
      </c>
    </row>
    <row r="1837" spans="1:11" ht="15" thickBot="1" x14ac:dyDescent="0.4">
      <c r="A1837" s="231" t="s">
        <v>313</v>
      </c>
      <c r="B1837" s="230">
        <f>+B1836+C1836+D1836+E1836</f>
        <v>13715</v>
      </c>
      <c r="C1837" s="230"/>
      <c r="D1837" s="230"/>
      <c r="E1837" s="230"/>
      <c r="G1837" s="231" t="s">
        <v>313</v>
      </c>
      <c r="H1837" s="230">
        <f>+H1836+I1836+J1836+K1836</f>
        <v>0</v>
      </c>
      <c r="I1837" s="230"/>
      <c r="J1837" s="230"/>
      <c r="K1837" s="230"/>
    </row>
    <row r="1838" spans="1:11" ht="15.5" thickTop="1" thickBot="1" x14ac:dyDescent="0.4">
      <c r="A1838" s="335" t="s">
        <v>298</v>
      </c>
      <c r="B1838" s="336"/>
      <c r="C1838" s="336"/>
      <c r="D1838" s="336"/>
      <c r="E1838" s="337"/>
      <c r="G1838" s="335" t="s">
        <v>298</v>
      </c>
      <c r="H1838" s="336"/>
      <c r="I1838" s="336"/>
      <c r="J1838" s="336"/>
      <c r="K1838" s="337"/>
    </row>
    <row r="1839" spans="1:11" ht="15.5" thickTop="1" thickBot="1" x14ac:dyDescent="0.4">
      <c r="A1839" s="338">
        <v>45458</v>
      </c>
      <c r="B1839" s="336"/>
      <c r="C1839" s="336"/>
      <c r="D1839" s="336"/>
      <c r="E1839" s="337"/>
      <c r="G1839" s="338">
        <v>45458</v>
      </c>
      <c r="H1839" s="336"/>
      <c r="I1839" s="336"/>
      <c r="J1839" s="336"/>
      <c r="K1839" s="337"/>
    </row>
    <row r="1840" spans="1:11" ht="15" thickTop="1" x14ac:dyDescent="0.35">
      <c r="A1840" s="267" t="s">
        <v>159</v>
      </c>
      <c r="B1840" s="267" t="s">
        <v>299</v>
      </c>
      <c r="C1840" s="267" t="s">
        <v>307</v>
      </c>
      <c r="D1840" s="267" t="s">
        <v>301</v>
      </c>
      <c r="E1840" s="268" t="s">
        <v>308</v>
      </c>
      <c r="G1840" s="267" t="s">
        <v>159</v>
      </c>
      <c r="H1840" s="267" t="s">
        <v>299</v>
      </c>
      <c r="I1840" s="267" t="s">
        <v>307</v>
      </c>
      <c r="J1840" s="267" t="s">
        <v>301</v>
      </c>
      <c r="K1840" s="268" t="s">
        <v>308</v>
      </c>
    </row>
    <row r="1841" spans="1:11" x14ac:dyDescent="0.35">
      <c r="A1841" s="269" t="s">
        <v>497</v>
      </c>
      <c r="B1841" s="270">
        <v>2500</v>
      </c>
      <c r="C1841" s="270"/>
      <c r="D1841" s="270"/>
      <c r="E1841" s="270"/>
      <c r="G1841" s="269" t="s">
        <v>497</v>
      </c>
      <c r="H1841" s="270">
        <v>1400</v>
      </c>
      <c r="I1841" s="270"/>
      <c r="J1841" s="270"/>
      <c r="K1841" s="270"/>
    </row>
    <row r="1842" spans="1:11" x14ac:dyDescent="0.35">
      <c r="A1842" s="271" t="s">
        <v>497</v>
      </c>
      <c r="B1842" s="272">
        <v>1700</v>
      </c>
      <c r="C1842" s="272"/>
      <c r="D1842" s="272"/>
      <c r="E1842" s="272"/>
      <c r="G1842" s="271" t="s">
        <v>497</v>
      </c>
      <c r="H1842" s="272"/>
      <c r="I1842" s="272"/>
      <c r="J1842" s="272"/>
      <c r="K1842" s="272"/>
    </row>
    <row r="1843" spans="1:11" x14ac:dyDescent="0.35">
      <c r="A1843" s="269" t="s">
        <v>310</v>
      </c>
      <c r="B1843" s="270">
        <v>350</v>
      </c>
      <c r="C1843" s="270"/>
      <c r="D1843" s="270"/>
      <c r="E1843" s="270"/>
      <c r="G1843" s="269" t="s">
        <v>310</v>
      </c>
      <c r="H1843" s="270"/>
      <c r="I1843" s="270"/>
      <c r="J1843" s="270"/>
      <c r="K1843" s="270"/>
    </row>
    <row r="1844" spans="1:11" x14ac:dyDescent="0.35">
      <c r="A1844" s="271" t="s">
        <v>317</v>
      </c>
      <c r="B1844" s="272">
        <v>480</v>
      </c>
      <c r="C1844" s="272"/>
      <c r="D1844" s="272"/>
      <c r="E1844" s="272"/>
      <c r="G1844" s="271" t="s">
        <v>317</v>
      </c>
      <c r="H1844" s="272"/>
      <c r="I1844" s="272"/>
      <c r="J1844" s="272"/>
      <c r="K1844" s="272"/>
    </row>
    <row r="1845" spans="1:11" x14ac:dyDescent="0.35">
      <c r="A1845" s="269" t="s">
        <v>311</v>
      </c>
      <c r="B1845" s="270"/>
      <c r="C1845" s="270"/>
      <c r="D1845" s="270"/>
      <c r="E1845" s="270"/>
      <c r="G1845" s="269" t="s">
        <v>311</v>
      </c>
      <c r="H1845" s="270"/>
      <c r="I1845" s="270"/>
      <c r="J1845" s="270"/>
      <c r="K1845" s="270"/>
    </row>
    <row r="1846" spans="1:11" x14ac:dyDescent="0.35">
      <c r="A1846" s="271" t="s">
        <v>312</v>
      </c>
      <c r="B1846" s="272">
        <v>1445</v>
      </c>
      <c r="C1846" s="272"/>
      <c r="D1846" s="272"/>
      <c r="E1846" s="272"/>
      <c r="G1846" s="271" t="s">
        <v>312</v>
      </c>
      <c r="H1846" s="272"/>
      <c r="I1846" s="272"/>
      <c r="J1846" s="272"/>
      <c r="K1846" s="272"/>
    </row>
    <row r="1847" spans="1:11" x14ac:dyDescent="0.35">
      <c r="A1847" s="231" t="s">
        <v>34</v>
      </c>
      <c r="B1847" s="230">
        <f>SUM(B1841:B1846)</f>
        <v>6475</v>
      </c>
      <c r="C1847" s="230">
        <f>SUM(C1841:C1846)</f>
        <v>0</v>
      </c>
      <c r="D1847" s="230">
        <f>SUM(D1841:D1846)</f>
        <v>0</v>
      </c>
      <c r="E1847" s="230">
        <f>SUM(E1841:E1846)</f>
        <v>0</v>
      </c>
      <c r="G1847" s="231" t="s">
        <v>34</v>
      </c>
      <c r="H1847" s="230">
        <f>SUM(H1841:H1846)</f>
        <v>1400</v>
      </c>
      <c r="I1847" s="230">
        <f>SUM(I1841:I1846)</f>
        <v>0</v>
      </c>
      <c r="J1847" s="230">
        <f>SUM(J1841:J1846)</f>
        <v>0</v>
      </c>
      <c r="K1847" s="230">
        <f>SUM(K1841:K1846)</f>
        <v>0</v>
      </c>
    </row>
    <row r="1848" spans="1:11" ht="15" thickBot="1" x14ac:dyDescent="0.4">
      <c r="A1848" s="231" t="s">
        <v>313</v>
      </c>
      <c r="B1848" s="230">
        <f>+B1847+C1847+D1847+E1847</f>
        <v>6475</v>
      </c>
      <c r="C1848" s="230"/>
      <c r="D1848" s="230"/>
      <c r="E1848" s="230"/>
      <c r="G1848" s="231" t="s">
        <v>313</v>
      </c>
      <c r="H1848" s="230">
        <f>+H1847+I1847+J1847+K1847</f>
        <v>1400</v>
      </c>
      <c r="I1848" s="230"/>
      <c r="J1848" s="230"/>
      <c r="K1848" s="230"/>
    </row>
    <row r="1849" spans="1:11" ht="15.5" thickTop="1" thickBot="1" x14ac:dyDescent="0.4">
      <c r="A1849" s="335" t="s">
        <v>298</v>
      </c>
      <c r="B1849" s="336"/>
      <c r="C1849" s="336"/>
      <c r="D1849" s="336"/>
      <c r="E1849" s="337"/>
      <c r="G1849" s="335" t="s">
        <v>298</v>
      </c>
      <c r="H1849" s="336"/>
      <c r="I1849" s="336"/>
      <c r="J1849" s="336"/>
      <c r="K1849" s="337"/>
    </row>
    <row r="1850" spans="1:11" ht="15.5" thickTop="1" thickBot="1" x14ac:dyDescent="0.4">
      <c r="A1850" s="338">
        <v>45459</v>
      </c>
      <c r="B1850" s="336"/>
      <c r="C1850" s="336"/>
      <c r="D1850" s="336"/>
      <c r="E1850" s="337"/>
      <c r="G1850" s="338">
        <v>45459</v>
      </c>
      <c r="H1850" s="336"/>
      <c r="I1850" s="336"/>
      <c r="J1850" s="336"/>
      <c r="K1850" s="337"/>
    </row>
    <row r="1851" spans="1:11" ht="15" thickTop="1" x14ac:dyDescent="0.35">
      <c r="A1851" s="267" t="s">
        <v>159</v>
      </c>
      <c r="B1851" s="267" t="s">
        <v>299</v>
      </c>
      <c r="C1851" s="267" t="s">
        <v>307</v>
      </c>
      <c r="D1851" s="267" t="s">
        <v>301</v>
      </c>
      <c r="E1851" s="268" t="s">
        <v>308</v>
      </c>
      <c r="G1851" s="267" t="s">
        <v>159</v>
      </c>
      <c r="H1851" s="267" t="s">
        <v>299</v>
      </c>
      <c r="I1851" s="267" t="s">
        <v>307</v>
      </c>
      <c r="J1851" s="267" t="s">
        <v>301</v>
      </c>
      <c r="K1851" s="268" t="s">
        <v>308</v>
      </c>
    </row>
    <row r="1852" spans="1:11" x14ac:dyDescent="0.35">
      <c r="A1852" s="269" t="s">
        <v>316</v>
      </c>
      <c r="B1852" s="270"/>
      <c r="C1852" s="270"/>
      <c r="D1852" s="270"/>
      <c r="E1852" s="270"/>
      <c r="G1852" s="269" t="s">
        <v>316</v>
      </c>
      <c r="H1852" s="270">
        <v>177</v>
      </c>
      <c r="I1852" s="270"/>
      <c r="J1852" s="270"/>
      <c r="K1852" s="270"/>
    </row>
    <row r="1853" spans="1:11" x14ac:dyDescent="0.35">
      <c r="A1853" s="271" t="s">
        <v>309</v>
      </c>
      <c r="B1853" s="272"/>
      <c r="C1853" s="272"/>
      <c r="D1853" s="272"/>
      <c r="E1853" s="272"/>
      <c r="G1853" s="271" t="s">
        <v>309</v>
      </c>
      <c r="H1853" s="272"/>
      <c r="I1853" s="272"/>
      <c r="J1853" s="272"/>
      <c r="K1853" s="272"/>
    </row>
    <row r="1854" spans="1:11" x14ac:dyDescent="0.35">
      <c r="A1854" s="269" t="s">
        <v>310</v>
      </c>
      <c r="B1854" s="270"/>
      <c r="C1854" s="270"/>
      <c r="D1854" s="270"/>
      <c r="E1854" s="270"/>
      <c r="G1854" s="269" t="s">
        <v>310</v>
      </c>
      <c r="H1854" s="270"/>
      <c r="I1854" s="270"/>
      <c r="J1854" s="270"/>
      <c r="K1854" s="270"/>
    </row>
    <row r="1855" spans="1:11" x14ac:dyDescent="0.35">
      <c r="A1855" s="271" t="s">
        <v>317</v>
      </c>
      <c r="B1855" s="272"/>
      <c r="C1855" s="272"/>
      <c r="D1855" s="272"/>
      <c r="E1855" s="272"/>
      <c r="G1855" s="271" t="s">
        <v>317</v>
      </c>
      <c r="H1855" s="272"/>
      <c r="I1855" s="272"/>
      <c r="J1855" s="272"/>
      <c r="K1855" s="272"/>
    </row>
    <row r="1856" spans="1:11" x14ac:dyDescent="0.35">
      <c r="A1856" s="269" t="s">
        <v>311</v>
      </c>
      <c r="B1856" s="270"/>
      <c r="C1856" s="270"/>
      <c r="D1856" s="270"/>
      <c r="E1856" s="270"/>
      <c r="G1856" s="269" t="s">
        <v>311</v>
      </c>
      <c r="H1856" s="270"/>
      <c r="I1856" s="270"/>
      <c r="J1856" s="270"/>
      <c r="K1856" s="270"/>
    </row>
    <row r="1857" spans="1:11" x14ac:dyDescent="0.35">
      <c r="A1857" s="271" t="s">
        <v>312</v>
      </c>
      <c r="B1857" s="272"/>
      <c r="C1857" s="272"/>
      <c r="D1857" s="272"/>
      <c r="E1857" s="272"/>
      <c r="G1857" s="271" t="s">
        <v>312</v>
      </c>
      <c r="H1857" s="272"/>
      <c r="I1857" s="272"/>
      <c r="J1857" s="272"/>
      <c r="K1857" s="272"/>
    </row>
    <row r="1858" spans="1:11" x14ac:dyDescent="0.35">
      <c r="A1858" s="231" t="s">
        <v>34</v>
      </c>
      <c r="B1858" s="230">
        <f>SUM(B1852:B1857)</f>
        <v>0</v>
      </c>
      <c r="C1858" s="230">
        <f>SUM(C1852:C1857)</f>
        <v>0</v>
      </c>
      <c r="D1858" s="230">
        <f>SUM(D1852:D1857)</f>
        <v>0</v>
      </c>
      <c r="E1858" s="230">
        <f>SUM(E1852:E1857)</f>
        <v>0</v>
      </c>
      <c r="G1858" s="231" t="s">
        <v>34</v>
      </c>
      <c r="H1858" s="230">
        <f>SUM(H1852:H1857)</f>
        <v>177</v>
      </c>
      <c r="I1858" s="230">
        <f>SUM(I1852:I1857)</f>
        <v>0</v>
      </c>
      <c r="J1858" s="230">
        <f>SUM(J1852:J1857)</f>
        <v>0</v>
      </c>
      <c r="K1858" s="230">
        <f>SUM(K1852:K1857)</f>
        <v>0</v>
      </c>
    </row>
    <row r="1859" spans="1:11" ht="15" thickBot="1" x14ac:dyDescent="0.4">
      <c r="A1859" s="231" t="s">
        <v>313</v>
      </c>
      <c r="B1859" s="230">
        <f>+B1858+C1858+D1858+E1858</f>
        <v>0</v>
      </c>
      <c r="C1859" s="230"/>
      <c r="D1859" s="230"/>
      <c r="E1859" s="230"/>
      <c r="G1859" s="231" t="s">
        <v>313</v>
      </c>
      <c r="H1859" s="230">
        <f>+H1858+I1858+J1858+K1858</f>
        <v>177</v>
      </c>
      <c r="I1859" s="230"/>
      <c r="J1859" s="230"/>
      <c r="K1859" s="230"/>
    </row>
    <row r="1860" spans="1:11" ht="15.5" thickTop="1" thickBot="1" x14ac:dyDescent="0.4">
      <c r="A1860" s="335" t="s">
        <v>298</v>
      </c>
      <c r="B1860" s="336"/>
      <c r="C1860" s="336"/>
      <c r="D1860" s="336"/>
      <c r="E1860" s="337"/>
      <c r="G1860" s="335" t="s">
        <v>298</v>
      </c>
      <c r="H1860" s="336"/>
      <c r="I1860" s="336"/>
      <c r="J1860" s="336"/>
      <c r="K1860" s="337"/>
    </row>
    <row r="1861" spans="1:11" ht="15.5" thickTop="1" thickBot="1" x14ac:dyDescent="0.4">
      <c r="A1861" s="338">
        <v>45460</v>
      </c>
      <c r="B1861" s="336"/>
      <c r="C1861" s="336"/>
      <c r="D1861" s="336"/>
      <c r="E1861" s="337"/>
      <c r="G1861" s="338">
        <v>45460</v>
      </c>
      <c r="H1861" s="336"/>
      <c r="I1861" s="336"/>
      <c r="J1861" s="336"/>
      <c r="K1861" s="337"/>
    </row>
    <row r="1862" spans="1:11" ht="15" thickTop="1" x14ac:dyDescent="0.35">
      <c r="A1862" s="267" t="s">
        <v>159</v>
      </c>
      <c r="B1862" s="267" t="s">
        <v>299</v>
      </c>
      <c r="C1862" s="267" t="s">
        <v>307</v>
      </c>
      <c r="D1862" s="267" t="s">
        <v>301</v>
      </c>
      <c r="E1862" s="268" t="s">
        <v>308</v>
      </c>
      <c r="G1862" s="267" t="s">
        <v>159</v>
      </c>
      <c r="H1862" s="267" t="s">
        <v>299</v>
      </c>
      <c r="I1862" s="267" t="s">
        <v>307</v>
      </c>
      <c r="J1862" s="267" t="s">
        <v>301</v>
      </c>
      <c r="K1862" s="268" t="s">
        <v>308</v>
      </c>
    </row>
    <row r="1863" spans="1:11" x14ac:dyDescent="0.35">
      <c r="A1863" s="269" t="s">
        <v>316</v>
      </c>
      <c r="B1863" s="270"/>
      <c r="C1863" s="270"/>
      <c r="D1863" s="270"/>
      <c r="E1863" s="270"/>
      <c r="G1863" s="269" t="s">
        <v>316</v>
      </c>
      <c r="H1863" s="270"/>
      <c r="I1863" s="270"/>
      <c r="J1863" s="270"/>
      <c r="K1863" s="270"/>
    </row>
    <row r="1864" spans="1:11" x14ac:dyDescent="0.35">
      <c r="A1864" s="271" t="s">
        <v>309</v>
      </c>
      <c r="B1864" s="272"/>
      <c r="C1864" s="272"/>
      <c r="D1864" s="272"/>
      <c r="E1864" s="272"/>
      <c r="G1864" s="271" t="s">
        <v>309</v>
      </c>
      <c r="H1864" s="272"/>
      <c r="I1864" s="272"/>
      <c r="J1864" s="272"/>
      <c r="K1864" s="272"/>
    </row>
    <row r="1865" spans="1:11" x14ac:dyDescent="0.35">
      <c r="A1865" s="269" t="s">
        <v>310</v>
      </c>
      <c r="B1865" s="270">
        <v>800</v>
      </c>
      <c r="C1865" s="270"/>
      <c r="D1865" s="270"/>
      <c r="E1865" s="270"/>
      <c r="G1865" s="269" t="s">
        <v>310</v>
      </c>
      <c r="H1865" s="270"/>
      <c r="I1865" s="270"/>
      <c r="J1865" s="270"/>
      <c r="K1865" s="270"/>
    </row>
    <row r="1866" spans="1:11" x14ac:dyDescent="0.35">
      <c r="A1866" s="271" t="s">
        <v>317</v>
      </c>
      <c r="B1866" s="272"/>
      <c r="C1866" s="272"/>
      <c r="D1866" s="272"/>
      <c r="E1866" s="272"/>
      <c r="G1866" s="271" t="s">
        <v>317</v>
      </c>
      <c r="H1866" s="272"/>
      <c r="I1866" s="272"/>
      <c r="J1866" s="272"/>
      <c r="K1866" s="272"/>
    </row>
    <row r="1867" spans="1:11" x14ac:dyDescent="0.35">
      <c r="A1867" s="269" t="s">
        <v>311</v>
      </c>
      <c r="B1867" s="270"/>
      <c r="C1867" s="270"/>
      <c r="D1867" s="270"/>
      <c r="E1867" s="270"/>
      <c r="G1867" s="269" t="s">
        <v>311</v>
      </c>
      <c r="H1867" s="270"/>
      <c r="I1867" s="270"/>
      <c r="J1867" s="270"/>
      <c r="K1867" s="270"/>
    </row>
    <row r="1868" spans="1:11" x14ac:dyDescent="0.35">
      <c r="A1868" s="271" t="s">
        <v>312</v>
      </c>
      <c r="B1868" s="272"/>
      <c r="C1868" s="272"/>
      <c r="D1868" s="272"/>
      <c r="E1868" s="272"/>
      <c r="G1868" s="271" t="s">
        <v>312</v>
      </c>
      <c r="H1868" s="272"/>
      <c r="I1868" s="272"/>
      <c r="J1868" s="272"/>
      <c r="K1868" s="272"/>
    </row>
    <row r="1869" spans="1:11" x14ac:dyDescent="0.35">
      <c r="A1869" s="231" t="s">
        <v>34</v>
      </c>
      <c r="B1869" s="230">
        <f>SUM(B1863:B1868)</f>
        <v>800</v>
      </c>
      <c r="C1869" s="230">
        <f>SUM(C1863:C1868)</f>
        <v>0</v>
      </c>
      <c r="D1869" s="230">
        <f>SUM(D1863:D1868)</f>
        <v>0</v>
      </c>
      <c r="E1869" s="230">
        <f>SUM(E1863:E1868)</f>
        <v>0</v>
      </c>
      <c r="G1869" s="231" t="s">
        <v>34</v>
      </c>
      <c r="H1869" s="230">
        <f>SUM(H1863:H1868)</f>
        <v>0</v>
      </c>
      <c r="I1869" s="230">
        <f>SUM(I1863:I1868)</f>
        <v>0</v>
      </c>
      <c r="J1869" s="230">
        <f>SUM(J1863:J1868)</f>
        <v>0</v>
      </c>
      <c r="K1869" s="230">
        <f>SUM(K1863:K1868)</f>
        <v>0</v>
      </c>
    </row>
    <row r="1870" spans="1:11" ht="15" thickBot="1" x14ac:dyDescent="0.4">
      <c r="A1870" s="231" t="s">
        <v>313</v>
      </c>
      <c r="B1870" s="230">
        <f>+B1869+C1869+D1869+E1869</f>
        <v>800</v>
      </c>
      <c r="C1870" s="230"/>
      <c r="D1870" s="230"/>
      <c r="E1870" s="230"/>
      <c r="G1870" s="231" t="s">
        <v>313</v>
      </c>
      <c r="H1870" s="230">
        <f>+H1869+I1869+J1869+K1869</f>
        <v>0</v>
      </c>
      <c r="I1870" s="230"/>
      <c r="J1870" s="230"/>
      <c r="K1870" s="230"/>
    </row>
    <row r="1871" spans="1:11" ht="15.5" thickTop="1" thickBot="1" x14ac:dyDescent="0.4">
      <c r="A1871" s="335" t="s">
        <v>298</v>
      </c>
      <c r="B1871" s="336"/>
      <c r="C1871" s="336"/>
      <c r="D1871" s="336"/>
      <c r="E1871" s="337"/>
      <c r="G1871" s="335" t="s">
        <v>298</v>
      </c>
      <c r="H1871" s="336"/>
      <c r="I1871" s="336"/>
      <c r="J1871" s="336"/>
      <c r="K1871" s="337"/>
    </row>
    <row r="1872" spans="1:11" ht="15.5" thickTop="1" thickBot="1" x14ac:dyDescent="0.4">
      <c r="A1872" s="338">
        <v>45461</v>
      </c>
      <c r="B1872" s="336"/>
      <c r="C1872" s="336"/>
      <c r="D1872" s="336"/>
      <c r="E1872" s="337"/>
      <c r="G1872" s="338">
        <v>45461</v>
      </c>
      <c r="H1872" s="336"/>
      <c r="I1872" s="336"/>
      <c r="J1872" s="336"/>
      <c r="K1872" s="337"/>
    </row>
    <row r="1873" spans="1:11" ht="15" thickTop="1" x14ac:dyDescent="0.35">
      <c r="A1873" s="267" t="s">
        <v>159</v>
      </c>
      <c r="B1873" s="267" t="s">
        <v>299</v>
      </c>
      <c r="C1873" s="267" t="s">
        <v>307</v>
      </c>
      <c r="D1873" s="267" t="s">
        <v>301</v>
      </c>
      <c r="E1873" s="268" t="s">
        <v>308</v>
      </c>
      <c r="G1873" s="267" t="s">
        <v>159</v>
      </c>
      <c r="H1873" s="267" t="s">
        <v>299</v>
      </c>
      <c r="I1873" s="267" t="s">
        <v>307</v>
      </c>
      <c r="J1873" s="267" t="s">
        <v>301</v>
      </c>
      <c r="K1873" s="268" t="s">
        <v>308</v>
      </c>
    </row>
    <row r="1874" spans="1:11" x14ac:dyDescent="0.35">
      <c r="A1874" s="269" t="s">
        <v>316</v>
      </c>
      <c r="B1874" s="270"/>
      <c r="C1874" s="270"/>
      <c r="D1874" s="270"/>
      <c r="E1874" s="270"/>
      <c r="G1874" s="269" t="s">
        <v>316</v>
      </c>
      <c r="H1874" s="270"/>
      <c r="I1874" s="270"/>
      <c r="J1874" s="270"/>
      <c r="K1874" s="270"/>
    </row>
    <row r="1875" spans="1:11" x14ac:dyDescent="0.35">
      <c r="A1875" s="271" t="s">
        <v>309</v>
      </c>
      <c r="B1875" s="272"/>
      <c r="C1875" s="272"/>
      <c r="D1875" s="272"/>
      <c r="E1875" s="272"/>
      <c r="G1875" s="271" t="s">
        <v>309</v>
      </c>
      <c r="H1875" s="272"/>
      <c r="I1875" s="272"/>
      <c r="J1875" s="272"/>
      <c r="K1875" s="272"/>
    </row>
    <row r="1876" spans="1:11" x14ac:dyDescent="0.35">
      <c r="A1876" s="269" t="s">
        <v>310</v>
      </c>
      <c r="B1876" s="270"/>
      <c r="C1876" s="270"/>
      <c r="D1876" s="270"/>
      <c r="E1876" s="270"/>
      <c r="G1876" s="269" t="s">
        <v>310</v>
      </c>
      <c r="H1876" s="270"/>
      <c r="I1876" s="270"/>
      <c r="J1876" s="270"/>
      <c r="K1876" s="270"/>
    </row>
    <row r="1877" spans="1:11" x14ac:dyDescent="0.35">
      <c r="A1877" s="271" t="s">
        <v>317</v>
      </c>
      <c r="B1877" s="272"/>
      <c r="C1877" s="272"/>
      <c r="D1877" s="272"/>
      <c r="E1877" s="272"/>
      <c r="G1877" s="271" t="s">
        <v>317</v>
      </c>
      <c r="H1877" s="272"/>
      <c r="I1877" s="272"/>
      <c r="J1877" s="272"/>
      <c r="K1877" s="272"/>
    </row>
    <row r="1878" spans="1:11" x14ac:dyDescent="0.35">
      <c r="A1878" s="269" t="s">
        <v>311</v>
      </c>
      <c r="B1878" s="270"/>
      <c r="C1878" s="270"/>
      <c r="D1878" s="270"/>
      <c r="E1878" s="270"/>
      <c r="G1878" s="269" t="s">
        <v>311</v>
      </c>
      <c r="H1878" s="270"/>
      <c r="I1878" s="270"/>
      <c r="J1878" s="270"/>
      <c r="K1878" s="270"/>
    </row>
    <row r="1879" spans="1:11" x14ac:dyDescent="0.35">
      <c r="A1879" s="271" t="s">
        <v>312</v>
      </c>
      <c r="B1879" s="272"/>
      <c r="C1879" s="272"/>
      <c r="D1879" s="272"/>
      <c r="E1879" s="272"/>
      <c r="G1879" s="271" t="s">
        <v>312</v>
      </c>
      <c r="H1879" s="272"/>
      <c r="I1879" s="272"/>
      <c r="J1879" s="272"/>
      <c r="K1879" s="272"/>
    </row>
    <row r="1880" spans="1:11" x14ac:dyDescent="0.35">
      <c r="A1880" s="231" t="s">
        <v>34</v>
      </c>
      <c r="B1880" s="230">
        <f>SUM(B1874:B1879)</f>
        <v>0</v>
      </c>
      <c r="C1880" s="230">
        <f>SUM(C1874:C1879)</f>
        <v>0</v>
      </c>
      <c r="D1880" s="230">
        <f>SUM(D1874:D1879)</f>
        <v>0</v>
      </c>
      <c r="E1880" s="230">
        <f>SUM(E1874:E1879)</f>
        <v>0</v>
      </c>
      <c r="G1880" s="231" t="s">
        <v>34</v>
      </c>
      <c r="H1880" s="230">
        <f>SUM(H1874:H1879)</f>
        <v>0</v>
      </c>
      <c r="I1880" s="230">
        <f>SUM(I1874:I1879)</f>
        <v>0</v>
      </c>
      <c r="J1880" s="230">
        <f>SUM(J1874:J1879)</f>
        <v>0</v>
      </c>
      <c r="K1880" s="230">
        <f>SUM(K1874:K1879)</f>
        <v>0</v>
      </c>
    </row>
    <row r="1881" spans="1:11" ht="15" thickBot="1" x14ac:dyDescent="0.4">
      <c r="A1881" s="231" t="s">
        <v>313</v>
      </c>
      <c r="B1881" s="230">
        <f>+B1880+C1880+D1880+E1880</f>
        <v>0</v>
      </c>
      <c r="C1881" s="230"/>
      <c r="D1881" s="230"/>
      <c r="E1881" s="230"/>
      <c r="G1881" s="231" t="s">
        <v>313</v>
      </c>
      <c r="H1881" s="230">
        <f>+H1880+I1880+J1880+K1880</f>
        <v>0</v>
      </c>
      <c r="I1881" s="230"/>
      <c r="J1881" s="230"/>
      <c r="K1881" s="230"/>
    </row>
    <row r="1882" spans="1:11" ht="15.5" thickTop="1" thickBot="1" x14ac:dyDescent="0.4">
      <c r="A1882" s="335" t="s">
        <v>298</v>
      </c>
      <c r="B1882" s="336"/>
      <c r="C1882" s="336"/>
      <c r="D1882" s="336"/>
      <c r="E1882" s="337"/>
      <c r="G1882" s="335" t="s">
        <v>298</v>
      </c>
      <c r="H1882" s="336"/>
      <c r="I1882" s="336"/>
      <c r="J1882" s="336"/>
      <c r="K1882" s="337"/>
    </row>
    <row r="1883" spans="1:11" ht="15.5" thickTop="1" thickBot="1" x14ac:dyDescent="0.4">
      <c r="A1883" s="338">
        <v>45462</v>
      </c>
      <c r="B1883" s="336"/>
      <c r="C1883" s="336"/>
      <c r="D1883" s="336"/>
      <c r="E1883" s="337"/>
      <c r="G1883" s="338">
        <v>45462</v>
      </c>
      <c r="H1883" s="336"/>
      <c r="I1883" s="336"/>
      <c r="J1883" s="336"/>
      <c r="K1883" s="337"/>
    </row>
    <row r="1884" spans="1:11" ht="15" thickTop="1" x14ac:dyDescent="0.35">
      <c r="A1884" s="267" t="s">
        <v>159</v>
      </c>
      <c r="B1884" s="267" t="s">
        <v>299</v>
      </c>
      <c r="C1884" s="267" t="s">
        <v>307</v>
      </c>
      <c r="D1884" s="267" t="s">
        <v>301</v>
      </c>
      <c r="E1884" s="268" t="s">
        <v>308</v>
      </c>
      <c r="G1884" s="267" t="s">
        <v>159</v>
      </c>
      <c r="H1884" s="267" t="s">
        <v>299</v>
      </c>
      <c r="I1884" s="267" t="s">
        <v>307</v>
      </c>
      <c r="J1884" s="267" t="s">
        <v>301</v>
      </c>
      <c r="K1884" s="268" t="s">
        <v>308</v>
      </c>
    </row>
    <row r="1885" spans="1:11" x14ac:dyDescent="0.35">
      <c r="A1885" s="269" t="s">
        <v>316</v>
      </c>
      <c r="B1885" s="270">
        <v>340</v>
      </c>
      <c r="C1885" s="270"/>
      <c r="D1885" s="270"/>
      <c r="E1885" s="270"/>
      <c r="G1885" s="269" t="s">
        <v>316</v>
      </c>
      <c r="H1885" s="270"/>
      <c r="I1885" s="270"/>
      <c r="J1885" s="270"/>
      <c r="K1885" s="270"/>
    </row>
    <row r="1886" spans="1:11" x14ac:dyDescent="0.35">
      <c r="A1886" s="271" t="s">
        <v>309</v>
      </c>
      <c r="B1886" s="272"/>
      <c r="C1886" s="272"/>
      <c r="D1886" s="272"/>
      <c r="E1886" s="272"/>
      <c r="G1886" s="271" t="s">
        <v>309</v>
      </c>
      <c r="H1886" s="272"/>
      <c r="I1886" s="272"/>
      <c r="J1886" s="272"/>
      <c r="K1886" s="272"/>
    </row>
    <row r="1887" spans="1:11" x14ac:dyDescent="0.35">
      <c r="A1887" s="269" t="s">
        <v>310</v>
      </c>
      <c r="B1887" s="270"/>
      <c r="C1887" s="270"/>
      <c r="D1887" s="270"/>
      <c r="E1887" s="270"/>
      <c r="G1887" s="269" t="s">
        <v>310</v>
      </c>
      <c r="H1887" s="270"/>
      <c r="I1887" s="270"/>
      <c r="J1887" s="270"/>
      <c r="K1887" s="270"/>
    </row>
    <row r="1888" spans="1:11" x14ac:dyDescent="0.35">
      <c r="A1888" s="271" t="s">
        <v>317</v>
      </c>
      <c r="B1888" s="272"/>
      <c r="C1888" s="272"/>
      <c r="D1888" s="272"/>
      <c r="E1888" s="272"/>
      <c r="G1888" s="271" t="s">
        <v>317</v>
      </c>
      <c r="H1888" s="272"/>
      <c r="I1888" s="272"/>
      <c r="J1888" s="272"/>
      <c r="K1888" s="272"/>
    </row>
    <row r="1889" spans="1:11" x14ac:dyDescent="0.35">
      <c r="A1889" s="269" t="s">
        <v>311</v>
      </c>
      <c r="B1889" s="270"/>
      <c r="C1889" s="270"/>
      <c r="D1889" s="270"/>
      <c r="E1889" s="270"/>
      <c r="G1889" s="269" t="s">
        <v>311</v>
      </c>
      <c r="H1889" s="270"/>
      <c r="I1889" s="270"/>
      <c r="J1889" s="270"/>
      <c r="K1889" s="270"/>
    </row>
    <row r="1890" spans="1:11" x14ac:dyDescent="0.35">
      <c r="A1890" s="271" t="s">
        <v>312</v>
      </c>
      <c r="B1890" s="272"/>
      <c r="C1890" s="272"/>
      <c r="D1890" s="272"/>
      <c r="E1890" s="272"/>
      <c r="G1890" s="271" t="s">
        <v>312</v>
      </c>
      <c r="H1890" s="272"/>
      <c r="I1890" s="272"/>
      <c r="J1890" s="272"/>
      <c r="K1890" s="272"/>
    </row>
    <row r="1891" spans="1:11" x14ac:dyDescent="0.35">
      <c r="A1891" s="231" t="s">
        <v>34</v>
      </c>
      <c r="B1891" s="230">
        <f>SUM(B1885:B1890)</f>
        <v>340</v>
      </c>
      <c r="C1891" s="230">
        <f>SUM(C1885:C1890)</f>
        <v>0</v>
      </c>
      <c r="D1891" s="230">
        <f>SUM(D1885:D1890)</f>
        <v>0</v>
      </c>
      <c r="E1891" s="230">
        <f>SUM(E1885:E1890)</f>
        <v>0</v>
      </c>
      <c r="G1891" s="231" t="s">
        <v>34</v>
      </c>
      <c r="H1891" s="230">
        <f>SUM(H1885:H1890)</f>
        <v>0</v>
      </c>
      <c r="I1891" s="230">
        <f>SUM(I1885:I1890)</f>
        <v>0</v>
      </c>
      <c r="J1891" s="230">
        <f>SUM(J1885:J1890)</f>
        <v>0</v>
      </c>
      <c r="K1891" s="230">
        <f>SUM(K1885:K1890)</f>
        <v>0</v>
      </c>
    </row>
    <row r="1892" spans="1:11" ht="15" thickBot="1" x14ac:dyDescent="0.4">
      <c r="A1892" s="231" t="s">
        <v>313</v>
      </c>
      <c r="B1892" s="230">
        <f>+B1891+C1891+D1891+E1891</f>
        <v>340</v>
      </c>
      <c r="C1892" s="230"/>
      <c r="D1892" s="230"/>
      <c r="E1892" s="230"/>
      <c r="G1892" s="231" t="s">
        <v>313</v>
      </c>
      <c r="H1892" s="230">
        <f>+H1891+I1891+J1891+K1891</f>
        <v>0</v>
      </c>
      <c r="I1892" s="230"/>
      <c r="J1892" s="230"/>
      <c r="K1892" s="230"/>
    </row>
    <row r="1893" spans="1:11" ht="15.5" thickTop="1" thickBot="1" x14ac:dyDescent="0.4">
      <c r="A1893" s="335" t="s">
        <v>298</v>
      </c>
      <c r="B1893" s="336"/>
      <c r="C1893" s="336"/>
      <c r="D1893" s="336"/>
      <c r="E1893" s="337"/>
      <c r="G1893" s="335" t="s">
        <v>298</v>
      </c>
      <c r="H1893" s="336"/>
      <c r="I1893" s="336"/>
      <c r="J1893" s="336"/>
      <c r="K1893" s="337"/>
    </row>
    <row r="1894" spans="1:11" ht="15.5" thickTop="1" thickBot="1" x14ac:dyDescent="0.4">
      <c r="A1894" s="338">
        <v>45463</v>
      </c>
      <c r="B1894" s="336"/>
      <c r="C1894" s="336"/>
      <c r="D1894" s="336"/>
      <c r="E1894" s="337"/>
      <c r="G1894" s="338">
        <v>45463</v>
      </c>
      <c r="H1894" s="336"/>
      <c r="I1894" s="336"/>
      <c r="J1894" s="336"/>
      <c r="K1894" s="337"/>
    </row>
    <row r="1895" spans="1:11" ht="15" thickTop="1" x14ac:dyDescent="0.35">
      <c r="A1895" s="267" t="s">
        <v>159</v>
      </c>
      <c r="B1895" s="267" t="s">
        <v>299</v>
      </c>
      <c r="C1895" s="267" t="s">
        <v>307</v>
      </c>
      <c r="D1895" s="267" t="s">
        <v>301</v>
      </c>
      <c r="E1895" s="268" t="s">
        <v>308</v>
      </c>
      <c r="G1895" s="267" t="s">
        <v>159</v>
      </c>
      <c r="H1895" s="267" t="s">
        <v>299</v>
      </c>
      <c r="I1895" s="267" t="s">
        <v>307</v>
      </c>
      <c r="J1895" s="267" t="s">
        <v>301</v>
      </c>
      <c r="K1895" s="268" t="s">
        <v>308</v>
      </c>
    </row>
    <row r="1896" spans="1:11" x14ac:dyDescent="0.35">
      <c r="A1896" s="269" t="s">
        <v>316</v>
      </c>
      <c r="B1896" s="270">
        <v>190</v>
      </c>
      <c r="C1896" s="270"/>
      <c r="D1896" s="270"/>
      <c r="E1896" s="270"/>
      <c r="G1896" s="269" t="s">
        <v>316</v>
      </c>
      <c r="H1896" s="270"/>
      <c r="I1896" s="270"/>
      <c r="J1896" s="270"/>
      <c r="K1896" s="270"/>
    </row>
    <row r="1897" spans="1:11" x14ac:dyDescent="0.35">
      <c r="A1897" s="271" t="s">
        <v>309</v>
      </c>
      <c r="B1897" s="272"/>
      <c r="C1897" s="272"/>
      <c r="D1897" s="272"/>
      <c r="E1897" s="272"/>
      <c r="G1897" s="271" t="s">
        <v>309</v>
      </c>
      <c r="H1897" s="272"/>
      <c r="I1897" s="272"/>
      <c r="J1897" s="272"/>
      <c r="K1897" s="272"/>
    </row>
    <row r="1898" spans="1:11" x14ac:dyDescent="0.35">
      <c r="A1898" s="269" t="s">
        <v>310</v>
      </c>
      <c r="B1898" s="270"/>
      <c r="C1898" s="270"/>
      <c r="D1898" s="270"/>
      <c r="E1898" s="270"/>
      <c r="G1898" s="269" t="s">
        <v>310</v>
      </c>
      <c r="H1898" s="270"/>
      <c r="I1898" s="270"/>
      <c r="J1898" s="270"/>
      <c r="K1898" s="270"/>
    </row>
    <row r="1899" spans="1:11" x14ac:dyDescent="0.35">
      <c r="A1899" s="271" t="s">
        <v>317</v>
      </c>
      <c r="B1899" s="272"/>
      <c r="C1899" s="272"/>
      <c r="D1899" s="272"/>
      <c r="E1899" s="272"/>
      <c r="G1899" s="271" t="s">
        <v>317</v>
      </c>
      <c r="H1899" s="272"/>
      <c r="I1899" s="272"/>
      <c r="J1899" s="272"/>
      <c r="K1899" s="272"/>
    </row>
    <row r="1900" spans="1:11" x14ac:dyDescent="0.35">
      <c r="A1900" s="269" t="s">
        <v>311</v>
      </c>
      <c r="B1900" s="270"/>
      <c r="C1900" s="270"/>
      <c r="D1900" s="270"/>
      <c r="E1900" s="270"/>
      <c r="G1900" s="269" t="s">
        <v>311</v>
      </c>
      <c r="H1900" s="270"/>
      <c r="I1900" s="270"/>
      <c r="J1900" s="270"/>
      <c r="K1900" s="270"/>
    </row>
    <row r="1901" spans="1:11" x14ac:dyDescent="0.35">
      <c r="A1901" s="271" t="s">
        <v>312</v>
      </c>
      <c r="B1901" s="272">
        <v>5875</v>
      </c>
      <c r="C1901" s="272"/>
      <c r="D1901" s="272"/>
      <c r="E1901" s="272"/>
      <c r="G1901" s="271" t="s">
        <v>312</v>
      </c>
      <c r="H1901" s="272"/>
      <c r="I1901" s="272"/>
      <c r="J1901" s="272"/>
      <c r="K1901" s="272"/>
    </row>
    <row r="1902" spans="1:11" x14ac:dyDescent="0.35">
      <c r="A1902" s="231" t="s">
        <v>34</v>
      </c>
      <c r="B1902" s="230">
        <f>SUM(B1896:B1901)</f>
        <v>6065</v>
      </c>
      <c r="C1902" s="230">
        <f>SUM(C1896:C1901)</f>
        <v>0</v>
      </c>
      <c r="D1902" s="230">
        <f>SUM(D1896:D1901)</f>
        <v>0</v>
      </c>
      <c r="E1902" s="230">
        <f>SUM(E1896:E1901)</f>
        <v>0</v>
      </c>
      <c r="G1902" s="231" t="s">
        <v>34</v>
      </c>
      <c r="H1902" s="230">
        <f>SUM(H1896:H1901)</f>
        <v>0</v>
      </c>
      <c r="I1902" s="230">
        <f>SUM(I1896:I1901)</f>
        <v>0</v>
      </c>
      <c r="J1902" s="230">
        <f>SUM(J1896:J1901)</f>
        <v>0</v>
      </c>
      <c r="K1902" s="230">
        <f>SUM(K1896:K1901)</f>
        <v>0</v>
      </c>
    </row>
    <row r="1903" spans="1:11" ht="15" thickBot="1" x14ac:dyDescent="0.4">
      <c r="A1903" s="231" t="s">
        <v>313</v>
      </c>
      <c r="B1903" s="230">
        <f>+B1902+C1902+D1902+E1902</f>
        <v>6065</v>
      </c>
      <c r="C1903" s="230"/>
      <c r="D1903" s="230"/>
      <c r="E1903" s="230"/>
      <c r="G1903" s="231" t="s">
        <v>313</v>
      </c>
      <c r="H1903" s="230">
        <f>+H1902+I1902+J1902+K1902</f>
        <v>0</v>
      </c>
      <c r="I1903" s="230"/>
      <c r="J1903" s="230"/>
      <c r="K1903" s="230"/>
    </row>
    <row r="1904" spans="1:11" ht="15.5" thickTop="1" thickBot="1" x14ac:dyDescent="0.4">
      <c r="A1904" s="335" t="s">
        <v>298</v>
      </c>
      <c r="B1904" s="336"/>
      <c r="C1904" s="336"/>
      <c r="D1904" s="336"/>
      <c r="E1904" s="337"/>
      <c r="G1904" s="335" t="s">
        <v>298</v>
      </c>
      <c r="H1904" s="336"/>
      <c r="I1904" s="336"/>
      <c r="J1904" s="336"/>
      <c r="K1904" s="337"/>
    </row>
    <row r="1905" spans="1:11" ht="15.5" thickTop="1" thickBot="1" x14ac:dyDescent="0.4">
      <c r="A1905" s="338">
        <v>45464</v>
      </c>
      <c r="B1905" s="336"/>
      <c r="C1905" s="336"/>
      <c r="D1905" s="336"/>
      <c r="E1905" s="337"/>
      <c r="G1905" s="338">
        <v>45464</v>
      </c>
      <c r="H1905" s="336"/>
      <c r="I1905" s="336"/>
      <c r="J1905" s="336"/>
      <c r="K1905" s="337"/>
    </row>
    <row r="1906" spans="1:11" ht="15" thickTop="1" x14ac:dyDescent="0.35">
      <c r="A1906" s="267" t="s">
        <v>159</v>
      </c>
      <c r="B1906" s="267" t="s">
        <v>299</v>
      </c>
      <c r="C1906" s="267" t="s">
        <v>307</v>
      </c>
      <c r="D1906" s="267" t="s">
        <v>301</v>
      </c>
      <c r="E1906" s="268" t="s">
        <v>308</v>
      </c>
      <c r="G1906" s="267" t="s">
        <v>159</v>
      </c>
      <c r="H1906" s="267" t="s">
        <v>299</v>
      </c>
      <c r="I1906" s="267" t="s">
        <v>307</v>
      </c>
      <c r="J1906" s="267" t="s">
        <v>301</v>
      </c>
      <c r="K1906" s="268" t="s">
        <v>308</v>
      </c>
    </row>
    <row r="1907" spans="1:11" x14ac:dyDescent="0.35">
      <c r="A1907" s="269" t="s">
        <v>316</v>
      </c>
      <c r="B1907" s="270"/>
      <c r="C1907" s="270"/>
      <c r="D1907" s="270"/>
      <c r="E1907" s="270"/>
      <c r="G1907" s="269" t="s">
        <v>316</v>
      </c>
      <c r="H1907" s="270"/>
      <c r="I1907" s="270"/>
      <c r="J1907" s="270"/>
      <c r="K1907" s="270"/>
    </row>
    <row r="1908" spans="1:11" x14ac:dyDescent="0.35">
      <c r="A1908" s="271" t="s">
        <v>309</v>
      </c>
      <c r="B1908" s="272"/>
      <c r="C1908" s="272"/>
      <c r="D1908" s="272"/>
      <c r="E1908" s="272"/>
      <c r="G1908" s="271" t="s">
        <v>309</v>
      </c>
      <c r="H1908" s="272"/>
      <c r="I1908" s="272"/>
      <c r="J1908" s="272"/>
      <c r="K1908" s="272"/>
    </row>
    <row r="1909" spans="1:11" x14ac:dyDescent="0.35">
      <c r="A1909" s="269" t="s">
        <v>310</v>
      </c>
      <c r="B1909" s="270">
        <v>5000</v>
      </c>
      <c r="C1909" s="270"/>
      <c r="D1909" s="270"/>
      <c r="E1909" s="270"/>
      <c r="G1909" s="269" t="s">
        <v>310</v>
      </c>
      <c r="H1909" s="270"/>
      <c r="I1909" s="270"/>
      <c r="J1909" s="270"/>
      <c r="K1909" s="270"/>
    </row>
    <row r="1910" spans="1:11" x14ac:dyDescent="0.35">
      <c r="A1910" s="271" t="s">
        <v>317</v>
      </c>
      <c r="B1910" s="272"/>
      <c r="C1910" s="272"/>
      <c r="D1910" s="272"/>
      <c r="E1910" s="272"/>
      <c r="G1910" s="271" t="s">
        <v>317</v>
      </c>
      <c r="H1910" s="272"/>
      <c r="I1910" s="272"/>
      <c r="J1910" s="272"/>
      <c r="K1910" s="272"/>
    </row>
    <row r="1911" spans="1:11" x14ac:dyDescent="0.35">
      <c r="A1911" s="269" t="s">
        <v>311</v>
      </c>
      <c r="B1911" s="270"/>
      <c r="C1911" s="270"/>
      <c r="D1911" s="270"/>
      <c r="E1911" s="270"/>
      <c r="G1911" s="269" t="s">
        <v>311</v>
      </c>
      <c r="H1911" s="270"/>
      <c r="I1911" s="270"/>
      <c r="J1911" s="270"/>
      <c r="K1911" s="270"/>
    </row>
    <row r="1912" spans="1:11" x14ac:dyDescent="0.35">
      <c r="A1912" s="271" t="s">
        <v>312</v>
      </c>
      <c r="B1912" s="272"/>
      <c r="C1912" s="272"/>
      <c r="D1912" s="272"/>
      <c r="E1912" s="272"/>
      <c r="G1912" s="271" t="s">
        <v>312</v>
      </c>
      <c r="H1912" s="272"/>
      <c r="I1912" s="272"/>
      <c r="J1912" s="272"/>
      <c r="K1912" s="272"/>
    </row>
    <row r="1913" spans="1:11" x14ac:dyDescent="0.35">
      <c r="A1913" s="231" t="s">
        <v>34</v>
      </c>
      <c r="B1913" s="230">
        <f>SUM(B1907:B1912)</f>
        <v>5000</v>
      </c>
      <c r="C1913" s="230">
        <f>SUM(C1907:C1912)</f>
        <v>0</v>
      </c>
      <c r="D1913" s="230">
        <f>SUM(D1907:D1912)</f>
        <v>0</v>
      </c>
      <c r="E1913" s="230">
        <f>SUM(E1907:E1912)</f>
        <v>0</v>
      </c>
      <c r="G1913" s="231" t="s">
        <v>34</v>
      </c>
      <c r="H1913" s="230">
        <f>SUM(H1907:H1912)</f>
        <v>0</v>
      </c>
      <c r="I1913" s="230">
        <f>SUM(I1907:I1912)</f>
        <v>0</v>
      </c>
      <c r="J1913" s="230">
        <f>SUM(J1907:J1912)</f>
        <v>0</v>
      </c>
      <c r="K1913" s="230">
        <f>SUM(K1907:K1912)</f>
        <v>0</v>
      </c>
    </row>
    <row r="1914" spans="1:11" ht="15" thickBot="1" x14ac:dyDescent="0.4">
      <c r="A1914" s="231" t="s">
        <v>313</v>
      </c>
      <c r="B1914" s="230">
        <f>+B1913+C1913+D1913+E1913</f>
        <v>5000</v>
      </c>
      <c r="C1914" s="230"/>
      <c r="D1914" s="230"/>
      <c r="E1914" s="230"/>
      <c r="G1914" s="231" t="s">
        <v>313</v>
      </c>
      <c r="H1914" s="230">
        <f>+H1913+I1913+J1913+K1913</f>
        <v>0</v>
      </c>
      <c r="I1914" s="230"/>
      <c r="J1914" s="230"/>
      <c r="K1914" s="230"/>
    </row>
    <row r="1915" spans="1:11" ht="15.5" thickTop="1" thickBot="1" x14ac:dyDescent="0.4">
      <c r="A1915" s="335" t="s">
        <v>298</v>
      </c>
      <c r="B1915" s="336"/>
      <c r="C1915" s="336"/>
      <c r="D1915" s="336"/>
      <c r="E1915" s="337"/>
      <c r="G1915" s="335" t="s">
        <v>298</v>
      </c>
      <c r="H1915" s="336"/>
      <c r="I1915" s="336"/>
      <c r="J1915" s="336"/>
      <c r="K1915" s="337"/>
    </row>
    <row r="1916" spans="1:11" ht="15.5" thickTop="1" thickBot="1" x14ac:dyDescent="0.4">
      <c r="A1916" s="338">
        <v>45465</v>
      </c>
      <c r="B1916" s="336"/>
      <c r="C1916" s="336"/>
      <c r="D1916" s="336"/>
      <c r="E1916" s="337"/>
      <c r="G1916" s="338">
        <v>45465</v>
      </c>
      <c r="H1916" s="336"/>
      <c r="I1916" s="336"/>
      <c r="J1916" s="336"/>
      <c r="K1916" s="337"/>
    </row>
    <row r="1917" spans="1:11" ht="15" thickTop="1" x14ac:dyDescent="0.35">
      <c r="A1917" s="267" t="s">
        <v>159</v>
      </c>
      <c r="B1917" s="267" t="s">
        <v>299</v>
      </c>
      <c r="C1917" s="267" t="s">
        <v>307</v>
      </c>
      <c r="D1917" s="267" t="s">
        <v>301</v>
      </c>
      <c r="E1917" s="268" t="s">
        <v>308</v>
      </c>
      <c r="G1917" s="267" t="s">
        <v>159</v>
      </c>
      <c r="H1917" s="267" t="s">
        <v>299</v>
      </c>
      <c r="I1917" s="267" t="s">
        <v>307</v>
      </c>
      <c r="J1917" s="267" t="s">
        <v>301</v>
      </c>
      <c r="K1917" s="268" t="s">
        <v>308</v>
      </c>
    </row>
    <row r="1918" spans="1:11" x14ac:dyDescent="0.35">
      <c r="A1918" s="269" t="s">
        <v>497</v>
      </c>
      <c r="B1918" s="270">
        <v>2500</v>
      </c>
      <c r="C1918" s="270"/>
      <c r="D1918" s="270"/>
      <c r="E1918" s="270"/>
      <c r="G1918" s="269" t="s">
        <v>497</v>
      </c>
      <c r="H1918" s="270">
        <v>1400</v>
      </c>
      <c r="I1918" s="270"/>
      <c r="J1918" s="270"/>
      <c r="K1918" s="270"/>
    </row>
    <row r="1919" spans="1:11" x14ac:dyDescent="0.35">
      <c r="A1919" s="271" t="s">
        <v>497</v>
      </c>
      <c r="B1919" s="272">
        <v>1700</v>
      </c>
      <c r="C1919" s="272"/>
      <c r="D1919" s="272"/>
      <c r="E1919" s="272"/>
      <c r="G1919" s="271" t="s">
        <v>309</v>
      </c>
      <c r="H1919" s="272"/>
      <c r="I1919" s="272"/>
      <c r="J1919" s="272"/>
      <c r="K1919" s="272"/>
    </row>
    <row r="1920" spans="1:11" x14ac:dyDescent="0.35">
      <c r="A1920" s="269" t="s">
        <v>310</v>
      </c>
      <c r="B1920" s="270"/>
      <c r="C1920" s="270"/>
      <c r="D1920" s="270"/>
      <c r="E1920" s="270"/>
      <c r="G1920" s="269" t="s">
        <v>310</v>
      </c>
      <c r="H1920" s="270">
        <v>2534</v>
      </c>
      <c r="I1920" s="270"/>
      <c r="J1920" s="270"/>
      <c r="K1920" s="270"/>
    </row>
    <row r="1921" spans="1:11" x14ac:dyDescent="0.35">
      <c r="A1921" s="271" t="s">
        <v>317</v>
      </c>
      <c r="B1921" s="272"/>
      <c r="C1921" s="272"/>
      <c r="D1921" s="272"/>
      <c r="E1921" s="272"/>
      <c r="G1921" s="271" t="s">
        <v>317</v>
      </c>
      <c r="H1921" s="272"/>
      <c r="I1921" s="272"/>
      <c r="J1921" s="272"/>
      <c r="K1921" s="272"/>
    </row>
    <row r="1922" spans="1:11" x14ac:dyDescent="0.35">
      <c r="A1922" s="269" t="s">
        <v>311</v>
      </c>
      <c r="B1922" s="270"/>
      <c r="C1922" s="270"/>
      <c r="D1922" s="270"/>
      <c r="E1922" s="270"/>
      <c r="G1922" s="269" t="s">
        <v>311</v>
      </c>
      <c r="H1922" s="270"/>
      <c r="I1922" s="270"/>
      <c r="J1922" s="270"/>
      <c r="K1922" s="270"/>
    </row>
    <row r="1923" spans="1:11" x14ac:dyDescent="0.35">
      <c r="A1923" s="271" t="s">
        <v>312</v>
      </c>
      <c r="B1923" s="272"/>
      <c r="C1923" s="272"/>
      <c r="D1923" s="272"/>
      <c r="E1923" s="272"/>
      <c r="G1923" s="271" t="s">
        <v>312</v>
      </c>
      <c r="H1923" s="272"/>
      <c r="I1923" s="272"/>
      <c r="J1923" s="272"/>
      <c r="K1923" s="272"/>
    </row>
    <row r="1924" spans="1:11" x14ac:dyDescent="0.35">
      <c r="A1924" s="231" t="s">
        <v>34</v>
      </c>
      <c r="B1924" s="230">
        <f>SUM(B1918:B1923)</f>
        <v>4200</v>
      </c>
      <c r="C1924" s="230">
        <f>SUM(C1918:C1923)</f>
        <v>0</v>
      </c>
      <c r="D1924" s="230">
        <f>SUM(D1918:D1923)</f>
        <v>0</v>
      </c>
      <c r="E1924" s="230">
        <f>SUM(E1918:E1923)</f>
        <v>0</v>
      </c>
      <c r="G1924" s="231" t="s">
        <v>34</v>
      </c>
      <c r="H1924" s="230">
        <f>SUM(H1918:H1923)</f>
        <v>3934</v>
      </c>
      <c r="I1924" s="230">
        <f>SUM(I1918:I1923)</f>
        <v>0</v>
      </c>
      <c r="J1924" s="230">
        <f>SUM(J1918:J1923)</f>
        <v>0</v>
      </c>
      <c r="K1924" s="230">
        <f>SUM(K1918:K1923)</f>
        <v>0</v>
      </c>
    </row>
    <row r="1925" spans="1:11" ht="15" thickBot="1" x14ac:dyDescent="0.4">
      <c r="A1925" s="231" t="s">
        <v>313</v>
      </c>
      <c r="B1925" s="230">
        <f>+B1924+C1924+D1924+E1924</f>
        <v>4200</v>
      </c>
      <c r="C1925" s="230"/>
      <c r="D1925" s="230"/>
      <c r="E1925" s="230"/>
      <c r="G1925" s="231" t="s">
        <v>313</v>
      </c>
      <c r="H1925" s="230">
        <f>+H1924+I1924+J1924+K1924</f>
        <v>3934</v>
      </c>
      <c r="I1925" s="230"/>
      <c r="J1925" s="230"/>
      <c r="K1925" s="230"/>
    </row>
    <row r="1926" spans="1:11" ht="15.5" thickTop="1" thickBot="1" x14ac:dyDescent="0.4">
      <c r="A1926" s="335" t="s">
        <v>298</v>
      </c>
      <c r="B1926" s="336"/>
      <c r="C1926" s="336"/>
      <c r="D1926" s="336"/>
      <c r="E1926" s="337"/>
      <c r="G1926" s="335" t="s">
        <v>298</v>
      </c>
      <c r="H1926" s="336"/>
      <c r="I1926" s="336"/>
      <c r="J1926" s="336"/>
      <c r="K1926" s="337"/>
    </row>
    <row r="1927" spans="1:11" ht="15.5" thickTop="1" thickBot="1" x14ac:dyDescent="0.4">
      <c r="A1927" s="338">
        <v>45466</v>
      </c>
      <c r="B1927" s="336"/>
      <c r="C1927" s="336"/>
      <c r="D1927" s="336"/>
      <c r="E1927" s="337"/>
      <c r="G1927" s="338">
        <v>45466</v>
      </c>
      <c r="H1927" s="336"/>
      <c r="I1927" s="336"/>
      <c r="J1927" s="336"/>
      <c r="K1927" s="337"/>
    </row>
    <row r="1928" spans="1:11" ht="15" thickTop="1" x14ac:dyDescent="0.35">
      <c r="A1928" s="267" t="s">
        <v>159</v>
      </c>
      <c r="B1928" s="267" t="s">
        <v>299</v>
      </c>
      <c r="C1928" s="267" t="s">
        <v>307</v>
      </c>
      <c r="D1928" s="267" t="s">
        <v>301</v>
      </c>
      <c r="E1928" s="268" t="s">
        <v>308</v>
      </c>
      <c r="G1928" s="267" t="s">
        <v>159</v>
      </c>
      <c r="H1928" s="267" t="s">
        <v>299</v>
      </c>
      <c r="I1928" s="267" t="s">
        <v>307</v>
      </c>
      <c r="J1928" s="267" t="s">
        <v>301</v>
      </c>
      <c r="K1928" s="268" t="s">
        <v>308</v>
      </c>
    </row>
    <row r="1929" spans="1:11" x14ac:dyDescent="0.35">
      <c r="A1929" s="269" t="s">
        <v>316</v>
      </c>
      <c r="B1929" s="270"/>
      <c r="C1929" s="270"/>
      <c r="D1929" s="270"/>
      <c r="E1929" s="270"/>
      <c r="G1929" s="269" t="s">
        <v>316</v>
      </c>
      <c r="H1929" s="270"/>
      <c r="I1929" s="270"/>
      <c r="J1929" s="270"/>
      <c r="K1929" s="270"/>
    </row>
    <row r="1930" spans="1:11" x14ac:dyDescent="0.35">
      <c r="A1930" s="271" t="s">
        <v>309</v>
      </c>
      <c r="B1930" s="272"/>
      <c r="C1930" s="272"/>
      <c r="D1930" s="272"/>
      <c r="E1930" s="272"/>
      <c r="G1930" s="271" t="s">
        <v>309</v>
      </c>
      <c r="H1930" s="272"/>
      <c r="I1930" s="272"/>
      <c r="J1930" s="272"/>
      <c r="K1930" s="272"/>
    </row>
    <row r="1931" spans="1:11" x14ac:dyDescent="0.35">
      <c r="A1931" s="269" t="s">
        <v>310</v>
      </c>
      <c r="B1931" s="270">
        <v>10064</v>
      </c>
      <c r="C1931" s="270"/>
      <c r="D1931" s="270"/>
      <c r="E1931" s="270"/>
      <c r="G1931" s="269" t="s">
        <v>310</v>
      </c>
      <c r="H1931" s="270"/>
      <c r="I1931" s="270"/>
      <c r="J1931" s="270"/>
      <c r="K1931" s="270"/>
    </row>
    <row r="1932" spans="1:11" x14ac:dyDescent="0.35">
      <c r="A1932" s="271" t="s">
        <v>317</v>
      </c>
      <c r="B1932" s="272"/>
      <c r="C1932" s="272"/>
      <c r="D1932" s="272"/>
      <c r="E1932" s="272"/>
      <c r="G1932" s="271" t="s">
        <v>317</v>
      </c>
      <c r="H1932" s="272"/>
      <c r="I1932" s="272"/>
      <c r="J1932" s="272"/>
      <c r="K1932" s="272"/>
    </row>
    <row r="1933" spans="1:11" x14ac:dyDescent="0.35">
      <c r="A1933" s="269" t="s">
        <v>311</v>
      </c>
      <c r="B1933" s="270"/>
      <c r="C1933" s="270"/>
      <c r="D1933" s="270"/>
      <c r="E1933" s="270"/>
      <c r="G1933" s="269" t="s">
        <v>311</v>
      </c>
      <c r="H1933" s="270"/>
      <c r="I1933" s="270"/>
      <c r="J1933" s="270"/>
      <c r="K1933" s="270"/>
    </row>
    <row r="1934" spans="1:11" x14ac:dyDescent="0.35">
      <c r="A1934" s="271" t="s">
        <v>312</v>
      </c>
      <c r="B1934" s="272"/>
      <c r="C1934" s="272"/>
      <c r="D1934" s="272"/>
      <c r="E1934" s="272"/>
      <c r="G1934" s="271" t="s">
        <v>312</v>
      </c>
      <c r="H1934" s="272"/>
      <c r="I1934" s="272"/>
      <c r="J1934" s="272"/>
      <c r="K1934" s="272"/>
    </row>
    <row r="1935" spans="1:11" x14ac:dyDescent="0.35">
      <c r="A1935" s="231" t="s">
        <v>34</v>
      </c>
      <c r="B1935" s="230">
        <f>SUM(B1929:B1934)</f>
        <v>10064</v>
      </c>
      <c r="C1935" s="230">
        <f>SUM(C1929:C1934)</f>
        <v>0</v>
      </c>
      <c r="D1935" s="230">
        <f>SUM(D1929:D1934)</f>
        <v>0</v>
      </c>
      <c r="E1935" s="230">
        <f>SUM(E1929:E1934)</f>
        <v>0</v>
      </c>
      <c r="G1935" s="231" t="s">
        <v>34</v>
      </c>
      <c r="H1935" s="230">
        <f>SUM(H1929:H1934)</f>
        <v>0</v>
      </c>
      <c r="I1935" s="230">
        <f>SUM(I1929:I1934)</f>
        <v>0</v>
      </c>
      <c r="J1935" s="230">
        <f>SUM(J1929:J1934)</f>
        <v>0</v>
      </c>
      <c r="K1935" s="230">
        <f>SUM(K1929:K1934)</f>
        <v>0</v>
      </c>
    </row>
    <row r="1936" spans="1:11" ht="15" thickBot="1" x14ac:dyDescent="0.4">
      <c r="A1936" s="231" t="s">
        <v>313</v>
      </c>
      <c r="B1936" s="230">
        <f>+B1935+C1935+D1935+E1935</f>
        <v>10064</v>
      </c>
      <c r="C1936" s="230"/>
      <c r="D1936" s="230"/>
      <c r="E1936" s="230"/>
      <c r="G1936" s="231" t="s">
        <v>313</v>
      </c>
      <c r="H1936" s="230">
        <f>+H1935+I1935+J1935+K1935</f>
        <v>0</v>
      </c>
      <c r="I1936" s="230"/>
      <c r="J1936" s="230"/>
      <c r="K1936" s="230"/>
    </row>
    <row r="1937" spans="1:11" ht="15.5" thickTop="1" thickBot="1" x14ac:dyDescent="0.4">
      <c r="A1937" s="335" t="s">
        <v>298</v>
      </c>
      <c r="B1937" s="336"/>
      <c r="C1937" s="336"/>
      <c r="D1937" s="336"/>
      <c r="E1937" s="337"/>
      <c r="G1937" s="335" t="s">
        <v>298</v>
      </c>
      <c r="H1937" s="336"/>
      <c r="I1937" s="336"/>
      <c r="J1937" s="336"/>
      <c r="K1937" s="337"/>
    </row>
    <row r="1938" spans="1:11" ht="15.5" thickTop="1" thickBot="1" x14ac:dyDescent="0.4">
      <c r="A1938" s="338">
        <v>45467</v>
      </c>
      <c r="B1938" s="336"/>
      <c r="C1938" s="336"/>
      <c r="D1938" s="336"/>
      <c r="E1938" s="337"/>
      <c r="G1938" s="338">
        <v>45467</v>
      </c>
      <c r="H1938" s="336"/>
      <c r="I1938" s="336"/>
      <c r="J1938" s="336"/>
      <c r="K1938" s="337"/>
    </row>
    <row r="1939" spans="1:11" ht="15" thickTop="1" x14ac:dyDescent="0.35">
      <c r="A1939" s="267" t="s">
        <v>159</v>
      </c>
      <c r="B1939" s="267" t="s">
        <v>299</v>
      </c>
      <c r="C1939" s="267" t="s">
        <v>307</v>
      </c>
      <c r="D1939" s="267" t="s">
        <v>301</v>
      </c>
      <c r="E1939" s="268" t="s">
        <v>308</v>
      </c>
      <c r="G1939" s="267" t="s">
        <v>159</v>
      </c>
      <c r="H1939" s="267" t="s">
        <v>299</v>
      </c>
      <c r="I1939" s="267" t="s">
        <v>307</v>
      </c>
      <c r="J1939" s="267" t="s">
        <v>301</v>
      </c>
      <c r="K1939" s="268" t="s">
        <v>308</v>
      </c>
    </row>
    <row r="1940" spans="1:11" x14ac:dyDescent="0.35">
      <c r="A1940" s="269" t="s">
        <v>95</v>
      </c>
      <c r="B1940" s="270">
        <v>600</v>
      </c>
      <c r="C1940" s="270"/>
      <c r="D1940" s="270"/>
      <c r="E1940" s="270"/>
      <c r="G1940" s="269" t="s">
        <v>316</v>
      </c>
      <c r="H1940" s="270"/>
      <c r="I1940" s="270"/>
      <c r="J1940" s="270"/>
      <c r="K1940" s="270"/>
    </row>
    <row r="1941" spans="1:11" x14ac:dyDescent="0.35">
      <c r="A1941" s="271" t="s">
        <v>309</v>
      </c>
      <c r="B1941" s="272"/>
      <c r="C1941" s="272"/>
      <c r="D1941" s="272"/>
      <c r="E1941" s="272"/>
      <c r="G1941" s="271" t="s">
        <v>309</v>
      </c>
      <c r="H1941" s="272"/>
      <c r="I1941" s="272"/>
      <c r="J1941" s="272"/>
      <c r="K1941" s="272"/>
    </row>
    <row r="1942" spans="1:11" x14ac:dyDescent="0.35">
      <c r="A1942" s="269" t="s">
        <v>310</v>
      </c>
      <c r="B1942" s="270"/>
      <c r="C1942" s="270"/>
      <c r="D1942" s="270"/>
      <c r="E1942" s="270"/>
      <c r="G1942" s="269" t="s">
        <v>310</v>
      </c>
      <c r="H1942" s="270"/>
      <c r="I1942" s="270"/>
      <c r="J1942" s="270"/>
      <c r="K1942" s="270"/>
    </row>
    <row r="1943" spans="1:11" x14ac:dyDescent="0.35">
      <c r="A1943" s="271" t="s">
        <v>317</v>
      </c>
      <c r="B1943" s="272"/>
      <c r="C1943" s="272"/>
      <c r="D1943" s="272"/>
      <c r="E1943" s="272"/>
      <c r="G1943" s="271" t="s">
        <v>317</v>
      </c>
      <c r="H1943" s="272"/>
      <c r="I1943" s="272"/>
      <c r="J1943" s="272"/>
      <c r="K1943" s="272"/>
    </row>
    <row r="1944" spans="1:11" x14ac:dyDescent="0.35">
      <c r="A1944" s="269" t="s">
        <v>311</v>
      </c>
      <c r="B1944" s="270"/>
      <c r="C1944" s="270"/>
      <c r="D1944" s="270"/>
      <c r="E1944" s="270"/>
      <c r="G1944" s="269" t="s">
        <v>311</v>
      </c>
      <c r="H1944" s="270"/>
      <c r="I1944" s="270"/>
      <c r="J1944" s="270"/>
      <c r="K1944" s="270"/>
    </row>
    <row r="1945" spans="1:11" x14ac:dyDescent="0.35">
      <c r="A1945" s="271" t="s">
        <v>312</v>
      </c>
      <c r="B1945" s="272"/>
      <c r="C1945" s="272"/>
      <c r="D1945" s="272"/>
      <c r="E1945" s="272"/>
      <c r="G1945" s="271" t="s">
        <v>312</v>
      </c>
      <c r="H1945" s="272"/>
      <c r="I1945" s="272"/>
      <c r="J1945" s="272"/>
      <c r="K1945" s="272"/>
    </row>
    <row r="1946" spans="1:11" x14ac:dyDescent="0.35">
      <c r="A1946" s="231" t="s">
        <v>34</v>
      </c>
      <c r="B1946" s="230">
        <f>SUM(B1940:B1945)</f>
        <v>600</v>
      </c>
      <c r="C1946" s="230">
        <f>SUM(C1940:C1945)</f>
        <v>0</v>
      </c>
      <c r="D1946" s="230">
        <f>SUM(D1940:D1945)</f>
        <v>0</v>
      </c>
      <c r="E1946" s="230">
        <f>SUM(E1940:E1945)</f>
        <v>0</v>
      </c>
      <c r="G1946" s="231" t="s">
        <v>34</v>
      </c>
      <c r="H1946" s="230">
        <f>SUM(H1940:H1945)</f>
        <v>0</v>
      </c>
      <c r="I1946" s="230">
        <f>SUM(I1940:I1945)</f>
        <v>0</v>
      </c>
      <c r="J1946" s="230">
        <f>SUM(J1940:J1945)</f>
        <v>0</v>
      </c>
      <c r="K1946" s="230">
        <f>SUM(K1940:K1945)</f>
        <v>0</v>
      </c>
    </row>
    <row r="1947" spans="1:11" ht="15" thickBot="1" x14ac:dyDescent="0.4">
      <c r="A1947" s="231" t="s">
        <v>313</v>
      </c>
      <c r="B1947" s="230">
        <f>+B1946+C1946+D1946+E1946</f>
        <v>600</v>
      </c>
      <c r="C1947" s="230"/>
      <c r="D1947" s="230"/>
      <c r="E1947" s="230"/>
      <c r="G1947" s="231" t="s">
        <v>313</v>
      </c>
      <c r="H1947" s="230">
        <f>+H1946+I1946+J1946+K1946</f>
        <v>0</v>
      </c>
      <c r="I1947" s="230"/>
      <c r="J1947" s="230"/>
      <c r="K1947" s="230"/>
    </row>
    <row r="1948" spans="1:11" ht="15.5" thickTop="1" thickBot="1" x14ac:dyDescent="0.4">
      <c r="A1948" s="335" t="s">
        <v>298</v>
      </c>
      <c r="B1948" s="336"/>
      <c r="C1948" s="336"/>
      <c r="D1948" s="336"/>
      <c r="E1948" s="337"/>
      <c r="G1948" s="335" t="s">
        <v>298</v>
      </c>
      <c r="H1948" s="336"/>
      <c r="I1948" s="336"/>
      <c r="J1948" s="336"/>
      <c r="K1948" s="337"/>
    </row>
    <row r="1949" spans="1:11" ht="15.5" thickTop="1" thickBot="1" x14ac:dyDescent="0.4">
      <c r="A1949" s="338">
        <v>45468</v>
      </c>
      <c r="B1949" s="336"/>
      <c r="C1949" s="336"/>
      <c r="D1949" s="336"/>
      <c r="E1949" s="337"/>
      <c r="G1949" s="338">
        <v>45468</v>
      </c>
      <c r="H1949" s="336"/>
      <c r="I1949" s="336"/>
      <c r="J1949" s="336"/>
      <c r="K1949" s="337"/>
    </row>
    <row r="1950" spans="1:11" ht="15" thickTop="1" x14ac:dyDescent="0.35">
      <c r="A1950" s="267" t="s">
        <v>159</v>
      </c>
      <c r="B1950" s="267" t="s">
        <v>299</v>
      </c>
      <c r="C1950" s="267" t="s">
        <v>307</v>
      </c>
      <c r="D1950" s="267" t="s">
        <v>301</v>
      </c>
      <c r="E1950" s="268" t="s">
        <v>308</v>
      </c>
      <c r="G1950" s="267" t="s">
        <v>159</v>
      </c>
      <c r="H1950" s="267" t="s">
        <v>299</v>
      </c>
      <c r="I1950" s="267" t="s">
        <v>307</v>
      </c>
      <c r="J1950" s="267" t="s">
        <v>301</v>
      </c>
      <c r="K1950" s="268" t="s">
        <v>308</v>
      </c>
    </row>
    <row r="1951" spans="1:11" x14ac:dyDescent="0.35">
      <c r="A1951" s="269" t="s">
        <v>316</v>
      </c>
      <c r="B1951" s="270"/>
      <c r="C1951" s="270"/>
      <c r="D1951" s="270"/>
      <c r="E1951" s="270"/>
      <c r="G1951" s="269" t="s">
        <v>316</v>
      </c>
      <c r="H1951" s="270"/>
      <c r="I1951" s="270"/>
      <c r="J1951" s="270"/>
      <c r="K1951" s="270"/>
    </row>
    <row r="1952" spans="1:11" x14ac:dyDescent="0.35">
      <c r="A1952" s="271" t="s">
        <v>309</v>
      </c>
      <c r="B1952" s="272"/>
      <c r="C1952" s="272"/>
      <c r="D1952" s="272"/>
      <c r="E1952" s="272"/>
      <c r="G1952" s="271" t="s">
        <v>309</v>
      </c>
      <c r="H1952" s="272"/>
      <c r="I1952" s="272"/>
      <c r="J1952" s="272"/>
      <c r="K1952" s="272"/>
    </row>
    <row r="1953" spans="1:11" x14ac:dyDescent="0.35">
      <c r="A1953" s="269" t="s">
        <v>310</v>
      </c>
      <c r="B1953" s="270"/>
      <c r="C1953" s="270"/>
      <c r="D1953" s="270"/>
      <c r="E1953" s="270"/>
      <c r="G1953" s="269" t="s">
        <v>310</v>
      </c>
      <c r="H1953" s="270"/>
      <c r="I1953" s="270"/>
      <c r="J1953" s="270"/>
      <c r="K1953" s="270"/>
    </row>
    <row r="1954" spans="1:11" x14ac:dyDescent="0.35">
      <c r="A1954" s="271" t="s">
        <v>317</v>
      </c>
      <c r="B1954" s="272"/>
      <c r="C1954" s="272"/>
      <c r="D1954" s="272"/>
      <c r="E1954" s="272"/>
      <c r="G1954" s="271" t="s">
        <v>317</v>
      </c>
      <c r="H1954" s="272"/>
      <c r="I1954" s="272"/>
      <c r="J1954" s="272"/>
      <c r="K1954" s="272"/>
    </row>
    <row r="1955" spans="1:11" x14ac:dyDescent="0.35">
      <c r="A1955" s="269" t="s">
        <v>311</v>
      </c>
      <c r="B1955" s="270"/>
      <c r="C1955" s="270"/>
      <c r="D1955" s="270"/>
      <c r="E1955" s="270"/>
      <c r="G1955" s="269" t="s">
        <v>311</v>
      </c>
      <c r="H1955" s="270"/>
      <c r="I1955" s="270"/>
      <c r="J1955" s="270"/>
      <c r="K1955" s="270"/>
    </row>
    <row r="1956" spans="1:11" x14ac:dyDescent="0.35">
      <c r="A1956" s="271" t="s">
        <v>312</v>
      </c>
      <c r="B1956" s="272"/>
      <c r="C1956" s="272"/>
      <c r="D1956" s="272"/>
      <c r="E1956" s="272"/>
      <c r="G1956" s="271" t="s">
        <v>312</v>
      </c>
      <c r="H1956" s="272"/>
      <c r="I1956" s="272"/>
      <c r="J1956" s="272"/>
      <c r="K1956" s="272"/>
    </row>
    <row r="1957" spans="1:11" x14ac:dyDescent="0.35">
      <c r="A1957" s="231" t="s">
        <v>34</v>
      </c>
      <c r="B1957" s="230">
        <f>SUM(B1951:B1956)</f>
        <v>0</v>
      </c>
      <c r="C1957" s="230">
        <f>SUM(C1951:C1956)</f>
        <v>0</v>
      </c>
      <c r="D1957" s="230">
        <f>SUM(D1951:D1956)</f>
        <v>0</v>
      </c>
      <c r="E1957" s="230">
        <f>SUM(E1951:E1956)</f>
        <v>0</v>
      </c>
      <c r="G1957" s="231" t="s">
        <v>34</v>
      </c>
      <c r="H1957" s="230">
        <f>SUM(H1951:H1956)</f>
        <v>0</v>
      </c>
      <c r="I1957" s="230">
        <f>SUM(I1951:I1956)</f>
        <v>0</v>
      </c>
      <c r="J1957" s="230">
        <f>SUM(J1951:J1956)</f>
        <v>0</v>
      </c>
      <c r="K1957" s="230">
        <f>SUM(K1951:K1956)</f>
        <v>0</v>
      </c>
    </row>
    <row r="1958" spans="1:11" ht="15" thickBot="1" x14ac:dyDescent="0.4">
      <c r="A1958" s="231" t="s">
        <v>313</v>
      </c>
      <c r="B1958" s="230">
        <f>+B1957+C1957+D1957+E1957</f>
        <v>0</v>
      </c>
      <c r="C1958" s="230"/>
      <c r="D1958" s="230"/>
      <c r="E1958" s="230"/>
      <c r="G1958" s="231" t="s">
        <v>313</v>
      </c>
      <c r="H1958" s="230">
        <f>+H1957+I1957+J1957+K1957</f>
        <v>0</v>
      </c>
      <c r="I1958" s="230"/>
      <c r="J1958" s="230"/>
      <c r="K1958" s="230"/>
    </row>
    <row r="1959" spans="1:11" ht="15.5" thickTop="1" thickBot="1" x14ac:dyDescent="0.4">
      <c r="A1959" s="335" t="s">
        <v>298</v>
      </c>
      <c r="B1959" s="336"/>
      <c r="C1959" s="336"/>
      <c r="D1959" s="336"/>
      <c r="E1959" s="337"/>
      <c r="G1959" s="335" t="s">
        <v>298</v>
      </c>
      <c r="H1959" s="336"/>
      <c r="I1959" s="336"/>
      <c r="J1959" s="336"/>
      <c r="K1959" s="337"/>
    </row>
    <row r="1960" spans="1:11" ht="15.5" thickTop="1" thickBot="1" x14ac:dyDescent="0.4">
      <c r="A1960" s="338">
        <v>45469</v>
      </c>
      <c r="B1960" s="336"/>
      <c r="C1960" s="336"/>
      <c r="D1960" s="336"/>
      <c r="E1960" s="337"/>
      <c r="G1960" s="338">
        <v>45469</v>
      </c>
      <c r="H1960" s="336"/>
      <c r="I1960" s="336"/>
      <c r="J1960" s="336"/>
      <c r="K1960" s="337"/>
    </row>
    <row r="1961" spans="1:11" ht="15" thickTop="1" x14ac:dyDescent="0.35">
      <c r="A1961" s="267" t="s">
        <v>159</v>
      </c>
      <c r="B1961" s="267" t="s">
        <v>299</v>
      </c>
      <c r="C1961" s="267" t="s">
        <v>307</v>
      </c>
      <c r="D1961" s="267" t="s">
        <v>301</v>
      </c>
      <c r="E1961" s="268" t="s">
        <v>308</v>
      </c>
      <c r="G1961" s="267" t="s">
        <v>159</v>
      </c>
      <c r="H1961" s="267" t="s">
        <v>299</v>
      </c>
      <c r="I1961" s="267" t="s">
        <v>307</v>
      </c>
      <c r="J1961" s="267" t="s">
        <v>301</v>
      </c>
      <c r="K1961" s="268" t="s">
        <v>308</v>
      </c>
    </row>
    <row r="1962" spans="1:11" x14ac:dyDescent="0.35">
      <c r="A1962" s="269" t="s">
        <v>316</v>
      </c>
      <c r="B1962" s="270">
        <v>230</v>
      </c>
      <c r="C1962" s="270"/>
      <c r="D1962" s="270"/>
      <c r="E1962" s="270"/>
      <c r="G1962" s="269" t="s">
        <v>316</v>
      </c>
      <c r="H1962" s="270"/>
      <c r="I1962" s="270"/>
      <c r="J1962" s="270"/>
      <c r="K1962" s="270"/>
    </row>
    <row r="1963" spans="1:11" x14ac:dyDescent="0.35">
      <c r="A1963" s="271" t="s">
        <v>309</v>
      </c>
      <c r="B1963" s="272"/>
      <c r="C1963" s="272"/>
      <c r="D1963" s="272"/>
      <c r="E1963" s="272"/>
      <c r="G1963" s="271" t="s">
        <v>309</v>
      </c>
      <c r="H1963" s="272"/>
      <c r="I1963" s="272"/>
      <c r="J1963" s="272"/>
      <c r="K1963" s="272"/>
    </row>
    <row r="1964" spans="1:11" x14ac:dyDescent="0.35">
      <c r="A1964" s="269" t="s">
        <v>310</v>
      </c>
      <c r="B1964" s="270"/>
      <c r="C1964" s="270"/>
      <c r="D1964" s="270"/>
      <c r="E1964" s="270"/>
      <c r="G1964" s="269" t="s">
        <v>310</v>
      </c>
      <c r="H1964" s="270"/>
      <c r="I1964" s="270"/>
      <c r="J1964" s="270"/>
      <c r="K1964" s="270"/>
    </row>
    <row r="1965" spans="1:11" x14ac:dyDescent="0.35">
      <c r="A1965" s="271" t="s">
        <v>317</v>
      </c>
      <c r="B1965" s="272"/>
      <c r="C1965" s="272"/>
      <c r="D1965" s="272"/>
      <c r="E1965" s="272"/>
      <c r="G1965" s="271" t="s">
        <v>317</v>
      </c>
      <c r="H1965" s="272"/>
      <c r="I1965" s="272"/>
      <c r="J1965" s="272"/>
      <c r="K1965" s="272"/>
    </row>
    <row r="1966" spans="1:11" x14ac:dyDescent="0.35">
      <c r="A1966" s="269" t="s">
        <v>311</v>
      </c>
      <c r="B1966" s="270"/>
      <c r="C1966" s="270"/>
      <c r="D1966" s="270"/>
      <c r="E1966" s="270"/>
      <c r="G1966" s="269" t="s">
        <v>311</v>
      </c>
      <c r="H1966" s="270"/>
      <c r="I1966" s="270"/>
      <c r="J1966" s="270"/>
      <c r="K1966" s="270"/>
    </row>
    <row r="1967" spans="1:11" x14ac:dyDescent="0.35">
      <c r="A1967" s="271" t="s">
        <v>312</v>
      </c>
      <c r="B1967" s="272"/>
      <c r="C1967" s="272"/>
      <c r="D1967" s="272"/>
      <c r="E1967" s="272"/>
      <c r="G1967" s="271" t="s">
        <v>312</v>
      </c>
      <c r="H1967" s="272"/>
      <c r="I1967" s="272"/>
      <c r="J1967" s="272"/>
      <c r="K1967" s="272"/>
    </row>
    <row r="1968" spans="1:11" x14ac:dyDescent="0.35">
      <c r="A1968" s="231" t="s">
        <v>34</v>
      </c>
      <c r="B1968" s="230">
        <f>SUM(B1962:B1967)</f>
        <v>230</v>
      </c>
      <c r="C1968" s="230">
        <f>SUM(C1962:C1967)</f>
        <v>0</v>
      </c>
      <c r="D1968" s="230">
        <f>SUM(D1962:D1967)</f>
        <v>0</v>
      </c>
      <c r="E1968" s="230">
        <f>SUM(E1962:E1967)</f>
        <v>0</v>
      </c>
      <c r="G1968" s="231" t="s">
        <v>34</v>
      </c>
      <c r="H1968" s="230">
        <f>SUM(H1962:H1967)</f>
        <v>0</v>
      </c>
      <c r="I1968" s="230">
        <f>SUM(I1962:I1967)</f>
        <v>0</v>
      </c>
      <c r="J1968" s="230">
        <f>SUM(J1962:J1967)</f>
        <v>0</v>
      </c>
      <c r="K1968" s="230">
        <f>SUM(K1962:K1967)</f>
        <v>0</v>
      </c>
    </row>
    <row r="1969" spans="1:11" ht="15" thickBot="1" x14ac:dyDescent="0.4">
      <c r="A1969" s="231" t="s">
        <v>313</v>
      </c>
      <c r="B1969" s="230">
        <f>+B1968+C1968+D1968+E1968</f>
        <v>230</v>
      </c>
      <c r="C1969" s="230"/>
      <c r="D1969" s="230"/>
      <c r="E1969" s="230"/>
      <c r="G1969" s="231" t="s">
        <v>313</v>
      </c>
      <c r="H1969" s="230">
        <f>+H1968+I1968+J1968+K1968</f>
        <v>0</v>
      </c>
      <c r="I1969" s="230"/>
      <c r="J1969" s="230"/>
      <c r="K1969" s="230"/>
    </row>
    <row r="1970" spans="1:11" ht="15.5" thickTop="1" thickBot="1" x14ac:dyDescent="0.4">
      <c r="A1970" s="335" t="s">
        <v>298</v>
      </c>
      <c r="B1970" s="336"/>
      <c r="C1970" s="336"/>
      <c r="D1970" s="336"/>
      <c r="E1970" s="337"/>
      <c r="G1970" s="335" t="s">
        <v>298</v>
      </c>
      <c r="H1970" s="336"/>
      <c r="I1970" s="336"/>
      <c r="J1970" s="336"/>
      <c r="K1970" s="337"/>
    </row>
    <row r="1971" spans="1:11" ht="15.5" thickTop="1" thickBot="1" x14ac:dyDescent="0.4">
      <c r="A1971" s="338">
        <v>45470</v>
      </c>
      <c r="B1971" s="336"/>
      <c r="C1971" s="336"/>
      <c r="D1971" s="336"/>
      <c r="E1971" s="337"/>
      <c r="G1971" s="338">
        <v>45470</v>
      </c>
      <c r="H1971" s="336"/>
      <c r="I1971" s="336"/>
      <c r="J1971" s="336"/>
      <c r="K1971" s="337"/>
    </row>
    <row r="1972" spans="1:11" ht="15" thickTop="1" x14ac:dyDescent="0.35">
      <c r="A1972" s="267" t="s">
        <v>159</v>
      </c>
      <c r="B1972" s="267" t="s">
        <v>299</v>
      </c>
      <c r="C1972" s="267" t="s">
        <v>307</v>
      </c>
      <c r="D1972" s="267" t="s">
        <v>301</v>
      </c>
      <c r="E1972" s="268" t="s">
        <v>308</v>
      </c>
      <c r="G1972" s="267" t="s">
        <v>159</v>
      </c>
      <c r="H1972" s="267" t="s">
        <v>299</v>
      </c>
      <c r="I1972" s="267" t="s">
        <v>307</v>
      </c>
      <c r="J1972" s="267" t="s">
        <v>301</v>
      </c>
      <c r="K1972" s="268" t="s">
        <v>308</v>
      </c>
    </row>
    <row r="1973" spans="1:11" x14ac:dyDescent="0.35">
      <c r="A1973" s="269" t="s">
        <v>316</v>
      </c>
      <c r="B1973" s="270">
        <v>56</v>
      </c>
      <c r="C1973" s="270"/>
      <c r="D1973" s="270"/>
      <c r="E1973" s="270"/>
      <c r="G1973" s="269" t="s">
        <v>316</v>
      </c>
      <c r="H1973" s="270">
        <v>200</v>
      </c>
      <c r="I1973" s="270"/>
      <c r="J1973" s="270"/>
      <c r="K1973" s="270"/>
    </row>
    <row r="1974" spans="1:11" x14ac:dyDescent="0.35">
      <c r="A1974" s="271" t="s">
        <v>309</v>
      </c>
      <c r="B1974" s="272"/>
      <c r="C1974" s="272"/>
      <c r="D1974" s="272"/>
      <c r="E1974" s="272"/>
      <c r="G1974" s="271" t="s">
        <v>309</v>
      </c>
      <c r="H1974" s="272"/>
      <c r="I1974" s="272"/>
      <c r="J1974" s="272"/>
      <c r="K1974" s="272"/>
    </row>
    <row r="1975" spans="1:11" x14ac:dyDescent="0.35">
      <c r="A1975" s="269" t="s">
        <v>310</v>
      </c>
      <c r="B1975" s="270">
        <v>7300</v>
      </c>
      <c r="C1975" s="270"/>
      <c r="D1975" s="270"/>
      <c r="E1975" s="270"/>
      <c r="G1975" s="269" t="s">
        <v>310</v>
      </c>
      <c r="H1975" s="270"/>
      <c r="I1975" s="270"/>
      <c r="J1975" s="270"/>
      <c r="K1975" s="270"/>
    </row>
    <row r="1976" spans="1:11" x14ac:dyDescent="0.35">
      <c r="A1976" s="271" t="s">
        <v>317</v>
      </c>
      <c r="B1976" s="272"/>
      <c r="C1976" s="272"/>
      <c r="D1976" s="272"/>
      <c r="E1976" s="272"/>
      <c r="G1976" s="271" t="s">
        <v>317</v>
      </c>
      <c r="H1976" s="272"/>
      <c r="I1976" s="272"/>
      <c r="J1976" s="272"/>
      <c r="K1976" s="272"/>
    </row>
    <row r="1977" spans="1:11" x14ac:dyDescent="0.35">
      <c r="A1977" s="269" t="s">
        <v>311</v>
      </c>
      <c r="B1977" s="270"/>
      <c r="C1977" s="270"/>
      <c r="D1977" s="270"/>
      <c r="E1977" s="270"/>
      <c r="G1977" s="269" t="s">
        <v>311</v>
      </c>
      <c r="H1977" s="270"/>
      <c r="I1977" s="270"/>
      <c r="J1977" s="270"/>
      <c r="K1977" s="270"/>
    </row>
    <row r="1978" spans="1:11" x14ac:dyDescent="0.35">
      <c r="A1978" s="271" t="s">
        <v>312</v>
      </c>
      <c r="B1978" s="272"/>
      <c r="C1978" s="272"/>
      <c r="D1978" s="272"/>
      <c r="E1978" s="272"/>
      <c r="G1978" s="271" t="s">
        <v>312</v>
      </c>
      <c r="H1978" s="272"/>
      <c r="I1978" s="272"/>
      <c r="J1978" s="272"/>
      <c r="K1978" s="272"/>
    </row>
    <row r="1979" spans="1:11" x14ac:dyDescent="0.35">
      <c r="A1979" s="231" t="s">
        <v>34</v>
      </c>
      <c r="B1979" s="230">
        <f>SUM(B1973:B1978)</f>
        <v>7356</v>
      </c>
      <c r="C1979" s="230">
        <f>SUM(C1973:C1978)</f>
        <v>0</v>
      </c>
      <c r="D1979" s="230">
        <f>SUM(D1973:D1978)</f>
        <v>0</v>
      </c>
      <c r="E1979" s="230">
        <f>SUM(E1973:E1978)</f>
        <v>0</v>
      </c>
      <c r="G1979" s="231" t="s">
        <v>34</v>
      </c>
      <c r="H1979" s="230">
        <f>SUM(H1973:H1978)</f>
        <v>200</v>
      </c>
      <c r="I1979" s="230">
        <f>SUM(I1973:I1978)</f>
        <v>0</v>
      </c>
      <c r="J1979" s="230">
        <f>SUM(J1973:J1978)</f>
        <v>0</v>
      </c>
      <c r="K1979" s="230">
        <f>SUM(K1973:K1978)</f>
        <v>0</v>
      </c>
    </row>
    <row r="1980" spans="1:11" ht="15" thickBot="1" x14ac:dyDescent="0.4">
      <c r="A1980" s="231" t="s">
        <v>313</v>
      </c>
      <c r="B1980" s="230">
        <f>+B1979+C1979+D1979+E1979</f>
        <v>7356</v>
      </c>
      <c r="C1980" s="230"/>
      <c r="D1980" s="230"/>
      <c r="E1980" s="230"/>
      <c r="G1980" s="231" t="s">
        <v>313</v>
      </c>
      <c r="H1980" s="230">
        <f>+H1979+I1979+J1979+K1979</f>
        <v>200</v>
      </c>
      <c r="I1980" s="230"/>
      <c r="J1980" s="230"/>
      <c r="K1980" s="230"/>
    </row>
    <row r="1981" spans="1:11" ht="15.5" thickTop="1" thickBot="1" x14ac:dyDescent="0.4">
      <c r="A1981" s="335" t="s">
        <v>298</v>
      </c>
      <c r="B1981" s="336"/>
      <c r="C1981" s="336"/>
      <c r="D1981" s="336"/>
      <c r="E1981" s="337"/>
      <c r="G1981" s="335" t="s">
        <v>298</v>
      </c>
      <c r="H1981" s="336"/>
      <c r="I1981" s="336"/>
      <c r="J1981" s="336"/>
      <c r="K1981" s="337"/>
    </row>
    <row r="1982" spans="1:11" ht="15.5" thickTop="1" thickBot="1" x14ac:dyDescent="0.4">
      <c r="A1982" s="338">
        <v>45471</v>
      </c>
      <c r="B1982" s="336"/>
      <c r="C1982" s="336"/>
      <c r="D1982" s="336"/>
      <c r="E1982" s="337"/>
      <c r="G1982" s="338">
        <v>45471</v>
      </c>
      <c r="H1982" s="336"/>
      <c r="I1982" s="336"/>
      <c r="J1982" s="336"/>
      <c r="K1982" s="337"/>
    </row>
    <row r="1983" spans="1:11" ht="15" thickTop="1" x14ac:dyDescent="0.35">
      <c r="A1983" s="267" t="s">
        <v>159</v>
      </c>
      <c r="B1983" s="267" t="s">
        <v>299</v>
      </c>
      <c r="C1983" s="267" t="s">
        <v>307</v>
      </c>
      <c r="D1983" s="267" t="s">
        <v>301</v>
      </c>
      <c r="E1983" s="268" t="s">
        <v>308</v>
      </c>
      <c r="G1983" s="267" t="s">
        <v>159</v>
      </c>
      <c r="H1983" s="267" t="s">
        <v>299</v>
      </c>
      <c r="I1983" s="267" t="s">
        <v>307</v>
      </c>
      <c r="J1983" s="267" t="s">
        <v>301</v>
      </c>
      <c r="K1983" s="268" t="s">
        <v>308</v>
      </c>
    </row>
    <row r="1984" spans="1:11" x14ac:dyDescent="0.35">
      <c r="A1984" s="269" t="s">
        <v>316</v>
      </c>
      <c r="B1984" s="270">
        <v>28</v>
      </c>
      <c r="C1984" s="270"/>
      <c r="D1984" s="270"/>
      <c r="E1984" s="270"/>
      <c r="G1984" s="269" t="s">
        <v>316</v>
      </c>
      <c r="H1984" s="270"/>
      <c r="I1984" s="270"/>
      <c r="J1984" s="270"/>
      <c r="K1984" s="270"/>
    </row>
    <row r="1985" spans="1:11" x14ac:dyDescent="0.35">
      <c r="A1985" s="271" t="s">
        <v>309</v>
      </c>
      <c r="B1985" s="272"/>
      <c r="C1985" s="272"/>
      <c r="D1985" s="272"/>
      <c r="E1985" s="272"/>
      <c r="G1985" s="271" t="s">
        <v>309</v>
      </c>
      <c r="H1985" s="272"/>
      <c r="I1985" s="272"/>
      <c r="J1985" s="272"/>
      <c r="K1985" s="272"/>
    </row>
    <row r="1986" spans="1:11" x14ac:dyDescent="0.35">
      <c r="A1986" s="269" t="s">
        <v>310</v>
      </c>
      <c r="B1986" s="270"/>
      <c r="C1986" s="270"/>
      <c r="D1986" s="270"/>
      <c r="E1986" s="270"/>
      <c r="G1986" s="269" t="s">
        <v>310</v>
      </c>
      <c r="H1986" s="270"/>
      <c r="I1986" s="270"/>
      <c r="J1986" s="270"/>
      <c r="K1986" s="270"/>
    </row>
    <row r="1987" spans="1:11" x14ac:dyDescent="0.35">
      <c r="A1987" s="271" t="s">
        <v>317</v>
      </c>
      <c r="B1987" s="272"/>
      <c r="C1987" s="272"/>
      <c r="D1987" s="272"/>
      <c r="E1987" s="272"/>
      <c r="G1987" s="271" t="s">
        <v>317</v>
      </c>
      <c r="H1987" s="272"/>
      <c r="I1987" s="272"/>
      <c r="J1987" s="272"/>
      <c r="K1987" s="272"/>
    </row>
    <row r="1988" spans="1:11" x14ac:dyDescent="0.35">
      <c r="A1988" s="269" t="s">
        <v>311</v>
      </c>
      <c r="B1988" s="270"/>
      <c r="C1988" s="270"/>
      <c r="D1988" s="270"/>
      <c r="E1988" s="270"/>
      <c r="G1988" s="269" t="s">
        <v>311</v>
      </c>
      <c r="H1988" s="270"/>
      <c r="I1988" s="270"/>
      <c r="J1988" s="270"/>
      <c r="K1988" s="270"/>
    </row>
    <row r="1989" spans="1:11" x14ac:dyDescent="0.35">
      <c r="A1989" s="271" t="s">
        <v>312</v>
      </c>
      <c r="B1989" s="272"/>
      <c r="C1989" s="272"/>
      <c r="D1989" s="272"/>
      <c r="E1989" s="272"/>
      <c r="G1989" s="271" t="s">
        <v>312</v>
      </c>
      <c r="H1989" s="272"/>
      <c r="I1989" s="272"/>
      <c r="J1989" s="272"/>
      <c r="K1989" s="272"/>
    </row>
    <row r="1990" spans="1:11" x14ac:dyDescent="0.35">
      <c r="A1990" s="231" t="s">
        <v>34</v>
      </c>
      <c r="B1990" s="230">
        <f>SUM(B1984:B1989)</f>
        <v>28</v>
      </c>
      <c r="C1990" s="230">
        <f>SUM(C1984:C1989)</f>
        <v>0</v>
      </c>
      <c r="D1990" s="230">
        <f>SUM(D1984:D1989)</f>
        <v>0</v>
      </c>
      <c r="E1990" s="230">
        <f>SUM(E1984:E1989)</f>
        <v>0</v>
      </c>
      <c r="G1990" s="231" t="s">
        <v>34</v>
      </c>
      <c r="H1990" s="230">
        <f>SUM(H1984:H1989)</f>
        <v>0</v>
      </c>
      <c r="I1990" s="230">
        <f>SUM(I1984:I1989)</f>
        <v>0</v>
      </c>
      <c r="J1990" s="230">
        <f>SUM(J1984:J1989)</f>
        <v>0</v>
      </c>
      <c r="K1990" s="230">
        <f>SUM(K1984:K1989)</f>
        <v>0</v>
      </c>
    </row>
    <row r="1991" spans="1:11" ht="15" thickBot="1" x14ac:dyDescent="0.4">
      <c r="A1991" s="231" t="s">
        <v>313</v>
      </c>
      <c r="B1991" s="230">
        <f>+B1990+C1990+D1990+E1990</f>
        <v>28</v>
      </c>
      <c r="C1991" s="230"/>
      <c r="D1991" s="230"/>
      <c r="E1991" s="230"/>
      <c r="G1991" s="231" t="s">
        <v>313</v>
      </c>
      <c r="H1991" s="230">
        <f>+H1990+I1990+J1990+K1990</f>
        <v>0</v>
      </c>
      <c r="I1991" s="230"/>
      <c r="J1991" s="230"/>
      <c r="K1991" s="230"/>
    </row>
    <row r="1992" spans="1:11" ht="15.5" thickTop="1" thickBot="1" x14ac:dyDescent="0.4">
      <c r="A1992" s="335" t="s">
        <v>298</v>
      </c>
      <c r="B1992" s="336"/>
      <c r="C1992" s="336"/>
      <c r="D1992" s="336"/>
      <c r="E1992" s="337"/>
      <c r="G1992" s="335" t="s">
        <v>298</v>
      </c>
      <c r="H1992" s="336"/>
      <c r="I1992" s="336"/>
      <c r="J1992" s="336"/>
      <c r="K1992" s="337"/>
    </row>
    <row r="1993" spans="1:11" ht="15.5" thickTop="1" thickBot="1" x14ac:dyDescent="0.4">
      <c r="A1993" s="338">
        <v>45472</v>
      </c>
      <c r="B1993" s="336"/>
      <c r="C1993" s="336"/>
      <c r="D1993" s="336"/>
      <c r="E1993" s="337"/>
      <c r="G1993" s="338">
        <v>45472</v>
      </c>
      <c r="H1993" s="336"/>
      <c r="I1993" s="336"/>
      <c r="J1993" s="336"/>
      <c r="K1993" s="337"/>
    </row>
    <row r="1994" spans="1:11" ht="15" thickTop="1" x14ac:dyDescent="0.35">
      <c r="A1994" s="267" t="s">
        <v>159</v>
      </c>
      <c r="B1994" s="267" t="s">
        <v>299</v>
      </c>
      <c r="C1994" s="267" t="s">
        <v>307</v>
      </c>
      <c r="D1994" s="267" t="s">
        <v>301</v>
      </c>
      <c r="E1994" s="268" t="s">
        <v>308</v>
      </c>
      <c r="G1994" s="267" t="s">
        <v>159</v>
      </c>
      <c r="H1994" s="267" t="s">
        <v>299</v>
      </c>
      <c r="I1994" s="267" t="s">
        <v>307</v>
      </c>
      <c r="J1994" s="267" t="s">
        <v>301</v>
      </c>
      <c r="K1994" s="268" t="s">
        <v>308</v>
      </c>
    </row>
    <row r="1995" spans="1:11" x14ac:dyDescent="0.35">
      <c r="A1995" s="269" t="s">
        <v>497</v>
      </c>
      <c r="B1995" s="270">
        <v>2500</v>
      </c>
      <c r="C1995" s="270"/>
      <c r="D1995" s="270"/>
      <c r="E1995" s="270"/>
      <c r="G1995" s="269" t="s">
        <v>497</v>
      </c>
      <c r="H1995" s="270">
        <v>1400</v>
      </c>
      <c r="I1995" s="270"/>
      <c r="J1995" s="270"/>
      <c r="K1995" s="270"/>
    </row>
    <row r="1996" spans="1:11" x14ac:dyDescent="0.35">
      <c r="A1996" s="271" t="s">
        <v>497</v>
      </c>
      <c r="B1996" s="272">
        <v>1700</v>
      </c>
      <c r="C1996" s="272"/>
      <c r="D1996" s="272"/>
      <c r="E1996" s="272"/>
      <c r="G1996" s="271" t="s">
        <v>309</v>
      </c>
      <c r="H1996" s="272"/>
      <c r="I1996" s="272"/>
      <c r="J1996" s="272"/>
      <c r="K1996" s="272"/>
    </row>
    <row r="1997" spans="1:11" x14ac:dyDescent="0.35">
      <c r="A1997" s="269" t="s">
        <v>310</v>
      </c>
      <c r="B1997" s="270">
        <v>240</v>
      </c>
      <c r="C1997" s="270"/>
      <c r="D1997" s="270"/>
      <c r="E1997" s="270"/>
      <c r="G1997" s="269" t="s">
        <v>310</v>
      </c>
      <c r="H1997" s="270"/>
      <c r="I1997" s="270"/>
      <c r="J1997" s="270"/>
      <c r="K1997" s="270"/>
    </row>
    <row r="1998" spans="1:11" x14ac:dyDescent="0.35">
      <c r="A1998" s="271" t="s">
        <v>317</v>
      </c>
      <c r="B1998" s="272"/>
      <c r="C1998" s="272"/>
      <c r="D1998" s="272"/>
      <c r="E1998" s="272"/>
      <c r="G1998" s="271" t="s">
        <v>317</v>
      </c>
      <c r="H1998" s="272"/>
      <c r="I1998" s="272"/>
      <c r="J1998" s="272"/>
      <c r="K1998" s="272"/>
    </row>
    <row r="1999" spans="1:11" x14ac:dyDescent="0.35">
      <c r="A1999" s="269" t="s">
        <v>311</v>
      </c>
      <c r="B1999" s="270"/>
      <c r="C1999" s="270"/>
      <c r="D1999" s="270"/>
      <c r="E1999" s="270"/>
      <c r="G1999" s="269" t="s">
        <v>311</v>
      </c>
      <c r="H1999" s="270"/>
      <c r="I1999" s="270"/>
      <c r="J1999" s="270"/>
      <c r="K1999" s="270"/>
    </row>
    <row r="2000" spans="1:11" x14ac:dyDescent="0.35">
      <c r="A2000" s="271" t="s">
        <v>312</v>
      </c>
      <c r="B2000" s="272"/>
      <c r="C2000" s="272"/>
      <c r="D2000" s="272"/>
      <c r="E2000" s="272"/>
      <c r="G2000" s="271" t="s">
        <v>312</v>
      </c>
      <c r="H2000" s="272"/>
      <c r="I2000" s="272"/>
      <c r="J2000" s="272"/>
      <c r="K2000" s="272"/>
    </row>
    <row r="2001" spans="1:13" x14ac:dyDescent="0.35">
      <c r="A2001" s="231" t="s">
        <v>34</v>
      </c>
      <c r="B2001" s="230">
        <f>SUM(B1995:B2000)</f>
        <v>4440</v>
      </c>
      <c r="C2001" s="230">
        <f>SUM(C1995:C2000)</f>
        <v>0</v>
      </c>
      <c r="D2001" s="230">
        <f>SUM(D1995:D2000)</f>
        <v>0</v>
      </c>
      <c r="E2001" s="230">
        <f>SUM(E1995:E2000)</f>
        <v>0</v>
      </c>
      <c r="G2001" s="231" t="s">
        <v>34</v>
      </c>
      <c r="H2001" s="230">
        <f>SUM(H1995:H2000)</f>
        <v>1400</v>
      </c>
      <c r="I2001" s="230">
        <f>SUM(I1995:I2000)</f>
        <v>0</v>
      </c>
      <c r="J2001" s="230">
        <f>SUM(J1995:J2000)</f>
        <v>0</v>
      </c>
      <c r="K2001" s="230">
        <f>SUM(K1995:K2000)</f>
        <v>0</v>
      </c>
    </row>
    <row r="2002" spans="1:13" ht="15" thickBot="1" x14ac:dyDescent="0.4">
      <c r="A2002" s="231" t="s">
        <v>313</v>
      </c>
      <c r="B2002" s="230">
        <f>+B2001+C2001+D2001+E2001</f>
        <v>4440</v>
      </c>
      <c r="C2002" s="230"/>
      <c r="D2002" s="230"/>
      <c r="E2002" s="230"/>
      <c r="G2002" s="231" t="s">
        <v>313</v>
      </c>
      <c r="H2002" s="230">
        <f>+H2001+I2001+J2001+K2001</f>
        <v>1400</v>
      </c>
      <c r="I2002" s="230"/>
      <c r="J2002" s="230"/>
      <c r="K2002" s="230"/>
    </row>
    <row r="2003" spans="1:13" ht="15.5" thickTop="1" thickBot="1" x14ac:dyDescent="0.4">
      <c r="A2003" s="335" t="s">
        <v>298</v>
      </c>
      <c r="B2003" s="336"/>
      <c r="C2003" s="336"/>
      <c r="D2003" s="336"/>
      <c r="E2003" s="337"/>
      <c r="G2003" s="335" t="s">
        <v>298</v>
      </c>
      <c r="H2003" s="336"/>
      <c r="I2003" s="336"/>
      <c r="J2003" s="336"/>
      <c r="K2003" s="337"/>
    </row>
    <row r="2004" spans="1:13" ht="15.5" thickTop="1" thickBot="1" x14ac:dyDescent="0.4">
      <c r="A2004" s="338">
        <v>45473</v>
      </c>
      <c r="B2004" s="336"/>
      <c r="C2004" s="336"/>
      <c r="D2004" s="336"/>
      <c r="E2004" s="337"/>
      <c r="G2004" s="338">
        <v>45473</v>
      </c>
      <c r="H2004" s="336"/>
      <c r="I2004" s="336"/>
      <c r="J2004" s="336"/>
      <c r="K2004" s="337"/>
    </row>
    <row r="2005" spans="1:13" ht="15" thickTop="1" x14ac:dyDescent="0.35">
      <c r="A2005" s="267" t="s">
        <v>159</v>
      </c>
      <c r="B2005" s="267" t="s">
        <v>299</v>
      </c>
      <c r="C2005" s="267" t="s">
        <v>307</v>
      </c>
      <c r="D2005" s="267" t="s">
        <v>301</v>
      </c>
      <c r="E2005" s="268" t="s">
        <v>308</v>
      </c>
      <c r="G2005" s="267" t="s">
        <v>159</v>
      </c>
      <c r="H2005" s="267" t="s">
        <v>299</v>
      </c>
      <c r="I2005" s="267" t="s">
        <v>307</v>
      </c>
      <c r="J2005" s="267" t="s">
        <v>301</v>
      </c>
      <c r="K2005" s="268" t="s">
        <v>308</v>
      </c>
    </row>
    <row r="2006" spans="1:13" x14ac:dyDescent="0.35">
      <c r="A2006" s="269" t="s">
        <v>316</v>
      </c>
      <c r="B2006" s="270"/>
      <c r="C2006" s="270"/>
      <c r="D2006" s="270"/>
      <c r="E2006" s="270"/>
      <c r="G2006" s="269" t="s">
        <v>316</v>
      </c>
      <c r="H2006" s="270"/>
      <c r="I2006" s="270"/>
      <c r="J2006" s="270"/>
      <c r="K2006" s="270"/>
    </row>
    <row r="2007" spans="1:13" x14ac:dyDescent="0.35">
      <c r="A2007" s="271" t="s">
        <v>309</v>
      </c>
      <c r="B2007" s="272"/>
      <c r="C2007" s="272"/>
      <c r="D2007" s="272"/>
      <c r="E2007" s="272"/>
      <c r="G2007" s="271" t="s">
        <v>309</v>
      </c>
      <c r="H2007" s="272"/>
      <c r="I2007" s="272"/>
      <c r="J2007" s="272"/>
      <c r="K2007" s="272"/>
    </row>
    <row r="2008" spans="1:13" x14ac:dyDescent="0.35">
      <c r="A2008" s="269" t="s">
        <v>310</v>
      </c>
      <c r="B2008" s="270"/>
      <c r="C2008" s="270"/>
      <c r="D2008" s="270"/>
      <c r="E2008" s="270"/>
      <c r="G2008" s="269" t="s">
        <v>310</v>
      </c>
      <c r="H2008" s="270"/>
      <c r="I2008" s="270"/>
      <c r="J2008" s="270"/>
      <c r="K2008" s="270"/>
    </row>
    <row r="2009" spans="1:13" x14ac:dyDescent="0.35">
      <c r="A2009" s="271" t="s">
        <v>317</v>
      </c>
      <c r="B2009" s="272"/>
      <c r="C2009" s="272"/>
      <c r="D2009" s="272"/>
      <c r="E2009" s="272"/>
      <c r="G2009" s="271" t="s">
        <v>317</v>
      </c>
      <c r="H2009" s="272"/>
      <c r="I2009" s="272"/>
      <c r="J2009" s="272"/>
      <c r="K2009" s="272"/>
    </row>
    <row r="2010" spans="1:13" x14ac:dyDescent="0.35">
      <c r="A2010" s="269" t="s">
        <v>311</v>
      </c>
      <c r="B2010" s="270"/>
      <c r="C2010" s="270"/>
      <c r="D2010" s="270"/>
      <c r="E2010" s="270"/>
      <c r="G2010" s="269" t="s">
        <v>311</v>
      </c>
      <c r="H2010" s="270"/>
      <c r="I2010" s="270"/>
      <c r="J2010" s="270"/>
      <c r="K2010" s="270"/>
    </row>
    <row r="2011" spans="1:13" x14ac:dyDescent="0.35">
      <c r="A2011" s="271" t="s">
        <v>312</v>
      </c>
      <c r="B2011" s="272"/>
      <c r="C2011" s="272"/>
      <c r="D2011" s="272"/>
      <c r="E2011" s="272"/>
      <c r="G2011" s="271" t="s">
        <v>312</v>
      </c>
      <c r="H2011" s="272"/>
      <c r="I2011" s="272"/>
      <c r="J2011" s="272"/>
      <c r="K2011" s="272"/>
    </row>
    <row r="2012" spans="1:13" x14ac:dyDescent="0.35">
      <c r="A2012" s="231" t="s">
        <v>34</v>
      </c>
      <c r="B2012" s="230">
        <f>SUM(B2006:B2011)</f>
        <v>0</v>
      </c>
      <c r="C2012" s="230">
        <f>SUM(C2006:C2011)</f>
        <v>0</v>
      </c>
      <c r="D2012" s="230">
        <f>SUM(D2006:D2011)</f>
        <v>0</v>
      </c>
      <c r="E2012" s="230">
        <f>SUM(E2006:E2011)</f>
        <v>0</v>
      </c>
      <c r="G2012" s="231" t="s">
        <v>34</v>
      </c>
      <c r="H2012" s="230">
        <f>SUM(H2006:H2011)</f>
        <v>0</v>
      </c>
      <c r="I2012" s="230">
        <f>SUM(I2006:I2011)</f>
        <v>0</v>
      </c>
      <c r="J2012" s="230">
        <f>SUM(J2006:J2011)</f>
        <v>0</v>
      </c>
      <c r="K2012" s="230">
        <f>SUM(K2006:K2011)</f>
        <v>0</v>
      </c>
    </row>
    <row r="2013" spans="1:13" x14ac:dyDescent="0.35">
      <c r="A2013" s="231" t="s">
        <v>313</v>
      </c>
      <c r="B2013" s="230">
        <f>+B2012+C2012+D2012+E2012</f>
        <v>0</v>
      </c>
      <c r="C2013" s="230"/>
      <c r="D2013" s="230"/>
      <c r="E2013" s="230"/>
      <c r="G2013" s="231" t="s">
        <v>313</v>
      </c>
      <c r="H2013" s="230">
        <f>+H2012+I2012+J2012+K2012</f>
        <v>0</v>
      </c>
      <c r="I2013" s="230"/>
      <c r="J2013" s="230"/>
      <c r="K2013" s="230"/>
    </row>
    <row r="2014" spans="1:13" ht="15" thickBot="1" x14ac:dyDescent="0.4"/>
    <row r="2015" spans="1:13" ht="30.5" customHeight="1" thickBot="1" x14ac:dyDescent="0.4">
      <c r="A2015" s="327" t="s">
        <v>326</v>
      </c>
      <c r="B2015" s="328"/>
      <c r="C2015" s="328"/>
      <c r="D2015" s="328"/>
      <c r="E2015" s="328"/>
      <c r="F2015" s="329"/>
      <c r="G2015" s="330">
        <f>SUMIF($A$1685:M2013,"*"&amp;K2015&amp;"*",$B$1685:N2013)</f>
        <v>78962</v>
      </c>
      <c r="H2015" s="331"/>
      <c r="I2015" s="331"/>
      <c r="J2015" s="332"/>
      <c r="K2015" s="333" t="s">
        <v>313</v>
      </c>
      <c r="L2015" s="334"/>
      <c r="M2015" s="233">
        <f>+G2015</f>
        <v>78962</v>
      </c>
    </row>
    <row r="2017" spans="1:11" ht="15" thickBot="1" x14ac:dyDescent="0.4"/>
    <row r="2018" spans="1:11" ht="15.5" thickTop="1" thickBot="1" x14ac:dyDescent="0.4">
      <c r="A2018" s="335" t="s">
        <v>298</v>
      </c>
      <c r="B2018" s="336"/>
      <c r="C2018" s="336"/>
      <c r="D2018" s="336"/>
      <c r="E2018" s="337"/>
      <c r="G2018" s="335" t="s">
        <v>298</v>
      </c>
      <c r="H2018" s="336"/>
      <c r="I2018" s="336"/>
      <c r="J2018" s="336"/>
      <c r="K2018" s="337"/>
    </row>
    <row r="2019" spans="1:11" ht="15.5" thickTop="1" thickBot="1" x14ac:dyDescent="0.4">
      <c r="A2019" s="338">
        <v>45474</v>
      </c>
      <c r="B2019" s="336"/>
      <c r="C2019" s="336"/>
      <c r="D2019" s="336"/>
      <c r="E2019" s="337"/>
      <c r="G2019" s="338">
        <v>45474</v>
      </c>
      <c r="H2019" s="336"/>
      <c r="I2019" s="336"/>
      <c r="J2019" s="336"/>
      <c r="K2019" s="337"/>
    </row>
    <row r="2020" spans="1:11" ht="15" thickTop="1" x14ac:dyDescent="0.35">
      <c r="A2020" s="267" t="s">
        <v>159</v>
      </c>
      <c r="B2020" s="267" t="s">
        <v>299</v>
      </c>
      <c r="C2020" s="267" t="s">
        <v>307</v>
      </c>
      <c r="D2020" s="267" t="s">
        <v>301</v>
      </c>
      <c r="E2020" s="268" t="s">
        <v>308</v>
      </c>
      <c r="G2020" s="267" t="s">
        <v>159</v>
      </c>
      <c r="H2020" s="267" t="s">
        <v>299</v>
      </c>
      <c r="I2020" s="267" t="s">
        <v>307</v>
      </c>
      <c r="J2020" s="267" t="s">
        <v>301</v>
      </c>
      <c r="K2020" s="268" t="s">
        <v>308</v>
      </c>
    </row>
    <row r="2021" spans="1:11" x14ac:dyDescent="0.35">
      <c r="A2021" s="269" t="s">
        <v>316</v>
      </c>
      <c r="B2021" s="270">
        <v>110</v>
      </c>
      <c r="C2021" s="270"/>
      <c r="D2021" s="270"/>
      <c r="E2021" s="270"/>
      <c r="G2021" s="269" t="s">
        <v>316</v>
      </c>
      <c r="H2021" s="270"/>
      <c r="I2021" s="270"/>
      <c r="J2021" s="270"/>
      <c r="K2021" s="270"/>
    </row>
    <row r="2022" spans="1:11" x14ac:dyDescent="0.35">
      <c r="A2022" s="271" t="s">
        <v>309</v>
      </c>
      <c r="B2022" s="272"/>
      <c r="C2022" s="272"/>
      <c r="D2022" s="272"/>
      <c r="E2022" s="272"/>
      <c r="G2022" s="271" t="s">
        <v>309</v>
      </c>
      <c r="H2022" s="272"/>
      <c r="I2022" s="272"/>
      <c r="J2022" s="272"/>
      <c r="K2022" s="272"/>
    </row>
    <row r="2023" spans="1:11" x14ac:dyDescent="0.35">
      <c r="A2023" s="269" t="s">
        <v>310</v>
      </c>
      <c r="B2023" s="270"/>
      <c r="C2023" s="270"/>
      <c r="D2023" s="270"/>
      <c r="E2023" s="270"/>
      <c r="G2023" s="269" t="s">
        <v>310</v>
      </c>
      <c r="H2023" s="270"/>
      <c r="I2023" s="270"/>
      <c r="J2023" s="270"/>
      <c r="K2023" s="270"/>
    </row>
    <row r="2024" spans="1:11" x14ac:dyDescent="0.35">
      <c r="A2024" s="271" t="s">
        <v>317</v>
      </c>
      <c r="B2024" s="272"/>
      <c r="C2024" s="272"/>
      <c r="D2024" s="272"/>
      <c r="E2024" s="272"/>
      <c r="G2024" s="271" t="s">
        <v>317</v>
      </c>
      <c r="H2024" s="272"/>
      <c r="I2024" s="272"/>
      <c r="J2024" s="272"/>
      <c r="K2024" s="272"/>
    </row>
    <row r="2025" spans="1:11" x14ac:dyDescent="0.35">
      <c r="A2025" s="269" t="s">
        <v>311</v>
      </c>
      <c r="B2025" s="270"/>
      <c r="C2025" s="270"/>
      <c r="D2025" s="270"/>
      <c r="E2025" s="270"/>
      <c r="G2025" s="269" t="s">
        <v>311</v>
      </c>
      <c r="H2025" s="270"/>
      <c r="I2025" s="270"/>
      <c r="J2025" s="270"/>
      <c r="K2025" s="270"/>
    </row>
    <row r="2026" spans="1:11" x14ac:dyDescent="0.35">
      <c r="A2026" s="271" t="s">
        <v>312</v>
      </c>
      <c r="B2026" s="272"/>
      <c r="C2026" s="272"/>
      <c r="D2026" s="272"/>
      <c r="E2026" s="272"/>
      <c r="G2026" s="271" t="s">
        <v>312</v>
      </c>
      <c r="H2026" s="272"/>
      <c r="I2026" s="272"/>
      <c r="J2026" s="272"/>
      <c r="K2026" s="272"/>
    </row>
    <row r="2027" spans="1:11" x14ac:dyDescent="0.35">
      <c r="A2027" s="231" t="s">
        <v>34</v>
      </c>
      <c r="B2027" s="230">
        <f>SUM(B2021:B2026)</f>
        <v>110</v>
      </c>
      <c r="C2027" s="230">
        <f>SUM(C2021:C2026)</f>
        <v>0</v>
      </c>
      <c r="D2027" s="230">
        <f>SUM(D2021:D2026)</f>
        <v>0</v>
      </c>
      <c r="E2027" s="230">
        <f>SUM(E2021:E2026)</f>
        <v>0</v>
      </c>
      <c r="G2027" s="231" t="s">
        <v>34</v>
      </c>
      <c r="H2027" s="230">
        <f>SUM(H2021:H2026)</f>
        <v>0</v>
      </c>
      <c r="I2027" s="230">
        <f>SUM(I2021:I2026)</f>
        <v>0</v>
      </c>
      <c r="J2027" s="230">
        <f>SUM(J2021:J2026)</f>
        <v>0</v>
      </c>
      <c r="K2027" s="230">
        <f>SUM(K2021:K2026)</f>
        <v>0</v>
      </c>
    </row>
    <row r="2028" spans="1:11" ht="15" thickBot="1" x14ac:dyDescent="0.4">
      <c r="A2028" s="231" t="s">
        <v>313</v>
      </c>
      <c r="B2028" s="230">
        <f>+B2027+C2027+D2027+E2027</f>
        <v>110</v>
      </c>
      <c r="C2028" s="230"/>
      <c r="D2028" s="230"/>
      <c r="E2028" s="230"/>
      <c r="G2028" s="231" t="s">
        <v>313</v>
      </c>
      <c r="H2028" s="230">
        <f>+H2027+I2027+J2027+K2027</f>
        <v>0</v>
      </c>
      <c r="I2028" s="230"/>
      <c r="J2028" s="230"/>
      <c r="K2028" s="230"/>
    </row>
    <row r="2029" spans="1:11" ht="15.5" thickTop="1" thickBot="1" x14ac:dyDescent="0.4">
      <c r="A2029" s="335" t="s">
        <v>298</v>
      </c>
      <c r="B2029" s="336"/>
      <c r="C2029" s="336"/>
      <c r="D2029" s="336"/>
      <c r="E2029" s="337"/>
      <c r="G2029" s="335" t="s">
        <v>298</v>
      </c>
      <c r="H2029" s="336"/>
      <c r="I2029" s="336"/>
      <c r="J2029" s="336"/>
      <c r="K2029" s="337"/>
    </row>
    <row r="2030" spans="1:11" ht="15.5" thickTop="1" thickBot="1" x14ac:dyDescent="0.4">
      <c r="A2030" s="338">
        <v>45475</v>
      </c>
      <c r="B2030" s="336"/>
      <c r="C2030" s="336"/>
      <c r="D2030" s="336"/>
      <c r="E2030" s="337"/>
      <c r="G2030" s="338">
        <v>45475</v>
      </c>
      <c r="H2030" s="336"/>
      <c r="I2030" s="336"/>
      <c r="J2030" s="336"/>
      <c r="K2030" s="337"/>
    </row>
    <row r="2031" spans="1:11" ht="15" thickTop="1" x14ac:dyDescent="0.35">
      <c r="A2031" s="267" t="s">
        <v>159</v>
      </c>
      <c r="B2031" s="267" t="s">
        <v>299</v>
      </c>
      <c r="C2031" s="267" t="s">
        <v>307</v>
      </c>
      <c r="D2031" s="267" t="s">
        <v>301</v>
      </c>
      <c r="E2031" s="268" t="s">
        <v>308</v>
      </c>
      <c r="G2031" s="267" t="s">
        <v>159</v>
      </c>
      <c r="H2031" s="267" t="s">
        <v>299</v>
      </c>
      <c r="I2031" s="267" t="s">
        <v>307</v>
      </c>
      <c r="J2031" s="267" t="s">
        <v>301</v>
      </c>
      <c r="K2031" s="268" t="s">
        <v>308</v>
      </c>
    </row>
    <row r="2032" spans="1:11" x14ac:dyDescent="0.35">
      <c r="A2032" s="269" t="s">
        <v>316</v>
      </c>
      <c r="B2032" s="270"/>
      <c r="C2032" s="270"/>
      <c r="D2032" s="270"/>
      <c r="E2032" s="270"/>
      <c r="G2032" s="269" t="s">
        <v>378</v>
      </c>
      <c r="H2032" s="270">
        <v>2300</v>
      </c>
      <c r="I2032" s="270"/>
      <c r="J2032" s="270"/>
      <c r="K2032" s="270"/>
    </row>
    <row r="2033" spans="1:11" x14ac:dyDescent="0.35">
      <c r="A2033" s="271" t="s">
        <v>309</v>
      </c>
      <c r="B2033" s="272"/>
      <c r="C2033" s="272"/>
      <c r="D2033" s="272"/>
      <c r="E2033" s="272"/>
      <c r="G2033" s="271" t="s">
        <v>309</v>
      </c>
      <c r="H2033" s="272"/>
      <c r="I2033" s="272"/>
      <c r="J2033" s="272"/>
      <c r="K2033" s="272"/>
    </row>
    <row r="2034" spans="1:11" x14ac:dyDescent="0.35">
      <c r="A2034" s="269" t="s">
        <v>310</v>
      </c>
      <c r="B2034" s="270"/>
      <c r="C2034" s="270"/>
      <c r="D2034" s="270"/>
      <c r="E2034" s="270"/>
      <c r="G2034" s="269" t="s">
        <v>310</v>
      </c>
      <c r="H2034" s="270"/>
      <c r="I2034" s="270"/>
      <c r="J2034" s="270"/>
      <c r="K2034" s="270"/>
    </row>
    <row r="2035" spans="1:11" x14ac:dyDescent="0.35">
      <c r="A2035" s="271" t="s">
        <v>317</v>
      </c>
      <c r="B2035" s="272"/>
      <c r="C2035" s="272"/>
      <c r="D2035" s="272"/>
      <c r="E2035" s="272"/>
      <c r="G2035" s="271" t="s">
        <v>317</v>
      </c>
      <c r="H2035" s="272"/>
      <c r="I2035" s="272"/>
      <c r="J2035" s="272"/>
      <c r="K2035" s="272"/>
    </row>
    <row r="2036" spans="1:11" x14ac:dyDescent="0.35">
      <c r="A2036" s="269" t="s">
        <v>311</v>
      </c>
      <c r="B2036" s="270"/>
      <c r="C2036" s="270"/>
      <c r="D2036" s="270"/>
      <c r="E2036" s="270"/>
      <c r="G2036" s="269" t="s">
        <v>311</v>
      </c>
      <c r="H2036" s="270"/>
      <c r="I2036" s="270"/>
      <c r="J2036" s="270"/>
      <c r="K2036" s="270"/>
    </row>
    <row r="2037" spans="1:11" x14ac:dyDescent="0.35">
      <c r="A2037" s="271" t="s">
        <v>312</v>
      </c>
      <c r="B2037" s="272"/>
      <c r="C2037" s="272"/>
      <c r="D2037" s="272"/>
      <c r="E2037" s="272"/>
      <c r="G2037" s="271" t="s">
        <v>312</v>
      </c>
      <c r="H2037" s="272"/>
      <c r="I2037" s="272"/>
      <c r="J2037" s="272"/>
      <c r="K2037" s="272"/>
    </row>
    <row r="2038" spans="1:11" x14ac:dyDescent="0.35">
      <c r="A2038" s="231" t="s">
        <v>34</v>
      </c>
      <c r="B2038" s="230">
        <f>SUM(B2032:B2037)</f>
        <v>0</v>
      </c>
      <c r="C2038" s="230">
        <f>SUM(C2032:C2037)</f>
        <v>0</v>
      </c>
      <c r="D2038" s="230">
        <f>SUM(D2032:D2037)</f>
        <v>0</v>
      </c>
      <c r="E2038" s="230">
        <f>SUM(E2032:E2037)</f>
        <v>0</v>
      </c>
      <c r="G2038" s="231" t="s">
        <v>34</v>
      </c>
      <c r="H2038" s="230">
        <f>SUM(H2032:H2037)</f>
        <v>2300</v>
      </c>
      <c r="I2038" s="230">
        <f>SUM(I2032:I2037)</f>
        <v>0</v>
      </c>
      <c r="J2038" s="230">
        <f>SUM(J2032:J2037)</f>
        <v>0</v>
      </c>
      <c r="K2038" s="230">
        <f>SUM(K2032:K2037)</f>
        <v>0</v>
      </c>
    </row>
    <row r="2039" spans="1:11" ht="15" thickBot="1" x14ac:dyDescent="0.4">
      <c r="A2039" s="231" t="s">
        <v>313</v>
      </c>
      <c r="B2039" s="230">
        <f>+B2038+C2038+D2038+E2038</f>
        <v>0</v>
      </c>
      <c r="C2039" s="230"/>
      <c r="D2039" s="230"/>
      <c r="E2039" s="230"/>
      <c r="G2039" s="231" t="s">
        <v>313</v>
      </c>
      <c r="H2039" s="230">
        <f>+H2038+I2038+J2038+K2038</f>
        <v>2300</v>
      </c>
      <c r="I2039" s="230"/>
      <c r="J2039" s="230"/>
      <c r="K2039" s="230"/>
    </row>
    <row r="2040" spans="1:11" ht="15.5" thickTop="1" thickBot="1" x14ac:dyDescent="0.4">
      <c r="A2040" s="335" t="s">
        <v>298</v>
      </c>
      <c r="B2040" s="336"/>
      <c r="C2040" s="336"/>
      <c r="D2040" s="336"/>
      <c r="E2040" s="337"/>
      <c r="G2040" s="335" t="s">
        <v>298</v>
      </c>
      <c r="H2040" s="336"/>
      <c r="I2040" s="336"/>
      <c r="J2040" s="336"/>
      <c r="K2040" s="337"/>
    </row>
    <row r="2041" spans="1:11" ht="15.5" thickTop="1" thickBot="1" x14ac:dyDescent="0.4">
      <c r="A2041" s="338">
        <v>45476</v>
      </c>
      <c r="B2041" s="336"/>
      <c r="C2041" s="336"/>
      <c r="D2041" s="336"/>
      <c r="E2041" s="337"/>
      <c r="G2041" s="338">
        <v>45476</v>
      </c>
      <c r="H2041" s="336"/>
      <c r="I2041" s="336"/>
      <c r="J2041" s="336"/>
      <c r="K2041" s="337"/>
    </row>
    <row r="2042" spans="1:11" ht="15" thickTop="1" x14ac:dyDescent="0.35">
      <c r="A2042" s="267" t="s">
        <v>159</v>
      </c>
      <c r="B2042" s="267" t="s">
        <v>299</v>
      </c>
      <c r="C2042" s="267" t="s">
        <v>307</v>
      </c>
      <c r="D2042" s="267" t="s">
        <v>301</v>
      </c>
      <c r="E2042" s="268" t="s">
        <v>308</v>
      </c>
      <c r="G2042" s="267" t="s">
        <v>159</v>
      </c>
      <c r="H2042" s="267" t="s">
        <v>299</v>
      </c>
      <c r="I2042" s="267" t="s">
        <v>307</v>
      </c>
      <c r="J2042" s="267" t="s">
        <v>301</v>
      </c>
      <c r="K2042" s="268" t="s">
        <v>308</v>
      </c>
    </row>
    <row r="2043" spans="1:11" x14ac:dyDescent="0.35">
      <c r="A2043" s="269" t="s">
        <v>702</v>
      </c>
      <c r="B2043" s="270">
        <v>480</v>
      </c>
      <c r="C2043" s="270"/>
      <c r="D2043" s="270"/>
      <c r="E2043" s="270"/>
      <c r="G2043" s="269" t="s">
        <v>316</v>
      </c>
      <c r="H2043" s="270"/>
      <c r="I2043" s="270"/>
      <c r="J2043" s="270"/>
      <c r="K2043" s="270"/>
    </row>
    <row r="2044" spans="1:11" x14ac:dyDescent="0.35">
      <c r="A2044" s="271" t="s">
        <v>309</v>
      </c>
      <c r="B2044" s="272"/>
      <c r="C2044" s="272"/>
      <c r="D2044" s="272"/>
      <c r="E2044" s="272"/>
      <c r="G2044" s="271" t="s">
        <v>309</v>
      </c>
      <c r="H2044" s="272"/>
      <c r="I2044" s="272"/>
      <c r="J2044" s="272"/>
      <c r="K2044" s="272"/>
    </row>
    <row r="2045" spans="1:11" x14ac:dyDescent="0.35">
      <c r="A2045" s="269" t="s">
        <v>310</v>
      </c>
      <c r="B2045" s="270"/>
      <c r="C2045" s="270"/>
      <c r="D2045" s="270"/>
      <c r="E2045" s="270"/>
      <c r="G2045" s="269" t="s">
        <v>310</v>
      </c>
      <c r="H2045" s="270"/>
      <c r="I2045" s="270"/>
      <c r="J2045" s="270"/>
      <c r="K2045" s="270"/>
    </row>
    <row r="2046" spans="1:11" x14ac:dyDescent="0.35">
      <c r="A2046" s="271" t="s">
        <v>317</v>
      </c>
      <c r="B2046" s="272"/>
      <c r="C2046" s="272"/>
      <c r="D2046" s="272"/>
      <c r="E2046" s="272"/>
      <c r="G2046" s="271" t="s">
        <v>317</v>
      </c>
      <c r="H2046" s="272"/>
      <c r="I2046" s="272"/>
      <c r="J2046" s="272"/>
      <c r="K2046" s="272"/>
    </row>
    <row r="2047" spans="1:11" x14ac:dyDescent="0.35">
      <c r="A2047" s="269" t="s">
        <v>311</v>
      </c>
      <c r="B2047" s="270"/>
      <c r="C2047" s="270"/>
      <c r="D2047" s="270"/>
      <c r="E2047" s="270"/>
      <c r="G2047" s="269" t="s">
        <v>311</v>
      </c>
      <c r="H2047" s="270"/>
      <c r="I2047" s="270"/>
      <c r="J2047" s="270"/>
      <c r="K2047" s="270"/>
    </row>
    <row r="2048" spans="1:11" x14ac:dyDescent="0.35">
      <c r="A2048" s="271" t="s">
        <v>312</v>
      </c>
      <c r="B2048" s="272"/>
      <c r="C2048" s="272"/>
      <c r="D2048" s="272"/>
      <c r="E2048" s="272"/>
      <c r="G2048" s="271" t="s">
        <v>312</v>
      </c>
      <c r="H2048" s="272"/>
      <c r="I2048" s="272"/>
      <c r="J2048" s="272"/>
      <c r="K2048" s="272"/>
    </row>
    <row r="2049" spans="1:11" x14ac:dyDescent="0.35">
      <c r="A2049" s="231" t="s">
        <v>34</v>
      </c>
      <c r="B2049" s="230">
        <f>SUM(B2043:B2048)</f>
        <v>480</v>
      </c>
      <c r="C2049" s="230">
        <f>SUM(C2043:C2048)</f>
        <v>0</v>
      </c>
      <c r="D2049" s="230">
        <f>SUM(D2043:D2048)</f>
        <v>0</v>
      </c>
      <c r="E2049" s="230">
        <f>SUM(E2043:E2048)</f>
        <v>0</v>
      </c>
      <c r="G2049" s="231" t="s">
        <v>34</v>
      </c>
      <c r="H2049" s="230">
        <f>SUM(H2043:H2048)</f>
        <v>0</v>
      </c>
      <c r="I2049" s="230">
        <f>SUM(I2043:I2048)</f>
        <v>0</v>
      </c>
      <c r="J2049" s="230">
        <f>SUM(J2043:J2048)</f>
        <v>0</v>
      </c>
      <c r="K2049" s="230">
        <f>SUM(K2043:K2048)</f>
        <v>0</v>
      </c>
    </row>
    <row r="2050" spans="1:11" ht="15" thickBot="1" x14ac:dyDescent="0.4">
      <c r="A2050" s="231" t="s">
        <v>313</v>
      </c>
      <c r="B2050" s="230">
        <f>+B2049+C2049+D2049+E2049</f>
        <v>480</v>
      </c>
      <c r="C2050" s="230"/>
      <c r="D2050" s="230"/>
      <c r="E2050" s="230"/>
      <c r="G2050" s="231" t="s">
        <v>313</v>
      </c>
      <c r="H2050" s="230">
        <f>+H2049+I2049+J2049+K2049</f>
        <v>0</v>
      </c>
      <c r="I2050" s="230"/>
      <c r="J2050" s="230"/>
      <c r="K2050" s="230"/>
    </row>
    <row r="2051" spans="1:11" ht="15.5" thickTop="1" thickBot="1" x14ac:dyDescent="0.4">
      <c r="A2051" s="335" t="s">
        <v>298</v>
      </c>
      <c r="B2051" s="336"/>
      <c r="C2051" s="336"/>
      <c r="D2051" s="336"/>
      <c r="E2051" s="337"/>
      <c r="G2051" s="335" t="s">
        <v>298</v>
      </c>
      <c r="H2051" s="336"/>
      <c r="I2051" s="336"/>
      <c r="J2051" s="336"/>
      <c r="K2051" s="337"/>
    </row>
    <row r="2052" spans="1:11" ht="15.5" thickTop="1" thickBot="1" x14ac:dyDescent="0.4">
      <c r="A2052" s="338">
        <v>45477</v>
      </c>
      <c r="B2052" s="336"/>
      <c r="C2052" s="336"/>
      <c r="D2052" s="336"/>
      <c r="E2052" s="337"/>
      <c r="G2052" s="338">
        <v>45477</v>
      </c>
      <c r="H2052" s="336"/>
      <c r="I2052" s="336"/>
      <c r="J2052" s="336"/>
      <c r="K2052" s="337"/>
    </row>
    <row r="2053" spans="1:11" ht="15" thickTop="1" x14ac:dyDescent="0.35">
      <c r="A2053" s="267" t="s">
        <v>159</v>
      </c>
      <c r="B2053" s="267" t="s">
        <v>299</v>
      </c>
      <c r="C2053" s="267" t="s">
        <v>307</v>
      </c>
      <c r="D2053" s="267" t="s">
        <v>301</v>
      </c>
      <c r="E2053" s="268" t="s">
        <v>308</v>
      </c>
      <c r="G2053" s="267" t="s">
        <v>159</v>
      </c>
      <c r="H2053" s="267" t="s">
        <v>299</v>
      </c>
      <c r="I2053" s="267" t="s">
        <v>307</v>
      </c>
      <c r="J2053" s="267" t="s">
        <v>301</v>
      </c>
      <c r="K2053" s="268" t="s">
        <v>308</v>
      </c>
    </row>
    <row r="2054" spans="1:11" x14ac:dyDescent="0.35">
      <c r="A2054" s="269" t="s">
        <v>316</v>
      </c>
      <c r="B2054" s="270">
        <v>100</v>
      </c>
      <c r="C2054" s="270"/>
      <c r="D2054" s="270"/>
      <c r="E2054" s="270"/>
      <c r="G2054" s="269" t="s">
        <v>316</v>
      </c>
      <c r="H2054" s="270"/>
      <c r="I2054" s="270"/>
      <c r="J2054" s="270"/>
      <c r="K2054" s="270"/>
    </row>
    <row r="2055" spans="1:11" x14ac:dyDescent="0.35">
      <c r="A2055" s="271" t="s">
        <v>309</v>
      </c>
      <c r="B2055" s="272"/>
      <c r="C2055" s="272"/>
      <c r="D2055" s="272"/>
      <c r="E2055" s="272"/>
      <c r="G2055" s="271" t="s">
        <v>309</v>
      </c>
      <c r="H2055" s="272"/>
      <c r="I2055" s="272"/>
      <c r="J2055" s="272"/>
      <c r="K2055" s="272"/>
    </row>
    <row r="2056" spans="1:11" x14ac:dyDescent="0.35">
      <c r="A2056" s="269" t="s">
        <v>310</v>
      </c>
      <c r="B2056" s="270">
        <v>1150</v>
      </c>
      <c r="C2056" s="270"/>
      <c r="D2056" s="270"/>
      <c r="E2056" s="270"/>
      <c r="G2056" s="269" t="s">
        <v>310</v>
      </c>
      <c r="H2056" s="270"/>
      <c r="I2056" s="270"/>
      <c r="J2056" s="270"/>
      <c r="K2056" s="270"/>
    </row>
    <row r="2057" spans="1:11" x14ac:dyDescent="0.35">
      <c r="A2057" s="271" t="s">
        <v>317</v>
      </c>
      <c r="B2057" s="272"/>
      <c r="C2057" s="272"/>
      <c r="D2057" s="272"/>
      <c r="E2057" s="272"/>
      <c r="G2057" s="271" t="s">
        <v>317</v>
      </c>
      <c r="H2057" s="272"/>
      <c r="I2057" s="272"/>
      <c r="J2057" s="272"/>
      <c r="K2057" s="272"/>
    </row>
    <row r="2058" spans="1:11" x14ac:dyDescent="0.35">
      <c r="A2058" s="269" t="s">
        <v>311</v>
      </c>
      <c r="B2058" s="270"/>
      <c r="C2058" s="270"/>
      <c r="D2058" s="270"/>
      <c r="E2058" s="270"/>
      <c r="G2058" s="269" t="s">
        <v>311</v>
      </c>
      <c r="H2058" s="270"/>
      <c r="I2058" s="270"/>
      <c r="J2058" s="270"/>
      <c r="K2058" s="270"/>
    </row>
    <row r="2059" spans="1:11" x14ac:dyDescent="0.35">
      <c r="A2059" s="271" t="s">
        <v>312</v>
      </c>
      <c r="B2059" s="272">
        <v>6000</v>
      </c>
      <c r="C2059" s="272"/>
      <c r="D2059" s="272"/>
      <c r="E2059" s="272"/>
      <c r="G2059" s="271" t="s">
        <v>312</v>
      </c>
      <c r="H2059" s="272"/>
      <c r="I2059" s="272"/>
      <c r="J2059" s="272"/>
      <c r="K2059" s="272"/>
    </row>
    <row r="2060" spans="1:11" x14ac:dyDescent="0.35">
      <c r="A2060" s="231" t="s">
        <v>34</v>
      </c>
      <c r="B2060" s="230">
        <f>SUM(B2054:B2059)</f>
        <v>7250</v>
      </c>
      <c r="C2060" s="230">
        <f>SUM(C2054:C2059)</f>
        <v>0</v>
      </c>
      <c r="D2060" s="230">
        <f>SUM(D2054:D2059)</f>
        <v>0</v>
      </c>
      <c r="E2060" s="230">
        <f>SUM(E2054:E2059)</f>
        <v>0</v>
      </c>
      <c r="G2060" s="231" t="s">
        <v>34</v>
      </c>
      <c r="H2060" s="230">
        <f>SUM(H2054:H2059)</f>
        <v>0</v>
      </c>
      <c r="I2060" s="230">
        <f>SUM(I2054:I2059)</f>
        <v>0</v>
      </c>
      <c r="J2060" s="230">
        <f>SUM(J2054:J2059)</f>
        <v>0</v>
      </c>
      <c r="K2060" s="230">
        <f>SUM(K2054:K2059)</f>
        <v>0</v>
      </c>
    </row>
    <row r="2061" spans="1:11" ht="15" thickBot="1" x14ac:dyDescent="0.4">
      <c r="A2061" s="231" t="s">
        <v>313</v>
      </c>
      <c r="B2061" s="230">
        <f>+B2060+C2060+D2060+E2060</f>
        <v>7250</v>
      </c>
      <c r="C2061" s="230"/>
      <c r="D2061" s="230"/>
      <c r="E2061" s="230"/>
      <c r="G2061" s="231" t="s">
        <v>313</v>
      </c>
      <c r="H2061" s="230">
        <f>+H2060+I2060+J2060+K2060</f>
        <v>0</v>
      </c>
      <c r="I2061" s="230"/>
      <c r="J2061" s="230"/>
      <c r="K2061" s="230"/>
    </row>
    <row r="2062" spans="1:11" ht="15.5" thickTop="1" thickBot="1" x14ac:dyDescent="0.4">
      <c r="A2062" s="335" t="s">
        <v>298</v>
      </c>
      <c r="B2062" s="336"/>
      <c r="C2062" s="336"/>
      <c r="D2062" s="336"/>
      <c r="E2062" s="337"/>
      <c r="G2062" s="335" t="s">
        <v>298</v>
      </c>
      <c r="H2062" s="336"/>
      <c r="I2062" s="336"/>
      <c r="J2062" s="336"/>
      <c r="K2062" s="337"/>
    </row>
    <row r="2063" spans="1:11" ht="15.5" thickTop="1" thickBot="1" x14ac:dyDescent="0.4">
      <c r="A2063" s="338">
        <v>45478</v>
      </c>
      <c r="B2063" s="336"/>
      <c r="C2063" s="336"/>
      <c r="D2063" s="336"/>
      <c r="E2063" s="337"/>
      <c r="G2063" s="338">
        <v>45478</v>
      </c>
      <c r="H2063" s="336"/>
      <c r="I2063" s="336"/>
      <c r="J2063" s="336"/>
      <c r="K2063" s="337"/>
    </row>
    <row r="2064" spans="1:11" ht="15" thickTop="1" x14ac:dyDescent="0.35">
      <c r="A2064" s="267" t="s">
        <v>159</v>
      </c>
      <c r="B2064" s="267" t="s">
        <v>299</v>
      </c>
      <c r="C2064" s="267" t="s">
        <v>307</v>
      </c>
      <c r="D2064" s="267" t="s">
        <v>301</v>
      </c>
      <c r="E2064" s="268" t="s">
        <v>308</v>
      </c>
      <c r="G2064" s="267" t="s">
        <v>159</v>
      </c>
      <c r="H2064" s="267" t="s">
        <v>299</v>
      </c>
      <c r="I2064" s="267" t="s">
        <v>307</v>
      </c>
      <c r="J2064" s="267" t="s">
        <v>301</v>
      </c>
      <c r="K2064" s="268" t="s">
        <v>308</v>
      </c>
    </row>
    <row r="2065" spans="1:11" x14ac:dyDescent="0.35">
      <c r="A2065" s="269" t="s">
        <v>316</v>
      </c>
      <c r="B2065" s="270">
        <v>200</v>
      </c>
      <c r="C2065" s="270"/>
      <c r="D2065" s="270"/>
      <c r="E2065" s="270"/>
      <c r="G2065" s="269" t="s">
        <v>316</v>
      </c>
      <c r="H2065" s="270"/>
      <c r="I2065" s="270"/>
      <c r="J2065" s="270"/>
      <c r="K2065" s="270"/>
    </row>
    <row r="2066" spans="1:11" x14ac:dyDescent="0.35">
      <c r="A2066" s="271" t="s">
        <v>309</v>
      </c>
      <c r="B2066" s="272"/>
      <c r="C2066" s="272"/>
      <c r="D2066" s="272"/>
      <c r="E2066" s="272"/>
      <c r="G2066" s="271" t="s">
        <v>309</v>
      </c>
      <c r="H2066" s="272"/>
      <c r="I2066" s="272"/>
      <c r="J2066" s="272"/>
      <c r="K2066" s="272"/>
    </row>
    <row r="2067" spans="1:11" x14ac:dyDescent="0.35">
      <c r="A2067" s="269" t="s">
        <v>310</v>
      </c>
      <c r="B2067" s="270"/>
      <c r="C2067" s="270"/>
      <c r="D2067" s="270"/>
      <c r="E2067" s="270"/>
      <c r="G2067" s="269" t="s">
        <v>310</v>
      </c>
      <c r="H2067" s="270"/>
      <c r="I2067" s="270"/>
      <c r="J2067" s="270"/>
      <c r="K2067" s="270"/>
    </row>
    <row r="2068" spans="1:11" x14ac:dyDescent="0.35">
      <c r="A2068" s="271" t="s">
        <v>317</v>
      </c>
      <c r="B2068" s="272"/>
      <c r="C2068" s="272"/>
      <c r="D2068" s="272"/>
      <c r="E2068" s="272"/>
      <c r="G2068" s="271" t="s">
        <v>317</v>
      </c>
      <c r="H2068" s="272"/>
      <c r="I2068" s="272"/>
      <c r="J2068" s="272"/>
      <c r="K2068" s="272"/>
    </row>
    <row r="2069" spans="1:11" x14ac:dyDescent="0.35">
      <c r="A2069" s="269" t="s">
        <v>311</v>
      </c>
      <c r="B2069" s="270"/>
      <c r="C2069" s="270"/>
      <c r="D2069" s="270"/>
      <c r="E2069" s="270"/>
      <c r="G2069" s="269" t="s">
        <v>311</v>
      </c>
      <c r="H2069" s="270"/>
      <c r="I2069" s="270"/>
      <c r="J2069" s="270"/>
      <c r="K2069" s="270"/>
    </row>
    <row r="2070" spans="1:11" x14ac:dyDescent="0.35">
      <c r="A2070" s="271" t="s">
        <v>312</v>
      </c>
      <c r="B2070" s="272"/>
      <c r="C2070" s="272"/>
      <c r="D2070" s="272"/>
      <c r="E2070" s="272"/>
      <c r="G2070" s="271" t="s">
        <v>312</v>
      </c>
      <c r="H2070" s="272"/>
      <c r="I2070" s="272"/>
      <c r="J2070" s="272"/>
      <c r="K2070" s="272"/>
    </row>
    <row r="2071" spans="1:11" x14ac:dyDescent="0.35">
      <c r="A2071" s="231" t="s">
        <v>34</v>
      </c>
      <c r="B2071" s="230">
        <f>SUM(B2065:B2070)</f>
        <v>200</v>
      </c>
      <c r="C2071" s="230">
        <f>SUM(C2065:C2070)</f>
        <v>0</v>
      </c>
      <c r="D2071" s="230">
        <f>SUM(D2065:D2070)</f>
        <v>0</v>
      </c>
      <c r="E2071" s="230">
        <f>SUM(E2065:E2070)</f>
        <v>0</v>
      </c>
      <c r="G2071" s="231" t="s">
        <v>34</v>
      </c>
      <c r="H2071" s="230">
        <f>SUM(H2065:H2070)</f>
        <v>0</v>
      </c>
      <c r="I2071" s="230">
        <f>SUM(I2065:I2070)</f>
        <v>0</v>
      </c>
      <c r="J2071" s="230">
        <f>SUM(J2065:J2070)</f>
        <v>0</v>
      </c>
      <c r="K2071" s="230">
        <f>SUM(K2065:K2070)</f>
        <v>0</v>
      </c>
    </row>
    <row r="2072" spans="1:11" ht="15" thickBot="1" x14ac:dyDescent="0.4">
      <c r="A2072" s="231" t="s">
        <v>313</v>
      </c>
      <c r="B2072" s="230">
        <f>+B2071+C2071+D2071+E2071</f>
        <v>200</v>
      </c>
      <c r="C2072" s="230"/>
      <c r="D2072" s="230"/>
      <c r="E2072" s="230"/>
      <c r="G2072" s="231" t="s">
        <v>313</v>
      </c>
      <c r="H2072" s="230">
        <f>+H2071+I2071+J2071+K2071</f>
        <v>0</v>
      </c>
      <c r="I2072" s="230"/>
      <c r="J2072" s="230"/>
      <c r="K2072" s="230"/>
    </row>
    <row r="2073" spans="1:11" ht="15.5" thickTop="1" thickBot="1" x14ac:dyDescent="0.4">
      <c r="A2073" s="335" t="s">
        <v>298</v>
      </c>
      <c r="B2073" s="336"/>
      <c r="C2073" s="336"/>
      <c r="D2073" s="336"/>
      <c r="E2073" s="337"/>
      <c r="G2073" s="335" t="s">
        <v>298</v>
      </c>
      <c r="H2073" s="336"/>
      <c r="I2073" s="336"/>
      <c r="J2073" s="336"/>
      <c r="K2073" s="337"/>
    </row>
    <row r="2074" spans="1:11" ht="15.5" thickTop="1" thickBot="1" x14ac:dyDescent="0.4">
      <c r="A2074" s="338">
        <v>45479</v>
      </c>
      <c r="B2074" s="336"/>
      <c r="C2074" s="336"/>
      <c r="D2074" s="336"/>
      <c r="E2074" s="337"/>
      <c r="G2074" s="338">
        <v>45479</v>
      </c>
      <c r="H2074" s="336"/>
      <c r="I2074" s="336"/>
      <c r="J2074" s="336"/>
      <c r="K2074" s="337"/>
    </row>
    <row r="2075" spans="1:11" ht="15" thickTop="1" x14ac:dyDescent="0.35">
      <c r="A2075" s="267" t="s">
        <v>159</v>
      </c>
      <c r="B2075" s="267" t="s">
        <v>299</v>
      </c>
      <c r="C2075" s="267" t="s">
        <v>307</v>
      </c>
      <c r="D2075" s="267" t="s">
        <v>301</v>
      </c>
      <c r="E2075" s="268" t="s">
        <v>308</v>
      </c>
      <c r="G2075" s="267" t="s">
        <v>159</v>
      </c>
      <c r="H2075" s="267" t="s">
        <v>299</v>
      </c>
      <c r="I2075" s="267" t="s">
        <v>307</v>
      </c>
      <c r="J2075" s="267" t="s">
        <v>301</v>
      </c>
      <c r="K2075" s="268" t="s">
        <v>308</v>
      </c>
    </row>
    <row r="2076" spans="1:11" x14ac:dyDescent="0.35">
      <c r="A2076" s="269" t="s">
        <v>316</v>
      </c>
      <c r="B2076" s="270">
        <v>2500</v>
      </c>
      <c r="C2076" s="270"/>
      <c r="D2076" s="270"/>
      <c r="E2076" s="270"/>
      <c r="G2076" s="269" t="s">
        <v>316</v>
      </c>
      <c r="H2076" s="270">
        <v>1400</v>
      </c>
      <c r="I2076" s="270"/>
      <c r="J2076" s="270"/>
      <c r="K2076" s="270"/>
    </row>
    <row r="2077" spans="1:11" x14ac:dyDescent="0.35">
      <c r="A2077" s="271" t="s">
        <v>309</v>
      </c>
      <c r="B2077" s="272">
        <v>1700</v>
      </c>
      <c r="C2077" s="272"/>
      <c r="D2077" s="272"/>
      <c r="E2077" s="272"/>
      <c r="G2077" s="271" t="s">
        <v>309</v>
      </c>
      <c r="H2077" s="272"/>
      <c r="I2077" s="272"/>
      <c r="J2077" s="272"/>
      <c r="K2077" s="272"/>
    </row>
    <row r="2078" spans="1:11" x14ac:dyDescent="0.35">
      <c r="A2078" s="269" t="s">
        <v>310</v>
      </c>
      <c r="B2078" s="270">
        <v>5000</v>
      </c>
      <c r="C2078" s="270"/>
      <c r="D2078" s="270"/>
      <c r="E2078" s="270"/>
      <c r="G2078" s="269" t="s">
        <v>310</v>
      </c>
      <c r="H2078" s="270"/>
      <c r="I2078" s="270"/>
      <c r="J2078" s="270"/>
      <c r="K2078" s="270"/>
    </row>
    <row r="2079" spans="1:11" x14ac:dyDescent="0.35">
      <c r="A2079" s="271" t="s">
        <v>366</v>
      </c>
      <c r="B2079" s="272">
        <v>340</v>
      </c>
      <c r="C2079" s="272"/>
      <c r="D2079" s="272"/>
      <c r="E2079" s="272"/>
      <c r="G2079" s="271" t="s">
        <v>317</v>
      </c>
      <c r="H2079" s="272"/>
      <c r="I2079" s="272"/>
      <c r="J2079" s="272"/>
      <c r="K2079" s="272"/>
    </row>
    <row r="2080" spans="1:11" x14ac:dyDescent="0.35">
      <c r="A2080" s="269" t="s">
        <v>311</v>
      </c>
      <c r="B2080" s="270"/>
      <c r="C2080" s="270"/>
      <c r="D2080" s="270"/>
      <c r="E2080" s="270"/>
      <c r="G2080" s="269" t="s">
        <v>311</v>
      </c>
      <c r="H2080" s="270"/>
      <c r="I2080" s="270"/>
      <c r="J2080" s="270"/>
      <c r="K2080" s="270"/>
    </row>
    <row r="2081" spans="1:11" x14ac:dyDescent="0.35">
      <c r="A2081" s="271" t="s">
        <v>312</v>
      </c>
      <c r="B2081" s="272"/>
      <c r="C2081" s="272"/>
      <c r="D2081" s="272"/>
      <c r="E2081" s="272"/>
      <c r="G2081" s="271" t="s">
        <v>312</v>
      </c>
      <c r="H2081" s="272"/>
      <c r="I2081" s="272"/>
      <c r="J2081" s="272"/>
      <c r="K2081" s="272"/>
    </row>
    <row r="2082" spans="1:11" x14ac:dyDescent="0.35">
      <c r="A2082" s="231" t="s">
        <v>34</v>
      </c>
      <c r="B2082" s="230">
        <f>SUM(B2076:B2081)</f>
        <v>9540</v>
      </c>
      <c r="C2082" s="230">
        <f>SUM(C2076:C2081)</f>
        <v>0</v>
      </c>
      <c r="D2082" s="230">
        <f>SUM(D2076:D2081)</f>
        <v>0</v>
      </c>
      <c r="E2082" s="230">
        <f>SUM(E2076:E2081)</f>
        <v>0</v>
      </c>
      <c r="G2082" s="231" t="s">
        <v>34</v>
      </c>
      <c r="H2082" s="230">
        <f>SUM(H2076:H2081)</f>
        <v>1400</v>
      </c>
      <c r="I2082" s="230">
        <f>SUM(I2076:I2081)</f>
        <v>0</v>
      </c>
      <c r="J2082" s="230">
        <f>SUM(J2076:J2081)</f>
        <v>0</v>
      </c>
      <c r="K2082" s="230">
        <f>SUM(K2076:K2081)</f>
        <v>0</v>
      </c>
    </row>
    <row r="2083" spans="1:11" ht="15" thickBot="1" x14ac:dyDescent="0.4">
      <c r="A2083" s="231" t="s">
        <v>313</v>
      </c>
      <c r="B2083" s="230">
        <f>+B2082+C2082+D2082+E2082</f>
        <v>9540</v>
      </c>
      <c r="C2083" s="230"/>
      <c r="D2083" s="230"/>
      <c r="E2083" s="230"/>
      <c r="G2083" s="231" t="s">
        <v>313</v>
      </c>
      <c r="H2083" s="230">
        <f>+H2082+I2082+J2082+K2082</f>
        <v>1400</v>
      </c>
      <c r="I2083" s="230"/>
      <c r="J2083" s="230"/>
      <c r="K2083" s="230"/>
    </row>
    <row r="2084" spans="1:11" ht="15.5" thickTop="1" thickBot="1" x14ac:dyDescent="0.4">
      <c r="A2084" s="335" t="s">
        <v>298</v>
      </c>
      <c r="B2084" s="336"/>
      <c r="C2084" s="336"/>
      <c r="D2084" s="336"/>
      <c r="E2084" s="337"/>
      <c r="G2084" s="335" t="s">
        <v>298</v>
      </c>
      <c r="H2084" s="336"/>
      <c r="I2084" s="336"/>
      <c r="J2084" s="336"/>
      <c r="K2084" s="337"/>
    </row>
    <row r="2085" spans="1:11" ht="15.5" thickTop="1" thickBot="1" x14ac:dyDescent="0.4">
      <c r="A2085" s="338">
        <v>45480</v>
      </c>
      <c r="B2085" s="336"/>
      <c r="C2085" s="336"/>
      <c r="D2085" s="336"/>
      <c r="E2085" s="337"/>
      <c r="G2085" s="338">
        <v>45480</v>
      </c>
      <c r="H2085" s="336"/>
      <c r="I2085" s="336"/>
      <c r="J2085" s="336"/>
      <c r="K2085" s="337"/>
    </row>
    <row r="2086" spans="1:11" ht="15" thickTop="1" x14ac:dyDescent="0.35">
      <c r="A2086" s="267" t="s">
        <v>159</v>
      </c>
      <c r="B2086" s="267" t="s">
        <v>299</v>
      </c>
      <c r="C2086" s="267" t="s">
        <v>307</v>
      </c>
      <c r="D2086" s="267" t="s">
        <v>301</v>
      </c>
      <c r="E2086" s="268" t="s">
        <v>308</v>
      </c>
      <c r="G2086" s="267" t="s">
        <v>159</v>
      </c>
      <c r="H2086" s="267" t="s">
        <v>299</v>
      </c>
      <c r="I2086" s="267" t="s">
        <v>307</v>
      </c>
      <c r="J2086" s="267" t="s">
        <v>301</v>
      </c>
      <c r="K2086" s="268" t="s">
        <v>308</v>
      </c>
    </row>
    <row r="2087" spans="1:11" x14ac:dyDescent="0.35">
      <c r="A2087" s="269" t="s">
        <v>316</v>
      </c>
      <c r="B2087" s="270"/>
      <c r="C2087" s="270"/>
      <c r="D2087" s="270"/>
      <c r="E2087" s="270"/>
      <c r="G2087" s="269" t="s">
        <v>316</v>
      </c>
      <c r="H2087" s="270">
        <v>200</v>
      </c>
      <c r="I2087" s="270"/>
      <c r="J2087" s="270"/>
      <c r="K2087" s="270"/>
    </row>
    <row r="2088" spans="1:11" x14ac:dyDescent="0.35">
      <c r="A2088" s="271" t="s">
        <v>309</v>
      </c>
      <c r="B2088" s="272"/>
      <c r="C2088" s="272"/>
      <c r="D2088" s="272"/>
      <c r="E2088" s="272"/>
      <c r="G2088" s="271" t="s">
        <v>309</v>
      </c>
      <c r="H2088" s="272"/>
      <c r="I2088" s="272"/>
      <c r="J2088" s="272"/>
      <c r="K2088" s="272"/>
    </row>
    <row r="2089" spans="1:11" x14ac:dyDescent="0.35">
      <c r="A2089" s="269" t="s">
        <v>310</v>
      </c>
      <c r="B2089" s="270"/>
      <c r="C2089" s="270"/>
      <c r="D2089" s="270"/>
      <c r="E2089" s="270"/>
      <c r="G2089" s="269" t="s">
        <v>310</v>
      </c>
      <c r="H2089" s="270"/>
      <c r="I2089" s="270"/>
      <c r="J2089" s="270"/>
      <c r="K2089" s="270"/>
    </row>
    <row r="2090" spans="1:11" x14ac:dyDescent="0.35">
      <c r="A2090" s="271" t="s">
        <v>317</v>
      </c>
      <c r="B2090" s="272"/>
      <c r="C2090" s="272"/>
      <c r="D2090" s="272"/>
      <c r="E2090" s="272"/>
      <c r="G2090" s="271" t="s">
        <v>317</v>
      </c>
      <c r="H2090" s="272"/>
      <c r="I2090" s="272"/>
      <c r="J2090" s="272"/>
      <c r="K2090" s="272"/>
    </row>
    <row r="2091" spans="1:11" x14ac:dyDescent="0.35">
      <c r="A2091" s="269" t="s">
        <v>311</v>
      </c>
      <c r="B2091" s="270"/>
      <c r="C2091" s="270"/>
      <c r="D2091" s="270"/>
      <c r="E2091" s="270"/>
      <c r="G2091" s="269" t="s">
        <v>311</v>
      </c>
      <c r="H2091" s="270"/>
      <c r="I2091" s="270"/>
      <c r="J2091" s="270"/>
      <c r="K2091" s="270"/>
    </row>
    <row r="2092" spans="1:11" x14ac:dyDescent="0.35">
      <c r="A2092" s="271" t="s">
        <v>312</v>
      </c>
      <c r="B2092" s="272">
        <v>5250</v>
      </c>
      <c r="C2092" s="272"/>
      <c r="D2092" s="272"/>
      <c r="E2092" s="272"/>
      <c r="G2092" s="271" t="s">
        <v>312</v>
      </c>
      <c r="H2092" s="272"/>
      <c r="I2092" s="272"/>
      <c r="J2092" s="272"/>
      <c r="K2092" s="272"/>
    </row>
    <row r="2093" spans="1:11" x14ac:dyDescent="0.35">
      <c r="A2093" s="231" t="s">
        <v>34</v>
      </c>
      <c r="B2093" s="230">
        <f>SUM(B2087:B2092)</f>
        <v>5250</v>
      </c>
      <c r="C2093" s="230">
        <f>SUM(C2087:C2092)</f>
        <v>0</v>
      </c>
      <c r="D2093" s="230">
        <f>SUM(D2087:D2092)</f>
        <v>0</v>
      </c>
      <c r="E2093" s="230">
        <f>SUM(E2087:E2092)</f>
        <v>0</v>
      </c>
      <c r="G2093" s="231" t="s">
        <v>34</v>
      </c>
      <c r="H2093" s="230">
        <f>SUM(H2087:H2092)</f>
        <v>200</v>
      </c>
      <c r="I2093" s="230">
        <f>SUM(I2087:I2092)</f>
        <v>0</v>
      </c>
      <c r="J2093" s="230">
        <f>SUM(J2087:J2092)</f>
        <v>0</v>
      </c>
      <c r="K2093" s="230">
        <f>SUM(K2087:K2092)</f>
        <v>0</v>
      </c>
    </row>
    <row r="2094" spans="1:11" ht="15" thickBot="1" x14ac:dyDescent="0.4">
      <c r="A2094" s="231" t="s">
        <v>313</v>
      </c>
      <c r="B2094" s="230">
        <f>+B2093+C2093+D2093+E2093</f>
        <v>5250</v>
      </c>
      <c r="C2094" s="230"/>
      <c r="D2094" s="230"/>
      <c r="E2094" s="230"/>
      <c r="G2094" s="231" t="s">
        <v>313</v>
      </c>
      <c r="H2094" s="230">
        <f>+H2093+I2093+J2093+K2093</f>
        <v>200</v>
      </c>
      <c r="I2094" s="230"/>
      <c r="J2094" s="230"/>
      <c r="K2094" s="230"/>
    </row>
    <row r="2095" spans="1:11" ht="15.5" thickTop="1" thickBot="1" x14ac:dyDescent="0.4">
      <c r="A2095" s="335" t="s">
        <v>298</v>
      </c>
      <c r="B2095" s="336"/>
      <c r="C2095" s="336"/>
      <c r="D2095" s="336"/>
      <c r="E2095" s="337"/>
      <c r="G2095" s="335" t="s">
        <v>298</v>
      </c>
      <c r="H2095" s="336"/>
      <c r="I2095" s="336"/>
      <c r="J2095" s="336"/>
      <c r="K2095" s="337"/>
    </row>
    <row r="2096" spans="1:11" ht="15.5" thickTop="1" thickBot="1" x14ac:dyDescent="0.4">
      <c r="A2096" s="338">
        <v>45481</v>
      </c>
      <c r="B2096" s="336"/>
      <c r="C2096" s="336"/>
      <c r="D2096" s="336"/>
      <c r="E2096" s="337"/>
      <c r="G2096" s="338">
        <v>45481</v>
      </c>
      <c r="H2096" s="336"/>
      <c r="I2096" s="336"/>
      <c r="J2096" s="336"/>
      <c r="K2096" s="337"/>
    </row>
    <row r="2097" spans="1:11" ht="15" thickTop="1" x14ac:dyDescent="0.35">
      <c r="A2097" s="267" t="s">
        <v>159</v>
      </c>
      <c r="B2097" s="267" t="s">
        <v>299</v>
      </c>
      <c r="C2097" s="267" t="s">
        <v>307</v>
      </c>
      <c r="D2097" s="267" t="s">
        <v>301</v>
      </c>
      <c r="E2097" s="268" t="s">
        <v>308</v>
      </c>
      <c r="G2097" s="267" t="s">
        <v>159</v>
      </c>
      <c r="H2097" s="267" t="s">
        <v>299</v>
      </c>
      <c r="I2097" s="267" t="s">
        <v>307</v>
      </c>
      <c r="J2097" s="267" t="s">
        <v>301</v>
      </c>
      <c r="K2097" s="268" t="s">
        <v>308</v>
      </c>
    </row>
    <row r="2098" spans="1:11" x14ac:dyDescent="0.35">
      <c r="A2098" s="269" t="s">
        <v>316</v>
      </c>
      <c r="B2098" s="270">
        <v>204</v>
      </c>
      <c r="C2098" s="270"/>
      <c r="D2098" s="270"/>
      <c r="E2098" s="270"/>
      <c r="G2098" s="269" t="s">
        <v>316</v>
      </c>
      <c r="H2098" s="270"/>
      <c r="I2098" s="270"/>
      <c r="J2098" s="270"/>
      <c r="K2098" s="270"/>
    </row>
    <row r="2099" spans="1:11" x14ac:dyDescent="0.35">
      <c r="A2099" s="271" t="s">
        <v>309</v>
      </c>
      <c r="B2099" s="272"/>
      <c r="C2099" s="272"/>
      <c r="D2099" s="272"/>
      <c r="E2099" s="272"/>
      <c r="G2099" s="271" t="s">
        <v>309</v>
      </c>
      <c r="H2099" s="272"/>
      <c r="I2099" s="272"/>
      <c r="J2099" s="272"/>
      <c r="K2099" s="272"/>
    </row>
    <row r="2100" spans="1:11" x14ac:dyDescent="0.35">
      <c r="A2100" s="269" t="s">
        <v>310</v>
      </c>
      <c r="B2100" s="270">
        <v>5000</v>
      </c>
      <c r="C2100" s="270"/>
      <c r="D2100" s="270"/>
      <c r="E2100" s="270"/>
      <c r="G2100" s="269" t="s">
        <v>310</v>
      </c>
      <c r="H2100" s="270"/>
      <c r="I2100" s="270"/>
      <c r="J2100" s="270"/>
      <c r="K2100" s="270"/>
    </row>
    <row r="2101" spans="1:11" x14ac:dyDescent="0.35">
      <c r="A2101" s="271" t="s">
        <v>317</v>
      </c>
      <c r="B2101" s="272"/>
      <c r="C2101" s="272"/>
      <c r="D2101" s="272"/>
      <c r="E2101" s="272"/>
      <c r="G2101" s="271" t="s">
        <v>317</v>
      </c>
      <c r="H2101" s="272"/>
      <c r="I2101" s="272"/>
      <c r="J2101" s="272"/>
      <c r="K2101" s="272"/>
    </row>
    <row r="2102" spans="1:11" x14ac:dyDescent="0.35">
      <c r="A2102" s="269" t="s">
        <v>311</v>
      </c>
      <c r="B2102" s="270"/>
      <c r="C2102" s="270"/>
      <c r="D2102" s="270"/>
      <c r="E2102" s="270"/>
      <c r="G2102" s="269" t="s">
        <v>311</v>
      </c>
      <c r="H2102" s="270"/>
      <c r="I2102" s="270"/>
      <c r="J2102" s="270"/>
      <c r="K2102" s="270"/>
    </row>
    <row r="2103" spans="1:11" x14ac:dyDescent="0.35">
      <c r="A2103" s="271" t="s">
        <v>312</v>
      </c>
      <c r="B2103" s="272"/>
      <c r="C2103" s="272"/>
      <c r="D2103" s="272"/>
      <c r="E2103" s="272"/>
      <c r="G2103" s="271" t="s">
        <v>312</v>
      </c>
      <c r="H2103" s="272"/>
      <c r="I2103" s="272"/>
      <c r="J2103" s="272"/>
      <c r="K2103" s="272"/>
    </row>
    <row r="2104" spans="1:11" x14ac:dyDescent="0.35">
      <c r="A2104" s="231" t="s">
        <v>34</v>
      </c>
      <c r="B2104" s="230">
        <f>SUM(B2098:B2103)</f>
        <v>5204</v>
      </c>
      <c r="C2104" s="230">
        <f>SUM(C2098:C2103)</f>
        <v>0</v>
      </c>
      <c r="D2104" s="230">
        <f>SUM(D2098:D2103)</f>
        <v>0</v>
      </c>
      <c r="E2104" s="230">
        <f>SUM(E2098:E2103)</f>
        <v>0</v>
      </c>
      <c r="G2104" s="231" t="s">
        <v>34</v>
      </c>
      <c r="H2104" s="230">
        <f>SUM(H2098:H2103)</f>
        <v>0</v>
      </c>
      <c r="I2104" s="230">
        <f>SUM(I2098:I2103)</f>
        <v>0</v>
      </c>
      <c r="J2104" s="230">
        <f>SUM(J2098:J2103)</f>
        <v>0</v>
      </c>
      <c r="K2104" s="230">
        <f>SUM(K2098:K2103)</f>
        <v>0</v>
      </c>
    </row>
    <row r="2105" spans="1:11" ht="15" thickBot="1" x14ac:dyDescent="0.4">
      <c r="A2105" s="231" t="s">
        <v>313</v>
      </c>
      <c r="B2105" s="230">
        <f>+B2104+C2104+D2104+E2104</f>
        <v>5204</v>
      </c>
      <c r="C2105" s="230"/>
      <c r="D2105" s="230"/>
      <c r="E2105" s="230"/>
      <c r="G2105" s="231" t="s">
        <v>313</v>
      </c>
      <c r="H2105" s="230">
        <f>+H2104+I2104+J2104+K2104</f>
        <v>0</v>
      </c>
      <c r="I2105" s="230"/>
      <c r="J2105" s="230"/>
      <c r="K2105" s="230"/>
    </row>
    <row r="2106" spans="1:11" ht="15.5" thickTop="1" thickBot="1" x14ac:dyDescent="0.4">
      <c r="A2106" s="335" t="s">
        <v>298</v>
      </c>
      <c r="B2106" s="336"/>
      <c r="C2106" s="336"/>
      <c r="D2106" s="336"/>
      <c r="E2106" s="337"/>
      <c r="G2106" s="335" t="s">
        <v>298</v>
      </c>
      <c r="H2106" s="336"/>
      <c r="I2106" s="336"/>
      <c r="J2106" s="336"/>
      <c r="K2106" s="337"/>
    </row>
    <row r="2107" spans="1:11" ht="15.5" thickTop="1" thickBot="1" x14ac:dyDescent="0.4">
      <c r="A2107" s="338">
        <v>45482</v>
      </c>
      <c r="B2107" s="336"/>
      <c r="C2107" s="336"/>
      <c r="D2107" s="336"/>
      <c r="E2107" s="337"/>
      <c r="G2107" s="338">
        <v>45482</v>
      </c>
      <c r="H2107" s="336"/>
      <c r="I2107" s="336"/>
      <c r="J2107" s="336"/>
      <c r="K2107" s="337"/>
    </row>
    <row r="2108" spans="1:11" ht="15" thickTop="1" x14ac:dyDescent="0.35">
      <c r="A2108" s="267" t="s">
        <v>159</v>
      </c>
      <c r="B2108" s="267" t="s">
        <v>299</v>
      </c>
      <c r="C2108" s="267" t="s">
        <v>307</v>
      </c>
      <c r="D2108" s="267" t="s">
        <v>301</v>
      </c>
      <c r="E2108" s="268" t="s">
        <v>308</v>
      </c>
      <c r="G2108" s="267" t="s">
        <v>159</v>
      </c>
      <c r="H2108" s="267" t="s">
        <v>299</v>
      </c>
      <c r="I2108" s="267" t="s">
        <v>307</v>
      </c>
      <c r="J2108" s="267" t="s">
        <v>301</v>
      </c>
      <c r="K2108" s="268" t="s">
        <v>308</v>
      </c>
    </row>
    <row r="2109" spans="1:11" x14ac:dyDescent="0.35">
      <c r="A2109" s="269" t="s">
        <v>378</v>
      </c>
      <c r="B2109" s="270">
        <v>2400</v>
      </c>
      <c r="C2109" s="270"/>
      <c r="D2109" s="270"/>
      <c r="E2109" s="270"/>
      <c r="G2109" s="269" t="s">
        <v>316</v>
      </c>
      <c r="H2109" s="270"/>
      <c r="I2109" s="270"/>
      <c r="J2109" s="270"/>
      <c r="K2109" s="270"/>
    </row>
    <row r="2110" spans="1:11" x14ac:dyDescent="0.35">
      <c r="A2110" s="271" t="s">
        <v>309</v>
      </c>
      <c r="B2110" s="272"/>
      <c r="C2110" s="272"/>
      <c r="D2110" s="272"/>
      <c r="E2110" s="272"/>
      <c r="G2110" s="271" t="s">
        <v>309</v>
      </c>
      <c r="H2110" s="272"/>
      <c r="I2110" s="272"/>
      <c r="J2110" s="272"/>
      <c r="K2110" s="272"/>
    </row>
    <row r="2111" spans="1:11" x14ac:dyDescent="0.35">
      <c r="A2111" s="269" t="s">
        <v>310</v>
      </c>
      <c r="B2111" s="270"/>
      <c r="C2111" s="270"/>
      <c r="D2111" s="270"/>
      <c r="E2111" s="270"/>
      <c r="G2111" s="269" t="s">
        <v>310</v>
      </c>
      <c r="H2111" s="270"/>
      <c r="I2111" s="270"/>
      <c r="J2111" s="270"/>
      <c r="K2111" s="270"/>
    </row>
    <row r="2112" spans="1:11" x14ac:dyDescent="0.35">
      <c r="A2112" s="271" t="s">
        <v>317</v>
      </c>
      <c r="B2112" s="272"/>
      <c r="C2112" s="272"/>
      <c r="D2112" s="272"/>
      <c r="E2112" s="272"/>
      <c r="G2112" s="271" t="s">
        <v>317</v>
      </c>
      <c r="H2112" s="272"/>
      <c r="I2112" s="272"/>
      <c r="J2112" s="272"/>
      <c r="K2112" s="272"/>
    </row>
    <row r="2113" spans="1:11" x14ac:dyDescent="0.35">
      <c r="A2113" s="269" t="s">
        <v>311</v>
      </c>
      <c r="B2113" s="270"/>
      <c r="C2113" s="270"/>
      <c r="D2113" s="270"/>
      <c r="E2113" s="270"/>
      <c r="G2113" s="269" t="s">
        <v>311</v>
      </c>
      <c r="H2113" s="270"/>
      <c r="I2113" s="270"/>
      <c r="J2113" s="270"/>
      <c r="K2113" s="270"/>
    </row>
    <row r="2114" spans="1:11" x14ac:dyDescent="0.35">
      <c r="A2114" s="271" t="s">
        <v>312</v>
      </c>
      <c r="B2114" s="272">
        <v>6000</v>
      </c>
      <c r="C2114" s="272"/>
      <c r="D2114" s="272"/>
      <c r="E2114" s="272"/>
      <c r="G2114" s="271" t="s">
        <v>312</v>
      </c>
      <c r="H2114" s="272"/>
      <c r="I2114" s="272"/>
      <c r="J2114" s="272"/>
      <c r="K2114" s="272"/>
    </row>
    <row r="2115" spans="1:11" x14ac:dyDescent="0.35">
      <c r="A2115" s="231" t="s">
        <v>34</v>
      </c>
      <c r="B2115" s="230">
        <f>SUM(B2109:B2114)</f>
        <v>8400</v>
      </c>
      <c r="C2115" s="230">
        <f>SUM(C2109:C2114)</f>
        <v>0</v>
      </c>
      <c r="D2115" s="230">
        <f>SUM(D2109:D2114)</f>
        <v>0</v>
      </c>
      <c r="E2115" s="230">
        <f>SUM(E2109:E2114)</f>
        <v>0</v>
      </c>
      <c r="G2115" s="231" t="s">
        <v>34</v>
      </c>
      <c r="H2115" s="230">
        <f>SUM(H2109:H2114)</f>
        <v>0</v>
      </c>
      <c r="I2115" s="230">
        <f>SUM(I2109:I2114)</f>
        <v>0</v>
      </c>
      <c r="J2115" s="230">
        <f>SUM(J2109:J2114)</f>
        <v>0</v>
      </c>
      <c r="K2115" s="230">
        <f>SUM(K2109:K2114)</f>
        <v>0</v>
      </c>
    </row>
    <row r="2116" spans="1:11" ht="15" thickBot="1" x14ac:dyDescent="0.4">
      <c r="A2116" s="231" t="s">
        <v>313</v>
      </c>
      <c r="B2116" s="230">
        <f>+B2115+C2115+D2115+E2115</f>
        <v>8400</v>
      </c>
      <c r="C2116" s="230"/>
      <c r="D2116" s="230"/>
      <c r="E2116" s="230"/>
      <c r="G2116" s="231" t="s">
        <v>313</v>
      </c>
      <c r="H2116" s="230">
        <f>+H2115+I2115+J2115+K2115</f>
        <v>0</v>
      </c>
      <c r="I2116" s="230"/>
      <c r="J2116" s="230"/>
      <c r="K2116" s="230"/>
    </row>
    <row r="2117" spans="1:11" ht="15.5" thickTop="1" thickBot="1" x14ac:dyDescent="0.4">
      <c r="A2117" s="335" t="s">
        <v>298</v>
      </c>
      <c r="B2117" s="336"/>
      <c r="C2117" s="336"/>
      <c r="D2117" s="336"/>
      <c r="E2117" s="337"/>
      <c r="G2117" s="335" t="s">
        <v>298</v>
      </c>
      <c r="H2117" s="336"/>
      <c r="I2117" s="336"/>
      <c r="J2117" s="336"/>
      <c r="K2117" s="337"/>
    </row>
    <row r="2118" spans="1:11" ht="15.5" thickTop="1" thickBot="1" x14ac:dyDescent="0.4">
      <c r="A2118" s="338">
        <v>45483</v>
      </c>
      <c r="B2118" s="336"/>
      <c r="C2118" s="336"/>
      <c r="D2118" s="336"/>
      <c r="E2118" s="337"/>
      <c r="G2118" s="338">
        <v>45483</v>
      </c>
      <c r="H2118" s="336"/>
      <c r="I2118" s="336"/>
      <c r="J2118" s="336"/>
      <c r="K2118" s="337"/>
    </row>
    <row r="2119" spans="1:11" ht="15" thickTop="1" x14ac:dyDescent="0.35">
      <c r="A2119" s="267" t="s">
        <v>159</v>
      </c>
      <c r="B2119" s="267" t="s">
        <v>299</v>
      </c>
      <c r="C2119" s="267" t="s">
        <v>307</v>
      </c>
      <c r="D2119" s="267" t="s">
        <v>301</v>
      </c>
      <c r="E2119" s="268" t="s">
        <v>308</v>
      </c>
      <c r="G2119" s="267" t="s">
        <v>159</v>
      </c>
      <c r="H2119" s="267" t="s">
        <v>299</v>
      </c>
      <c r="I2119" s="267" t="s">
        <v>307</v>
      </c>
      <c r="J2119" s="267" t="s">
        <v>301</v>
      </c>
      <c r="K2119" s="268" t="s">
        <v>308</v>
      </c>
    </row>
    <row r="2120" spans="1:11" x14ac:dyDescent="0.35">
      <c r="A2120" s="269" t="s">
        <v>316</v>
      </c>
      <c r="B2120" s="270"/>
      <c r="C2120" s="270"/>
      <c r="D2120" s="270"/>
      <c r="E2120" s="270"/>
      <c r="G2120" s="269" t="s">
        <v>316</v>
      </c>
      <c r="H2120" s="270"/>
      <c r="I2120" s="270"/>
      <c r="J2120" s="270"/>
      <c r="K2120" s="270"/>
    </row>
    <row r="2121" spans="1:11" x14ac:dyDescent="0.35">
      <c r="A2121" s="271" t="s">
        <v>309</v>
      </c>
      <c r="B2121" s="272"/>
      <c r="C2121" s="272"/>
      <c r="D2121" s="272"/>
      <c r="E2121" s="272"/>
      <c r="G2121" s="271" t="s">
        <v>309</v>
      </c>
      <c r="H2121" s="272"/>
      <c r="I2121" s="272"/>
      <c r="J2121" s="272"/>
      <c r="K2121" s="272"/>
    </row>
    <row r="2122" spans="1:11" x14ac:dyDescent="0.35">
      <c r="A2122" s="269" t="s">
        <v>310</v>
      </c>
      <c r="B2122" s="270"/>
      <c r="C2122" s="270"/>
      <c r="D2122" s="270"/>
      <c r="E2122" s="270"/>
      <c r="G2122" s="269" t="s">
        <v>310</v>
      </c>
      <c r="H2122" s="270"/>
      <c r="I2122" s="270"/>
      <c r="J2122" s="270"/>
      <c r="K2122" s="270"/>
    </row>
    <row r="2123" spans="1:11" x14ac:dyDescent="0.35">
      <c r="A2123" s="271" t="s">
        <v>317</v>
      </c>
      <c r="B2123" s="272"/>
      <c r="C2123" s="272"/>
      <c r="D2123" s="272"/>
      <c r="E2123" s="272"/>
      <c r="G2123" s="271" t="s">
        <v>317</v>
      </c>
      <c r="H2123" s="272"/>
      <c r="I2123" s="272"/>
      <c r="J2123" s="272"/>
      <c r="K2123" s="272"/>
    </row>
    <row r="2124" spans="1:11" x14ac:dyDescent="0.35">
      <c r="A2124" s="269" t="s">
        <v>311</v>
      </c>
      <c r="B2124" s="270"/>
      <c r="C2124" s="270"/>
      <c r="D2124" s="270"/>
      <c r="E2124" s="270"/>
      <c r="G2124" s="269" t="s">
        <v>311</v>
      </c>
      <c r="H2124" s="270"/>
      <c r="I2124" s="270"/>
      <c r="J2124" s="270"/>
      <c r="K2124" s="270"/>
    </row>
    <row r="2125" spans="1:11" x14ac:dyDescent="0.35">
      <c r="A2125" s="271" t="s">
        <v>312</v>
      </c>
      <c r="B2125" s="272"/>
      <c r="C2125" s="272"/>
      <c r="D2125" s="272"/>
      <c r="E2125" s="272"/>
      <c r="G2125" s="271" t="s">
        <v>312</v>
      </c>
      <c r="H2125" s="272"/>
      <c r="I2125" s="272"/>
      <c r="J2125" s="272"/>
      <c r="K2125" s="272"/>
    </row>
    <row r="2126" spans="1:11" x14ac:dyDescent="0.35">
      <c r="A2126" s="231" t="s">
        <v>34</v>
      </c>
      <c r="B2126" s="230">
        <f>SUM(B2120:B2125)</f>
        <v>0</v>
      </c>
      <c r="C2126" s="230">
        <f>SUM(C2120:C2125)</f>
        <v>0</v>
      </c>
      <c r="D2126" s="230">
        <f>SUM(D2120:D2125)</f>
        <v>0</v>
      </c>
      <c r="E2126" s="230">
        <f>SUM(E2120:E2125)</f>
        <v>0</v>
      </c>
      <c r="G2126" s="231" t="s">
        <v>34</v>
      </c>
      <c r="H2126" s="230">
        <f>SUM(H2120:H2125)</f>
        <v>0</v>
      </c>
      <c r="I2126" s="230">
        <f>SUM(I2120:I2125)</f>
        <v>0</v>
      </c>
      <c r="J2126" s="230">
        <f>SUM(J2120:J2125)</f>
        <v>0</v>
      </c>
      <c r="K2126" s="230">
        <f>SUM(K2120:K2125)</f>
        <v>0</v>
      </c>
    </row>
    <row r="2127" spans="1:11" ht="15" thickBot="1" x14ac:dyDescent="0.4">
      <c r="A2127" s="231" t="s">
        <v>313</v>
      </c>
      <c r="B2127" s="230">
        <f>+B2126+C2126+D2126+E2126</f>
        <v>0</v>
      </c>
      <c r="C2127" s="230"/>
      <c r="D2127" s="230"/>
      <c r="E2127" s="230"/>
      <c r="G2127" s="231" t="s">
        <v>313</v>
      </c>
      <c r="H2127" s="230">
        <f>+H2126+I2126+J2126+K2126</f>
        <v>0</v>
      </c>
      <c r="I2127" s="230"/>
      <c r="J2127" s="230"/>
      <c r="K2127" s="230"/>
    </row>
    <row r="2128" spans="1:11" ht="15.5" thickTop="1" thickBot="1" x14ac:dyDescent="0.4">
      <c r="A2128" s="335" t="s">
        <v>298</v>
      </c>
      <c r="B2128" s="336"/>
      <c r="C2128" s="336"/>
      <c r="D2128" s="336"/>
      <c r="E2128" s="337"/>
      <c r="G2128" s="335" t="s">
        <v>298</v>
      </c>
      <c r="H2128" s="336"/>
      <c r="I2128" s="336"/>
      <c r="J2128" s="336"/>
      <c r="K2128" s="337"/>
    </row>
    <row r="2129" spans="1:11" ht="15.5" thickTop="1" thickBot="1" x14ac:dyDescent="0.4">
      <c r="A2129" s="338">
        <v>45484</v>
      </c>
      <c r="B2129" s="336"/>
      <c r="C2129" s="336"/>
      <c r="D2129" s="336"/>
      <c r="E2129" s="337"/>
      <c r="G2129" s="338">
        <v>45484</v>
      </c>
      <c r="H2129" s="336"/>
      <c r="I2129" s="336"/>
      <c r="J2129" s="336"/>
      <c r="K2129" s="337"/>
    </row>
    <row r="2130" spans="1:11" ht="15" thickTop="1" x14ac:dyDescent="0.35">
      <c r="A2130" s="267" t="s">
        <v>159</v>
      </c>
      <c r="B2130" s="267" t="s">
        <v>299</v>
      </c>
      <c r="C2130" s="267" t="s">
        <v>307</v>
      </c>
      <c r="D2130" s="267" t="s">
        <v>301</v>
      </c>
      <c r="E2130" s="268" t="s">
        <v>308</v>
      </c>
      <c r="G2130" s="267" t="s">
        <v>159</v>
      </c>
      <c r="H2130" s="267" t="s">
        <v>299</v>
      </c>
      <c r="I2130" s="267" t="s">
        <v>307</v>
      </c>
      <c r="J2130" s="267" t="s">
        <v>301</v>
      </c>
      <c r="K2130" s="268" t="s">
        <v>308</v>
      </c>
    </row>
    <row r="2131" spans="1:11" x14ac:dyDescent="0.35">
      <c r="A2131" s="269" t="s">
        <v>316</v>
      </c>
      <c r="B2131" s="270">
        <v>110</v>
      </c>
      <c r="C2131" s="270"/>
      <c r="D2131" s="270"/>
      <c r="E2131" s="270"/>
      <c r="G2131" s="269" t="s">
        <v>316</v>
      </c>
      <c r="H2131" s="270"/>
      <c r="I2131" s="270"/>
      <c r="J2131" s="270"/>
      <c r="K2131" s="270"/>
    </row>
    <row r="2132" spans="1:11" x14ac:dyDescent="0.35">
      <c r="A2132" s="271" t="s">
        <v>309</v>
      </c>
      <c r="B2132" s="272"/>
      <c r="C2132" s="272"/>
      <c r="D2132" s="272"/>
      <c r="E2132" s="272"/>
      <c r="G2132" s="271" t="s">
        <v>309</v>
      </c>
      <c r="H2132" s="272"/>
      <c r="I2132" s="272"/>
      <c r="J2132" s="272"/>
      <c r="K2132" s="272"/>
    </row>
    <row r="2133" spans="1:11" x14ac:dyDescent="0.35">
      <c r="A2133" s="269" t="s">
        <v>310</v>
      </c>
      <c r="B2133" s="270">
        <v>1150</v>
      </c>
      <c r="C2133" s="270"/>
      <c r="D2133" s="270"/>
      <c r="E2133" s="270"/>
      <c r="G2133" s="269" t="s">
        <v>310</v>
      </c>
      <c r="H2133" s="270"/>
      <c r="I2133" s="270"/>
      <c r="J2133" s="270"/>
      <c r="K2133" s="270"/>
    </row>
    <row r="2134" spans="1:11" x14ac:dyDescent="0.35">
      <c r="A2134" s="271" t="s">
        <v>317</v>
      </c>
      <c r="B2134" s="272"/>
      <c r="C2134" s="272"/>
      <c r="D2134" s="272"/>
      <c r="E2134" s="272"/>
      <c r="G2134" s="271" t="s">
        <v>317</v>
      </c>
      <c r="H2134" s="272"/>
      <c r="I2134" s="272"/>
      <c r="J2134" s="272"/>
      <c r="K2134" s="272"/>
    </row>
    <row r="2135" spans="1:11" x14ac:dyDescent="0.35">
      <c r="A2135" s="269" t="s">
        <v>311</v>
      </c>
      <c r="B2135" s="270"/>
      <c r="C2135" s="270"/>
      <c r="D2135" s="270"/>
      <c r="E2135" s="270"/>
      <c r="G2135" s="269" t="s">
        <v>311</v>
      </c>
      <c r="H2135" s="270"/>
      <c r="I2135" s="270"/>
      <c r="J2135" s="270"/>
      <c r="K2135" s="270"/>
    </row>
    <row r="2136" spans="1:11" x14ac:dyDescent="0.35">
      <c r="A2136" s="271" t="s">
        <v>312</v>
      </c>
      <c r="B2136" s="272">
        <v>6410</v>
      </c>
      <c r="C2136" s="272"/>
      <c r="D2136" s="272"/>
      <c r="E2136" s="272"/>
      <c r="G2136" s="271" t="s">
        <v>312</v>
      </c>
      <c r="H2136" s="272"/>
      <c r="I2136" s="272"/>
      <c r="J2136" s="272"/>
      <c r="K2136" s="272"/>
    </row>
    <row r="2137" spans="1:11" x14ac:dyDescent="0.35">
      <c r="A2137" s="231" t="s">
        <v>34</v>
      </c>
      <c r="B2137" s="230">
        <f>SUM(B2131:B2136)</f>
        <v>7670</v>
      </c>
      <c r="C2137" s="230">
        <f>SUM(C2131:C2136)</f>
        <v>0</v>
      </c>
      <c r="D2137" s="230">
        <f>SUM(D2131:D2136)</f>
        <v>0</v>
      </c>
      <c r="E2137" s="230">
        <f>SUM(E2131:E2136)</f>
        <v>0</v>
      </c>
      <c r="G2137" s="231" t="s">
        <v>34</v>
      </c>
      <c r="H2137" s="230">
        <f>SUM(H2131:H2136)</f>
        <v>0</v>
      </c>
      <c r="I2137" s="230">
        <f>SUM(I2131:I2136)</f>
        <v>0</v>
      </c>
      <c r="J2137" s="230">
        <f>SUM(J2131:J2136)</f>
        <v>0</v>
      </c>
      <c r="K2137" s="230">
        <f>SUM(K2131:K2136)</f>
        <v>0</v>
      </c>
    </row>
    <row r="2138" spans="1:11" ht="15" thickBot="1" x14ac:dyDescent="0.4">
      <c r="A2138" s="231" t="s">
        <v>313</v>
      </c>
      <c r="B2138" s="230">
        <f>+B2137+C2137+D2137+E2137</f>
        <v>7670</v>
      </c>
      <c r="C2138" s="230"/>
      <c r="D2138" s="230"/>
      <c r="E2138" s="230"/>
      <c r="G2138" s="231" t="s">
        <v>313</v>
      </c>
      <c r="H2138" s="230">
        <f>+H2137+I2137+J2137+K2137</f>
        <v>0</v>
      </c>
      <c r="I2138" s="230"/>
      <c r="J2138" s="230"/>
      <c r="K2138" s="230"/>
    </row>
    <row r="2139" spans="1:11" ht="15.5" thickTop="1" thickBot="1" x14ac:dyDescent="0.4">
      <c r="A2139" s="335" t="s">
        <v>298</v>
      </c>
      <c r="B2139" s="336"/>
      <c r="C2139" s="336"/>
      <c r="D2139" s="336"/>
      <c r="E2139" s="337"/>
      <c r="G2139" s="335" t="s">
        <v>298</v>
      </c>
      <c r="H2139" s="336"/>
      <c r="I2139" s="336"/>
      <c r="J2139" s="336"/>
      <c r="K2139" s="337"/>
    </row>
    <row r="2140" spans="1:11" ht="15.5" thickTop="1" thickBot="1" x14ac:dyDescent="0.4">
      <c r="A2140" s="338">
        <v>45485</v>
      </c>
      <c r="B2140" s="336"/>
      <c r="C2140" s="336"/>
      <c r="D2140" s="336"/>
      <c r="E2140" s="337"/>
      <c r="G2140" s="338">
        <v>45485</v>
      </c>
      <c r="H2140" s="336"/>
      <c r="I2140" s="336"/>
      <c r="J2140" s="336"/>
      <c r="K2140" s="337"/>
    </row>
    <row r="2141" spans="1:11" ht="15" thickTop="1" x14ac:dyDescent="0.35">
      <c r="A2141" s="267" t="s">
        <v>159</v>
      </c>
      <c r="B2141" s="267" t="s">
        <v>299</v>
      </c>
      <c r="C2141" s="267" t="s">
        <v>307</v>
      </c>
      <c r="D2141" s="267" t="s">
        <v>301</v>
      </c>
      <c r="E2141" s="268" t="s">
        <v>308</v>
      </c>
      <c r="G2141" s="267" t="s">
        <v>159</v>
      </c>
      <c r="H2141" s="267" t="s">
        <v>299</v>
      </c>
      <c r="I2141" s="267" t="s">
        <v>307</v>
      </c>
      <c r="J2141" s="267" t="s">
        <v>301</v>
      </c>
      <c r="K2141" s="268" t="s">
        <v>308</v>
      </c>
    </row>
    <row r="2142" spans="1:11" x14ac:dyDescent="0.35">
      <c r="A2142" s="269" t="s">
        <v>316</v>
      </c>
      <c r="B2142" s="270">
        <v>140</v>
      </c>
      <c r="C2142" s="270"/>
      <c r="D2142" s="270"/>
      <c r="E2142" s="270"/>
      <c r="G2142" s="269" t="s">
        <v>316</v>
      </c>
      <c r="H2142" s="270"/>
      <c r="I2142" s="270"/>
      <c r="J2142" s="270"/>
      <c r="K2142" s="270"/>
    </row>
    <row r="2143" spans="1:11" x14ac:dyDescent="0.35">
      <c r="A2143" s="271" t="s">
        <v>309</v>
      </c>
      <c r="B2143" s="272"/>
      <c r="C2143" s="272"/>
      <c r="D2143" s="272"/>
      <c r="E2143" s="272"/>
      <c r="G2143" s="271" t="s">
        <v>309</v>
      </c>
      <c r="H2143" s="272"/>
      <c r="I2143" s="272"/>
      <c r="J2143" s="272"/>
      <c r="K2143" s="272"/>
    </row>
    <row r="2144" spans="1:11" x14ac:dyDescent="0.35">
      <c r="A2144" s="269" t="s">
        <v>310</v>
      </c>
      <c r="B2144" s="270"/>
      <c r="C2144" s="270"/>
      <c r="D2144" s="270"/>
      <c r="E2144" s="270"/>
      <c r="G2144" s="269" t="s">
        <v>310</v>
      </c>
      <c r="H2144" s="270"/>
      <c r="I2144" s="270"/>
      <c r="J2144" s="270"/>
      <c r="K2144" s="270"/>
    </row>
    <row r="2145" spans="1:11" x14ac:dyDescent="0.35">
      <c r="A2145" s="271" t="s">
        <v>317</v>
      </c>
      <c r="B2145" s="272"/>
      <c r="C2145" s="272"/>
      <c r="D2145" s="272"/>
      <c r="E2145" s="272"/>
      <c r="G2145" s="271" t="s">
        <v>317</v>
      </c>
      <c r="H2145" s="272"/>
      <c r="I2145" s="272"/>
      <c r="J2145" s="272"/>
      <c r="K2145" s="272"/>
    </row>
    <row r="2146" spans="1:11" x14ac:dyDescent="0.35">
      <c r="A2146" s="269" t="s">
        <v>311</v>
      </c>
      <c r="B2146" s="270"/>
      <c r="C2146" s="270"/>
      <c r="D2146" s="270"/>
      <c r="E2146" s="270"/>
      <c r="G2146" s="269" t="s">
        <v>311</v>
      </c>
      <c r="H2146" s="270"/>
      <c r="I2146" s="270"/>
      <c r="J2146" s="270"/>
      <c r="K2146" s="270"/>
    </row>
    <row r="2147" spans="1:11" x14ac:dyDescent="0.35">
      <c r="A2147" s="271" t="s">
        <v>312</v>
      </c>
      <c r="B2147" s="272"/>
      <c r="C2147" s="272"/>
      <c r="D2147" s="272"/>
      <c r="E2147" s="272"/>
      <c r="G2147" s="271" t="s">
        <v>312</v>
      </c>
      <c r="H2147" s="272"/>
      <c r="I2147" s="272"/>
      <c r="J2147" s="272"/>
      <c r="K2147" s="272"/>
    </row>
    <row r="2148" spans="1:11" x14ac:dyDescent="0.35">
      <c r="A2148" s="231" t="s">
        <v>34</v>
      </c>
      <c r="B2148" s="230">
        <f>SUM(B2142:B2147)</f>
        <v>140</v>
      </c>
      <c r="C2148" s="230">
        <f>SUM(C2142:C2147)</f>
        <v>0</v>
      </c>
      <c r="D2148" s="230">
        <f>SUM(D2142:D2147)</f>
        <v>0</v>
      </c>
      <c r="E2148" s="230">
        <f>SUM(E2142:E2147)</f>
        <v>0</v>
      </c>
      <c r="G2148" s="231" t="s">
        <v>34</v>
      </c>
      <c r="H2148" s="230">
        <f>SUM(H2142:H2147)</f>
        <v>0</v>
      </c>
      <c r="I2148" s="230">
        <f>SUM(I2142:I2147)</f>
        <v>0</v>
      </c>
      <c r="J2148" s="230">
        <f>SUM(J2142:J2147)</f>
        <v>0</v>
      </c>
      <c r="K2148" s="230">
        <f>SUM(K2142:K2147)</f>
        <v>0</v>
      </c>
    </row>
    <row r="2149" spans="1:11" ht="15" thickBot="1" x14ac:dyDescent="0.4">
      <c r="A2149" s="231" t="s">
        <v>313</v>
      </c>
      <c r="B2149" s="230">
        <f>+B2148+C2148+D2148+E2148</f>
        <v>140</v>
      </c>
      <c r="C2149" s="230"/>
      <c r="D2149" s="230"/>
      <c r="E2149" s="230"/>
      <c r="G2149" s="231" t="s">
        <v>313</v>
      </c>
      <c r="H2149" s="230">
        <f>+H2148+I2148+J2148+K2148</f>
        <v>0</v>
      </c>
      <c r="I2149" s="230"/>
      <c r="J2149" s="230"/>
      <c r="K2149" s="230"/>
    </row>
    <row r="2150" spans="1:11" ht="15.5" thickTop="1" thickBot="1" x14ac:dyDescent="0.4">
      <c r="A2150" s="335" t="s">
        <v>298</v>
      </c>
      <c r="B2150" s="336"/>
      <c r="C2150" s="336"/>
      <c r="D2150" s="336"/>
      <c r="E2150" s="337"/>
      <c r="G2150" s="335" t="s">
        <v>298</v>
      </c>
      <c r="H2150" s="336"/>
      <c r="I2150" s="336"/>
      <c r="J2150" s="336"/>
      <c r="K2150" s="337"/>
    </row>
    <row r="2151" spans="1:11" ht="15.5" thickTop="1" thickBot="1" x14ac:dyDescent="0.4">
      <c r="A2151" s="338">
        <v>45486</v>
      </c>
      <c r="B2151" s="336"/>
      <c r="C2151" s="336"/>
      <c r="D2151" s="336"/>
      <c r="E2151" s="337"/>
      <c r="G2151" s="338">
        <v>45486</v>
      </c>
      <c r="H2151" s="336"/>
      <c r="I2151" s="336"/>
      <c r="J2151" s="336"/>
      <c r="K2151" s="337"/>
    </row>
    <row r="2152" spans="1:11" ht="15" thickTop="1" x14ac:dyDescent="0.35">
      <c r="A2152" s="267" t="s">
        <v>159</v>
      </c>
      <c r="B2152" s="267" t="s">
        <v>299</v>
      </c>
      <c r="C2152" s="267" t="s">
        <v>307</v>
      </c>
      <c r="D2152" s="267" t="s">
        <v>301</v>
      </c>
      <c r="E2152" s="268" t="s">
        <v>308</v>
      </c>
      <c r="G2152" s="267" t="s">
        <v>159</v>
      </c>
      <c r="H2152" s="267" t="s">
        <v>299</v>
      </c>
      <c r="I2152" s="267" t="s">
        <v>307</v>
      </c>
      <c r="J2152" s="267" t="s">
        <v>301</v>
      </c>
      <c r="K2152" s="268" t="s">
        <v>308</v>
      </c>
    </row>
    <row r="2153" spans="1:11" x14ac:dyDescent="0.35">
      <c r="A2153" s="269" t="s">
        <v>316</v>
      </c>
      <c r="B2153" s="270">
        <v>2500</v>
      </c>
      <c r="C2153" s="270"/>
      <c r="D2153" s="270"/>
      <c r="E2153" s="270"/>
      <c r="G2153" s="269" t="s">
        <v>316</v>
      </c>
      <c r="H2153" s="270">
        <v>1400</v>
      </c>
      <c r="I2153" s="270"/>
      <c r="J2153" s="270"/>
      <c r="K2153" s="270"/>
    </row>
    <row r="2154" spans="1:11" x14ac:dyDescent="0.35">
      <c r="A2154" s="271" t="s">
        <v>309</v>
      </c>
      <c r="B2154" s="272">
        <v>1700</v>
      </c>
      <c r="C2154" s="272"/>
      <c r="D2154" s="272"/>
      <c r="E2154" s="272"/>
      <c r="G2154" s="271" t="s">
        <v>309</v>
      </c>
      <c r="H2154" s="272"/>
      <c r="I2154" s="272"/>
      <c r="J2154" s="272"/>
      <c r="K2154" s="272"/>
    </row>
    <row r="2155" spans="1:11" x14ac:dyDescent="0.35">
      <c r="A2155" s="269" t="s">
        <v>310</v>
      </c>
      <c r="B2155" s="270"/>
      <c r="C2155" s="270"/>
      <c r="D2155" s="270"/>
      <c r="E2155" s="270"/>
      <c r="G2155" s="269" t="s">
        <v>310</v>
      </c>
      <c r="H2155" s="270"/>
      <c r="I2155" s="270"/>
      <c r="J2155" s="270"/>
      <c r="K2155" s="270"/>
    </row>
    <row r="2156" spans="1:11" x14ac:dyDescent="0.35">
      <c r="A2156" s="271" t="s">
        <v>317</v>
      </c>
      <c r="B2156" s="272"/>
      <c r="C2156" s="272"/>
      <c r="D2156" s="272"/>
      <c r="E2156" s="272"/>
      <c r="G2156" s="271" t="s">
        <v>317</v>
      </c>
      <c r="H2156" s="272"/>
      <c r="I2156" s="272"/>
      <c r="J2156" s="272"/>
      <c r="K2156" s="272"/>
    </row>
    <row r="2157" spans="1:11" x14ac:dyDescent="0.35">
      <c r="A2157" s="269" t="s">
        <v>311</v>
      </c>
      <c r="B2157" s="270"/>
      <c r="C2157" s="270"/>
      <c r="D2157" s="270"/>
      <c r="E2157" s="270"/>
      <c r="G2157" s="269" t="s">
        <v>311</v>
      </c>
      <c r="H2157" s="270"/>
      <c r="I2157" s="270"/>
      <c r="J2157" s="270"/>
      <c r="K2157" s="270"/>
    </row>
    <row r="2158" spans="1:11" x14ac:dyDescent="0.35">
      <c r="A2158" s="271" t="s">
        <v>312</v>
      </c>
      <c r="B2158" s="272">
        <v>2965</v>
      </c>
      <c r="C2158" s="272"/>
      <c r="D2158" s="272"/>
      <c r="E2158" s="272"/>
      <c r="G2158" s="271" t="s">
        <v>312</v>
      </c>
      <c r="H2158" s="272"/>
      <c r="I2158" s="272"/>
      <c r="J2158" s="272"/>
      <c r="K2158" s="272"/>
    </row>
    <row r="2159" spans="1:11" x14ac:dyDescent="0.35">
      <c r="A2159" s="231" t="s">
        <v>34</v>
      </c>
      <c r="B2159" s="230">
        <f>SUM(B2153:B2158)</f>
        <v>7165</v>
      </c>
      <c r="C2159" s="230">
        <f>SUM(C2153:C2158)</f>
        <v>0</v>
      </c>
      <c r="D2159" s="230">
        <f>SUM(D2153:D2158)</f>
        <v>0</v>
      </c>
      <c r="E2159" s="230">
        <f>SUM(E2153:E2158)</f>
        <v>0</v>
      </c>
      <c r="G2159" s="231" t="s">
        <v>34</v>
      </c>
      <c r="H2159" s="230">
        <f>SUM(H2153:H2158)</f>
        <v>1400</v>
      </c>
      <c r="I2159" s="230">
        <f>SUM(I2153:I2158)</f>
        <v>0</v>
      </c>
      <c r="J2159" s="230">
        <f>SUM(J2153:J2158)</f>
        <v>0</v>
      </c>
      <c r="K2159" s="230">
        <f>SUM(K2153:K2158)</f>
        <v>0</v>
      </c>
    </row>
    <row r="2160" spans="1:11" ht="15" thickBot="1" x14ac:dyDescent="0.4">
      <c r="A2160" s="231" t="s">
        <v>313</v>
      </c>
      <c r="B2160" s="230">
        <f>+B2159+C2159+D2159+E2159</f>
        <v>7165</v>
      </c>
      <c r="C2160" s="230"/>
      <c r="D2160" s="230"/>
      <c r="E2160" s="230"/>
      <c r="G2160" s="231" t="s">
        <v>313</v>
      </c>
      <c r="H2160" s="230">
        <f>+H2159+I2159+J2159+K2159</f>
        <v>1400</v>
      </c>
      <c r="I2160" s="230"/>
      <c r="J2160" s="230"/>
      <c r="K2160" s="230"/>
    </row>
    <row r="2161" spans="1:11" ht="15.5" thickTop="1" thickBot="1" x14ac:dyDescent="0.4">
      <c r="A2161" s="335" t="s">
        <v>298</v>
      </c>
      <c r="B2161" s="336"/>
      <c r="C2161" s="336"/>
      <c r="D2161" s="336"/>
      <c r="E2161" s="337"/>
      <c r="G2161" s="335" t="s">
        <v>298</v>
      </c>
      <c r="H2161" s="336"/>
      <c r="I2161" s="336"/>
      <c r="J2161" s="336"/>
      <c r="K2161" s="337"/>
    </row>
    <row r="2162" spans="1:11" ht="15.5" thickTop="1" thickBot="1" x14ac:dyDescent="0.4">
      <c r="A2162" s="338">
        <v>45487</v>
      </c>
      <c r="B2162" s="336"/>
      <c r="C2162" s="336"/>
      <c r="D2162" s="336"/>
      <c r="E2162" s="337"/>
      <c r="G2162" s="338">
        <v>45487</v>
      </c>
      <c r="H2162" s="336"/>
      <c r="I2162" s="336"/>
      <c r="J2162" s="336"/>
      <c r="K2162" s="337"/>
    </row>
    <row r="2163" spans="1:11" ht="15" thickTop="1" x14ac:dyDescent="0.35">
      <c r="A2163" s="267" t="s">
        <v>159</v>
      </c>
      <c r="B2163" s="267" t="s">
        <v>299</v>
      </c>
      <c r="C2163" s="267" t="s">
        <v>307</v>
      </c>
      <c r="D2163" s="267" t="s">
        <v>301</v>
      </c>
      <c r="E2163" s="268" t="s">
        <v>308</v>
      </c>
      <c r="G2163" s="267" t="s">
        <v>159</v>
      </c>
      <c r="H2163" s="267" t="s">
        <v>299</v>
      </c>
      <c r="I2163" s="267" t="s">
        <v>307</v>
      </c>
      <c r="J2163" s="267" t="s">
        <v>301</v>
      </c>
      <c r="K2163" s="268" t="s">
        <v>308</v>
      </c>
    </row>
    <row r="2164" spans="1:11" x14ac:dyDescent="0.35">
      <c r="A2164" s="269" t="s">
        <v>316</v>
      </c>
      <c r="B2164" s="270">
        <v>140</v>
      </c>
      <c r="C2164" s="270"/>
      <c r="D2164" s="270"/>
      <c r="E2164" s="270"/>
      <c r="G2164" s="269" t="s">
        <v>316</v>
      </c>
      <c r="H2164" s="270"/>
      <c r="I2164" s="270"/>
      <c r="J2164" s="270"/>
      <c r="K2164" s="270"/>
    </row>
    <row r="2165" spans="1:11" x14ac:dyDescent="0.35">
      <c r="A2165" s="271" t="s">
        <v>309</v>
      </c>
      <c r="B2165" s="272"/>
      <c r="C2165" s="272"/>
      <c r="D2165" s="272"/>
      <c r="E2165" s="272"/>
      <c r="G2165" s="271" t="s">
        <v>309</v>
      </c>
      <c r="H2165" s="272"/>
      <c r="I2165" s="272"/>
      <c r="J2165" s="272"/>
      <c r="K2165" s="272"/>
    </row>
    <row r="2166" spans="1:11" x14ac:dyDescent="0.35">
      <c r="A2166" s="269" t="s">
        <v>310</v>
      </c>
      <c r="B2166" s="270"/>
      <c r="C2166" s="270"/>
      <c r="D2166" s="270"/>
      <c r="E2166" s="270"/>
      <c r="G2166" s="269" t="s">
        <v>310</v>
      </c>
      <c r="H2166" s="270"/>
      <c r="I2166" s="270"/>
      <c r="J2166" s="270"/>
      <c r="K2166" s="270"/>
    </row>
    <row r="2167" spans="1:11" x14ac:dyDescent="0.35">
      <c r="A2167" s="271" t="s">
        <v>317</v>
      </c>
      <c r="B2167" s="272"/>
      <c r="C2167" s="272"/>
      <c r="D2167" s="272"/>
      <c r="E2167" s="272"/>
      <c r="G2167" s="271" t="s">
        <v>317</v>
      </c>
      <c r="H2167" s="272"/>
      <c r="I2167" s="272"/>
      <c r="J2167" s="272"/>
      <c r="K2167" s="272"/>
    </row>
    <row r="2168" spans="1:11" x14ac:dyDescent="0.35">
      <c r="A2168" s="269" t="s">
        <v>311</v>
      </c>
      <c r="B2168" s="270"/>
      <c r="C2168" s="270"/>
      <c r="D2168" s="270"/>
      <c r="E2168" s="270"/>
      <c r="G2168" s="269" t="s">
        <v>311</v>
      </c>
      <c r="H2168" s="270"/>
      <c r="I2168" s="270"/>
      <c r="J2168" s="270"/>
      <c r="K2168" s="270"/>
    </row>
    <row r="2169" spans="1:11" x14ac:dyDescent="0.35">
      <c r="A2169" s="271" t="s">
        <v>312</v>
      </c>
      <c r="B2169" s="272"/>
      <c r="C2169" s="272"/>
      <c r="D2169" s="272"/>
      <c r="E2169" s="272"/>
      <c r="G2169" s="271" t="s">
        <v>312</v>
      </c>
      <c r="H2169" s="272"/>
      <c r="I2169" s="272"/>
      <c r="J2169" s="272"/>
      <c r="K2169" s="272"/>
    </row>
    <row r="2170" spans="1:11" x14ac:dyDescent="0.35">
      <c r="A2170" s="231" t="s">
        <v>34</v>
      </c>
      <c r="B2170" s="230">
        <f>SUM(B2164:B2169)</f>
        <v>140</v>
      </c>
      <c r="C2170" s="230">
        <f>SUM(C2164:C2169)</f>
        <v>0</v>
      </c>
      <c r="D2170" s="230">
        <f>SUM(D2164:D2169)</f>
        <v>0</v>
      </c>
      <c r="E2170" s="230">
        <f>SUM(E2164:E2169)</f>
        <v>0</v>
      </c>
      <c r="G2170" s="231" t="s">
        <v>34</v>
      </c>
      <c r="H2170" s="230">
        <f>SUM(H2164:H2169)</f>
        <v>0</v>
      </c>
      <c r="I2170" s="230">
        <f>SUM(I2164:I2169)</f>
        <v>0</v>
      </c>
      <c r="J2170" s="230">
        <f>SUM(J2164:J2169)</f>
        <v>0</v>
      </c>
      <c r="K2170" s="230">
        <f>SUM(K2164:K2169)</f>
        <v>0</v>
      </c>
    </row>
    <row r="2171" spans="1:11" ht="15" thickBot="1" x14ac:dyDescent="0.4">
      <c r="A2171" s="231" t="s">
        <v>313</v>
      </c>
      <c r="B2171" s="230">
        <f>+B2170+C2170+D2170+E2170</f>
        <v>140</v>
      </c>
      <c r="C2171" s="230"/>
      <c r="D2171" s="230"/>
      <c r="E2171" s="230"/>
      <c r="G2171" s="231" t="s">
        <v>313</v>
      </c>
      <c r="H2171" s="230">
        <f>+H2170+I2170+J2170+K2170</f>
        <v>0</v>
      </c>
      <c r="I2171" s="230"/>
      <c r="J2171" s="230"/>
      <c r="K2171" s="230"/>
    </row>
    <row r="2172" spans="1:11" ht="15.5" thickTop="1" thickBot="1" x14ac:dyDescent="0.4">
      <c r="A2172" s="335" t="s">
        <v>298</v>
      </c>
      <c r="B2172" s="336"/>
      <c r="C2172" s="336"/>
      <c r="D2172" s="336"/>
      <c r="E2172" s="337"/>
      <c r="G2172" s="335" t="s">
        <v>298</v>
      </c>
      <c r="H2172" s="336"/>
      <c r="I2172" s="336"/>
      <c r="J2172" s="336"/>
      <c r="K2172" s="337"/>
    </row>
    <row r="2173" spans="1:11" ht="15.5" thickTop="1" thickBot="1" x14ac:dyDescent="0.4">
      <c r="A2173" s="338">
        <v>45488</v>
      </c>
      <c r="B2173" s="336"/>
      <c r="C2173" s="336"/>
      <c r="D2173" s="336"/>
      <c r="E2173" s="337"/>
      <c r="G2173" s="338">
        <v>45488</v>
      </c>
      <c r="H2173" s="336"/>
      <c r="I2173" s="336"/>
      <c r="J2173" s="336"/>
      <c r="K2173" s="337"/>
    </row>
    <row r="2174" spans="1:11" ht="15" thickTop="1" x14ac:dyDescent="0.35">
      <c r="A2174" s="267" t="s">
        <v>159</v>
      </c>
      <c r="B2174" s="267" t="s">
        <v>299</v>
      </c>
      <c r="C2174" s="267" t="s">
        <v>307</v>
      </c>
      <c r="D2174" s="267" t="s">
        <v>301</v>
      </c>
      <c r="E2174" s="268" t="s">
        <v>308</v>
      </c>
      <c r="G2174" s="267" t="s">
        <v>159</v>
      </c>
      <c r="H2174" s="267" t="s">
        <v>299</v>
      </c>
      <c r="I2174" s="267" t="s">
        <v>307</v>
      </c>
      <c r="J2174" s="267" t="s">
        <v>301</v>
      </c>
      <c r="K2174" s="268" t="s">
        <v>308</v>
      </c>
    </row>
    <row r="2175" spans="1:11" x14ac:dyDescent="0.35">
      <c r="A2175" s="269" t="s">
        <v>316</v>
      </c>
      <c r="B2175" s="270">
        <v>110</v>
      </c>
      <c r="C2175" s="270"/>
      <c r="D2175" s="270"/>
      <c r="E2175" s="270"/>
      <c r="G2175" s="269" t="s">
        <v>316</v>
      </c>
      <c r="H2175" s="270"/>
      <c r="I2175" s="270"/>
      <c r="J2175" s="270"/>
      <c r="K2175" s="270"/>
    </row>
    <row r="2176" spans="1:11" x14ac:dyDescent="0.35">
      <c r="A2176" s="271" t="s">
        <v>309</v>
      </c>
      <c r="B2176" s="272"/>
      <c r="C2176" s="272"/>
      <c r="D2176" s="272"/>
      <c r="E2176" s="272"/>
      <c r="G2176" s="271" t="s">
        <v>309</v>
      </c>
      <c r="H2176" s="272"/>
      <c r="I2176" s="272"/>
      <c r="J2176" s="272"/>
      <c r="K2176" s="272"/>
    </row>
    <row r="2177" spans="1:11" x14ac:dyDescent="0.35">
      <c r="A2177" s="269" t="s">
        <v>310</v>
      </c>
      <c r="B2177" s="270"/>
      <c r="C2177" s="270"/>
      <c r="D2177" s="270"/>
      <c r="E2177" s="270"/>
      <c r="G2177" s="269" t="s">
        <v>310</v>
      </c>
      <c r="H2177" s="270"/>
      <c r="I2177" s="270"/>
      <c r="J2177" s="270"/>
      <c r="K2177" s="270"/>
    </row>
    <row r="2178" spans="1:11" x14ac:dyDescent="0.35">
      <c r="A2178" s="271" t="s">
        <v>317</v>
      </c>
      <c r="B2178" s="272"/>
      <c r="C2178" s="272"/>
      <c r="D2178" s="272"/>
      <c r="E2178" s="272"/>
      <c r="G2178" s="271" t="s">
        <v>317</v>
      </c>
      <c r="H2178" s="272"/>
      <c r="I2178" s="272"/>
      <c r="J2178" s="272"/>
      <c r="K2178" s="272"/>
    </row>
    <row r="2179" spans="1:11" x14ac:dyDescent="0.35">
      <c r="A2179" s="269" t="s">
        <v>311</v>
      </c>
      <c r="B2179" s="270"/>
      <c r="C2179" s="270"/>
      <c r="D2179" s="270"/>
      <c r="E2179" s="270"/>
      <c r="G2179" s="269" t="s">
        <v>311</v>
      </c>
      <c r="H2179" s="270"/>
      <c r="I2179" s="270"/>
      <c r="J2179" s="270"/>
      <c r="K2179" s="270"/>
    </row>
    <row r="2180" spans="1:11" x14ac:dyDescent="0.35">
      <c r="A2180" s="271" t="s">
        <v>312</v>
      </c>
      <c r="B2180" s="272"/>
      <c r="C2180" s="272"/>
      <c r="D2180" s="272"/>
      <c r="E2180" s="272"/>
      <c r="G2180" s="271" t="s">
        <v>312</v>
      </c>
      <c r="H2180" s="272"/>
      <c r="I2180" s="272"/>
      <c r="J2180" s="272"/>
      <c r="K2180" s="272"/>
    </row>
    <row r="2181" spans="1:11" x14ac:dyDescent="0.35">
      <c r="A2181" s="231" t="s">
        <v>34</v>
      </c>
      <c r="B2181" s="230">
        <f>SUM(B2175:B2180)</f>
        <v>110</v>
      </c>
      <c r="C2181" s="230">
        <f>SUM(C2175:C2180)</f>
        <v>0</v>
      </c>
      <c r="D2181" s="230">
        <f>SUM(D2175:D2180)</f>
        <v>0</v>
      </c>
      <c r="E2181" s="230">
        <f>SUM(E2175:E2180)</f>
        <v>0</v>
      </c>
      <c r="G2181" s="231" t="s">
        <v>34</v>
      </c>
      <c r="H2181" s="230">
        <f>SUM(H2175:H2180)</f>
        <v>0</v>
      </c>
      <c r="I2181" s="230">
        <f>SUM(I2175:I2180)</f>
        <v>0</v>
      </c>
      <c r="J2181" s="230">
        <f>SUM(J2175:J2180)</f>
        <v>0</v>
      </c>
      <c r="K2181" s="230">
        <f>SUM(K2175:K2180)</f>
        <v>0</v>
      </c>
    </row>
    <row r="2182" spans="1:11" ht="15" thickBot="1" x14ac:dyDescent="0.4">
      <c r="A2182" s="231" t="s">
        <v>313</v>
      </c>
      <c r="B2182" s="230">
        <f>+B2181+C2181+D2181+E2181</f>
        <v>110</v>
      </c>
      <c r="C2182" s="230"/>
      <c r="D2182" s="230"/>
      <c r="E2182" s="230"/>
      <c r="G2182" s="231" t="s">
        <v>313</v>
      </c>
      <c r="H2182" s="230">
        <f>+H2181+I2181+J2181+K2181</f>
        <v>0</v>
      </c>
      <c r="I2182" s="230"/>
      <c r="J2182" s="230"/>
      <c r="K2182" s="230"/>
    </row>
    <row r="2183" spans="1:11" ht="15.5" thickTop="1" thickBot="1" x14ac:dyDescent="0.4">
      <c r="A2183" s="335" t="s">
        <v>298</v>
      </c>
      <c r="B2183" s="336"/>
      <c r="C2183" s="336"/>
      <c r="D2183" s="336"/>
      <c r="E2183" s="337"/>
      <c r="G2183" s="335" t="s">
        <v>298</v>
      </c>
      <c r="H2183" s="336"/>
      <c r="I2183" s="336"/>
      <c r="J2183" s="336"/>
      <c r="K2183" s="337"/>
    </row>
    <row r="2184" spans="1:11" ht="15.5" thickTop="1" thickBot="1" x14ac:dyDescent="0.4">
      <c r="A2184" s="338">
        <v>45489</v>
      </c>
      <c r="B2184" s="336"/>
      <c r="C2184" s="336"/>
      <c r="D2184" s="336"/>
      <c r="E2184" s="337"/>
      <c r="G2184" s="338">
        <v>45489</v>
      </c>
      <c r="H2184" s="336"/>
      <c r="I2184" s="336"/>
      <c r="J2184" s="336"/>
      <c r="K2184" s="337"/>
    </row>
    <row r="2185" spans="1:11" ht="15" thickTop="1" x14ac:dyDescent="0.35">
      <c r="A2185" s="267" t="s">
        <v>159</v>
      </c>
      <c r="B2185" s="267" t="s">
        <v>299</v>
      </c>
      <c r="C2185" s="267" t="s">
        <v>307</v>
      </c>
      <c r="D2185" s="267" t="s">
        <v>301</v>
      </c>
      <c r="E2185" s="268" t="s">
        <v>308</v>
      </c>
      <c r="G2185" s="267" t="s">
        <v>159</v>
      </c>
      <c r="H2185" s="267" t="s">
        <v>299</v>
      </c>
      <c r="I2185" s="267" t="s">
        <v>307</v>
      </c>
      <c r="J2185" s="267" t="s">
        <v>301</v>
      </c>
      <c r="K2185" s="268" t="s">
        <v>308</v>
      </c>
    </row>
    <row r="2186" spans="1:11" x14ac:dyDescent="0.35">
      <c r="A2186" s="269" t="s">
        <v>316</v>
      </c>
      <c r="B2186" s="270"/>
      <c r="C2186" s="270"/>
      <c r="D2186" s="270"/>
      <c r="E2186" s="270"/>
      <c r="G2186" s="269" t="s">
        <v>316</v>
      </c>
      <c r="H2186" s="270"/>
      <c r="I2186" s="270"/>
      <c r="J2186" s="270"/>
      <c r="K2186" s="270"/>
    </row>
    <row r="2187" spans="1:11" x14ac:dyDescent="0.35">
      <c r="A2187" s="271" t="s">
        <v>309</v>
      </c>
      <c r="B2187" s="272"/>
      <c r="C2187" s="272"/>
      <c r="D2187" s="272"/>
      <c r="E2187" s="272"/>
      <c r="G2187" s="271" t="s">
        <v>309</v>
      </c>
      <c r="H2187" s="272"/>
      <c r="I2187" s="272"/>
      <c r="J2187" s="272"/>
      <c r="K2187" s="272"/>
    </row>
    <row r="2188" spans="1:11" x14ac:dyDescent="0.35">
      <c r="A2188" s="269" t="s">
        <v>310</v>
      </c>
      <c r="B2188" s="270"/>
      <c r="C2188" s="270"/>
      <c r="D2188" s="270"/>
      <c r="E2188" s="270"/>
      <c r="G2188" s="269" t="s">
        <v>310</v>
      </c>
      <c r="H2188" s="270"/>
      <c r="I2188" s="270"/>
      <c r="J2188" s="270"/>
      <c r="K2188" s="270"/>
    </row>
    <row r="2189" spans="1:11" x14ac:dyDescent="0.35">
      <c r="A2189" s="271" t="s">
        <v>317</v>
      </c>
      <c r="B2189" s="272"/>
      <c r="C2189" s="272"/>
      <c r="D2189" s="272"/>
      <c r="E2189" s="272"/>
      <c r="G2189" s="271" t="s">
        <v>317</v>
      </c>
      <c r="H2189" s="272"/>
      <c r="I2189" s="272"/>
      <c r="J2189" s="272"/>
      <c r="K2189" s="272"/>
    </row>
    <row r="2190" spans="1:11" x14ac:dyDescent="0.35">
      <c r="A2190" s="269" t="s">
        <v>311</v>
      </c>
      <c r="B2190" s="270"/>
      <c r="C2190" s="270"/>
      <c r="D2190" s="270"/>
      <c r="E2190" s="270"/>
      <c r="G2190" s="269" t="s">
        <v>311</v>
      </c>
      <c r="H2190" s="270"/>
      <c r="I2190" s="270"/>
      <c r="J2190" s="270"/>
      <c r="K2190" s="270"/>
    </row>
    <row r="2191" spans="1:11" x14ac:dyDescent="0.35">
      <c r="A2191" s="271" t="s">
        <v>312</v>
      </c>
      <c r="B2191" s="272"/>
      <c r="C2191" s="272"/>
      <c r="D2191" s="272"/>
      <c r="E2191" s="272"/>
      <c r="G2191" s="271" t="s">
        <v>312</v>
      </c>
      <c r="H2191" s="272"/>
      <c r="I2191" s="272"/>
      <c r="J2191" s="272"/>
      <c r="K2191" s="272"/>
    </row>
    <row r="2192" spans="1:11" x14ac:dyDescent="0.35">
      <c r="A2192" s="231" t="s">
        <v>34</v>
      </c>
      <c r="B2192" s="230">
        <f>SUM(B2186:B2191)</f>
        <v>0</v>
      </c>
      <c r="C2192" s="230">
        <f>SUM(C2186:C2191)</f>
        <v>0</v>
      </c>
      <c r="D2192" s="230">
        <f>SUM(D2186:D2191)</f>
        <v>0</v>
      </c>
      <c r="E2192" s="230">
        <f>SUM(E2186:E2191)</f>
        <v>0</v>
      </c>
      <c r="G2192" s="231" t="s">
        <v>34</v>
      </c>
      <c r="H2192" s="230">
        <f>SUM(H2186:H2191)</f>
        <v>0</v>
      </c>
      <c r="I2192" s="230">
        <f>SUM(I2186:I2191)</f>
        <v>0</v>
      </c>
      <c r="J2192" s="230">
        <f>SUM(J2186:J2191)</f>
        <v>0</v>
      </c>
      <c r="K2192" s="230">
        <f>SUM(K2186:K2191)</f>
        <v>0</v>
      </c>
    </row>
    <row r="2193" spans="1:11" ht="15" thickBot="1" x14ac:dyDescent="0.4">
      <c r="A2193" s="231" t="s">
        <v>313</v>
      </c>
      <c r="B2193" s="230">
        <f>+B2192+C2192+D2192+E2192</f>
        <v>0</v>
      </c>
      <c r="C2193" s="230"/>
      <c r="D2193" s="230"/>
      <c r="E2193" s="230"/>
      <c r="G2193" s="231" t="s">
        <v>313</v>
      </c>
      <c r="H2193" s="230">
        <f>+H2192+I2192+J2192+K2192</f>
        <v>0</v>
      </c>
      <c r="I2193" s="230"/>
      <c r="J2193" s="230"/>
      <c r="K2193" s="230"/>
    </row>
    <row r="2194" spans="1:11" ht="15.5" thickTop="1" thickBot="1" x14ac:dyDescent="0.4">
      <c r="A2194" s="335" t="s">
        <v>298</v>
      </c>
      <c r="B2194" s="336"/>
      <c r="C2194" s="336"/>
      <c r="D2194" s="336"/>
      <c r="E2194" s="337"/>
      <c r="G2194" s="335" t="s">
        <v>298</v>
      </c>
      <c r="H2194" s="336"/>
      <c r="I2194" s="336"/>
      <c r="J2194" s="336"/>
      <c r="K2194" s="337"/>
    </row>
    <row r="2195" spans="1:11" ht="15.5" thickTop="1" thickBot="1" x14ac:dyDescent="0.4">
      <c r="A2195" s="338">
        <v>45490</v>
      </c>
      <c r="B2195" s="336"/>
      <c r="C2195" s="336"/>
      <c r="D2195" s="336"/>
      <c r="E2195" s="337"/>
      <c r="G2195" s="338">
        <v>45490</v>
      </c>
      <c r="H2195" s="336"/>
      <c r="I2195" s="336"/>
      <c r="J2195" s="336"/>
      <c r="K2195" s="337"/>
    </row>
    <row r="2196" spans="1:11" ht="15" thickTop="1" x14ac:dyDescent="0.35">
      <c r="A2196" s="267" t="s">
        <v>159</v>
      </c>
      <c r="B2196" s="267" t="s">
        <v>299</v>
      </c>
      <c r="C2196" s="267" t="s">
        <v>307</v>
      </c>
      <c r="D2196" s="267" t="s">
        <v>301</v>
      </c>
      <c r="E2196" s="268" t="s">
        <v>308</v>
      </c>
      <c r="G2196" s="267" t="s">
        <v>159</v>
      </c>
      <c r="H2196" s="267" t="s">
        <v>299</v>
      </c>
      <c r="I2196" s="267" t="s">
        <v>307</v>
      </c>
      <c r="J2196" s="267" t="s">
        <v>301</v>
      </c>
      <c r="K2196" s="268" t="s">
        <v>308</v>
      </c>
    </row>
    <row r="2197" spans="1:11" x14ac:dyDescent="0.35">
      <c r="A2197" s="269" t="s">
        <v>316</v>
      </c>
      <c r="B2197" s="270"/>
      <c r="C2197" s="270"/>
      <c r="D2197" s="270"/>
      <c r="E2197" s="270"/>
      <c r="G2197" s="269" t="s">
        <v>316</v>
      </c>
      <c r="H2197" s="270"/>
      <c r="I2197" s="270"/>
      <c r="J2197" s="270"/>
      <c r="K2197" s="270"/>
    </row>
    <row r="2198" spans="1:11" x14ac:dyDescent="0.35">
      <c r="A2198" s="271" t="s">
        <v>309</v>
      </c>
      <c r="B2198" s="272"/>
      <c r="C2198" s="272"/>
      <c r="D2198" s="272"/>
      <c r="E2198" s="272"/>
      <c r="G2198" s="271" t="s">
        <v>309</v>
      </c>
      <c r="H2198" s="272"/>
      <c r="I2198" s="272"/>
      <c r="J2198" s="272"/>
      <c r="K2198" s="272"/>
    </row>
    <row r="2199" spans="1:11" x14ac:dyDescent="0.35">
      <c r="A2199" s="269" t="s">
        <v>310</v>
      </c>
      <c r="B2199" s="270"/>
      <c r="C2199" s="270"/>
      <c r="D2199" s="270"/>
      <c r="E2199" s="270"/>
      <c r="G2199" s="269" t="s">
        <v>310</v>
      </c>
      <c r="H2199" s="270"/>
      <c r="I2199" s="270"/>
      <c r="J2199" s="270"/>
      <c r="K2199" s="270"/>
    </row>
    <row r="2200" spans="1:11" x14ac:dyDescent="0.35">
      <c r="A2200" s="271" t="s">
        <v>317</v>
      </c>
      <c r="B2200" s="272"/>
      <c r="C2200" s="272"/>
      <c r="D2200" s="272"/>
      <c r="E2200" s="272"/>
      <c r="G2200" s="271" t="s">
        <v>317</v>
      </c>
      <c r="H2200" s="272"/>
      <c r="I2200" s="272"/>
      <c r="J2200" s="272"/>
      <c r="K2200" s="272"/>
    </row>
    <row r="2201" spans="1:11" x14ac:dyDescent="0.35">
      <c r="A2201" s="269" t="s">
        <v>311</v>
      </c>
      <c r="B2201" s="270"/>
      <c r="C2201" s="270"/>
      <c r="D2201" s="270"/>
      <c r="E2201" s="270"/>
      <c r="G2201" s="269" t="s">
        <v>311</v>
      </c>
      <c r="H2201" s="270"/>
      <c r="I2201" s="270"/>
      <c r="J2201" s="270"/>
      <c r="K2201" s="270"/>
    </row>
    <row r="2202" spans="1:11" x14ac:dyDescent="0.35">
      <c r="A2202" s="271" t="s">
        <v>312</v>
      </c>
      <c r="B2202" s="272"/>
      <c r="C2202" s="272"/>
      <c r="D2202" s="272"/>
      <c r="E2202" s="272"/>
      <c r="G2202" s="271" t="s">
        <v>312</v>
      </c>
      <c r="H2202" s="272"/>
      <c r="I2202" s="272"/>
      <c r="J2202" s="272"/>
      <c r="K2202" s="272"/>
    </row>
    <row r="2203" spans="1:11" x14ac:dyDescent="0.35">
      <c r="A2203" s="231" t="s">
        <v>34</v>
      </c>
      <c r="B2203" s="230">
        <f>SUM(B2197:B2202)</f>
        <v>0</v>
      </c>
      <c r="C2203" s="230">
        <f>SUM(C2197:C2202)</f>
        <v>0</v>
      </c>
      <c r="D2203" s="230">
        <f>SUM(D2197:D2202)</f>
        <v>0</v>
      </c>
      <c r="E2203" s="230">
        <f>SUM(E2197:E2202)</f>
        <v>0</v>
      </c>
      <c r="G2203" s="231" t="s">
        <v>34</v>
      </c>
      <c r="H2203" s="230">
        <f>SUM(H2197:H2202)</f>
        <v>0</v>
      </c>
      <c r="I2203" s="230">
        <f>SUM(I2197:I2202)</f>
        <v>0</v>
      </c>
      <c r="J2203" s="230">
        <f>SUM(J2197:J2202)</f>
        <v>0</v>
      </c>
      <c r="K2203" s="230">
        <f>SUM(K2197:K2202)</f>
        <v>0</v>
      </c>
    </row>
    <row r="2204" spans="1:11" ht="15" thickBot="1" x14ac:dyDescent="0.4">
      <c r="A2204" s="231" t="s">
        <v>313</v>
      </c>
      <c r="B2204" s="230">
        <f>+B2203+C2203+D2203+E2203</f>
        <v>0</v>
      </c>
      <c r="C2204" s="230"/>
      <c r="D2204" s="230"/>
      <c r="E2204" s="230"/>
      <c r="G2204" s="231" t="s">
        <v>313</v>
      </c>
      <c r="H2204" s="230">
        <f>+H2203+I2203+J2203+K2203</f>
        <v>0</v>
      </c>
      <c r="I2204" s="230"/>
      <c r="J2204" s="230"/>
      <c r="K2204" s="230"/>
    </row>
    <row r="2205" spans="1:11" ht="15.5" thickTop="1" thickBot="1" x14ac:dyDescent="0.4">
      <c r="A2205" s="335" t="s">
        <v>298</v>
      </c>
      <c r="B2205" s="336"/>
      <c r="C2205" s="336"/>
      <c r="D2205" s="336"/>
      <c r="E2205" s="337"/>
      <c r="G2205" s="335" t="s">
        <v>298</v>
      </c>
      <c r="H2205" s="336"/>
      <c r="I2205" s="336"/>
      <c r="J2205" s="336"/>
      <c r="K2205" s="337"/>
    </row>
    <row r="2206" spans="1:11" ht="15.5" thickTop="1" thickBot="1" x14ac:dyDescent="0.4">
      <c r="A2206" s="338">
        <v>45491</v>
      </c>
      <c r="B2206" s="336"/>
      <c r="C2206" s="336"/>
      <c r="D2206" s="336"/>
      <c r="E2206" s="337"/>
      <c r="G2206" s="338">
        <v>45491</v>
      </c>
      <c r="H2206" s="336"/>
      <c r="I2206" s="336"/>
      <c r="J2206" s="336"/>
      <c r="K2206" s="337"/>
    </row>
    <row r="2207" spans="1:11" ht="15" thickTop="1" x14ac:dyDescent="0.35">
      <c r="A2207" s="267" t="s">
        <v>159</v>
      </c>
      <c r="B2207" s="267" t="s">
        <v>299</v>
      </c>
      <c r="C2207" s="267" t="s">
        <v>307</v>
      </c>
      <c r="D2207" s="267" t="s">
        <v>301</v>
      </c>
      <c r="E2207" s="268" t="s">
        <v>308</v>
      </c>
      <c r="G2207" s="267" t="s">
        <v>159</v>
      </c>
      <c r="H2207" s="267" t="s">
        <v>299</v>
      </c>
      <c r="I2207" s="267" t="s">
        <v>307</v>
      </c>
      <c r="J2207" s="267" t="s">
        <v>301</v>
      </c>
      <c r="K2207" s="268" t="s">
        <v>308</v>
      </c>
    </row>
    <row r="2208" spans="1:11" x14ac:dyDescent="0.35">
      <c r="A2208" s="269" t="s">
        <v>316</v>
      </c>
      <c r="B2208" s="270"/>
      <c r="C2208" s="270"/>
      <c r="D2208" s="270"/>
      <c r="E2208" s="270"/>
      <c r="G2208" s="269" t="s">
        <v>316</v>
      </c>
      <c r="H2208" s="270">
        <v>200</v>
      </c>
      <c r="I2208" s="270"/>
      <c r="J2208" s="270"/>
      <c r="K2208" s="270"/>
    </row>
    <row r="2209" spans="1:11" x14ac:dyDescent="0.35">
      <c r="A2209" s="271" t="s">
        <v>309</v>
      </c>
      <c r="B2209" s="272"/>
      <c r="C2209" s="272"/>
      <c r="D2209" s="272"/>
      <c r="E2209" s="272"/>
      <c r="G2209" s="271" t="s">
        <v>309</v>
      </c>
      <c r="H2209" s="272"/>
      <c r="I2209" s="272"/>
      <c r="J2209" s="272"/>
      <c r="K2209" s="272"/>
    </row>
    <row r="2210" spans="1:11" x14ac:dyDescent="0.35">
      <c r="A2210" s="269" t="s">
        <v>310</v>
      </c>
      <c r="B2210" s="270">
        <v>2300</v>
      </c>
      <c r="C2210" s="270"/>
      <c r="D2210" s="270"/>
      <c r="E2210" s="270"/>
      <c r="G2210" s="269" t="s">
        <v>310</v>
      </c>
      <c r="H2210" s="270"/>
      <c r="I2210" s="270"/>
      <c r="J2210" s="270"/>
      <c r="K2210" s="270"/>
    </row>
    <row r="2211" spans="1:11" x14ac:dyDescent="0.35">
      <c r="A2211" s="271" t="s">
        <v>317</v>
      </c>
      <c r="B2211" s="272"/>
      <c r="C2211" s="272"/>
      <c r="D2211" s="272"/>
      <c r="E2211" s="272"/>
      <c r="G2211" s="271" t="s">
        <v>317</v>
      </c>
      <c r="H2211" s="272"/>
      <c r="I2211" s="272"/>
      <c r="J2211" s="272"/>
      <c r="K2211" s="272"/>
    </row>
    <row r="2212" spans="1:11" x14ac:dyDescent="0.35">
      <c r="A2212" s="269" t="s">
        <v>311</v>
      </c>
      <c r="B2212" s="270"/>
      <c r="C2212" s="270"/>
      <c r="D2212" s="270"/>
      <c r="E2212" s="270"/>
      <c r="G2212" s="269" t="s">
        <v>311</v>
      </c>
      <c r="H2212" s="270"/>
      <c r="I2212" s="270"/>
      <c r="J2212" s="270"/>
      <c r="K2212" s="270"/>
    </row>
    <row r="2213" spans="1:11" x14ac:dyDescent="0.35">
      <c r="A2213" s="271" t="s">
        <v>312</v>
      </c>
      <c r="B2213" s="272">
        <v>4750</v>
      </c>
      <c r="C2213" s="272"/>
      <c r="D2213" s="272"/>
      <c r="E2213" s="272"/>
      <c r="G2213" s="271" t="s">
        <v>312</v>
      </c>
      <c r="H2213" s="272"/>
      <c r="I2213" s="272"/>
      <c r="J2213" s="272"/>
      <c r="K2213" s="272"/>
    </row>
    <row r="2214" spans="1:11" x14ac:dyDescent="0.35">
      <c r="A2214" s="231" t="s">
        <v>34</v>
      </c>
      <c r="B2214" s="230">
        <f>SUM(B2208:B2213)</f>
        <v>7050</v>
      </c>
      <c r="C2214" s="230">
        <f>SUM(C2208:C2213)</f>
        <v>0</v>
      </c>
      <c r="D2214" s="230">
        <f>SUM(D2208:D2213)</f>
        <v>0</v>
      </c>
      <c r="E2214" s="230">
        <f>SUM(E2208:E2213)</f>
        <v>0</v>
      </c>
      <c r="G2214" s="231" t="s">
        <v>34</v>
      </c>
      <c r="H2214" s="230">
        <f>SUM(H2208:H2213)</f>
        <v>200</v>
      </c>
      <c r="I2214" s="230">
        <f>SUM(I2208:I2213)</f>
        <v>0</v>
      </c>
      <c r="J2214" s="230">
        <f>SUM(J2208:J2213)</f>
        <v>0</v>
      </c>
      <c r="K2214" s="230">
        <f>SUM(K2208:K2213)</f>
        <v>0</v>
      </c>
    </row>
    <row r="2215" spans="1:11" ht="15" thickBot="1" x14ac:dyDescent="0.4">
      <c r="A2215" s="231" t="s">
        <v>313</v>
      </c>
      <c r="B2215" s="230">
        <f>+B2214+C2214+D2214+E2214</f>
        <v>7050</v>
      </c>
      <c r="C2215" s="230"/>
      <c r="D2215" s="230"/>
      <c r="E2215" s="230"/>
      <c r="G2215" s="231" t="s">
        <v>313</v>
      </c>
      <c r="H2215" s="230">
        <f>+H2214+I2214+J2214+K2214</f>
        <v>200</v>
      </c>
      <c r="I2215" s="230"/>
      <c r="J2215" s="230"/>
      <c r="K2215" s="230"/>
    </row>
    <row r="2216" spans="1:11" ht="15.5" thickTop="1" thickBot="1" x14ac:dyDescent="0.4">
      <c r="A2216" s="335" t="s">
        <v>298</v>
      </c>
      <c r="B2216" s="336"/>
      <c r="C2216" s="336"/>
      <c r="D2216" s="336"/>
      <c r="E2216" s="337"/>
      <c r="G2216" s="335" t="s">
        <v>298</v>
      </c>
      <c r="H2216" s="336"/>
      <c r="I2216" s="336"/>
      <c r="J2216" s="336"/>
      <c r="K2216" s="337"/>
    </row>
    <row r="2217" spans="1:11" ht="15.5" thickTop="1" thickBot="1" x14ac:dyDescent="0.4">
      <c r="A2217" s="338">
        <v>45492</v>
      </c>
      <c r="B2217" s="336"/>
      <c r="C2217" s="336"/>
      <c r="D2217" s="336"/>
      <c r="E2217" s="337"/>
      <c r="G2217" s="338">
        <v>45492</v>
      </c>
      <c r="H2217" s="336"/>
      <c r="I2217" s="336"/>
      <c r="J2217" s="336"/>
      <c r="K2217" s="337"/>
    </row>
    <row r="2218" spans="1:11" ht="15" thickTop="1" x14ac:dyDescent="0.35">
      <c r="A2218" s="267" t="s">
        <v>159</v>
      </c>
      <c r="B2218" s="267" t="s">
        <v>299</v>
      </c>
      <c r="C2218" s="267" t="s">
        <v>307</v>
      </c>
      <c r="D2218" s="267" t="s">
        <v>301</v>
      </c>
      <c r="E2218" s="268" t="s">
        <v>308</v>
      </c>
      <c r="G2218" s="267" t="s">
        <v>159</v>
      </c>
      <c r="H2218" s="267" t="s">
        <v>299</v>
      </c>
      <c r="I2218" s="267" t="s">
        <v>307</v>
      </c>
      <c r="J2218" s="267" t="s">
        <v>301</v>
      </c>
      <c r="K2218" s="268" t="s">
        <v>308</v>
      </c>
    </row>
    <row r="2219" spans="1:11" x14ac:dyDescent="0.35">
      <c r="A2219" s="269" t="s">
        <v>316</v>
      </c>
      <c r="B2219" s="270">
        <v>240</v>
      </c>
      <c r="C2219" s="270"/>
      <c r="D2219" s="270"/>
      <c r="E2219" s="270"/>
      <c r="G2219" s="269" t="s">
        <v>316</v>
      </c>
      <c r="H2219" s="270"/>
      <c r="I2219" s="270"/>
      <c r="J2219" s="270"/>
      <c r="K2219" s="270"/>
    </row>
    <row r="2220" spans="1:11" x14ac:dyDescent="0.35">
      <c r="A2220" s="271" t="s">
        <v>309</v>
      </c>
      <c r="B2220" s="272"/>
      <c r="C2220" s="272"/>
      <c r="D2220" s="272"/>
      <c r="E2220" s="272"/>
      <c r="G2220" s="271" t="s">
        <v>309</v>
      </c>
      <c r="H2220" s="272"/>
      <c r="I2220" s="272"/>
      <c r="J2220" s="272"/>
      <c r="K2220" s="272"/>
    </row>
    <row r="2221" spans="1:11" x14ac:dyDescent="0.35">
      <c r="A2221" s="269" t="s">
        <v>310</v>
      </c>
      <c r="B2221" s="270"/>
      <c r="C2221" s="270"/>
      <c r="D2221" s="270"/>
      <c r="E2221" s="270"/>
      <c r="G2221" s="269" t="s">
        <v>310</v>
      </c>
      <c r="H2221" s="270"/>
      <c r="I2221" s="270"/>
      <c r="J2221" s="270"/>
      <c r="K2221" s="270"/>
    </row>
    <row r="2222" spans="1:11" x14ac:dyDescent="0.35">
      <c r="A2222" s="271" t="s">
        <v>317</v>
      </c>
      <c r="B2222" s="272"/>
      <c r="C2222" s="272"/>
      <c r="D2222" s="272"/>
      <c r="E2222" s="272"/>
      <c r="G2222" s="271" t="s">
        <v>317</v>
      </c>
      <c r="H2222" s="272"/>
      <c r="I2222" s="272"/>
      <c r="J2222" s="272"/>
      <c r="K2222" s="272"/>
    </row>
    <row r="2223" spans="1:11" x14ac:dyDescent="0.35">
      <c r="A2223" s="269" t="s">
        <v>311</v>
      </c>
      <c r="B2223" s="270"/>
      <c r="C2223" s="270"/>
      <c r="D2223" s="270"/>
      <c r="E2223" s="270"/>
      <c r="G2223" s="269" t="s">
        <v>311</v>
      </c>
      <c r="H2223" s="270"/>
      <c r="I2223" s="270"/>
      <c r="J2223" s="270"/>
      <c r="K2223" s="270"/>
    </row>
    <row r="2224" spans="1:11" x14ac:dyDescent="0.35">
      <c r="A2224" s="271" t="s">
        <v>312</v>
      </c>
      <c r="B2224" s="272"/>
      <c r="C2224" s="272"/>
      <c r="D2224" s="272"/>
      <c r="E2224" s="272"/>
      <c r="G2224" s="271" t="s">
        <v>312</v>
      </c>
      <c r="H2224" s="272"/>
      <c r="I2224" s="272"/>
      <c r="J2224" s="272"/>
      <c r="K2224" s="272"/>
    </row>
    <row r="2225" spans="1:11" x14ac:dyDescent="0.35">
      <c r="A2225" s="231" t="s">
        <v>34</v>
      </c>
      <c r="B2225" s="230">
        <f>SUM(B2219:B2224)</f>
        <v>240</v>
      </c>
      <c r="C2225" s="230">
        <f>SUM(C2219:C2224)</f>
        <v>0</v>
      </c>
      <c r="D2225" s="230">
        <f>SUM(D2219:D2224)</f>
        <v>0</v>
      </c>
      <c r="E2225" s="230">
        <f>SUM(E2219:E2224)</f>
        <v>0</v>
      </c>
      <c r="G2225" s="231" t="s">
        <v>34</v>
      </c>
      <c r="H2225" s="230">
        <f>SUM(H2219:H2224)</f>
        <v>0</v>
      </c>
      <c r="I2225" s="230">
        <f>SUM(I2219:I2224)</f>
        <v>0</v>
      </c>
      <c r="J2225" s="230">
        <f>SUM(J2219:J2224)</f>
        <v>0</v>
      </c>
      <c r="K2225" s="230">
        <f>SUM(K2219:K2224)</f>
        <v>0</v>
      </c>
    </row>
    <row r="2226" spans="1:11" ht="15" thickBot="1" x14ac:dyDescent="0.4">
      <c r="A2226" s="231" t="s">
        <v>313</v>
      </c>
      <c r="B2226" s="230">
        <f>+B2225+C2225+D2225+E2225</f>
        <v>240</v>
      </c>
      <c r="C2226" s="230"/>
      <c r="D2226" s="230"/>
      <c r="E2226" s="230"/>
      <c r="G2226" s="231" t="s">
        <v>313</v>
      </c>
      <c r="H2226" s="230">
        <f>+H2225+I2225+J2225+K2225</f>
        <v>0</v>
      </c>
      <c r="I2226" s="230"/>
      <c r="J2226" s="230"/>
      <c r="K2226" s="230"/>
    </row>
    <row r="2227" spans="1:11" ht="15.5" thickTop="1" thickBot="1" x14ac:dyDescent="0.4">
      <c r="A2227" s="335" t="s">
        <v>298</v>
      </c>
      <c r="B2227" s="336"/>
      <c r="C2227" s="336"/>
      <c r="D2227" s="336"/>
      <c r="E2227" s="337"/>
      <c r="G2227" s="335" t="s">
        <v>298</v>
      </c>
      <c r="H2227" s="336"/>
      <c r="I2227" s="336"/>
      <c r="J2227" s="336"/>
      <c r="K2227" s="337"/>
    </row>
    <row r="2228" spans="1:11" ht="15.5" thickTop="1" thickBot="1" x14ac:dyDescent="0.4">
      <c r="A2228" s="338">
        <v>45493</v>
      </c>
      <c r="B2228" s="336"/>
      <c r="C2228" s="336"/>
      <c r="D2228" s="336"/>
      <c r="E2228" s="337"/>
      <c r="G2228" s="338">
        <v>45493</v>
      </c>
      <c r="H2228" s="336"/>
      <c r="I2228" s="336"/>
      <c r="J2228" s="336"/>
      <c r="K2228" s="337"/>
    </row>
    <row r="2229" spans="1:11" ht="15" thickTop="1" x14ac:dyDescent="0.35">
      <c r="A2229" s="267" t="s">
        <v>159</v>
      </c>
      <c r="B2229" s="267" t="s">
        <v>299</v>
      </c>
      <c r="C2229" s="267" t="s">
        <v>307</v>
      </c>
      <c r="D2229" s="267" t="s">
        <v>301</v>
      </c>
      <c r="E2229" s="268" t="s">
        <v>308</v>
      </c>
      <c r="G2229" s="267" t="s">
        <v>159</v>
      </c>
      <c r="H2229" s="267" t="s">
        <v>299</v>
      </c>
      <c r="I2229" s="267" t="s">
        <v>307</v>
      </c>
      <c r="J2229" s="267" t="s">
        <v>301</v>
      </c>
      <c r="K2229" s="268" t="s">
        <v>308</v>
      </c>
    </row>
    <row r="2230" spans="1:11" x14ac:dyDescent="0.35">
      <c r="A2230" s="269" t="s">
        <v>496</v>
      </c>
      <c r="B2230" s="270">
        <v>2500</v>
      </c>
      <c r="C2230" s="270"/>
      <c r="D2230" s="270"/>
      <c r="E2230" s="270"/>
      <c r="G2230" s="269" t="s">
        <v>496</v>
      </c>
      <c r="H2230" s="270">
        <v>1400</v>
      </c>
      <c r="I2230" s="270"/>
      <c r="J2230" s="270"/>
      <c r="K2230" s="270"/>
    </row>
    <row r="2231" spans="1:11" x14ac:dyDescent="0.35">
      <c r="A2231" s="271" t="s">
        <v>496</v>
      </c>
      <c r="B2231" s="272">
        <v>1700</v>
      </c>
      <c r="C2231" s="272"/>
      <c r="D2231" s="272"/>
      <c r="E2231" s="272"/>
      <c r="G2231" s="271" t="s">
        <v>309</v>
      </c>
      <c r="H2231" s="272"/>
      <c r="I2231" s="272"/>
      <c r="J2231" s="272"/>
      <c r="K2231" s="272"/>
    </row>
    <row r="2232" spans="1:11" x14ac:dyDescent="0.35">
      <c r="A2232" s="269" t="s">
        <v>310</v>
      </c>
      <c r="B2232" s="270">
        <v>150</v>
      </c>
      <c r="C2232" s="270"/>
      <c r="D2232" s="270"/>
      <c r="E2232" s="270"/>
      <c r="G2232" s="269" t="s">
        <v>310</v>
      </c>
      <c r="H2232" s="270"/>
      <c r="I2232" s="270"/>
      <c r="J2232" s="270"/>
      <c r="K2232" s="270"/>
    </row>
    <row r="2233" spans="1:11" x14ac:dyDescent="0.35">
      <c r="A2233" s="271" t="s">
        <v>317</v>
      </c>
      <c r="B2233" s="272"/>
      <c r="C2233" s="272"/>
      <c r="D2233" s="272"/>
      <c r="E2233" s="272"/>
      <c r="G2233" s="271" t="s">
        <v>317</v>
      </c>
      <c r="H2233" s="272"/>
      <c r="I2233" s="272"/>
      <c r="J2233" s="272"/>
      <c r="K2233" s="272"/>
    </row>
    <row r="2234" spans="1:11" x14ac:dyDescent="0.35">
      <c r="A2234" s="269" t="s">
        <v>311</v>
      </c>
      <c r="B2234" s="270"/>
      <c r="C2234" s="270"/>
      <c r="D2234" s="270"/>
      <c r="E2234" s="270"/>
      <c r="G2234" s="269" t="s">
        <v>311</v>
      </c>
      <c r="H2234" s="270"/>
      <c r="I2234" s="270"/>
      <c r="J2234" s="270"/>
      <c r="K2234" s="270"/>
    </row>
    <row r="2235" spans="1:11" x14ac:dyDescent="0.35">
      <c r="A2235" s="271" t="s">
        <v>312</v>
      </c>
      <c r="B2235" s="272"/>
      <c r="C2235" s="272"/>
      <c r="D2235" s="272"/>
      <c r="E2235" s="272"/>
      <c r="G2235" s="271" t="s">
        <v>312</v>
      </c>
      <c r="H2235" s="272"/>
      <c r="I2235" s="272"/>
      <c r="J2235" s="272"/>
      <c r="K2235" s="272"/>
    </row>
    <row r="2236" spans="1:11" x14ac:dyDescent="0.35">
      <c r="A2236" s="231" t="s">
        <v>34</v>
      </c>
      <c r="B2236" s="230">
        <f>SUM(B2230:B2235)</f>
        <v>4350</v>
      </c>
      <c r="C2236" s="230">
        <f>SUM(C2230:C2235)</f>
        <v>0</v>
      </c>
      <c r="D2236" s="230">
        <f>SUM(D2230:D2235)</f>
        <v>0</v>
      </c>
      <c r="E2236" s="230">
        <f>SUM(E2230:E2235)</f>
        <v>0</v>
      </c>
      <c r="G2236" s="231" t="s">
        <v>34</v>
      </c>
      <c r="H2236" s="230">
        <f>SUM(H2230:H2235)</f>
        <v>1400</v>
      </c>
      <c r="I2236" s="230">
        <f>SUM(I2230:I2235)</f>
        <v>0</v>
      </c>
      <c r="J2236" s="230">
        <f>SUM(J2230:J2235)</f>
        <v>0</v>
      </c>
      <c r="K2236" s="230">
        <f>SUM(K2230:K2235)</f>
        <v>0</v>
      </c>
    </row>
    <row r="2237" spans="1:11" ht="15" thickBot="1" x14ac:dyDescent="0.4">
      <c r="A2237" s="231" t="s">
        <v>313</v>
      </c>
      <c r="B2237" s="230">
        <f>+B2236+C2236+D2236+E2236</f>
        <v>4350</v>
      </c>
      <c r="C2237" s="230"/>
      <c r="D2237" s="230"/>
      <c r="E2237" s="230"/>
      <c r="G2237" s="231" t="s">
        <v>313</v>
      </c>
      <c r="H2237" s="230">
        <f>+H2236+I2236+J2236+K2236</f>
        <v>1400</v>
      </c>
      <c r="I2237" s="230"/>
      <c r="J2237" s="230"/>
      <c r="K2237" s="230"/>
    </row>
    <row r="2238" spans="1:11" ht="15.5" thickTop="1" thickBot="1" x14ac:dyDescent="0.4">
      <c r="A2238" s="335" t="s">
        <v>298</v>
      </c>
      <c r="B2238" s="336"/>
      <c r="C2238" s="336"/>
      <c r="D2238" s="336"/>
      <c r="E2238" s="337"/>
      <c r="G2238" s="335" t="s">
        <v>298</v>
      </c>
      <c r="H2238" s="336"/>
      <c r="I2238" s="336"/>
      <c r="J2238" s="336"/>
      <c r="K2238" s="337"/>
    </row>
    <row r="2239" spans="1:11" ht="15.5" thickTop="1" thickBot="1" x14ac:dyDescent="0.4">
      <c r="A2239" s="338">
        <v>45494</v>
      </c>
      <c r="B2239" s="336"/>
      <c r="C2239" s="336"/>
      <c r="D2239" s="336"/>
      <c r="E2239" s="337"/>
      <c r="G2239" s="338">
        <v>45494</v>
      </c>
      <c r="H2239" s="336"/>
      <c r="I2239" s="336"/>
      <c r="J2239" s="336"/>
      <c r="K2239" s="337"/>
    </row>
    <row r="2240" spans="1:11" ht="15" thickTop="1" x14ac:dyDescent="0.35">
      <c r="A2240" s="267" t="s">
        <v>159</v>
      </c>
      <c r="B2240" s="267" t="s">
        <v>299</v>
      </c>
      <c r="C2240" s="267" t="s">
        <v>307</v>
      </c>
      <c r="D2240" s="267" t="s">
        <v>301</v>
      </c>
      <c r="E2240" s="268" t="s">
        <v>308</v>
      </c>
      <c r="G2240" s="267" t="s">
        <v>159</v>
      </c>
      <c r="H2240" s="267" t="s">
        <v>299</v>
      </c>
      <c r="I2240" s="267" t="s">
        <v>307</v>
      </c>
      <c r="J2240" s="267" t="s">
        <v>301</v>
      </c>
      <c r="K2240" s="268" t="s">
        <v>308</v>
      </c>
    </row>
    <row r="2241" spans="1:11" x14ac:dyDescent="0.35">
      <c r="A2241" s="269" t="s">
        <v>316</v>
      </c>
      <c r="B2241" s="270">
        <v>100</v>
      </c>
      <c r="C2241" s="270"/>
      <c r="D2241" s="270"/>
      <c r="E2241" s="270"/>
      <c r="G2241" s="269" t="s">
        <v>316</v>
      </c>
      <c r="H2241" s="270"/>
      <c r="I2241" s="270"/>
      <c r="J2241" s="270"/>
      <c r="K2241" s="270"/>
    </row>
    <row r="2242" spans="1:11" x14ac:dyDescent="0.35">
      <c r="A2242" s="271" t="s">
        <v>309</v>
      </c>
      <c r="B2242" s="272"/>
      <c r="C2242" s="272"/>
      <c r="D2242" s="272"/>
      <c r="E2242" s="272"/>
      <c r="G2242" s="271" t="s">
        <v>309</v>
      </c>
      <c r="H2242" s="272"/>
      <c r="I2242" s="272"/>
      <c r="J2242" s="272"/>
      <c r="K2242" s="272"/>
    </row>
    <row r="2243" spans="1:11" x14ac:dyDescent="0.35">
      <c r="A2243" s="269" t="s">
        <v>310</v>
      </c>
      <c r="B2243" s="270"/>
      <c r="C2243" s="270"/>
      <c r="D2243" s="270"/>
      <c r="E2243" s="270"/>
      <c r="G2243" s="269" t="s">
        <v>310</v>
      </c>
      <c r="H2243" s="270"/>
      <c r="I2243" s="270"/>
      <c r="J2243" s="270"/>
      <c r="K2243" s="270"/>
    </row>
    <row r="2244" spans="1:11" x14ac:dyDescent="0.35">
      <c r="A2244" s="271" t="s">
        <v>317</v>
      </c>
      <c r="B2244" s="272"/>
      <c r="C2244" s="272"/>
      <c r="D2244" s="272"/>
      <c r="E2244" s="272"/>
      <c r="G2244" s="271" t="s">
        <v>317</v>
      </c>
      <c r="H2244" s="272"/>
      <c r="I2244" s="272"/>
      <c r="J2244" s="272"/>
      <c r="K2244" s="272"/>
    </row>
    <row r="2245" spans="1:11" x14ac:dyDescent="0.35">
      <c r="A2245" s="269" t="s">
        <v>311</v>
      </c>
      <c r="B2245" s="270"/>
      <c r="C2245" s="270"/>
      <c r="D2245" s="270"/>
      <c r="E2245" s="270"/>
      <c r="G2245" s="269" t="s">
        <v>311</v>
      </c>
      <c r="H2245" s="270"/>
      <c r="I2245" s="270"/>
      <c r="J2245" s="270"/>
      <c r="K2245" s="270"/>
    </row>
    <row r="2246" spans="1:11" x14ac:dyDescent="0.35">
      <c r="A2246" s="271" t="s">
        <v>312</v>
      </c>
      <c r="B2246" s="272">
        <v>6155</v>
      </c>
      <c r="C2246" s="272"/>
      <c r="D2246" s="272"/>
      <c r="E2246" s="272"/>
      <c r="G2246" s="271" t="s">
        <v>312</v>
      </c>
      <c r="H2246" s="272"/>
      <c r="I2246" s="272"/>
      <c r="J2246" s="272"/>
      <c r="K2246" s="272"/>
    </row>
    <row r="2247" spans="1:11" x14ac:dyDescent="0.35">
      <c r="A2247" s="231" t="s">
        <v>34</v>
      </c>
      <c r="B2247" s="230">
        <f>SUM(B2241:B2246)</f>
        <v>6255</v>
      </c>
      <c r="C2247" s="230">
        <f>SUM(C2241:C2246)</f>
        <v>0</v>
      </c>
      <c r="D2247" s="230">
        <f>SUM(D2241:D2246)</f>
        <v>0</v>
      </c>
      <c r="E2247" s="230">
        <f>SUM(E2241:E2246)</f>
        <v>0</v>
      </c>
      <c r="G2247" s="231" t="s">
        <v>34</v>
      </c>
      <c r="H2247" s="230">
        <f>SUM(H2241:H2246)</f>
        <v>0</v>
      </c>
      <c r="I2247" s="230">
        <f>SUM(I2241:I2246)</f>
        <v>0</v>
      </c>
      <c r="J2247" s="230">
        <f>SUM(J2241:J2246)</f>
        <v>0</v>
      </c>
      <c r="K2247" s="230">
        <f>SUM(K2241:K2246)</f>
        <v>0</v>
      </c>
    </row>
    <row r="2248" spans="1:11" ht="15" thickBot="1" x14ac:dyDescent="0.4">
      <c r="A2248" s="231" t="s">
        <v>313</v>
      </c>
      <c r="B2248" s="230">
        <f>+B2247+C2247+D2247+E2247</f>
        <v>6255</v>
      </c>
      <c r="C2248" s="230"/>
      <c r="D2248" s="230"/>
      <c r="E2248" s="230"/>
      <c r="G2248" s="231" t="s">
        <v>313</v>
      </c>
      <c r="H2248" s="230">
        <f>+H2247+I2247+J2247+K2247</f>
        <v>0</v>
      </c>
      <c r="I2248" s="230"/>
      <c r="J2248" s="230"/>
      <c r="K2248" s="230"/>
    </row>
    <row r="2249" spans="1:11" ht="15.5" thickTop="1" thickBot="1" x14ac:dyDescent="0.4">
      <c r="A2249" s="335" t="s">
        <v>298</v>
      </c>
      <c r="B2249" s="336"/>
      <c r="C2249" s="336"/>
      <c r="D2249" s="336"/>
      <c r="E2249" s="337"/>
      <c r="G2249" s="335" t="s">
        <v>298</v>
      </c>
      <c r="H2249" s="336"/>
      <c r="I2249" s="336"/>
      <c r="J2249" s="336"/>
      <c r="K2249" s="337"/>
    </row>
    <row r="2250" spans="1:11" ht="15.5" thickTop="1" thickBot="1" x14ac:dyDescent="0.4">
      <c r="A2250" s="338">
        <v>45495</v>
      </c>
      <c r="B2250" s="336"/>
      <c r="C2250" s="336"/>
      <c r="D2250" s="336"/>
      <c r="E2250" s="337"/>
      <c r="G2250" s="338">
        <v>45495</v>
      </c>
      <c r="H2250" s="336"/>
      <c r="I2250" s="336"/>
      <c r="J2250" s="336"/>
      <c r="K2250" s="337"/>
    </row>
    <row r="2251" spans="1:11" ht="15" thickTop="1" x14ac:dyDescent="0.35">
      <c r="A2251" s="267" t="s">
        <v>159</v>
      </c>
      <c r="B2251" s="267" t="s">
        <v>299</v>
      </c>
      <c r="C2251" s="267" t="s">
        <v>307</v>
      </c>
      <c r="D2251" s="267" t="s">
        <v>301</v>
      </c>
      <c r="E2251" s="268" t="s">
        <v>308</v>
      </c>
      <c r="G2251" s="267" t="s">
        <v>159</v>
      </c>
      <c r="H2251" s="267" t="s">
        <v>299</v>
      </c>
      <c r="I2251" s="267" t="s">
        <v>307</v>
      </c>
      <c r="J2251" s="267" t="s">
        <v>301</v>
      </c>
      <c r="K2251" s="268" t="s">
        <v>308</v>
      </c>
    </row>
    <row r="2252" spans="1:11" x14ac:dyDescent="0.35">
      <c r="A2252" s="269" t="s">
        <v>316</v>
      </c>
      <c r="B2252" s="270">
        <v>397</v>
      </c>
      <c r="C2252" s="270"/>
      <c r="D2252" s="270"/>
      <c r="E2252" s="270"/>
      <c r="G2252" s="269" t="s">
        <v>316</v>
      </c>
      <c r="H2252" s="270"/>
      <c r="I2252" s="270"/>
      <c r="J2252" s="270"/>
      <c r="K2252" s="270"/>
    </row>
    <row r="2253" spans="1:11" x14ac:dyDescent="0.35">
      <c r="A2253" s="271" t="s">
        <v>309</v>
      </c>
      <c r="B2253" s="272"/>
      <c r="C2253" s="272"/>
      <c r="D2253" s="272"/>
      <c r="E2253" s="272"/>
      <c r="G2253" s="271" t="s">
        <v>309</v>
      </c>
      <c r="H2253" s="272"/>
      <c r="I2253" s="272"/>
      <c r="J2253" s="272"/>
      <c r="K2253" s="272"/>
    </row>
    <row r="2254" spans="1:11" x14ac:dyDescent="0.35">
      <c r="A2254" s="269" t="s">
        <v>310</v>
      </c>
      <c r="B2254" s="270"/>
      <c r="C2254" s="270"/>
      <c r="D2254" s="270"/>
      <c r="E2254" s="270"/>
      <c r="G2254" s="269" t="s">
        <v>310</v>
      </c>
      <c r="H2254" s="270"/>
      <c r="I2254" s="270"/>
      <c r="J2254" s="270"/>
      <c r="K2254" s="270"/>
    </row>
    <row r="2255" spans="1:11" x14ac:dyDescent="0.35">
      <c r="A2255" s="271" t="s">
        <v>317</v>
      </c>
      <c r="B2255" s="272"/>
      <c r="C2255" s="272"/>
      <c r="D2255" s="272"/>
      <c r="E2255" s="272"/>
      <c r="G2255" s="271" t="s">
        <v>317</v>
      </c>
      <c r="H2255" s="272"/>
      <c r="I2255" s="272"/>
      <c r="J2255" s="272"/>
      <c r="K2255" s="272"/>
    </row>
    <row r="2256" spans="1:11" x14ac:dyDescent="0.35">
      <c r="A2256" s="269" t="s">
        <v>311</v>
      </c>
      <c r="B2256" s="270"/>
      <c r="C2256" s="270"/>
      <c r="D2256" s="270"/>
      <c r="E2256" s="270"/>
      <c r="G2256" s="269" t="s">
        <v>311</v>
      </c>
      <c r="H2256" s="270"/>
      <c r="I2256" s="270"/>
      <c r="J2256" s="270"/>
      <c r="K2256" s="270"/>
    </row>
    <row r="2257" spans="1:11" x14ac:dyDescent="0.35">
      <c r="A2257" s="271" t="s">
        <v>312</v>
      </c>
      <c r="B2257" s="272"/>
      <c r="C2257" s="272"/>
      <c r="D2257" s="272"/>
      <c r="E2257" s="272"/>
      <c r="G2257" s="271" t="s">
        <v>312</v>
      </c>
      <c r="H2257" s="272"/>
      <c r="I2257" s="272"/>
      <c r="J2257" s="272"/>
      <c r="K2257" s="272"/>
    </row>
    <row r="2258" spans="1:11" x14ac:dyDescent="0.35">
      <c r="A2258" s="231" t="s">
        <v>34</v>
      </c>
      <c r="B2258" s="230">
        <f>SUM(B2252:B2257)</f>
        <v>397</v>
      </c>
      <c r="C2258" s="230">
        <f>SUM(C2252:C2257)</f>
        <v>0</v>
      </c>
      <c r="D2258" s="230">
        <f>SUM(D2252:D2257)</f>
        <v>0</v>
      </c>
      <c r="E2258" s="230">
        <f>SUM(E2252:E2257)</f>
        <v>0</v>
      </c>
      <c r="G2258" s="231" t="s">
        <v>34</v>
      </c>
      <c r="H2258" s="230">
        <f>SUM(H2252:H2257)</f>
        <v>0</v>
      </c>
      <c r="I2258" s="230">
        <f>SUM(I2252:I2257)</f>
        <v>0</v>
      </c>
      <c r="J2258" s="230">
        <f>SUM(J2252:J2257)</f>
        <v>0</v>
      </c>
      <c r="K2258" s="230">
        <f>SUM(K2252:K2257)</f>
        <v>0</v>
      </c>
    </row>
    <row r="2259" spans="1:11" ht="15" thickBot="1" x14ac:dyDescent="0.4">
      <c r="A2259" s="231" t="s">
        <v>313</v>
      </c>
      <c r="B2259" s="230">
        <f>+B2258+C2258+D2258+E2258</f>
        <v>397</v>
      </c>
      <c r="C2259" s="230"/>
      <c r="D2259" s="230"/>
      <c r="E2259" s="230"/>
      <c r="G2259" s="231" t="s">
        <v>313</v>
      </c>
      <c r="H2259" s="230">
        <f>+H2258+I2258+J2258+K2258</f>
        <v>0</v>
      </c>
      <c r="I2259" s="230"/>
      <c r="J2259" s="230"/>
      <c r="K2259" s="230"/>
    </row>
    <row r="2260" spans="1:11" ht="15.5" thickTop="1" thickBot="1" x14ac:dyDescent="0.4">
      <c r="A2260" s="335" t="s">
        <v>298</v>
      </c>
      <c r="B2260" s="336"/>
      <c r="C2260" s="336"/>
      <c r="D2260" s="336"/>
      <c r="E2260" s="337"/>
      <c r="G2260" s="335" t="s">
        <v>298</v>
      </c>
      <c r="H2260" s="336"/>
      <c r="I2260" s="336"/>
      <c r="J2260" s="336"/>
      <c r="K2260" s="337"/>
    </row>
    <row r="2261" spans="1:11" ht="15.5" thickTop="1" thickBot="1" x14ac:dyDescent="0.4">
      <c r="A2261" s="338">
        <v>45496</v>
      </c>
      <c r="B2261" s="336"/>
      <c r="C2261" s="336"/>
      <c r="D2261" s="336"/>
      <c r="E2261" s="337"/>
      <c r="G2261" s="338">
        <v>45496</v>
      </c>
      <c r="H2261" s="336"/>
      <c r="I2261" s="336"/>
      <c r="J2261" s="336"/>
      <c r="K2261" s="337"/>
    </row>
    <row r="2262" spans="1:11" ht="15" thickTop="1" x14ac:dyDescent="0.35">
      <c r="A2262" s="267" t="s">
        <v>159</v>
      </c>
      <c r="B2262" s="267" t="s">
        <v>299</v>
      </c>
      <c r="C2262" s="267" t="s">
        <v>307</v>
      </c>
      <c r="D2262" s="267" t="s">
        <v>301</v>
      </c>
      <c r="E2262" s="268" t="s">
        <v>308</v>
      </c>
      <c r="G2262" s="267" t="s">
        <v>159</v>
      </c>
      <c r="H2262" s="267" t="s">
        <v>299</v>
      </c>
      <c r="I2262" s="267" t="s">
        <v>307</v>
      </c>
      <c r="J2262" s="267" t="s">
        <v>301</v>
      </c>
      <c r="K2262" s="268" t="s">
        <v>308</v>
      </c>
    </row>
    <row r="2263" spans="1:11" x14ac:dyDescent="0.35">
      <c r="A2263" s="269" t="s">
        <v>316</v>
      </c>
      <c r="B2263" s="270"/>
      <c r="C2263" s="270"/>
      <c r="D2263" s="270"/>
      <c r="E2263" s="270"/>
      <c r="G2263" s="269" t="s">
        <v>316</v>
      </c>
      <c r="H2263" s="270"/>
      <c r="I2263" s="270"/>
      <c r="J2263" s="270"/>
      <c r="K2263" s="270"/>
    </row>
    <row r="2264" spans="1:11" x14ac:dyDescent="0.35">
      <c r="A2264" s="271" t="s">
        <v>309</v>
      </c>
      <c r="B2264" s="272"/>
      <c r="C2264" s="272"/>
      <c r="D2264" s="272"/>
      <c r="E2264" s="272"/>
      <c r="G2264" s="271" t="s">
        <v>309</v>
      </c>
      <c r="H2264" s="272"/>
      <c r="I2264" s="272"/>
      <c r="J2264" s="272"/>
      <c r="K2264" s="272"/>
    </row>
    <row r="2265" spans="1:11" x14ac:dyDescent="0.35">
      <c r="A2265" s="269" t="s">
        <v>310</v>
      </c>
      <c r="B2265" s="270"/>
      <c r="C2265" s="270"/>
      <c r="D2265" s="270"/>
      <c r="E2265" s="270"/>
      <c r="G2265" s="269" t="s">
        <v>310</v>
      </c>
      <c r="H2265" s="270"/>
      <c r="I2265" s="270"/>
      <c r="J2265" s="270"/>
      <c r="K2265" s="270"/>
    </row>
    <row r="2266" spans="1:11" x14ac:dyDescent="0.35">
      <c r="A2266" s="271" t="s">
        <v>317</v>
      </c>
      <c r="B2266" s="272"/>
      <c r="C2266" s="272"/>
      <c r="D2266" s="272"/>
      <c r="E2266" s="272"/>
      <c r="G2266" s="271" t="s">
        <v>317</v>
      </c>
      <c r="H2266" s="272"/>
      <c r="I2266" s="272"/>
      <c r="J2266" s="272"/>
      <c r="K2266" s="272"/>
    </row>
    <row r="2267" spans="1:11" x14ac:dyDescent="0.35">
      <c r="A2267" s="269" t="s">
        <v>311</v>
      </c>
      <c r="B2267" s="270"/>
      <c r="C2267" s="270"/>
      <c r="D2267" s="270"/>
      <c r="E2267" s="270"/>
      <c r="G2267" s="269" t="s">
        <v>311</v>
      </c>
      <c r="H2267" s="270"/>
      <c r="I2267" s="270"/>
      <c r="J2267" s="270"/>
      <c r="K2267" s="270"/>
    </row>
    <row r="2268" spans="1:11" x14ac:dyDescent="0.35">
      <c r="A2268" s="271" t="s">
        <v>312</v>
      </c>
      <c r="B2268" s="272">
        <v>2700</v>
      </c>
      <c r="C2268" s="272"/>
      <c r="D2268" s="272"/>
      <c r="E2268" s="272"/>
      <c r="G2268" s="271" t="s">
        <v>312</v>
      </c>
      <c r="H2268" s="272"/>
      <c r="I2268" s="272"/>
      <c r="J2268" s="272"/>
      <c r="K2268" s="272"/>
    </row>
    <row r="2269" spans="1:11" x14ac:dyDescent="0.35">
      <c r="A2269" s="231" t="s">
        <v>34</v>
      </c>
      <c r="B2269" s="230">
        <f>SUM(B2263:B2268)</f>
        <v>2700</v>
      </c>
      <c r="C2269" s="230">
        <f>SUM(C2263:C2268)</f>
        <v>0</v>
      </c>
      <c r="D2269" s="230">
        <f>SUM(D2263:D2268)</f>
        <v>0</v>
      </c>
      <c r="E2269" s="230">
        <f>SUM(E2263:E2268)</f>
        <v>0</v>
      </c>
      <c r="G2269" s="231" t="s">
        <v>34</v>
      </c>
      <c r="H2269" s="230">
        <f>SUM(H2263:H2268)</f>
        <v>0</v>
      </c>
      <c r="I2269" s="230">
        <f>SUM(I2263:I2268)</f>
        <v>0</v>
      </c>
      <c r="J2269" s="230">
        <f>SUM(J2263:J2268)</f>
        <v>0</v>
      </c>
      <c r="K2269" s="230">
        <f>SUM(K2263:K2268)</f>
        <v>0</v>
      </c>
    </row>
    <row r="2270" spans="1:11" ht="15" thickBot="1" x14ac:dyDescent="0.4">
      <c r="A2270" s="231" t="s">
        <v>313</v>
      </c>
      <c r="B2270" s="230">
        <f>+B2269+C2269+D2269+E2269</f>
        <v>2700</v>
      </c>
      <c r="C2270" s="230"/>
      <c r="D2270" s="230"/>
      <c r="E2270" s="230"/>
      <c r="G2270" s="231" t="s">
        <v>313</v>
      </c>
      <c r="H2270" s="230">
        <f>+H2269+I2269+J2269+K2269</f>
        <v>0</v>
      </c>
      <c r="I2270" s="230"/>
      <c r="J2270" s="230"/>
      <c r="K2270" s="230"/>
    </row>
    <row r="2271" spans="1:11" ht="15.5" thickTop="1" thickBot="1" x14ac:dyDescent="0.4">
      <c r="A2271" s="335" t="s">
        <v>298</v>
      </c>
      <c r="B2271" s="336"/>
      <c r="C2271" s="336"/>
      <c r="D2271" s="336"/>
      <c r="E2271" s="337"/>
      <c r="G2271" s="335" t="s">
        <v>298</v>
      </c>
      <c r="H2271" s="336"/>
      <c r="I2271" s="336"/>
      <c r="J2271" s="336"/>
      <c r="K2271" s="337"/>
    </row>
    <row r="2272" spans="1:11" ht="15.5" thickTop="1" thickBot="1" x14ac:dyDescent="0.4">
      <c r="A2272" s="338">
        <v>45497</v>
      </c>
      <c r="B2272" s="336"/>
      <c r="C2272" s="336"/>
      <c r="D2272" s="336"/>
      <c r="E2272" s="337"/>
      <c r="G2272" s="338">
        <v>45497</v>
      </c>
      <c r="H2272" s="336"/>
      <c r="I2272" s="336"/>
      <c r="J2272" s="336"/>
      <c r="K2272" s="337"/>
    </row>
    <row r="2273" spans="1:11" ht="15" thickTop="1" x14ac:dyDescent="0.35">
      <c r="A2273" s="267" t="s">
        <v>159</v>
      </c>
      <c r="B2273" s="267" t="s">
        <v>299</v>
      </c>
      <c r="C2273" s="267" t="s">
        <v>307</v>
      </c>
      <c r="D2273" s="267" t="s">
        <v>301</v>
      </c>
      <c r="E2273" s="268" t="s">
        <v>308</v>
      </c>
      <c r="G2273" s="267" t="s">
        <v>159</v>
      </c>
      <c r="H2273" s="267" t="s">
        <v>299</v>
      </c>
      <c r="I2273" s="267" t="s">
        <v>307</v>
      </c>
      <c r="J2273" s="267" t="s">
        <v>301</v>
      </c>
      <c r="K2273" s="268" t="s">
        <v>308</v>
      </c>
    </row>
    <row r="2274" spans="1:11" x14ac:dyDescent="0.35">
      <c r="A2274" s="269" t="s">
        <v>316</v>
      </c>
      <c r="B2274" s="270">
        <v>160</v>
      </c>
      <c r="C2274" s="270"/>
      <c r="D2274" s="270"/>
      <c r="E2274" s="270"/>
      <c r="G2274" s="269" t="s">
        <v>316</v>
      </c>
      <c r="H2274" s="270"/>
      <c r="I2274" s="270"/>
      <c r="J2274" s="270"/>
      <c r="K2274" s="270"/>
    </row>
    <row r="2275" spans="1:11" x14ac:dyDescent="0.35">
      <c r="A2275" s="271" t="s">
        <v>309</v>
      </c>
      <c r="B2275" s="272"/>
      <c r="C2275" s="272"/>
      <c r="D2275" s="272"/>
      <c r="E2275" s="272"/>
      <c r="G2275" s="271" t="s">
        <v>309</v>
      </c>
      <c r="H2275" s="272"/>
      <c r="I2275" s="272"/>
      <c r="J2275" s="272"/>
      <c r="K2275" s="272"/>
    </row>
    <row r="2276" spans="1:11" x14ac:dyDescent="0.35">
      <c r="A2276" s="269" t="s">
        <v>310</v>
      </c>
      <c r="B2276" s="270">
        <v>960</v>
      </c>
      <c r="C2276" s="270"/>
      <c r="D2276" s="270"/>
      <c r="E2276" s="270"/>
      <c r="G2276" s="269" t="s">
        <v>310</v>
      </c>
      <c r="H2276" s="270"/>
      <c r="I2276" s="270"/>
      <c r="J2276" s="270"/>
      <c r="K2276" s="270"/>
    </row>
    <row r="2277" spans="1:11" x14ac:dyDescent="0.35">
      <c r="A2277" s="271" t="s">
        <v>317</v>
      </c>
      <c r="B2277" s="272"/>
      <c r="C2277" s="272"/>
      <c r="D2277" s="272"/>
      <c r="E2277" s="272"/>
      <c r="G2277" s="271" t="s">
        <v>317</v>
      </c>
      <c r="H2277" s="272"/>
      <c r="I2277" s="272"/>
      <c r="J2277" s="272"/>
      <c r="K2277" s="272"/>
    </row>
    <row r="2278" spans="1:11" x14ac:dyDescent="0.35">
      <c r="A2278" s="269" t="s">
        <v>311</v>
      </c>
      <c r="B2278" s="270"/>
      <c r="C2278" s="270"/>
      <c r="D2278" s="270"/>
      <c r="E2278" s="270"/>
      <c r="G2278" s="269" t="s">
        <v>311</v>
      </c>
      <c r="H2278" s="270"/>
      <c r="I2278" s="270"/>
      <c r="J2278" s="270"/>
      <c r="K2278" s="270"/>
    </row>
    <row r="2279" spans="1:11" x14ac:dyDescent="0.35">
      <c r="A2279" s="271" t="s">
        <v>312</v>
      </c>
      <c r="B2279" s="272"/>
      <c r="C2279" s="272"/>
      <c r="D2279" s="272"/>
      <c r="E2279" s="272"/>
      <c r="G2279" s="271" t="s">
        <v>312</v>
      </c>
      <c r="H2279" s="272"/>
      <c r="I2279" s="272"/>
      <c r="J2279" s="272"/>
      <c r="K2279" s="272"/>
    </row>
    <row r="2280" spans="1:11" x14ac:dyDescent="0.35">
      <c r="A2280" s="231" t="s">
        <v>34</v>
      </c>
      <c r="B2280" s="230">
        <f>SUM(B2274:B2279)</f>
        <v>1120</v>
      </c>
      <c r="C2280" s="230">
        <f>SUM(C2274:C2279)</f>
        <v>0</v>
      </c>
      <c r="D2280" s="230">
        <f>SUM(D2274:D2279)</f>
        <v>0</v>
      </c>
      <c r="E2280" s="230">
        <f>SUM(E2274:E2279)</f>
        <v>0</v>
      </c>
      <c r="G2280" s="231" t="s">
        <v>34</v>
      </c>
      <c r="H2280" s="230">
        <f>SUM(H2274:H2279)</f>
        <v>0</v>
      </c>
      <c r="I2280" s="230">
        <f>SUM(I2274:I2279)</f>
        <v>0</v>
      </c>
      <c r="J2280" s="230">
        <f>SUM(J2274:J2279)</f>
        <v>0</v>
      </c>
      <c r="K2280" s="230">
        <f>SUM(K2274:K2279)</f>
        <v>0</v>
      </c>
    </row>
    <row r="2281" spans="1:11" ht="15" thickBot="1" x14ac:dyDescent="0.4">
      <c r="A2281" s="231" t="s">
        <v>313</v>
      </c>
      <c r="B2281" s="230">
        <f>+B2280+C2280+D2280+E2280</f>
        <v>1120</v>
      </c>
      <c r="C2281" s="230"/>
      <c r="D2281" s="230"/>
      <c r="E2281" s="230"/>
      <c r="G2281" s="231" t="s">
        <v>313</v>
      </c>
      <c r="H2281" s="230">
        <f>+H2280+I2280+J2280+K2280</f>
        <v>0</v>
      </c>
      <c r="I2281" s="230"/>
      <c r="J2281" s="230"/>
      <c r="K2281" s="230"/>
    </row>
    <row r="2282" spans="1:11" ht="15.5" thickTop="1" thickBot="1" x14ac:dyDescent="0.4">
      <c r="A2282" s="335" t="s">
        <v>298</v>
      </c>
      <c r="B2282" s="336"/>
      <c r="C2282" s="336"/>
      <c r="D2282" s="336"/>
      <c r="E2282" s="337"/>
      <c r="G2282" s="335" t="s">
        <v>298</v>
      </c>
      <c r="H2282" s="336"/>
      <c r="I2282" s="336"/>
      <c r="J2282" s="336"/>
      <c r="K2282" s="337"/>
    </row>
    <row r="2283" spans="1:11" ht="15.5" thickTop="1" thickBot="1" x14ac:dyDescent="0.4">
      <c r="A2283" s="338">
        <v>45498</v>
      </c>
      <c r="B2283" s="336"/>
      <c r="C2283" s="336"/>
      <c r="D2283" s="336"/>
      <c r="E2283" s="337"/>
      <c r="G2283" s="338">
        <v>45498</v>
      </c>
      <c r="H2283" s="336"/>
      <c r="I2283" s="336"/>
      <c r="J2283" s="336"/>
      <c r="K2283" s="337"/>
    </row>
    <row r="2284" spans="1:11" ht="15" thickTop="1" x14ac:dyDescent="0.35">
      <c r="A2284" s="267" t="s">
        <v>159</v>
      </c>
      <c r="B2284" s="267" t="s">
        <v>299</v>
      </c>
      <c r="C2284" s="267" t="s">
        <v>307</v>
      </c>
      <c r="D2284" s="267" t="s">
        <v>301</v>
      </c>
      <c r="E2284" s="268" t="s">
        <v>308</v>
      </c>
      <c r="G2284" s="267" t="s">
        <v>159</v>
      </c>
      <c r="H2284" s="267" t="s">
        <v>299</v>
      </c>
      <c r="I2284" s="267" t="s">
        <v>307</v>
      </c>
      <c r="J2284" s="267" t="s">
        <v>301</v>
      </c>
      <c r="K2284" s="268" t="s">
        <v>308</v>
      </c>
    </row>
    <row r="2285" spans="1:11" x14ac:dyDescent="0.35">
      <c r="A2285" s="269" t="s">
        <v>316</v>
      </c>
      <c r="B2285" s="270"/>
      <c r="C2285" s="270"/>
      <c r="D2285" s="270"/>
      <c r="E2285" s="270"/>
      <c r="G2285" s="269" t="s">
        <v>316</v>
      </c>
      <c r="H2285" s="270"/>
      <c r="I2285" s="270"/>
      <c r="J2285" s="270"/>
      <c r="K2285" s="270"/>
    </row>
    <row r="2286" spans="1:11" x14ac:dyDescent="0.35">
      <c r="A2286" s="271" t="s">
        <v>309</v>
      </c>
      <c r="B2286" s="272"/>
      <c r="C2286" s="272"/>
      <c r="D2286" s="272"/>
      <c r="E2286" s="272"/>
      <c r="G2286" s="271" t="s">
        <v>309</v>
      </c>
      <c r="H2286" s="272"/>
      <c r="I2286" s="272"/>
      <c r="J2286" s="272"/>
      <c r="K2286" s="272"/>
    </row>
    <row r="2287" spans="1:11" x14ac:dyDescent="0.35">
      <c r="A2287" s="269" t="s">
        <v>310</v>
      </c>
      <c r="B2287" s="270"/>
      <c r="C2287" s="270"/>
      <c r="D2287" s="270"/>
      <c r="E2287" s="270"/>
      <c r="G2287" s="269" t="s">
        <v>310</v>
      </c>
      <c r="H2287" s="270"/>
      <c r="I2287" s="270"/>
      <c r="J2287" s="270"/>
      <c r="K2287" s="270"/>
    </row>
    <row r="2288" spans="1:11" x14ac:dyDescent="0.35">
      <c r="A2288" s="271" t="s">
        <v>317</v>
      </c>
      <c r="B2288" s="272"/>
      <c r="C2288" s="272"/>
      <c r="D2288" s="272"/>
      <c r="E2288" s="272"/>
      <c r="G2288" s="271" t="s">
        <v>317</v>
      </c>
      <c r="H2288" s="272"/>
      <c r="I2288" s="272"/>
      <c r="J2288" s="272"/>
      <c r="K2288" s="272"/>
    </row>
    <row r="2289" spans="1:11" x14ac:dyDescent="0.35">
      <c r="A2289" s="269" t="s">
        <v>311</v>
      </c>
      <c r="B2289" s="270"/>
      <c r="C2289" s="270"/>
      <c r="D2289" s="270"/>
      <c r="E2289" s="270"/>
      <c r="G2289" s="269" t="s">
        <v>311</v>
      </c>
      <c r="H2289" s="270"/>
      <c r="I2289" s="270"/>
      <c r="J2289" s="270"/>
      <c r="K2289" s="270"/>
    </row>
    <row r="2290" spans="1:11" x14ac:dyDescent="0.35">
      <c r="A2290" s="271" t="s">
        <v>312</v>
      </c>
      <c r="B2290" s="272"/>
      <c r="C2290" s="272"/>
      <c r="D2290" s="272"/>
      <c r="E2290" s="272"/>
      <c r="G2290" s="271" t="s">
        <v>312</v>
      </c>
      <c r="H2290" s="272"/>
      <c r="I2290" s="272"/>
      <c r="J2290" s="272"/>
      <c r="K2290" s="272"/>
    </row>
    <row r="2291" spans="1:11" x14ac:dyDescent="0.35">
      <c r="A2291" s="231" t="s">
        <v>34</v>
      </c>
      <c r="B2291" s="230">
        <f>SUM(B2285:B2290)</f>
        <v>0</v>
      </c>
      <c r="C2291" s="230">
        <f>SUM(C2285:C2290)</f>
        <v>0</v>
      </c>
      <c r="D2291" s="230">
        <f>SUM(D2285:D2290)</f>
        <v>0</v>
      </c>
      <c r="E2291" s="230">
        <f>SUM(E2285:E2290)</f>
        <v>0</v>
      </c>
      <c r="G2291" s="231" t="s">
        <v>34</v>
      </c>
      <c r="H2291" s="230">
        <f>SUM(H2285:H2290)</f>
        <v>0</v>
      </c>
      <c r="I2291" s="230">
        <f>SUM(I2285:I2290)</f>
        <v>0</v>
      </c>
      <c r="J2291" s="230">
        <f>SUM(J2285:J2290)</f>
        <v>0</v>
      </c>
      <c r="K2291" s="230">
        <f>SUM(K2285:K2290)</f>
        <v>0</v>
      </c>
    </row>
    <row r="2292" spans="1:11" ht="15" thickBot="1" x14ac:dyDescent="0.4">
      <c r="A2292" s="231" t="s">
        <v>313</v>
      </c>
      <c r="B2292" s="230">
        <f>+B2291+C2291+D2291+E2291</f>
        <v>0</v>
      </c>
      <c r="C2292" s="230"/>
      <c r="D2292" s="230"/>
      <c r="E2292" s="230"/>
      <c r="G2292" s="231" t="s">
        <v>313</v>
      </c>
      <c r="H2292" s="230">
        <f>+H2291+I2291+J2291+K2291</f>
        <v>0</v>
      </c>
      <c r="I2292" s="230"/>
      <c r="J2292" s="230"/>
      <c r="K2292" s="230"/>
    </row>
    <row r="2293" spans="1:11" ht="15.5" thickTop="1" thickBot="1" x14ac:dyDescent="0.4">
      <c r="A2293" s="335" t="s">
        <v>298</v>
      </c>
      <c r="B2293" s="336"/>
      <c r="C2293" s="336"/>
      <c r="D2293" s="336"/>
      <c r="E2293" s="337"/>
      <c r="G2293" s="335" t="s">
        <v>298</v>
      </c>
      <c r="H2293" s="336"/>
      <c r="I2293" s="336"/>
      <c r="J2293" s="336"/>
      <c r="K2293" s="337"/>
    </row>
    <row r="2294" spans="1:11" ht="15.5" thickTop="1" thickBot="1" x14ac:dyDescent="0.4">
      <c r="A2294" s="338">
        <v>45499</v>
      </c>
      <c r="B2294" s="336"/>
      <c r="C2294" s="336"/>
      <c r="D2294" s="336"/>
      <c r="E2294" s="337"/>
      <c r="G2294" s="338">
        <v>45499</v>
      </c>
      <c r="H2294" s="336"/>
      <c r="I2294" s="336"/>
      <c r="J2294" s="336"/>
      <c r="K2294" s="337"/>
    </row>
    <row r="2295" spans="1:11" ht="15" thickTop="1" x14ac:dyDescent="0.35">
      <c r="A2295" s="267" t="s">
        <v>159</v>
      </c>
      <c r="B2295" s="267" t="s">
        <v>299</v>
      </c>
      <c r="C2295" s="267" t="s">
        <v>307</v>
      </c>
      <c r="D2295" s="267" t="s">
        <v>301</v>
      </c>
      <c r="E2295" s="268" t="s">
        <v>308</v>
      </c>
      <c r="G2295" s="267" t="s">
        <v>159</v>
      </c>
      <c r="H2295" s="267" t="s">
        <v>299</v>
      </c>
      <c r="I2295" s="267" t="s">
        <v>307</v>
      </c>
      <c r="J2295" s="267" t="s">
        <v>301</v>
      </c>
      <c r="K2295" s="268" t="s">
        <v>308</v>
      </c>
    </row>
    <row r="2296" spans="1:11" x14ac:dyDescent="0.35">
      <c r="A2296" s="269" t="s">
        <v>316</v>
      </c>
      <c r="B2296" s="270"/>
      <c r="C2296" s="270"/>
      <c r="D2296" s="270"/>
      <c r="E2296" s="270"/>
      <c r="G2296" s="269" t="s">
        <v>316</v>
      </c>
      <c r="H2296" s="270"/>
      <c r="I2296" s="270"/>
      <c r="J2296" s="270"/>
      <c r="K2296" s="270"/>
    </row>
    <row r="2297" spans="1:11" x14ac:dyDescent="0.35">
      <c r="A2297" s="271" t="s">
        <v>309</v>
      </c>
      <c r="B2297" s="272"/>
      <c r="C2297" s="272"/>
      <c r="D2297" s="272"/>
      <c r="E2297" s="272"/>
      <c r="G2297" s="271" t="s">
        <v>309</v>
      </c>
      <c r="H2297" s="272"/>
      <c r="I2297" s="272"/>
      <c r="J2297" s="272"/>
      <c r="K2297" s="272"/>
    </row>
    <row r="2298" spans="1:11" x14ac:dyDescent="0.35">
      <c r="A2298" s="269" t="s">
        <v>310</v>
      </c>
      <c r="B2298" s="270"/>
      <c r="C2298" s="270"/>
      <c r="D2298" s="270"/>
      <c r="E2298" s="270"/>
      <c r="G2298" s="269" t="s">
        <v>310</v>
      </c>
      <c r="H2298" s="270"/>
      <c r="I2298" s="270"/>
      <c r="J2298" s="270"/>
      <c r="K2298" s="270"/>
    </row>
    <row r="2299" spans="1:11" x14ac:dyDescent="0.35">
      <c r="A2299" s="271" t="s">
        <v>317</v>
      </c>
      <c r="B2299" s="272"/>
      <c r="C2299" s="272"/>
      <c r="D2299" s="272"/>
      <c r="E2299" s="272"/>
      <c r="G2299" s="271" t="s">
        <v>317</v>
      </c>
      <c r="H2299" s="272"/>
      <c r="I2299" s="272"/>
      <c r="J2299" s="272"/>
      <c r="K2299" s="272"/>
    </row>
    <row r="2300" spans="1:11" x14ac:dyDescent="0.35">
      <c r="A2300" s="269" t="s">
        <v>311</v>
      </c>
      <c r="B2300" s="270"/>
      <c r="C2300" s="270"/>
      <c r="D2300" s="270"/>
      <c r="E2300" s="270"/>
      <c r="G2300" s="269" t="s">
        <v>311</v>
      </c>
      <c r="H2300" s="270"/>
      <c r="I2300" s="270"/>
      <c r="J2300" s="270"/>
      <c r="K2300" s="270"/>
    </row>
    <row r="2301" spans="1:11" x14ac:dyDescent="0.35">
      <c r="A2301" s="271" t="s">
        <v>312</v>
      </c>
      <c r="B2301" s="272">
        <v>2300</v>
      </c>
      <c r="C2301" s="272"/>
      <c r="D2301" s="272"/>
      <c r="E2301" s="272"/>
      <c r="G2301" s="271" t="s">
        <v>312</v>
      </c>
      <c r="H2301" s="272"/>
      <c r="I2301" s="272"/>
      <c r="J2301" s="272"/>
      <c r="K2301" s="272"/>
    </row>
    <row r="2302" spans="1:11" x14ac:dyDescent="0.35">
      <c r="A2302" s="231" t="s">
        <v>34</v>
      </c>
      <c r="B2302" s="230">
        <f>SUM(B2296:B2301)</f>
        <v>2300</v>
      </c>
      <c r="C2302" s="230">
        <f>SUM(C2296:C2301)</f>
        <v>0</v>
      </c>
      <c r="D2302" s="230">
        <f>SUM(D2296:D2301)</f>
        <v>0</v>
      </c>
      <c r="E2302" s="230">
        <f>SUM(E2296:E2301)</f>
        <v>0</v>
      </c>
      <c r="G2302" s="231" t="s">
        <v>34</v>
      </c>
      <c r="H2302" s="230">
        <f>SUM(H2296:H2301)</f>
        <v>0</v>
      </c>
      <c r="I2302" s="230">
        <f>SUM(I2296:I2301)</f>
        <v>0</v>
      </c>
      <c r="J2302" s="230">
        <f>SUM(J2296:J2301)</f>
        <v>0</v>
      </c>
      <c r="K2302" s="230">
        <f>SUM(K2296:K2301)</f>
        <v>0</v>
      </c>
    </row>
    <row r="2303" spans="1:11" ht="15" thickBot="1" x14ac:dyDescent="0.4">
      <c r="A2303" s="231" t="s">
        <v>313</v>
      </c>
      <c r="B2303" s="230">
        <f>+B2302+C2302+D2302+E2302</f>
        <v>2300</v>
      </c>
      <c r="C2303" s="230"/>
      <c r="D2303" s="230"/>
      <c r="E2303" s="230"/>
      <c r="G2303" s="231" t="s">
        <v>313</v>
      </c>
      <c r="H2303" s="230">
        <f>+H2302+I2302+J2302+K2302</f>
        <v>0</v>
      </c>
      <c r="I2303" s="230"/>
      <c r="J2303" s="230"/>
      <c r="K2303" s="230"/>
    </row>
    <row r="2304" spans="1:11" ht="15.5" thickTop="1" thickBot="1" x14ac:dyDescent="0.4">
      <c r="A2304" s="335" t="s">
        <v>298</v>
      </c>
      <c r="B2304" s="336"/>
      <c r="C2304" s="336"/>
      <c r="D2304" s="336"/>
      <c r="E2304" s="337"/>
      <c r="G2304" s="335" t="s">
        <v>298</v>
      </c>
      <c r="H2304" s="336"/>
      <c r="I2304" s="336"/>
      <c r="J2304" s="336"/>
      <c r="K2304" s="337"/>
    </row>
    <row r="2305" spans="1:11" ht="15.5" thickTop="1" thickBot="1" x14ac:dyDescent="0.4">
      <c r="A2305" s="338">
        <v>45500</v>
      </c>
      <c r="B2305" s="336"/>
      <c r="C2305" s="336"/>
      <c r="D2305" s="336"/>
      <c r="E2305" s="337"/>
      <c r="G2305" s="338">
        <v>45500</v>
      </c>
      <c r="H2305" s="336"/>
      <c r="I2305" s="336"/>
      <c r="J2305" s="336"/>
      <c r="K2305" s="337"/>
    </row>
    <row r="2306" spans="1:11" ht="15" thickTop="1" x14ac:dyDescent="0.35">
      <c r="A2306" s="267" t="s">
        <v>159</v>
      </c>
      <c r="B2306" s="267" t="s">
        <v>299</v>
      </c>
      <c r="C2306" s="267" t="s">
        <v>307</v>
      </c>
      <c r="D2306" s="267" t="s">
        <v>301</v>
      </c>
      <c r="E2306" s="268" t="s">
        <v>308</v>
      </c>
      <c r="G2306" s="267" t="s">
        <v>159</v>
      </c>
      <c r="H2306" s="267" t="s">
        <v>299</v>
      </c>
      <c r="I2306" s="267" t="s">
        <v>307</v>
      </c>
      <c r="J2306" s="267" t="s">
        <v>301</v>
      </c>
      <c r="K2306" s="268" t="s">
        <v>308</v>
      </c>
    </row>
    <row r="2307" spans="1:11" x14ac:dyDescent="0.35">
      <c r="A2307" s="269" t="s">
        <v>496</v>
      </c>
      <c r="B2307" s="270">
        <v>2500</v>
      </c>
      <c r="C2307" s="270"/>
      <c r="D2307" s="270"/>
      <c r="E2307" s="270"/>
      <c r="G2307" s="269" t="s">
        <v>496</v>
      </c>
      <c r="H2307" s="270">
        <v>1400</v>
      </c>
      <c r="I2307" s="270"/>
      <c r="J2307" s="270"/>
      <c r="K2307" s="270"/>
    </row>
    <row r="2308" spans="1:11" x14ac:dyDescent="0.35">
      <c r="A2308" s="271" t="s">
        <v>496</v>
      </c>
      <c r="B2308" s="272">
        <v>1700</v>
      </c>
      <c r="C2308" s="272"/>
      <c r="D2308" s="272"/>
      <c r="E2308" s="272"/>
      <c r="G2308" s="271" t="s">
        <v>309</v>
      </c>
      <c r="H2308" s="272"/>
      <c r="I2308" s="272"/>
      <c r="J2308" s="272"/>
      <c r="K2308" s="272"/>
    </row>
    <row r="2309" spans="1:11" x14ac:dyDescent="0.35">
      <c r="A2309" s="269" t="s">
        <v>366</v>
      </c>
      <c r="B2309" s="270">
        <v>180</v>
      </c>
      <c r="C2309" s="270"/>
      <c r="D2309" s="270"/>
      <c r="E2309" s="270"/>
      <c r="G2309" s="269" t="s">
        <v>310</v>
      </c>
      <c r="H2309" s="270"/>
      <c r="I2309" s="270"/>
      <c r="J2309" s="270"/>
      <c r="K2309" s="270"/>
    </row>
    <row r="2310" spans="1:11" x14ac:dyDescent="0.35">
      <c r="A2310" s="271" t="s">
        <v>317</v>
      </c>
      <c r="B2310" s="272"/>
      <c r="C2310" s="272"/>
      <c r="D2310" s="272"/>
      <c r="E2310" s="272"/>
      <c r="G2310" s="271" t="s">
        <v>317</v>
      </c>
      <c r="H2310" s="272"/>
      <c r="I2310" s="272"/>
      <c r="J2310" s="272"/>
      <c r="K2310" s="272"/>
    </row>
    <row r="2311" spans="1:11" x14ac:dyDescent="0.35">
      <c r="A2311" s="269" t="s">
        <v>311</v>
      </c>
      <c r="B2311" s="270"/>
      <c r="C2311" s="270"/>
      <c r="D2311" s="270"/>
      <c r="E2311" s="270"/>
      <c r="G2311" s="269" t="s">
        <v>311</v>
      </c>
      <c r="H2311" s="270"/>
      <c r="I2311" s="270"/>
      <c r="J2311" s="270"/>
      <c r="K2311" s="270"/>
    </row>
    <row r="2312" spans="1:11" x14ac:dyDescent="0.35">
      <c r="A2312" s="271" t="s">
        <v>312</v>
      </c>
      <c r="B2312" s="272">
        <v>2610</v>
      </c>
      <c r="C2312" s="272"/>
      <c r="D2312" s="272"/>
      <c r="E2312" s="272"/>
      <c r="G2312" s="271" t="s">
        <v>312</v>
      </c>
      <c r="H2312" s="272"/>
      <c r="I2312" s="272"/>
      <c r="J2312" s="272"/>
      <c r="K2312" s="272"/>
    </row>
    <row r="2313" spans="1:11" x14ac:dyDescent="0.35">
      <c r="A2313" s="231" t="s">
        <v>34</v>
      </c>
      <c r="B2313" s="230">
        <f>SUM(B2307:B2312)</f>
        <v>6990</v>
      </c>
      <c r="C2313" s="230">
        <f>SUM(C2307:C2312)</f>
        <v>0</v>
      </c>
      <c r="D2313" s="230">
        <f>SUM(D2307:D2312)</f>
        <v>0</v>
      </c>
      <c r="E2313" s="230">
        <f>SUM(E2307:E2312)</f>
        <v>0</v>
      </c>
      <c r="G2313" s="231" t="s">
        <v>34</v>
      </c>
      <c r="H2313" s="230">
        <f>SUM(H2307:H2312)</f>
        <v>1400</v>
      </c>
      <c r="I2313" s="230">
        <f>SUM(I2307:I2312)</f>
        <v>0</v>
      </c>
      <c r="J2313" s="230">
        <f>SUM(J2307:J2312)</f>
        <v>0</v>
      </c>
      <c r="K2313" s="230">
        <f>SUM(K2307:K2312)</f>
        <v>0</v>
      </c>
    </row>
    <row r="2314" spans="1:11" ht="15" thickBot="1" x14ac:dyDescent="0.4">
      <c r="A2314" s="231" t="s">
        <v>313</v>
      </c>
      <c r="B2314" s="230">
        <f>+B2313+C2313+D2313+E2313</f>
        <v>6990</v>
      </c>
      <c r="C2314" s="230"/>
      <c r="D2314" s="230"/>
      <c r="E2314" s="230"/>
      <c r="G2314" s="231" t="s">
        <v>313</v>
      </c>
      <c r="H2314" s="230">
        <f>+H2313+I2313+J2313+K2313</f>
        <v>1400</v>
      </c>
      <c r="I2314" s="230"/>
      <c r="J2314" s="230"/>
      <c r="K2314" s="230"/>
    </row>
    <row r="2315" spans="1:11" ht="15.5" thickTop="1" thickBot="1" x14ac:dyDescent="0.4">
      <c r="A2315" s="335" t="s">
        <v>298</v>
      </c>
      <c r="B2315" s="336"/>
      <c r="C2315" s="336"/>
      <c r="D2315" s="336"/>
      <c r="E2315" s="337"/>
      <c r="G2315" s="335" t="s">
        <v>298</v>
      </c>
      <c r="H2315" s="336"/>
      <c r="I2315" s="336"/>
      <c r="J2315" s="336"/>
      <c r="K2315" s="337"/>
    </row>
    <row r="2316" spans="1:11" ht="15.5" thickTop="1" thickBot="1" x14ac:dyDescent="0.4">
      <c r="A2316" s="338">
        <v>45501</v>
      </c>
      <c r="B2316" s="336"/>
      <c r="C2316" s="336"/>
      <c r="D2316" s="336"/>
      <c r="E2316" s="337"/>
      <c r="G2316" s="338">
        <v>45501</v>
      </c>
      <c r="H2316" s="336"/>
      <c r="I2316" s="336"/>
      <c r="J2316" s="336"/>
      <c r="K2316" s="337"/>
    </row>
    <row r="2317" spans="1:11" ht="15" thickTop="1" x14ac:dyDescent="0.35">
      <c r="A2317" s="267" t="s">
        <v>159</v>
      </c>
      <c r="B2317" s="267" t="s">
        <v>299</v>
      </c>
      <c r="C2317" s="267" t="s">
        <v>307</v>
      </c>
      <c r="D2317" s="267" t="s">
        <v>301</v>
      </c>
      <c r="E2317" s="268" t="s">
        <v>308</v>
      </c>
      <c r="G2317" s="267" t="s">
        <v>159</v>
      </c>
      <c r="H2317" s="267" t="s">
        <v>299</v>
      </c>
      <c r="I2317" s="267" t="s">
        <v>307</v>
      </c>
      <c r="J2317" s="267" t="s">
        <v>301</v>
      </c>
      <c r="K2317" s="268" t="s">
        <v>308</v>
      </c>
    </row>
    <row r="2318" spans="1:11" x14ac:dyDescent="0.35">
      <c r="A2318" s="269" t="s">
        <v>316</v>
      </c>
      <c r="B2318" s="270">
        <v>230</v>
      </c>
      <c r="C2318" s="270"/>
      <c r="D2318" s="270"/>
      <c r="E2318" s="270"/>
      <c r="G2318" s="269" t="s">
        <v>316</v>
      </c>
      <c r="H2318" s="270">
        <v>220</v>
      </c>
      <c r="I2318" s="270"/>
      <c r="J2318" s="270"/>
      <c r="K2318" s="270"/>
    </row>
    <row r="2319" spans="1:11" x14ac:dyDescent="0.35">
      <c r="A2319" s="271" t="s">
        <v>309</v>
      </c>
      <c r="B2319" s="272"/>
      <c r="C2319" s="272"/>
      <c r="D2319" s="272"/>
      <c r="E2319" s="272"/>
      <c r="G2319" s="271" t="s">
        <v>309</v>
      </c>
      <c r="H2319" s="272"/>
      <c r="I2319" s="272"/>
      <c r="J2319" s="272"/>
      <c r="K2319" s="272"/>
    </row>
    <row r="2320" spans="1:11" x14ac:dyDescent="0.35">
      <c r="A2320" s="269" t="s">
        <v>310</v>
      </c>
      <c r="B2320" s="270"/>
      <c r="C2320" s="270"/>
      <c r="D2320" s="270"/>
      <c r="E2320" s="270"/>
      <c r="G2320" s="269" t="s">
        <v>310</v>
      </c>
      <c r="H2320" s="270"/>
      <c r="I2320" s="270"/>
      <c r="J2320" s="270"/>
      <c r="K2320" s="270"/>
    </row>
    <row r="2321" spans="1:11" x14ac:dyDescent="0.35">
      <c r="A2321" s="271" t="s">
        <v>317</v>
      </c>
      <c r="B2321" s="272"/>
      <c r="C2321" s="272"/>
      <c r="D2321" s="272"/>
      <c r="E2321" s="272"/>
      <c r="G2321" s="271" t="s">
        <v>317</v>
      </c>
      <c r="H2321" s="272"/>
      <c r="I2321" s="272"/>
      <c r="J2321" s="272"/>
      <c r="K2321" s="272"/>
    </row>
    <row r="2322" spans="1:11" x14ac:dyDescent="0.35">
      <c r="A2322" s="269" t="s">
        <v>311</v>
      </c>
      <c r="B2322" s="270"/>
      <c r="C2322" s="270"/>
      <c r="D2322" s="270"/>
      <c r="E2322" s="270"/>
      <c r="G2322" s="269" t="s">
        <v>311</v>
      </c>
      <c r="H2322" s="270"/>
      <c r="I2322" s="270"/>
      <c r="J2322" s="270"/>
      <c r="K2322" s="270"/>
    </row>
    <row r="2323" spans="1:11" x14ac:dyDescent="0.35">
      <c r="A2323" s="271" t="s">
        <v>312</v>
      </c>
      <c r="B2323" s="272"/>
      <c r="C2323" s="272"/>
      <c r="D2323" s="272"/>
      <c r="E2323" s="272"/>
      <c r="G2323" s="271" t="s">
        <v>312</v>
      </c>
      <c r="H2323" s="272"/>
      <c r="I2323" s="272"/>
      <c r="J2323" s="272"/>
      <c r="K2323" s="272"/>
    </row>
    <row r="2324" spans="1:11" x14ac:dyDescent="0.35">
      <c r="A2324" s="231" t="s">
        <v>34</v>
      </c>
      <c r="B2324" s="230">
        <f>SUM(B2318:B2323)</f>
        <v>230</v>
      </c>
      <c r="C2324" s="230">
        <f>SUM(C2318:C2323)</f>
        <v>0</v>
      </c>
      <c r="D2324" s="230">
        <f>SUM(D2318:D2323)</f>
        <v>0</v>
      </c>
      <c r="E2324" s="230">
        <f>SUM(E2318:E2323)</f>
        <v>0</v>
      </c>
      <c r="G2324" s="231" t="s">
        <v>34</v>
      </c>
      <c r="H2324" s="230">
        <f>SUM(H2318:H2323)</f>
        <v>220</v>
      </c>
      <c r="I2324" s="230">
        <f>SUM(I2318:I2323)</f>
        <v>0</v>
      </c>
      <c r="J2324" s="230">
        <f>SUM(J2318:J2323)</f>
        <v>0</v>
      </c>
      <c r="K2324" s="230">
        <f>SUM(K2318:K2323)</f>
        <v>0</v>
      </c>
    </row>
    <row r="2325" spans="1:11" ht="15" thickBot="1" x14ac:dyDescent="0.4">
      <c r="A2325" s="231" t="s">
        <v>313</v>
      </c>
      <c r="B2325" s="230">
        <f>+B2324+C2324+D2324+E2324</f>
        <v>230</v>
      </c>
      <c r="C2325" s="230"/>
      <c r="D2325" s="230"/>
      <c r="E2325" s="230"/>
      <c r="G2325" s="231" t="s">
        <v>313</v>
      </c>
      <c r="H2325" s="230">
        <f>+H2324+I2324+J2324+K2324</f>
        <v>220</v>
      </c>
      <c r="I2325" s="230"/>
      <c r="J2325" s="230"/>
      <c r="K2325" s="230"/>
    </row>
    <row r="2326" spans="1:11" ht="15.5" thickTop="1" thickBot="1" x14ac:dyDescent="0.4">
      <c r="A2326" s="335" t="s">
        <v>298</v>
      </c>
      <c r="B2326" s="336"/>
      <c r="C2326" s="336"/>
      <c r="D2326" s="336"/>
      <c r="E2326" s="337"/>
      <c r="G2326" s="335" t="s">
        <v>298</v>
      </c>
      <c r="H2326" s="336"/>
      <c r="I2326" s="336"/>
      <c r="J2326" s="336"/>
      <c r="K2326" s="337"/>
    </row>
    <row r="2327" spans="1:11" ht="15.5" thickTop="1" thickBot="1" x14ac:dyDescent="0.4">
      <c r="A2327" s="338">
        <v>45502</v>
      </c>
      <c r="B2327" s="336"/>
      <c r="C2327" s="336"/>
      <c r="D2327" s="336"/>
      <c r="E2327" s="337"/>
      <c r="G2327" s="338">
        <v>45502</v>
      </c>
      <c r="H2327" s="336"/>
      <c r="I2327" s="336"/>
      <c r="J2327" s="336"/>
      <c r="K2327" s="337"/>
    </row>
    <row r="2328" spans="1:11" ht="15" thickTop="1" x14ac:dyDescent="0.35">
      <c r="A2328" s="267" t="s">
        <v>159</v>
      </c>
      <c r="B2328" s="267" t="s">
        <v>299</v>
      </c>
      <c r="C2328" s="267" t="s">
        <v>307</v>
      </c>
      <c r="D2328" s="267" t="s">
        <v>301</v>
      </c>
      <c r="E2328" s="268" t="s">
        <v>308</v>
      </c>
      <c r="G2328" s="267" t="s">
        <v>159</v>
      </c>
      <c r="H2328" s="267" t="s">
        <v>299</v>
      </c>
      <c r="I2328" s="267" t="s">
        <v>307</v>
      </c>
      <c r="J2328" s="267" t="s">
        <v>301</v>
      </c>
      <c r="K2328" s="268" t="s">
        <v>308</v>
      </c>
    </row>
    <row r="2329" spans="1:11" x14ac:dyDescent="0.35">
      <c r="A2329" s="269" t="s">
        <v>316</v>
      </c>
      <c r="B2329" s="270"/>
      <c r="C2329" s="270"/>
      <c r="D2329" s="270"/>
      <c r="E2329" s="270"/>
      <c r="G2329" s="269" t="s">
        <v>316</v>
      </c>
      <c r="H2329" s="270"/>
      <c r="I2329" s="270"/>
      <c r="J2329" s="270"/>
      <c r="K2329" s="270"/>
    </row>
    <row r="2330" spans="1:11" x14ac:dyDescent="0.35">
      <c r="A2330" s="271" t="s">
        <v>309</v>
      </c>
      <c r="B2330" s="272"/>
      <c r="C2330" s="272"/>
      <c r="D2330" s="272"/>
      <c r="E2330" s="272"/>
      <c r="G2330" s="271" t="s">
        <v>309</v>
      </c>
      <c r="H2330" s="272"/>
      <c r="I2330" s="272"/>
      <c r="J2330" s="272"/>
      <c r="K2330" s="272"/>
    </row>
    <row r="2331" spans="1:11" x14ac:dyDescent="0.35">
      <c r="A2331" s="269" t="s">
        <v>310</v>
      </c>
      <c r="B2331" s="270"/>
      <c r="C2331" s="270"/>
      <c r="D2331" s="270"/>
      <c r="E2331" s="270"/>
      <c r="G2331" s="269" t="s">
        <v>310</v>
      </c>
      <c r="H2331" s="270"/>
      <c r="I2331" s="270"/>
      <c r="J2331" s="270"/>
      <c r="K2331" s="270"/>
    </row>
    <row r="2332" spans="1:11" x14ac:dyDescent="0.35">
      <c r="A2332" s="271" t="s">
        <v>317</v>
      </c>
      <c r="B2332" s="272"/>
      <c r="C2332" s="272"/>
      <c r="D2332" s="272"/>
      <c r="E2332" s="272"/>
      <c r="G2332" s="271" t="s">
        <v>317</v>
      </c>
      <c r="H2332" s="272"/>
      <c r="I2332" s="272"/>
      <c r="J2332" s="272"/>
      <c r="K2332" s="272"/>
    </row>
    <row r="2333" spans="1:11" x14ac:dyDescent="0.35">
      <c r="A2333" s="269" t="s">
        <v>311</v>
      </c>
      <c r="B2333" s="270"/>
      <c r="C2333" s="270"/>
      <c r="D2333" s="270"/>
      <c r="E2333" s="270"/>
      <c r="G2333" s="269" t="s">
        <v>311</v>
      </c>
      <c r="H2333" s="270"/>
      <c r="I2333" s="270"/>
      <c r="J2333" s="270"/>
      <c r="K2333" s="270"/>
    </row>
    <row r="2334" spans="1:11" x14ac:dyDescent="0.35">
      <c r="A2334" s="271" t="s">
        <v>312</v>
      </c>
      <c r="B2334" s="272"/>
      <c r="C2334" s="272"/>
      <c r="D2334" s="272"/>
      <c r="E2334" s="272"/>
      <c r="G2334" s="271" t="s">
        <v>312</v>
      </c>
      <c r="H2334" s="272"/>
      <c r="I2334" s="272"/>
      <c r="J2334" s="272"/>
      <c r="K2334" s="272"/>
    </row>
    <row r="2335" spans="1:11" x14ac:dyDescent="0.35">
      <c r="A2335" s="231" t="s">
        <v>34</v>
      </c>
      <c r="B2335" s="230">
        <f>SUM(B2329:B2334)</f>
        <v>0</v>
      </c>
      <c r="C2335" s="230">
        <f>SUM(C2329:C2334)</f>
        <v>0</v>
      </c>
      <c r="D2335" s="230">
        <f>SUM(D2329:D2334)</f>
        <v>0</v>
      </c>
      <c r="E2335" s="230">
        <f>SUM(E2329:E2334)</f>
        <v>0</v>
      </c>
      <c r="G2335" s="231" t="s">
        <v>34</v>
      </c>
      <c r="H2335" s="230">
        <f>SUM(H2329:H2334)</f>
        <v>0</v>
      </c>
      <c r="I2335" s="230">
        <f>SUM(I2329:I2334)</f>
        <v>0</v>
      </c>
      <c r="J2335" s="230">
        <f>SUM(J2329:J2334)</f>
        <v>0</v>
      </c>
      <c r="K2335" s="230">
        <f>SUM(K2329:K2334)</f>
        <v>0</v>
      </c>
    </row>
    <row r="2336" spans="1:11" ht="15" thickBot="1" x14ac:dyDescent="0.4">
      <c r="A2336" s="231" t="s">
        <v>313</v>
      </c>
      <c r="B2336" s="230">
        <f>+B2335+C2335+D2335+E2335</f>
        <v>0</v>
      </c>
      <c r="C2336" s="230"/>
      <c r="D2336" s="230"/>
      <c r="E2336" s="230"/>
      <c r="G2336" s="231" t="s">
        <v>313</v>
      </c>
      <c r="H2336" s="230">
        <f>+H2335+I2335+J2335+K2335</f>
        <v>0</v>
      </c>
      <c r="I2336" s="230"/>
      <c r="J2336" s="230"/>
      <c r="K2336" s="230"/>
    </row>
    <row r="2337" spans="1:11" ht="15.5" thickTop="1" thickBot="1" x14ac:dyDescent="0.4">
      <c r="A2337" s="335" t="s">
        <v>298</v>
      </c>
      <c r="B2337" s="336"/>
      <c r="C2337" s="336"/>
      <c r="D2337" s="336"/>
      <c r="E2337" s="337"/>
      <c r="G2337" s="335" t="s">
        <v>298</v>
      </c>
      <c r="H2337" s="336"/>
      <c r="I2337" s="336"/>
      <c r="J2337" s="336"/>
      <c r="K2337" s="337"/>
    </row>
    <row r="2338" spans="1:11" ht="15.5" thickTop="1" thickBot="1" x14ac:dyDescent="0.4">
      <c r="A2338" s="338">
        <v>45503</v>
      </c>
      <c r="B2338" s="336"/>
      <c r="C2338" s="336"/>
      <c r="D2338" s="336"/>
      <c r="E2338" s="337"/>
      <c r="G2338" s="338">
        <v>45503</v>
      </c>
      <c r="H2338" s="336"/>
      <c r="I2338" s="336"/>
      <c r="J2338" s="336"/>
      <c r="K2338" s="337"/>
    </row>
    <row r="2339" spans="1:11" ht="15" thickTop="1" x14ac:dyDescent="0.35">
      <c r="A2339" s="267" t="s">
        <v>159</v>
      </c>
      <c r="B2339" s="267" t="s">
        <v>299</v>
      </c>
      <c r="C2339" s="267" t="s">
        <v>307</v>
      </c>
      <c r="D2339" s="267" t="s">
        <v>301</v>
      </c>
      <c r="E2339" s="268" t="s">
        <v>308</v>
      </c>
      <c r="G2339" s="267" t="s">
        <v>159</v>
      </c>
      <c r="H2339" s="267" t="s">
        <v>299</v>
      </c>
      <c r="I2339" s="267" t="s">
        <v>307</v>
      </c>
      <c r="J2339" s="267" t="s">
        <v>301</v>
      </c>
      <c r="K2339" s="268" t="s">
        <v>308</v>
      </c>
    </row>
    <row r="2340" spans="1:11" x14ac:dyDescent="0.35">
      <c r="A2340" s="269" t="s">
        <v>316</v>
      </c>
      <c r="B2340" s="270"/>
      <c r="C2340" s="270"/>
      <c r="D2340" s="270"/>
      <c r="E2340" s="270"/>
      <c r="G2340" s="269" t="s">
        <v>316</v>
      </c>
      <c r="H2340" s="270"/>
      <c r="I2340" s="270"/>
      <c r="J2340" s="270"/>
      <c r="K2340" s="270"/>
    </row>
    <row r="2341" spans="1:11" x14ac:dyDescent="0.35">
      <c r="A2341" s="271" t="s">
        <v>309</v>
      </c>
      <c r="B2341" s="272"/>
      <c r="C2341" s="272"/>
      <c r="D2341" s="272"/>
      <c r="E2341" s="272"/>
      <c r="G2341" s="271" t="s">
        <v>309</v>
      </c>
      <c r="H2341" s="272"/>
      <c r="I2341" s="272"/>
      <c r="J2341" s="272"/>
      <c r="K2341" s="272"/>
    </row>
    <row r="2342" spans="1:11" x14ac:dyDescent="0.35">
      <c r="A2342" s="269" t="s">
        <v>310</v>
      </c>
      <c r="B2342" s="270"/>
      <c r="C2342" s="270"/>
      <c r="D2342" s="270"/>
      <c r="E2342" s="270"/>
      <c r="G2342" s="269" t="s">
        <v>310</v>
      </c>
      <c r="H2342" s="270"/>
      <c r="I2342" s="270"/>
      <c r="J2342" s="270"/>
      <c r="K2342" s="270"/>
    </row>
    <row r="2343" spans="1:11" x14ac:dyDescent="0.35">
      <c r="A2343" s="271" t="s">
        <v>317</v>
      </c>
      <c r="B2343" s="272"/>
      <c r="C2343" s="272"/>
      <c r="D2343" s="272"/>
      <c r="E2343" s="272"/>
      <c r="G2343" s="271" t="s">
        <v>317</v>
      </c>
      <c r="H2343" s="272"/>
      <c r="I2343" s="272"/>
      <c r="J2343" s="272"/>
      <c r="K2343" s="272"/>
    </row>
    <row r="2344" spans="1:11" x14ac:dyDescent="0.35">
      <c r="A2344" s="269" t="s">
        <v>311</v>
      </c>
      <c r="B2344" s="270"/>
      <c r="C2344" s="270"/>
      <c r="D2344" s="270"/>
      <c r="E2344" s="270"/>
      <c r="G2344" s="269" t="s">
        <v>311</v>
      </c>
      <c r="H2344" s="270"/>
      <c r="I2344" s="270"/>
      <c r="J2344" s="270"/>
      <c r="K2344" s="270"/>
    </row>
    <row r="2345" spans="1:11" x14ac:dyDescent="0.35">
      <c r="A2345" s="271" t="s">
        <v>312</v>
      </c>
      <c r="B2345" s="272"/>
      <c r="C2345" s="272"/>
      <c r="D2345" s="272"/>
      <c r="E2345" s="272"/>
      <c r="G2345" s="271" t="s">
        <v>312</v>
      </c>
      <c r="H2345" s="272"/>
      <c r="I2345" s="272"/>
      <c r="J2345" s="272"/>
      <c r="K2345" s="272"/>
    </row>
    <row r="2346" spans="1:11" x14ac:dyDescent="0.35">
      <c r="A2346" s="231" t="s">
        <v>34</v>
      </c>
      <c r="B2346" s="230">
        <f>SUM(B2340:B2345)</f>
        <v>0</v>
      </c>
      <c r="C2346" s="230">
        <f>SUM(C2340:C2345)</f>
        <v>0</v>
      </c>
      <c r="D2346" s="230">
        <f>SUM(D2340:D2345)</f>
        <v>0</v>
      </c>
      <c r="E2346" s="230">
        <f>SUM(E2340:E2345)</f>
        <v>0</v>
      </c>
      <c r="G2346" s="231" t="s">
        <v>34</v>
      </c>
      <c r="H2346" s="230">
        <f>SUM(H2340:H2345)</f>
        <v>0</v>
      </c>
      <c r="I2346" s="230">
        <f>SUM(I2340:I2345)</f>
        <v>0</v>
      </c>
      <c r="J2346" s="230">
        <f>SUM(J2340:J2345)</f>
        <v>0</v>
      </c>
      <c r="K2346" s="230">
        <f>SUM(K2340:K2345)</f>
        <v>0</v>
      </c>
    </row>
    <row r="2347" spans="1:11" ht="15" thickBot="1" x14ac:dyDescent="0.4">
      <c r="A2347" s="231" t="s">
        <v>313</v>
      </c>
      <c r="B2347" s="230">
        <f>+B2346+C2346+D2346+E2346</f>
        <v>0</v>
      </c>
      <c r="C2347" s="230"/>
      <c r="D2347" s="230"/>
      <c r="E2347" s="230"/>
      <c r="G2347" s="231" t="s">
        <v>313</v>
      </c>
      <c r="H2347" s="230">
        <f>+H2346+I2346+J2346+K2346</f>
        <v>0</v>
      </c>
      <c r="I2347" s="230"/>
      <c r="J2347" s="230"/>
      <c r="K2347" s="230"/>
    </row>
    <row r="2348" spans="1:11" ht="15.5" thickTop="1" thickBot="1" x14ac:dyDescent="0.4">
      <c r="A2348" s="335" t="s">
        <v>298</v>
      </c>
      <c r="B2348" s="336"/>
      <c r="C2348" s="336"/>
      <c r="D2348" s="336"/>
      <c r="E2348" s="337"/>
      <c r="G2348" s="335" t="s">
        <v>298</v>
      </c>
      <c r="H2348" s="336"/>
      <c r="I2348" s="336"/>
      <c r="J2348" s="336"/>
      <c r="K2348" s="337"/>
    </row>
    <row r="2349" spans="1:11" ht="15.5" thickTop="1" thickBot="1" x14ac:dyDescent="0.4">
      <c r="A2349" s="338">
        <v>45504</v>
      </c>
      <c r="B2349" s="336"/>
      <c r="C2349" s="336"/>
      <c r="D2349" s="336"/>
      <c r="E2349" s="337"/>
      <c r="G2349" s="338">
        <v>45504</v>
      </c>
      <c r="H2349" s="336"/>
      <c r="I2349" s="336"/>
      <c r="J2349" s="336"/>
      <c r="K2349" s="337"/>
    </row>
    <row r="2350" spans="1:11" ht="15" thickTop="1" x14ac:dyDescent="0.35">
      <c r="A2350" s="267" t="s">
        <v>159</v>
      </c>
      <c r="B2350" s="267" t="s">
        <v>299</v>
      </c>
      <c r="C2350" s="267" t="s">
        <v>307</v>
      </c>
      <c r="D2350" s="267" t="s">
        <v>301</v>
      </c>
      <c r="E2350" s="268" t="s">
        <v>308</v>
      </c>
      <c r="G2350" s="267" t="s">
        <v>159</v>
      </c>
      <c r="H2350" s="267" t="s">
        <v>299</v>
      </c>
      <c r="I2350" s="267" t="s">
        <v>307</v>
      </c>
      <c r="J2350" s="267" t="s">
        <v>301</v>
      </c>
      <c r="K2350" s="268" t="s">
        <v>308</v>
      </c>
    </row>
    <row r="2351" spans="1:11" x14ac:dyDescent="0.35">
      <c r="A2351" s="269" t="s">
        <v>316</v>
      </c>
      <c r="B2351" s="270"/>
      <c r="C2351" s="270"/>
      <c r="D2351" s="270"/>
      <c r="E2351" s="270"/>
      <c r="G2351" s="269" t="s">
        <v>316</v>
      </c>
      <c r="H2351" s="270"/>
      <c r="I2351" s="270"/>
      <c r="J2351" s="270"/>
      <c r="K2351" s="270"/>
    </row>
    <row r="2352" spans="1:11" x14ac:dyDescent="0.35">
      <c r="A2352" s="271" t="s">
        <v>309</v>
      </c>
      <c r="B2352" s="272"/>
      <c r="C2352" s="272"/>
      <c r="D2352" s="272"/>
      <c r="E2352" s="272"/>
      <c r="G2352" s="271" t="s">
        <v>309</v>
      </c>
      <c r="H2352" s="272"/>
      <c r="I2352" s="272"/>
      <c r="J2352" s="272"/>
      <c r="K2352" s="272"/>
    </row>
    <row r="2353" spans="1:13" x14ac:dyDescent="0.35">
      <c r="A2353" s="269" t="s">
        <v>310</v>
      </c>
      <c r="B2353" s="270"/>
      <c r="C2353" s="270"/>
      <c r="D2353" s="270"/>
      <c r="E2353" s="270"/>
      <c r="G2353" s="269" t="s">
        <v>310</v>
      </c>
      <c r="H2353" s="270"/>
      <c r="I2353" s="270"/>
      <c r="J2353" s="270"/>
      <c r="K2353" s="270"/>
    </row>
    <row r="2354" spans="1:13" x14ac:dyDescent="0.35">
      <c r="A2354" s="271" t="s">
        <v>317</v>
      </c>
      <c r="B2354" s="272"/>
      <c r="C2354" s="272"/>
      <c r="D2354" s="272"/>
      <c r="E2354" s="272"/>
      <c r="G2354" s="271" t="s">
        <v>317</v>
      </c>
      <c r="H2354" s="272"/>
      <c r="I2354" s="272"/>
      <c r="J2354" s="272"/>
      <c r="K2354" s="272"/>
    </row>
    <row r="2355" spans="1:13" x14ac:dyDescent="0.35">
      <c r="A2355" s="269" t="s">
        <v>311</v>
      </c>
      <c r="B2355" s="270"/>
      <c r="C2355" s="270"/>
      <c r="D2355" s="270"/>
      <c r="E2355" s="270"/>
      <c r="G2355" s="269" t="s">
        <v>311</v>
      </c>
      <c r="H2355" s="270"/>
      <c r="I2355" s="270"/>
      <c r="J2355" s="270"/>
      <c r="K2355" s="270"/>
    </row>
    <row r="2356" spans="1:13" x14ac:dyDescent="0.35">
      <c r="A2356" s="271" t="s">
        <v>312</v>
      </c>
      <c r="B2356" s="272"/>
      <c r="C2356" s="272"/>
      <c r="D2356" s="272"/>
      <c r="E2356" s="272"/>
      <c r="G2356" s="271" t="s">
        <v>312</v>
      </c>
      <c r="H2356" s="272"/>
      <c r="I2356" s="272"/>
      <c r="J2356" s="272"/>
      <c r="K2356" s="272"/>
    </row>
    <row r="2357" spans="1:13" x14ac:dyDescent="0.35">
      <c r="A2357" s="231" t="s">
        <v>34</v>
      </c>
      <c r="B2357" s="230">
        <f>SUM(B2351:B2356)</f>
        <v>0</v>
      </c>
      <c r="C2357" s="230">
        <f>SUM(C2351:C2356)</f>
        <v>0</v>
      </c>
      <c r="D2357" s="230">
        <f>SUM(D2351:D2356)</f>
        <v>0</v>
      </c>
      <c r="E2357" s="230">
        <f>SUM(E2351:E2356)</f>
        <v>0</v>
      </c>
      <c r="G2357" s="231" t="s">
        <v>34</v>
      </c>
      <c r="H2357" s="230">
        <f>SUM(H2351:H2356)</f>
        <v>0</v>
      </c>
      <c r="I2357" s="230">
        <f>SUM(I2351:I2356)</f>
        <v>0</v>
      </c>
      <c r="J2357" s="230">
        <f>SUM(J2351:J2356)</f>
        <v>0</v>
      </c>
      <c r="K2357" s="230">
        <f>SUM(K2351:K2356)</f>
        <v>0</v>
      </c>
    </row>
    <row r="2358" spans="1:13" x14ac:dyDescent="0.35">
      <c r="A2358" s="231" t="s">
        <v>313</v>
      </c>
      <c r="B2358" s="230">
        <f>+B2357+C2357+D2357+E2357</f>
        <v>0</v>
      </c>
      <c r="C2358" s="230"/>
      <c r="D2358" s="230"/>
      <c r="E2358" s="230"/>
      <c r="G2358" s="231" t="s">
        <v>313</v>
      </c>
      <c r="H2358" s="230">
        <f>+H2357+I2357+J2357+K2357</f>
        <v>0</v>
      </c>
      <c r="I2358" s="230"/>
      <c r="J2358" s="230"/>
      <c r="K2358" s="230"/>
    </row>
    <row r="2359" spans="1:13" ht="15" thickBot="1" x14ac:dyDescent="0.4">
      <c r="A2359" s="47"/>
      <c r="B2359" s="47"/>
      <c r="C2359" s="47"/>
      <c r="D2359" s="47"/>
      <c r="E2359" s="47"/>
      <c r="F2359" s="47"/>
      <c r="G2359" s="47"/>
      <c r="H2359" s="47"/>
      <c r="I2359" s="47"/>
      <c r="J2359" s="47"/>
      <c r="K2359" s="47"/>
    </row>
    <row r="2360" spans="1:13" ht="35.5" customHeight="1" thickBot="1" x14ac:dyDescent="0.4">
      <c r="A2360" s="327" t="s">
        <v>327</v>
      </c>
      <c r="B2360" s="328"/>
      <c r="C2360" s="328"/>
      <c r="D2360" s="328"/>
      <c r="E2360" s="328"/>
      <c r="F2360" s="329"/>
      <c r="G2360" s="330">
        <f>SUMIF($A$2017:M2358,"*"&amp;K2360&amp;"*",$B$2017:N2358)</f>
        <v>91811</v>
      </c>
      <c r="H2360" s="331"/>
      <c r="I2360" s="331"/>
      <c r="J2360" s="332"/>
      <c r="K2360" s="333" t="s">
        <v>313</v>
      </c>
      <c r="L2360" s="334"/>
      <c r="M2360" s="233">
        <f>+G2360</f>
        <v>91811</v>
      </c>
    </row>
    <row r="2361" spans="1:13" ht="15" thickBot="1" x14ac:dyDescent="0.4">
      <c r="A2361" s="47"/>
      <c r="B2361" s="47"/>
      <c r="C2361" s="47"/>
      <c r="D2361" s="47"/>
      <c r="E2361" s="47"/>
      <c r="F2361" s="47"/>
      <c r="G2361" s="47"/>
      <c r="H2361" s="47"/>
      <c r="I2361" s="47"/>
      <c r="J2361" s="47"/>
      <c r="K2361" s="47"/>
    </row>
    <row r="2362" spans="1:13" ht="15.5" thickTop="1" thickBot="1" x14ac:dyDescent="0.4">
      <c r="A2362" s="335" t="s">
        <v>298</v>
      </c>
      <c r="B2362" s="336"/>
      <c r="C2362" s="336"/>
      <c r="D2362" s="336"/>
      <c r="E2362" s="337"/>
      <c r="G2362" s="335" t="s">
        <v>298</v>
      </c>
      <c r="H2362" s="336"/>
      <c r="I2362" s="336"/>
      <c r="J2362" s="336"/>
      <c r="K2362" s="337"/>
    </row>
    <row r="2363" spans="1:13" ht="15.5" thickTop="1" thickBot="1" x14ac:dyDescent="0.4">
      <c r="A2363" s="338">
        <v>45505</v>
      </c>
      <c r="B2363" s="336"/>
      <c r="C2363" s="336"/>
      <c r="D2363" s="336"/>
      <c r="E2363" s="337"/>
      <c r="G2363" s="338">
        <v>45505</v>
      </c>
      <c r="H2363" s="336"/>
      <c r="I2363" s="336"/>
      <c r="J2363" s="336"/>
      <c r="K2363" s="337"/>
    </row>
    <row r="2364" spans="1:13" ht="15" thickTop="1" x14ac:dyDescent="0.35">
      <c r="A2364" s="267" t="s">
        <v>159</v>
      </c>
      <c r="B2364" s="267" t="s">
        <v>299</v>
      </c>
      <c r="C2364" s="267" t="s">
        <v>307</v>
      </c>
      <c r="D2364" s="267" t="s">
        <v>301</v>
      </c>
      <c r="E2364" s="268" t="s">
        <v>308</v>
      </c>
      <c r="G2364" s="267" t="s">
        <v>159</v>
      </c>
      <c r="H2364" s="267" t="s">
        <v>299</v>
      </c>
      <c r="I2364" s="267" t="s">
        <v>307</v>
      </c>
      <c r="J2364" s="267" t="s">
        <v>301</v>
      </c>
      <c r="K2364" s="268" t="s">
        <v>308</v>
      </c>
    </row>
    <row r="2365" spans="1:13" x14ac:dyDescent="0.35">
      <c r="A2365" s="269" t="s">
        <v>316</v>
      </c>
      <c r="B2365" s="270">
        <v>270</v>
      </c>
      <c r="C2365" s="270"/>
      <c r="D2365" s="270"/>
      <c r="E2365" s="270"/>
      <c r="G2365" s="269" t="s">
        <v>316</v>
      </c>
      <c r="H2365" s="270"/>
      <c r="I2365" s="270"/>
      <c r="J2365" s="270"/>
      <c r="K2365" s="270"/>
    </row>
    <row r="2366" spans="1:13" x14ac:dyDescent="0.35">
      <c r="A2366" s="271" t="s">
        <v>309</v>
      </c>
      <c r="B2366" s="272"/>
      <c r="C2366" s="272"/>
      <c r="D2366" s="272"/>
      <c r="E2366" s="272"/>
      <c r="G2366" s="271" t="s">
        <v>309</v>
      </c>
      <c r="H2366" s="272"/>
      <c r="I2366" s="272"/>
      <c r="J2366" s="272"/>
      <c r="K2366" s="272"/>
    </row>
    <row r="2367" spans="1:13" x14ac:dyDescent="0.35">
      <c r="A2367" s="269" t="s">
        <v>310</v>
      </c>
      <c r="B2367" s="270">
        <v>1150</v>
      </c>
      <c r="C2367" s="270"/>
      <c r="D2367" s="270"/>
      <c r="E2367" s="270"/>
      <c r="G2367" s="269" t="s">
        <v>310</v>
      </c>
      <c r="H2367" s="270"/>
      <c r="I2367" s="270"/>
      <c r="J2367" s="270"/>
      <c r="K2367" s="270"/>
    </row>
    <row r="2368" spans="1:13" x14ac:dyDescent="0.35">
      <c r="A2368" s="271" t="s">
        <v>317</v>
      </c>
      <c r="B2368" s="272"/>
      <c r="C2368" s="272"/>
      <c r="D2368" s="272"/>
      <c r="E2368" s="272"/>
      <c r="G2368" s="271" t="s">
        <v>317</v>
      </c>
      <c r="H2368" s="272"/>
      <c r="I2368" s="272"/>
      <c r="J2368" s="272"/>
      <c r="K2368" s="272"/>
    </row>
    <row r="2369" spans="1:11" x14ac:dyDescent="0.35">
      <c r="A2369" s="269" t="s">
        <v>311</v>
      </c>
      <c r="B2369" s="270"/>
      <c r="C2369" s="270"/>
      <c r="D2369" s="270"/>
      <c r="E2369" s="270"/>
      <c r="G2369" s="269" t="s">
        <v>311</v>
      </c>
      <c r="H2369" s="270"/>
      <c r="I2369" s="270"/>
      <c r="J2369" s="270"/>
      <c r="K2369" s="270"/>
    </row>
    <row r="2370" spans="1:11" x14ac:dyDescent="0.35">
      <c r="A2370" s="271" t="s">
        <v>312</v>
      </c>
      <c r="B2370" s="272"/>
      <c r="C2370" s="272"/>
      <c r="D2370" s="272"/>
      <c r="E2370" s="272"/>
      <c r="G2370" s="271" t="s">
        <v>312</v>
      </c>
      <c r="H2370" s="272"/>
      <c r="I2370" s="272"/>
      <c r="J2370" s="272"/>
      <c r="K2370" s="272"/>
    </row>
    <row r="2371" spans="1:11" x14ac:dyDescent="0.35">
      <c r="A2371" s="231" t="s">
        <v>34</v>
      </c>
      <c r="B2371" s="230">
        <f>SUM(B2365:B2370)</f>
        <v>1420</v>
      </c>
      <c r="C2371" s="230">
        <f>SUM(C2365:C2370)</f>
        <v>0</v>
      </c>
      <c r="D2371" s="230">
        <f>SUM(D2365:D2370)</f>
        <v>0</v>
      </c>
      <c r="E2371" s="230">
        <f>SUM(E2365:E2370)</f>
        <v>0</v>
      </c>
      <c r="G2371" s="231" t="s">
        <v>34</v>
      </c>
      <c r="H2371" s="230">
        <f>SUM(H2365:H2370)</f>
        <v>0</v>
      </c>
      <c r="I2371" s="230">
        <f>SUM(I2365:I2370)</f>
        <v>0</v>
      </c>
      <c r="J2371" s="230">
        <f>SUM(J2365:J2370)</f>
        <v>0</v>
      </c>
      <c r="K2371" s="230">
        <f>SUM(K2365:K2370)</f>
        <v>0</v>
      </c>
    </row>
    <row r="2372" spans="1:11" ht="15" thickBot="1" x14ac:dyDescent="0.4">
      <c r="A2372" s="231" t="s">
        <v>313</v>
      </c>
      <c r="B2372" s="230">
        <f>+B2371+C2371+D2371+E2371</f>
        <v>1420</v>
      </c>
      <c r="C2372" s="230"/>
      <c r="D2372" s="230"/>
      <c r="E2372" s="230"/>
      <c r="G2372" s="231" t="s">
        <v>313</v>
      </c>
      <c r="H2372" s="230">
        <f>+H2371+I2371+J2371+K2371</f>
        <v>0</v>
      </c>
      <c r="I2372" s="230"/>
      <c r="J2372" s="230"/>
      <c r="K2372" s="230"/>
    </row>
    <row r="2373" spans="1:11" ht="15.5" thickTop="1" thickBot="1" x14ac:dyDescent="0.4">
      <c r="A2373" s="335" t="s">
        <v>298</v>
      </c>
      <c r="B2373" s="336"/>
      <c r="C2373" s="336"/>
      <c r="D2373" s="336"/>
      <c r="E2373" s="337"/>
      <c r="G2373" s="335" t="s">
        <v>298</v>
      </c>
      <c r="H2373" s="336"/>
      <c r="I2373" s="336"/>
      <c r="J2373" s="336"/>
      <c r="K2373" s="337"/>
    </row>
    <row r="2374" spans="1:11" ht="15.5" thickTop="1" thickBot="1" x14ac:dyDescent="0.4">
      <c r="A2374" s="338">
        <v>45506</v>
      </c>
      <c r="B2374" s="336"/>
      <c r="C2374" s="336"/>
      <c r="D2374" s="336"/>
      <c r="E2374" s="337"/>
      <c r="G2374" s="338">
        <v>45506</v>
      </c>
      <c r="H2374" s="336"/>
      <c r="I2374" s="336"/>
      <c r="J2374" s="336"/>
      <c r="K2374" s="337"/>
    </row>
    <row r="2375" spans="1:11" ht="15" thickTop="1" x14ac:dyDescent="0.35">
      <c r="A2375" s="267" t="s">
        <v>159</v>
      </c>
      <c r="B2375" s="267" t="s">
        <v>299</v>
      </c>
      <c r="C2375" s="267" t="s">
        <v>307</v>
      </c>
      <c r="D2375" s="267" t="s">
        <v>301</v>
      </c>
      <c r="E2375" s="268" t="s">
        <v>308</v>
      </c>
      <c r="G2375" s="267" t="s">
        <v>159</v>
      </c>
      <c r="H2375" s="267" t="s">
        <v>299</v>
      </c>
      <c r="I2375" s="267" t="s">
        <v>307</v>
      </c>
      <c r="J2375" s="267" t="s">
        <v>301</v>
      </c>
      <c r="K2375" s="268" t="s">
        <v>308</v>
      </c>
    </row>
    <row r="2376" spans="1:11" x14ac:dyDescent="0.35">
      <c r="A2376" s="269" t="s">
        <v>316</v>
      </c>
      <c r="B2376" s="270">
        <v>100</v>
      </c>
      <c r="C2376" s="270"/>
      <c r="D2376" s="270"/>
      <c r="E2376" s="270"/>
      <c r="G2376" s="269" t="s">
        <v>316</v>
      </c>
      <c r="H2376" s="270">
        <v>200</v>
      </c>
      <c r="I2376" s="270"/>
      <c r="J2376" s="270"/>
      <c r="K2376" s="270"/>
    </row>
    <row r="2377" spans="1:11" x14ac:dyDescent="0.35">
      <c r="A2377" s="271" t="s">
        <v>309</v>
      </c>
      <c r="B2377" s="272"/>
      <c r="C2377" s="272"/>
      <c r="D2377" s="272"/>
      <c r="E2377" s="272"/>
      <c r="G2377" s="271" t="s">
        <v>309</v>
      </c>
      <c r="H2377" s="272"/>
      <c r="I2377" s="272"/>
      <c r="J2377" s="272"/>
      <c r="K2377" s="272"/>
    </row>
    <row r="2378" spans="1:11" x14ac:dyDescent="0.35">
      <c r="A2378" s="269" t="s">
        <v>310</v>
      </c>
      <c r="B2378" s="270"/>
      <c r="C2378" s="270"/>
      <c r="D2378" s="270"/>
      <c r="E2378" s="270"/>
      <c r="G2378" s="269" t="s">
        <v>310</v>
      </c>
      <c r="H2378" s="270"/>
      <c r="I2378" s="270"/>
      <c r="J2378" s="270"/>
      <c r="K2378" s="270"/>
    </row>
    <row r="2379" spans="1:11" x14ac:dyDescent="0.35">
      <c r="A2379" s="271" t="s">
        <v>317</v>
      </c>
      <c r="B2379" s="272"/>
      <c r="C2379" s="272"/>
      <c r="D2379" s="272"/>
      <c r="E2379" s="272"/>
      <c r="G2379" s="271" t="s">
        <v>317</v>
      </c>
      <c r="H2379" s="272"/>
      <c r="I2379" s="272"/>
      <c r="J2379" s="272"/>
      <c r="K2379" s="272"/>
    </row>
    <row r="2380" spans="1:11" x14ac:dyDescent="0.35">
      <c r="A2380" s="269" t="s">
        <v>311</v>
      </c>
      <c r="B2380" s="270"/>
      <c r="C2380" s="270"/>
      <c r="D2380" s="270"/>
      <c r="E2380" s="270"/>
      <c r="G2380" s="269" t="s">
        <v>311</v>
      </c>
      <c r="H2380" s="270"/>
      <c r="I2380" s="270"/>
      <c r="J2380" s="270"/>
      <c r="K2380" s="270"/>
    </row>
    <row r="2381" spans="1:11" x14ac:dyDescent="0.35">
      <c r="A2381" s="271" t="s">
        <v>312</v>
      </c>
      <c r="B2381" s="272">
        <v>3000</v>
      </c>
      <c r="C2381" s="272"/>
      <c r="D2381" s="272"/>
      <c r="E2381" s="272"/>
      <c r="G2381" s="271" t="s">
        <v>312</v>
      </c>
      <c r="H2381" s="272"/>
      <c r="I2381" s="272"/>
      <c r="J2381" s="272"/>
      <c r="K2381" s="272"/>
    </row>
    <row r="2382" spans="1:11" x14ac:dyDescent="0.35">
      <c r="A2382" s="231" t="s">
        <v>34</v>
      </c>
      <c r="B2382" s="230">
        <f>SUM(B2376:B2381)</f>
        <v>3100</v>
      </c>
      <c r="C2382" s="230">
        <f>SUM(C2376:C2381)</f>
        <v>0</v>
      </c>
      <c r="D2382" s="230">
        <f>SUM(D2376:D2381)</f>
        <v>0</v>
      </c>
      <c r="E2382" s="230">
        <f>SUM(E2376:E2381)</f>
        <v>0</v>
      </c>
      <c r="G2382" s="231" t="s">
        <v>34</v>
      </c>
      <c r="H2382" s="230">
        <f>SUM(H2376:H2381)</f>
        <v>200</v>
      </c>
      <c r="I2382" s="230">
        <f>SUM(I2376:I2381)</f>
        <v>0</v>
      </c>
      <c r="J2382" s="230">
        <f>SUM(J2376:J2381)</f>
        <v>0</v>
      </c>
      <c r="K2382" s="230">
        <f>SUM(K2376:K2381)</f>
        <v>0</v>
      </c>
    </row>
    <row r="2383" spans="1:11" ht="15" thickBot="1" x14ac:dyDescent="0.4">
      <c r="A2383" s="231" t="s">
        <v>313</v>
      </c>
      <c r="B2383" s="230">
        <f>+B2382+C2382+D2382+E2382</f>
        <v>3100</v>
      </c>
      <c r="C2383" s="230"/>
      <c r="D2383" s="230"/>
      <c r="E2383" s="230"/>
      <c r="G2383" s="231" t="s">
        <v>313</v>
      </c>
      <c r="H2383" s="230">
        <f>+H2382+I2382+J2382+K2382</f>
        <v>200</v>
      </c>
      <c r="I2383" s="230"/>
      <c r="J2383" s="230"/>
      <c r="K2383" s="230"/>
    </row>
    <row r="2384" spans="1:11" ht="15.5" thickTop="1" thickBot="1" x14ac:dyDescent="0.4">
      <c r="A2384" s="335" t="s">
        <v>298</v>
      </c>
      <c r="B2384" s="336"/>
      <c r="C2384" s="336"/>
      <c r="D2384" s="336"/>
      <c r="E2384" s="337"/>
      <c r="G2384" s="335" t="s">
        <v>298</v>
      </c>
      <c r="H2384" s="336"/>
      <c r="I2384" s="336"/>
      <c r="J2384" s="336"/>
      <c r="K2384" s="337"/>
    </row>
    <row r="2385" spans="1:11" ht="15.5" thickTop="1" thickBot="1" x14ac:dyDescent="0.4">
      <c r="A2385" s="338">
        <v>45507</v>
      </c>
      <c r="B2385" s="336"/>
      <c r="C2385" s="336"/>
      <c r="D2385" s="336"/>
      <c r="E2385" s="337"/>
      <c r="G2385" s="338">
        <v>45507</v>
      </c>
      <c r="H2385" s="336"/>
      <c r="I2385" s="336"/>
      <c r="J2385" s="336"/>
      <c r="K2385" s="337"/>
    </row>
    <row r="2386" spans="1:11" ht="15" thickTop="1" x14ac:dyDescent="0.35">
      <c r="A2386" s="267" t="s">
        <v>159</v>
      </c>
      <c r="B2386" s="267" t="s">
        <v>299</v>
      </c>
      <c r="C2386" s="267" t="s">
        <v>307</v>
      </c>
      <c r="D2386" s="267" t="s">
        <v>301</v>
      </c>
      <c r="E2386" s="268" t="s">
        <v>308</v>
      </c>
      <c r="G2386" s="267" t="s">
        <v>159</v>
      </c>
      <c r="H2386" s="267" t="s">
        <v>299</v>
      </c>
      <c r="I2386" s="267" t="s">
        <v>307</v>
      </c>
      <c r="J2386" s="267" t="s">
        <v>301</v>
      </c>
      <c r="K2386" s="268" t="s">
        <v>308</v>
      </c>
    </row>
    <row r="2387" spans="1:11" x14ac:dyDescent="0.35">
      <c r="A2387" s="269" t="s">
        <v>345</v>
      </c>
      <c r="B2387" s="270">
        <v>2500</v>
      </c>
      <c r="C2387" s="270"/>
      <c r="D2387" s="270"/>
      <c r="E2387" s="270"/>
      <c r="G2387" s="269" t="s">
        <v>345</v>
      </c>
      <c r="H2387" s="270">
        <v>1400</v>
      </c>
      <c r="I2387" s="270"/>
      <c r="J2387" s="270"/>
      <c r="K2387" s="270"/>
    </row>
    <row r="2388" spans="1:11" x14ac:dyDescent="0.35">
      <c r="A2388" s="271" t="s">
        <v>345</v>
      </c>
      <c r="B2388" s="272">
        <v>1700</v>
      </c>
      <c r="C2388" s="272"/>
      <c r="D2388" s="272"/>
      <c r="E2388" s="272"/>
      <c r="G2388" s="271" t="s">
        <v>345</v>
      </c>
      <c r="H2388" s="272"/>
      <c r="I2388" s="272"/>
      <c r="J2388" s="272"/>
      <c r="K2388" s="272"/>
    </row>
    <row r="2389" spans="1:11" x14ac:dyDescent="0.35">
      <c r="A2389" s="269" t="s">
        <v>310</v>
      </c>
      <c r="B2389" s="270"/>
      <c r="C2389" s="270"/>
      <c r="D2389" s="270"/>
      <c r="E2389" s="270"/>
      <c r="G2389" s="269" t="s">
        <v>310</v>
      </c>
      <c r="H2389" s="270"/>
      <c r="I2389" s="270"/>
      <c r="J2389" s="270"/>
      <c r="K2389" s="270"/>
    </row>
    <row r="2390" spans="1:11" x14ac:dyDescent="0.35">
      <c r="A2390" s="271" t="s">
        <v>317</v>
      </c>
      <c r="B2390" s="272"/>
      <c r="C2390" s="272"/>
      <c r="D2390" s="272"/>
      <c r="E2390" s="272"/>
      <c r="G2390" s="271" t="s">
        <v>317</v>
      </c>
      <c r="H2390" s="272"/>
      <c r="I2390" s="272"/>
      <c r="J2390" s="272"/>
      <c r="K2390" s="272"/>
    </row>
    <row r="2391" spans="1:11" x14ac:dyDescent="0.35">
      <c r="A2391" s="269" t="s">
        <v>311</v>
      </c>
      <c r="B2391" s="270"/>
      <c r="C2391" s="270"/>
      <c r="D2391" s="270"/>
      <c r="E2391" s="270"/>
      <c r="G2391" s="269" t="s">
        <v>311</v>
      </c>
      <c r="H2391" s="270"/>
      <c r="I2391" s="270"/>
      <c r="J2391" s="270"/>
      <c r="K2391" s="270"/>
    </row>
    <row r="2392" spans="1:11" x14ac:dyDescent="0.35">
      <c r="A2392" s="271" t="s">
        <v>312</v>
      </c>
      <c r="B2392" s="272">
        <v>2838</v>
      </c>
      <c r="C2392" s="272"/>
      <c r="D2392" s="272"/>
      <c r="E2392" s="272"/>
      <c r="G2392" s="271" t="s">
        <v>312</v>
      </c>
      <c r="H2392" s="272"/>
      <c r="I2392" s="272"/>
      <c r="J2392" s="272"/>
      <c r="K2392" s="272"/>
    </row>
    <row r="2393" spans="1:11" x14ac:dyDescent="0.35">
      <c r="A2393" s="231" t="s">
        <v>34</v>
      </c>
      <c r="B2393" s="230">
        <f>SUM(B2387:B2392)</f>
        <v>7038</v>
      </c>
      <c r="C2393" s="230">
        <f>SUM(C2387:C2392)</f>
        <v>0</v>
      </c>
      <c r="D2393" s="230">
        <f>SUM(D2387:D2392)</f>
        <v>0</v>
      </c>
      <c r="E2393" s="230">
        <f>SUM(E2387:E2392)</f>
        <v>0</v>
      </c>
      <c r="G2393" s="231" t="s">
        <v>34</v>
      </c>
      <c r="H2393" s="230">
        <f>SUM(H2387:H2392)</f>
        <v>1400</v>
      </c>
      <c r="I2393" s="230">
        <f>SUM(I2387:I2392)</f>
        <v>0</v>
      </c>
      <c r="J2393" s="230">
        <f>SUM(J2387:J2392)</f>
        <v>0</v>
      </c>
      <c r="K2393" s="230">
        <f>SUM(K2387:K2392)</f>
        <v>0</v>
      </c>
    </row>
    <row r="2394" spans="1:11" ht="15" thickBot="1" x14ac:dyDescent="0.4">
      <c r="A2394" s="231" t="s">
        <v>313</v>
      </c>
      <c r="B2394" s="230">
        <f>+B2393+C2393+D2393+E2393</f>
        <v>7038</v>
      </c>
      <c r="C2394" s="230"/>
      <c r="D2394" s="230"/>
      <c r="E2394" s="230"/>
      <c r="G2394" s="231" t="s">
        <v>313</v>
      </c>
      <c r="H2394" s="230">
        <f>+H2393+I2393+J2393+K2393</f>
        <v>1400</v>
      </c>
      <c r="I2394" s="230"/>
      <c r="J2394" s="230"/>
      <c r="K2394" s="230"/>
    </row>
    <row r="2395" spans="1:11" ht="15.5" thickTop="1" thickBot="1" x14ac:dyDescent="0.4">
      <c r="A2395" s="335" t="s">
        <v>298</v>
      </c>
      <c r="B2395" s="336"/>
      <c r="C2395" s="336"/>
      <c r="D2395" s="336"/>
      <c r="E2395" s="337"/>
      <c r="G2395" s="335" t="s">
        <v>298</v>
      </c>
      <c r="H2395" s="336"/>
      <c r="I2395" s="336"/>
      <c r="J2395" s="336"/>
      <c r="K2395" s="337"/>
    </row>
    <row r="2396" spans="1:11" ht="15.5" thickTop="1" thickBot="1" x14ac:dyDescent="0.4">
      <c r="A2396" s="338">
        <v>45508</v>
      </c>
      <c r="B2396" s="336"/>
      <c r="C2396" s="336"/>
      <c r="D2396" s="336"/>
      <c r="E2396" s="337"/>
      <c r="G2396" s="338">
        <v>45508</v>
      </c>
      <c r="H2396" s="336"/>
      <c r="I2396" s="336"/>
      <c r="J2396" s="336"/>
      <c r="K2396" s="337"/>
    </row>
    <row r="2397" spans="1:11" ht="15" thickTop="1" x14ac:dyDescent="0.35">
      <c r="A2397" s="267" t="s">
        <v>159</v>
      </c>
      <c r="B2397" s="267" t="s">
        <v>299</v>
      </c>
      <c r="C2397" s="267" t="s">
        <v>307</v>
      </c>
      <c r="D2397" s="267" t="s">
        <v>301</v>
      </c>
      <c r="E2397" s="268" t="s">
        <v>308</v>
      </c>
      <c r="G2397" s="267" t="s">
        <v>159</v>
      </c>
      <c r="H2397" s="267" t="s">
        <v>299</v>
      </c>
      <c r="I2397" s="267" t="s">
        <v>307</v>
      </c>
      <c r="J2397" s="267" t="s">
        <v>301</v>
      </c>
      <c r="K2397" s="268" t="s">
        <v>308</v>
      </c>
    </row>
    <row r="2398" spans="1:11" x14ac:dyDescent="0.35">
      <c r="A2398" s="269" t="s">
        <v>590</v>
      </c>
      <c r="B2398" s="270">
        <v>1200</v>
      </c>
      <c r="C2398" s="270"/>
      <c r="D2398" s="270"/>
      <c r="E2398" s="270"/>
      <c r="G2398" s="269" t="s">
        <v>316</v>
      </c>
      <c r="H2398" s="270"/>
      <c r="I2398" s="270"/>
      <c r="J2398" s="270"/>
      <c r="K2398" s="270"/>
    </row>
    <row r="2399" spans="1:11" x14ac:dyDescent="0.35">
      <c r="A2399" s="271" t="s">
        <v>309</v>
      </c>
      <c r="B2399" s="272"/>
      <c r="C2399" s="272"/>
      <c r="D2399" s="272"/>
      <c r="E2399" s="272"/>
      <c r="G2399" s="271" t="s">
        <v>309</v>
      </c>
      <c r="H2399" s="272"/>
      <c r="I2399" s="272"/>
      <c r="J2399" s="272"/>
      <c r="K2399" s="272"/>
    </row>
    <row r="2400" spans="1:11" x14ac:dyDescent="0.35">
      <c r="A2400" s="269" t="s">
        <v>310</v>
      </c>
      <c r="B2400" s="270"/>
      <c r="C2400" s="270"/>
      <c r="D2400" s="270"/>
      <c r="E2400" s="270"/>
      <c r="G2400" s="269" t="s">
        <v>310</v>
      </c>
      <c r="H2400" s="270"/>
      <c r="I2400" s="270"/>
      <c r="J2400" s="270"/>
      <c r="K2400" s="270"/>
    </row>
    <row r="2401" spans="1:11" x14ac:dyDescent="0.35">
      <c r="A2401" s="271" t="s">
        <v>317</v>
      </c>
      <c r="B2401" s="272"/>
      <c r="C2401" s="272"/>
      <c r="D2401" s="272"/>
      <c r="E2401" s="272"/>
      <c r="G2401" s="271" t="s">
        <v>317</v>
      </c>
      <c r="H2401" s="272"/>
      <c r="I2401" s="272"/>
      <c r="J2401" s="272"/>
      <c r="K2401" s="272"/>
    </row>
    <row r="2402" spans="1:11" x14ac:dyDescent="0.35">
      <c r="A2402" s="269" t="s">
        <v>311</v>
      </c>
      <c r="B2402" s="270"/>
      <c r="C2402" s="270"/>
      <c r="D2402" s="270"/>
      <c r="E2402" s="270"/>
      <c r="G2402" s="269" t="s">
        <v>311</v>
      </c>
      <c r="H2402" s="270"/>
      <c r="I2402" s="270"/>
      <c r="J2402" s="270"/>
      <c r="K2402" s="270"/>
    </row>
    <row r="2403" spans="1:11" x14ac:dyDescent="0.35">
      <c r="A2403" s="271" t="s">
        <v>312</v>
      </c>
      <c r="B2403" s="272"/>
      <c r="C2403" s="272"/>
      <c r="D2403" s="272"/>
      <c r="E2403" s="272"/>
      <c r="G2403" s="271" t="s">
        <v>312</v>
      </c>
      <c r="H2403" s="272"/>
      <c r="I2403" s="272"/>
      <c r="J2403" s="272"/>
      <c r="K2403" s="272"/>
    </row>
    <row r="2404" spans="1:11" x14ac:dyDescent="0.35">
      <c r="A2404" s="231" t="s">
        <v>34</v>
      </c>
      <c r="B2404" s="230">
        <f>SUM(B2398:B2403)</f>
        <v>1200</v>
      </c>
      <c r="C2404" s="230">
        <f>SUM(C2398:C2403)</f>
        <v>0</v>
      </c>
      <c r="D2404" s="230">
        <f>SUM(D2398:D2403)</f>
        <v>0</v>
      </c>
      <c r="E2404" s="230">
        <f>SUM(E2398:E2403)</f>
        <v>0</v>
      </c>
      <c r="G2404" s="231" t="s">
        <v>34</v>
      </c>
      <c r="H2404" s="230">
        <f>SUM(H2398:H2403)</f>
        <v>0</v>
      </c>
      <c r="I2404" s="230">
        <f>SUM(I2398:I2403)</f>
        <v>0</v>
      </c>
      <c r="J2404" s="230">
        <f>SUM(J2398:J2403)</f>
        <v>0</v>
      </c>
      <c r="K2404" s="230">
        <f>SUM(K2398:K2403)</f>
        <v>0</v>
      </c>
    </row>
    <row r="2405" spans="1:11" ht="15" thickBot="1" x14ac:dyDescent="0.4">
      <c r="A2405" s="231" t="s">
        <v>313</v>
      </c>
      <c r="B2405" s="230">
        <f>+B2404+C2404+D2404+E2404</f>
        <v>1200</v>
      </c>
      <c r="C2405" s="230"/>
      <c r="D2405" s="230"/>
      <c r="E2405" s="230"/>
      <c r="G2405" s="231" t="s">
        <v>313</v>
      </c>
      <c r="H2405" s="230">
        <f>+H2404+I2404+J2404+K2404</f>
        <v>0</v>
      </c>
      <c r="I2405" s="230"/>
      <c r="J2405" s="230"/>
      <c r="K2405" s="230"/>
    </row>
    <row r="2406" spans="1:11" ht="15.5" thickTop="1" thickBot="1" x14ac:dyDescent="0.4">
      <c r="A2406" s="335" t="s">
        <v>298</v>
      </c>
      <c r="B2406" s="336"/>
      <c r="C2406" s="336"/>
      <c r="D2406" s="336"/>
      <c r="E2406" s="337"/>
      <c r="G2406" s="335" t="s">
        <v>298</v>
      </c>
      <c r="H2406" s="336"/>
      <c r="I2406" s="336"/>
      <c r="J2406" s="336"/>
      <c r="K2406" s="337"/>
    </row>
    <row r="2407" spans="1:11" ht="15.5" thickTop="1" thickBot="1" x14ac:dyDescent="0.4">
      <c r="A2407" s="338">
        <v>45509</v>
      </c>
      <c r="B2407" s="336"/>
      <c r="C2407" s="336"/>
      <c r="D2407" s="336"/>
      <c r="E2407" s="337"/>
      <c r="G2407" s="338">
        <v>45509</v>
      </c>
      <c r="H2407" s="336"/>
      <c r="I2407" s="336"/>
      <c r="J2407" s="336"/>
      <c r="K2407" s="337"/>
    </row>
    <row r="2408" spans="1:11" ht="15" thickTop="1" x14ac:dyDescent="0.35">
      <c r="A2408" s="267" t="s">
        <v>159</v>
      </c>
      <c r="B2408" s="267" t="s">
        <v>299</v>
      </c>
      <c r="C2408" s="267" t="s">
        <v>307</v>
      </c>
      <c r="D2408" s="267" t="s">
        <v>301</v>
      </c>
      <c r="E2408" s="268" t="s">
        <v>308</v>
      </c>
      <c r="G2408" s="267" t="s">
        <v>159</v>
      </c>
      <c r="H2408" s="267" t="s">
        <v>299</v>
      </c>
      <c r="I2408" s="267" t="s">
        <v>307</v>
      </c>
      <c r="J2408" s="267" t="s">
        <v>301</v>
      </c>
      <c r="K2408" s="268" t="s">
        <v>308</v>
      </c>
    </row>
    <row r="2409" spans="1:11" x14ac:dyDescent="0.35">
      <c r="A2409" s="269" t="s">
        <v>316</v>
      </c>
      <c r="B2409" s="270"/>
      <c r="C2409" s="270"/>
      <c r="D2409" s="270"/>
      <c r="E2409" s="270"/>
      <c r="G2409" s="269" t="s">
        <v>316</v>
      </c>
      <c r="H2409" s="270"/>
      <c r="I2409" s="270"/>
      <c r="J2409" s="270"/>
      <c r="K2409" s="270"/>
    </row>
    <row r="2410" spans="1:11" x14ac:dyDescent="0.35">
      <c r="A2410" s="271" t="s">
        <v>350</v>
      </c>
      <c r="B2410" s="272">
        <v>110</v>
      </c>
      <c r="C2410" s="272"/>
      <c r="D2410" s="272"/>
      <c r="E2410" s="272"/>
      <c r="G2410" s="271" t="s">
        <v>349</v>
      </c>
      <c r="H2410" s="272">
        <v>2300</v>
      </c>
      <c r="I2410" s="272"/>
      <c r="J2410" s="272"/>
      <c r="K2410" s="272"/>
    </row>
    <row r="2411" spans="1:11" x14ac:dyDescent="0.35">
      <c r="A2411" s="269" t="s">
        <v>310</v>
      </c>
      <c r="B2411" s="270"/>
      <c r="C2411" s="270"/>
      <c r="D2411" s="270"/>
      <c r="E2411" s="270"/>
      <c r="G2411" s="269" t="s">
        <v>310</v>
      </c>
      <c r="H2411" s="270"/>
      <c r="I2411" s="270"/>
      <c r="J2411" s="270"/>
      <c r="K2411" s="270"/>
    </row>
    <row r="2412" spans="1:11" x14ac:dyDescent="0.35">
      <c r="A2412" s="271" t="s">
        <v>317</v>
      </c>
      <c r="B2412" s="272"/>
      <c r="C2412" s="272"/>
      <c r="D2412" s="272"/>
      <c r="E2412" s="272"/>
      <c r="G2412" s="271" t="s">
        <v>317</v>
      </c>
      <c r="H2412" s="272"/>
      <c r="I2412" s="272"/>
      <c r="J2412" s="272"/>
      <c r="K2412" s="272"/>
    </row>
    <row r="2413" spans="1:11" x14ac:dyDescent="0.35">
      <c r="A2413" s="269" t="s">
        <v>311</v>
      </c>
      <c r="B2413" s="270"/>
      <c r="C2413" s="270"/>
      <c r="D2413" s="270"/>
      <c r="E2413" s="270"/>
      <c r="G2413" s="269" t="s">
        <v>311</v>
      </c>
      <c r="H2413" s="270"/>
      <c r="I2413" s="270"/>
      <c r="J2413" s="270"/>
      <c r="K2413" s="270"/>
    </row>
    <row r="2414" spans="1:11" x14ac:dyDescent="0.35">
      <c r="A2414" s="271" t="s">
        <v>312</v>
      </c>
      <c r="B2414" s="272"/>
      <c r="C2414" s="272"/>
      <c r="D2414" s="272"/>
      <c r="E2414" s="272"/>
      <c r="G2414" s="271" t="s">
        <v>312</v>
      </c>
      <c r="H2414" s="272"/>
      <c r="I2414" s="272"/>
      <c r="J2414" s="272"/>
      <c r="K2414" s="272"/>
    </row>
    <row r="2415" spans="1:11" x14ac:dyDescent="0.35">
      <c r="A2415" s="231" t="s">
        <v>34</v>
      </c>
      <c r="B2415" s="230">
        <f>SUM(B2409:B2414)</f>
        <v>110</v>
      </c>
      <c r="C2415" s="230">
        <f>SUM(C2409:C2414)</f>
        <v>0</v>
      </c>
      <c r="D2415" s="230">
        <f>SUM(D2409:D2414)</f>
        <v>0</v>
      </c>
      <c r="E2415" s="230">
        <f>SUM(E2409:E2414)</f>
        <v>0</v>
      </c>
      <c r="G2415" s="231" t="s">
        <v>34</v>
      </c>
      <c r="H2415" s="230">
        <f>SUM(H2409:H2414)</f>
        <v>2300</v>
      </c>
      <c r="I2415" s="230">
        <f>SUM(I2409:I2414)</f>
        <v>0</v>
      </c>
      <c r="J2415" s="230">
        <f>SUM(J2409:J2414)</f>
        <v>0</v>
      </c>
      <c r="K2415" s="230">
        <f>SUM(K2409:K2414)</f>
        <v>0</v>
      </c>
    </row>
    <row r="2416" spans="1:11" ht="15" thickBot="1" x14ac:dyDescent="0.4">
      <c r="A2416" s="231" t="s">
        <v>313</v>
      </c>
      <c r="B2416" s="230">
        <f>+B2415+C2415+D2415+E2415</f>
        <v>110</v>
      </c>
      <c r="C2416" s="230"/>
      <c r="D2416" s="230"/>
      <c r="E2416" s="230"/>
      <c r="G2416" s="231" t="s">
        <v>313</v>
      </c>
      <c r="H2416" s="230">
        <f>+H2415+I2415+J2415+K2415</f>
        <v>2300</v>
      </c>
      <c r="I2416" s="230"/>
      <c r="J2416" s="230"/>
      <c r="K2416" s="230"/>
    </row>
    <row r="2417" spans="1:11" ht="15.5" thickTop="1" thickBot="1" x14ac:dyDescent="0.4">
      <c r="A2417" s="335" t="s">
        <v>298</v>
      </c>
      <c r="B2417" s="336"/>
      <c r="C2417" s="336"/>
      <c r="D2417" s="336"/>
      <c r="E2417" s="337"/>
      <c r="G2417" s="335" t="s">
        <v>298</v>
      </c>
      <c r="H2417" s="336"/>
      <c r="I2417" s="336"/>
      <c r="J2417" s="336"/>
      <c r="K2417" s="337"/>
    </row>
    <row r="2418" spans="1:11" ht="15.5" thickTop="1" thickBot="1" x14ac:dyDescent="0.4">
      <c r="A2418" s="338">
        <v>45510</v>
      </c>
      <c r="B2418" s="336"/>
      <c r="C2418" s="336"/>
      <c r="D2418" s="336"/>
      <c r="E2418" s="337"/>
      <c r="G2418" s="338">
        <v>45510</v>
      </c>
      <c r="H2418" s="336"/>
      <c r="I2418" s="336"/>
      <c r="J2418" s="336"/>
      <c r="K2418" s="337"/>
    </row>
    <row r="2419" spans="1:11" ht="15" thickTop="1" x14ac:dyDescent="0.35">
      <c r="A2419" s="267" t="s">
        <v>159</v>
      </c>
      <c r="B2419" s="267" t="s">
        <v>299</v>
      </c>
      <c r="C2419" s="267" t="s">
        <v>307</v>
      </c>
      <c r="D2419" s="267" t="s">
        <v>301</v>
      </c>
      <c r="E2419" s="268" t="s">
        <v>308</v>
      </c>
      <c r="G2419" s="267" t="s">
        <v>159</v>
      </c>
      <c r="H2419" s="267" t="s">
        <v>299</v>
      </c>
      <c r="I2419" s="267" t="s">
        <v>307</v>
      </c>
      <c r="J2419" s="267" t="s">
        <v>301</v>
      </c>
      <c r="K2419" s="268" t="s">
        <v>308</v>
      </c>
    </row>
    <row r="2420" spans="1:11" x14ac:dyDescent="0.35">
      <c r="A2420" s="269" t="s">
        <v>316</v>
      </c>
      <c r="B2420" s="270"/>
      <c r="C2420" s="270"/>
      <c r="D2420" s="270"/>
      <c r="E2420" s="270"/>
      <c r="G2420" s="269" t="s">
        <v>316</v>
      </c>
      <c r="H2420" s="270"/>
      <c r="I2420" s="270"/>
      <c r="J2420" s="270"/>
      <c r="K2420" s="270"/>
    </row>
    <row r="2421" spans="1:11" x14ac:dyDescent="0.35">
      <c r="A2421" s="271" t="s">
        <v>309</v>
      </c>
      <c r="B2421" s="272"/>
      <c r="C2421" s="272"/>
      <c r="D2421" s="272"/>
      <c r="E2421" s="272"/>
      <c r="G2421" s="271" t="s">
        <v>309</v>
      </c>
      <c r="H2421" s="272"/>
      <c r="I2421" s="272"/>
      <c r="J2421" s="272"/>
      <c r="K2421" s="272"/>
    </row>
    <row r="2422" spans="1:11" x14ac:dyDescent="0.35">
      <c r="A2422" s="269" t="s">
        <v>310</v>
      </c>
      <c r="B2422" s="270">
        <v>7549</v>
      </c>
      <c r="C2422" s="270"/>
      <c r="D2422" s="270"/>
      <c r="E2422" s="270"/>
      <c r="G2422" s="269" t="s">
        <v>310</v>
      </c>
      <c r="H2422" s="270"/>
      <c r="I2422" s="270"/>
      <c r="J2422" s="270"/>
      <c r="K2422" s="270"/>
    </row>
    <row r="2423" spans="1:11" x14ac:dyDescent="0.35">
      <c r="A2423" s="271" t="s">
        <v>317</v>
      </c>
      <c r="B2423" s="272"/>
      <c r="C2423" s="272"/>
      <c r="D2423" s="272"/>
      <c r="E2423" s="272"/>
      <c r="G2423" s="271" t="s">
        <v>317</v>
      </c>
      <c r="H2423" s="272"/>
      <c r="I2423" s="272"/>
      <c r="J2423" s="272"/>
      <c r="K2423" s="272"/>
    </row>
    <row r="2424" spans="1:11" x14ac:dyDescent="0.35">
      <c r="A2424" s="269" t="s">
        <v>311</v>
      </c>
      <c r="B2424" s="270"/>
      <c r="C2424" s="270"/>
      <c r="D2424" s="270"/>
      <c r="E2424" s="270"/>
      <c r="G2424" s="269" t="s">
        <v>311</v>
      </c>
      <c r="H2424" s="270"/>
      <c r="I2424" s="270"/>
      <c r="J2424" s="270"/>
      <c r="K2424" s="270"/>
    </row>
    <row r="2425" spans="1:11" x14ac:dyDescent="0.35">
      <c r="A2425" s="271" t="s">
        <v>312</v>
      </c>
      <c r="B2425" s="272">
        <v>10300</v>
      </c>
      <c r="C2425" s="272"/>
      <c r="D2425" s="272"/>
      <c r="E2425" s="272"/>
      <c r="G2425" s="271" t="s">
        <v>312</v>
      </c>
      <c r="H2425" s="272"/>
      <c r="I2425" s="272"/>
      <c r="J2425" s="272"/>
      <c r="K2425" s="272"/>
    </row>
    <row r="2426" spans="1:11" x14ac:dyDescent="0.35">
      <c r="A2426" s="231" t="s">
        <v>34</v>
      </c>
      <c r="B2426" s="230">
        <f>SUM(B2420:B2425)</f>
        <v>17849</v>
      </c>
      <c r="C2426" s="230">
        <f>SUM(C2420:C2425)</f>
        <v>0</v>
      </c>
      <c r="D2426" s="230">
        <f>SUM(D2420:D2425)</f>
        <v>0</v>
      </c>
      <c r="E2426" s="230">
        <f>SUM(E2420:E2425)</f>
        <v>0</v>
      </c>
      <c r="G2426" s="231" t="s">
        <v>34</v>
      </c>
      <c r="H2426" s="230">
        <f>SUM(H2420:H2425)</f>
        <v>0</v>
      </c>
      <c r="I2426" s="230">
        <f>SUM(I2420:I2425)</f>
        <v>0</v>
      </c>
      <c r="J2426" s="230">
        <f>SUM(J2420:J2425)</f>
        <v>0</v>
      </c>
      <c r="K2426" s="230">
        <f>SUM(K2420:K2425)</f>
        <v>0</v>
      </c>
    </row>
    <row r="2427" spans="1:11" ht="15" thickBot="1" x14ac:dyDescent="0.4">
      <c r="A2427" s="231" t="s">
        <v>313</v>
      </c>
      <c r="B2427" s="230">
        <f>+B2426+C2426+D2426+E2426</f>
        <v>17849</v>
      </c>
      <c r="C2427" s="230"/>
      <c r="D2427" s="230"/>
      <c r="E2427" s="230"/>
      <c r="G2427" s="231" t="s">
        <v>313</v>
      </c>
      <c r="H2427" s="230">
        <f>+H2426+I2426+J2426+K2426</f>
        <v>0</v>
      </c>
      <c r="I2427" s="230"/>
      <c r="J2427" s="230"/>
      <c r="K2427" s="230"/>
    </row>
    <row r="2428" spans="1:11" ht="15.5" thickTop="1" thickBot="1" x14ac:dyDescent="0.4">
      <c r="A2428" s="335" t="s">
        <v>298</v>
      </c>
      <c r="B2428" s="336"/>
      <c r="C2428" s="336"/>
      <c r="D2428" s="336"/>
      <c r="E2428" s="337"/>
      <c r="G2428" s="335" t="s">
        <v>298</v>
      </c>
      <c r="H2428" s="336"/>
      <c r="I2428" s="336"/>
      <c r="J2428" s="336"/>
      <c r="K2428" s="337"/>
    </row>
    <row r="2429" spans="1:11" ht="15.5" thickTop="1" thickBot="1" x14ac:dyDescent="0.4">
      <c r="A2429" s="338">
        <v>45511</v>
      </c>
      <c r="B2429" s="336"/>
      <c r="C2429" s="336"/>
      <c r="D2429" s="336"/>
      <c r="E2429" s="337"/>
      <c r="G2429" s="338">
        <v>45511</v>
      </c>
      <c r="H2429" s="336"/>
      <c r="I2429" s="336"/>
      <c r="J2429" s="336"/>
      <c r="K2429" s="337"/>
    </row>
    <row r="2430" spans="1:11" ht="15" thickTop="1" x14ac:dyDescent="0.35">
      <c r="A2430" s="267" t="s">
        <v>159</v>
      </c>
      <c r="B2430" s="267" t="s">
        <v>299</v>
      </c>
      <c r="C2430" s="267" t="s">
        <v>307</v>
      </c>
      <c r="D2430" s="267" t="s">
        <v>301</v>
      </c>
      <c r="E2430" s="268" t="s">
        <v>308</v>
      </c>
      <c r="G2430" s="267" t="s">
        <v>159</v>
      </c>
      <c r="H2430" s="267" t="s">
        <v>299</v>
      </c>
      <c r="I2430" s="267" t="s">
        <v>307</v>
      </c>
      <c r="J2430" s="267" t="s">
        <v>301</v>
      </c>
      <c r="K2430" s="268" t="s">
        <v>308</v>
      </c>
    </row>
    <row r="2431" spans="1:11" x14ac:dyDescent="0.35">
      <c r="A2431" s="269" t="s">
        <v>316</v>
      </c>
      <c r="B2431" s="270">
        <v>270</v>
      </c>
      <c r="C2431" s="270"/>
      <c r="D2431" s="270"/>
      <c r="E2431" s="270"/>
      <c r="G2431" s="269" t="s">
        <v>316</v>
      </c>
      <c r="H2431" s="270"/>
      <c r="I2431" s="270"/>
      <c r="J2431" s="270"/>
      <c r="K2431" s="270"/>
    </row>
    <row r="2432" spans="1:11" x14ac:dyDescent="0.35">
      <c r="A2432" s="271" t="s">
        <v>309</v>
      </c>
      <c r="B2432" s="272"/>
      <c r="C2432" s="272"/>
      <c r="D2432" s="272"/>
      <c r="E2432" s="272"/>
      <c r="G2432" s="271" t="s">
        <v>309</v>
      </c>
      <c r="H2432" s="272"/>
      <c r="I2432" s="272"/>
      <c r="J2432" s="272"/>
      <c r="K2432" s="272"/>
    </row>
    <row r="2433" spans="1:11" x14ac:dyDescent="0.35">
      <c r="A2433" s="269" t="s">
        <v>310</v>
      </c>
      <c r="B2433" s="270"/>
      <c r="C2433" s="270"/>
      <c r="D2433" s="270"/>
      <c r="E2433" s="270"/>
      <c r="G2433" s="269" t="s">
        <v>310</v>
      </c>
      <c r="H2433" s="270"/>
      <c r="I2433" s="270"/>
      <c r="J2433" s="270"/>
      <c r="K2433" s="270"/>
    </row>
    <row r="2434" spans="1:11" x14ac:dyDescent="0.35">
      <c r="A2434" s="271" t="s">
        <v>317</v>
      </c>
      <c r="B2434" s="272"/>
      <c r="C2434" s="272"/>
      <c r="D2434" s="272"/>
      <c r="E2434" s="272"/>
      <c r="G2434" s="271" t="s">
        <v>317</v>
      </c>
      <c r="H2434" s="272"/>
      <c r="I2434" s="272"/>
      <c r="J2434" s="272"/>
      <c r="K2434" s="272"/>
    </row>
    <row r="2435" spans="1:11" x14ac:dyDescent="0.35">
      <c r="A2435" s="269" t="s">
        <v>311</v>
      </c>
      <c r="B2435" s="270"/>
      <c r="C2435" s="270"/>
      <c r="D2435" s="270"/>
      <c r="E2435" s="270"/>
      <c r="G2435" s="269" t="s">
        <v>311</v>
      </c>
      <c r="H2435" s="270"/>
      <c r="I2435" s="270"/>
      <c r="J2435" s="270"/>
      <c r="K2435" s="270"/>
    </row>
    <row r="2436" spans="1:11" x14ac:dyDescent="0.35">
      <c r="A2436" s="271" t="s">
        <v>312</v>
      </c>
      <c r="B2436" s="272"/>
      <c r="C2436" s="272"/>
      <c r="D2436" s="272"/>
      <c r="E2436" s="272"/>
      <c r="G2436" s="271" t="s">
        <v>312</v>
      </c>
      <c r="H2436" s="272"/>
      <c r="I2436" s="272"/>
      <c r="J2436" s="272"/>
      <c r="K2436" s="272"/>
    </row>
    <row r="2437" spans="1:11" x14ac:dyDescent="0.35">
      <c r="A2437" s="231" t="s">
        <v>34</v>
      </c>
      <c r="B2437" s="230">
        <f>SUM(B2431:B2436)</f>
        <v>270</v>
      </c>
      <c r="C2437" s="230">
        <f>SUM(C2431:C2436)</f>
        <v>0</v>
      </c>
      <c r="D2437" s="230">
        <f>SUM(D2431:D2436)</f>
        <v>0</v>
      </c>
      <c r="E2437" s="230">
        <f>SUM(E2431:E2436)</f>
        <v>0</v>
      </c>
      <c r="G2437" s="231" t="s">
        <v>34</v>
      </c>
      <c r="H2437" s="230">
        <f>SUM(H2431:H2436)</f>
        <v>0</v>
      </c>
      <c r="I2437" s="230">
        <f>SUM(I2431:I2436)</f>
        <v>0</v>
      </c>
      <c r="J2437" s="230">
        <f>SUM(J2431:J2436)</f>
        <v>0</v>
      </c>
      <c r="K2437" s="230">
        <f>SUM(K2431:K2436)</f>
        <v>0</v>
      </c>
    </row>
    <row r="2438" spans="1:11" ht="15" thickBot="1" x14ac:dyDescent="0.4">
      <c r="A2438" s="231" t="s">
        <v>313</v>
      </c>
      <c r="B2438" s="230">
        <f>+B2437+C2437+D2437+E2437</f>
        <v>270</v>
      </c>
      <c r="C2438" s="230"/>
      <c r="D2438" s="230"/>
      <c r="E2438" s="230"/>
      <c r="G2438" s="231" t="s">
        <v>313</v>
      </c>
      <c r="H2438" s="230">
        <f>+H2437+I2437+J2437+K2437</f>
        <v>0</v>
      </c>
      <c r="I2438" s="230"/>
      <c r="J2438" s="230"/>
      <c r="K2438" s="230"/>
    </row>
    <row r="2439" spans="1:11" ht="15.5" thickTop="1" thickBot="1" x14ac:dyDescent="0.4">
      <c r="A2439" s="335" t="s">
        <v>298</v>
      </c>
      <c r="B2439" s="336"/>
      <c r="C2439" s="336"/>
      <c r="D2439" s="336"/>
      <c r="E2439" s="337"/>
      <c r="G2439" s="335" t="s">
        <v>298</v>
      </c>
      <c r="H2439" s="336"/>
      <c r="I2439" s="336"/>
      <c r="J2439" s="336"/>
      <c r="K2439" s="337"/>
    </row>
    <row r="2440" spans="1:11" ht="15.5" thickTop="1" thickBot="1" x14ac:dyDescent="0.4">
      <c r="A2440" s="338">
        <v>45512</v>
      </c>
      <c r="B2440" s="336"/>
      <c r="C2440" s="336"/>
      <c r="D2440" s="336"/>
      <c r="E2440" s="337"/>
      <c r="G2440" s="338">
        <v>45512</v>
      </c>
      <c r="H2440" s="336"/>
      <c r="I2440" s="336"/>
      <c r="J2440" s="336"/>
      <c r="K2440" s="337"/>
    </row>
    <row r="2441" spans="1:11" ht="15" thickTop="1" x14ac:dyDescent="0.35">
      <c r="A2441" s="267" t="s">
        <v>159</v>
      </c>
      <c r="B2441" s="267" t="s">
        <v>299</v>
      </c>
      <c r="C2441" s="267" t="s">
        <v>307</v>
      </c>
      <c r="D2441" s="267" t="s">
        <v>301</v>
      </c>
      <c r="E2441" s="268" t="s">
        <v>308</v>
      </c>
      <c r="G2441" s="267" t="s">
        <v>159</v>
      </c>
      <c r="H2441" s="267" t="s">
        <v>299</v>
      </c>
      <c r="I2441" s="267" t="s">
        <v>307</v>
      </c>
      <c r="J2441" s="267" t="s">
        <v>301</v>
      </c>
      <c r="K2441" s="268" t="s">
        <v>308</v>
      </c>
    </row>
    <row r="2442" spans="1:11" x14ac:dyDescent="0.35">
      <c r="A2442" s="269" t="s">
        <v>316</v>
      </c>
      <c r="B2442" s="270"/>
      <c r="C2442" s="270"/>
      <c r="D2442" s="270"/>
      <c r="E2442" s="270"/>
      <c r="G2442" s="269" t="s">
        <v>316</v>
      </c>
      <c r="H2442" s="270"/>
      <c r="I2442" s="270"/>
      <c r="J2442" s="270"/>
      <c r="K2442" s="270"/>
    </row>
    <row r="2443" spans="1:11" x14ac:dyDescent="0.35">
      <c r="A2443" s="271" t="s">
        <v>309</v>
      </c>
      <c r="B2443" s="272"/>
      <c r="C2443" s="272"/>
      <c r="D2443" s="272"/>
      <c r="E2443" s="272"/>
      <c r="G2443" s="271" t="s">
        <v>309</v>
      </c>
      <c r="H2443" s="272"/>
      <c r="I2443" s="272"/>
      <c r="J2443" s="272"/>
      <c r="K2443" s="272"/>
    </row>
    <row r="2444" spans="1:11" x14ac:dyDescent="0.35">
      <c r="A2444" s="269" t="s">
        <v>310</v>
      </c>
      <c r="B2444" s="270">
        <v>2300</v>
      </c>
      <c r="C2444" s="270"/>
      <c r="D2444" s="270"/>
      <c r="E2444" s="270"/>
      <c r="G2444" s="269" t="s">
        <v>310</v>
      </c>
      <c r="H2444" s="270"/>
      <c r="I2444" s="270"/>
      <c r="J2444" s="270"/>
      <c r="K2444" s="270"/>
    </row>
    <row r="2445" spans="1:11" x14ac:dyDescent="0.35">
      <c r="A2445" s="271" t="s">
        <v>317</v>
      </c>
      <c r="B2445" s="272"/>
      <c r="C2445" s="272"/>
      <c r="D2445" s="272"/>
      <c r="E2445" s="272"/>
      <c r="G2445" s="271" t="s">
        <v>317</v>
      </c>
      <c r="H2445" s="272"/>
      <c r="I2445" s="272"/>
      <c r="J2445" s="272"/>
      <c r="K2445" s="272"/>
    </row>
    <row r="2446" spans="1:11" x14ac:dyDescent="0.35">
      <c r="A2446" s="269" t="s">
        <v>311</v>
      </c>
      <c r="B2446" s="270"/>
      <c r="C2446" s="270"/>
      <c r="D2446" s="270"/>
      <c r="E2446" s="270"/>
      <c r="G2446" s="269" t="s">
        <v>311</v>
      </c>
      <c r="H2446" s="270"/>
      <c r="I2446" s="270"/>
      <c r="J2446" s="270"/>
      <c r="K2446" s="270"/>
    </row>
    <row r="2447" spans="1:11" x14ac:dyDescent="0.35">
      <c r="A2447" s="271" t="s">
        <v>312</v>
      </c>
      <c r="B2447" s="272"/>
      <c r="C2447" s="272"/>
      <c r="D2447" s="272"/>
      <c r="E2447" s="272"/>
      <c r="G2447" s="271" t="s">
        <v>312</v>
      </c>
      <c r="H2447" s="272"/>
      <c r="I2447" s="272"/>
      <c r="J2447" s="272"/>
      <c r="K2447" s="272"/>
    </row>
    <row r="2448" spans="1:11" x14ac:dyDescent="0.35">
      <c r="A2448" s="231" t="s">
        <v>34</v>
      </c>
      <c r="B2448" s="230">
        <f>SUM(B2442:B2447)</f>
        <v>2300</v>
      </c>
      <c r="C2448" s="230">
        <f>SUM(C2442:C2447)</f>
        <v>0</v>
      </c>
      <c r="D2448" s="230">
        <f>SUM(D2442:D2447)</f>
        <v>0</v>
      </c>
      <c r="E2448" s="230">
        <f>SUM(E2442:E2447)</f>
        <v>0</v>
      </c>
      <c r="G2448" s="231" t="s">
        <v>34</v>
      </c>
      <c r="H2448" s="230">
        <f>SUM(H2442:H2447)</f>
        <v>0</v>
      </c>
      <c r="I2448" s="230">
        <f>SUM(I2442:I2447)</f>
        <v>0</v>
      </c>
      <c r="J2448" s="230">
        <f>SUM(J2442:J2447)</f>
        <v>0</v>
      </c>
      <c r="K2448" s="230">
        <f>SUM(K2442:K2447)</f>
        <v>0</v>
      </c>
    </row>
    <row r="2449" spans="1:11" ht="15" thickBot="1" x14ac:dyDescent="0.4">
      <c r="A2449" s="231" t="s">
        <v>313</v>
      </c>
      <c r="B2449" s="230">
        <f>+B2448+C2448+D2448+E2448</f>
        <v>2300</v>
      </c>
      <c r="C2449" s="230"/>
      <c r="D2449" s="230"/>
      <c r="E2449" s="230"/>
      <c r="G2449" s="231" t="s">
        <v>313</v>
      </c>
      <c r="H2449" s="230">
        <f>+H2448+I2448+J2448+K2448</f>
        <v>0</v>
      </c>
      <c r="I2449" s="230"/>
      <c r="J2449" s="230"/>
      <c r="K2449" s="230"/>
    </row>
    <row r="2450" spans="1:11" ht="15.5" thickTop="1" thickBot="1" x14ac:dyDescent="0.4">
      <c r="A2450" s="335" t="s">
        <v>298</v>
      </c>
      <c r="B2450" s="336"/>
      <c r="C2450" s="336"/>
      <c r="D2450" s="336"/>
      <c r="E2450" s="337"/>
      <c r="G2450" s="335" t="s">
        <v>298</v>
      </c>
      <c r="H2450" s="336"/>
      <c r="I2450" s="336"/>
      <c r="J2450" s="336"/>
      <c r="K2450" s="337"/>
    </row>
    <row r="2451" spans="1:11" ht="15.5" thickTop="1" thickBot="1" x14ac:dyDescent="0.4">
      <c r="A2451" s="338">
        <v>45513</v>
      </c>
      <c r="B2451" s="336"/>
      <c r="C2451" s="336"/>
      <c r="D2451" s="336"/>
      <c r="E2451" s="337"/>
      <c r="G2451" s="338">
        <v>45513</v>
      </c>
      <c r="H2451" s="336"/>
      <c r="I2451" s="336"/>
      <c r="J2451" s="336"/>
      <c r="K2451" s="337"/>
    </row>
    <row r="2452" spans="1:11" ht="15" thickTop="1" x14ac:dyDescent="0.35">
      <c r="A2452" s="267" t="s">
        <v>159</v>
      </c>
      <c r="B2452" s="267" t="s">
        <v>299</v>
      </c>
      <c r="C2452" s="267" t="s">
        <v>307</v>
      </c>
      <c r="D2452" s="267" t="s">
        <v>301</v>
      </c>
      <c r="E2452" s="268" t="s">
        <v>308</v>
      </c>
      <c r="G2452" s="267" t="s">
        <v>159</v>
      </c>
      <c r="H2452" s="267" t="s">
        <v>299</v>
      </c>
      <c r="I2452" s="267" t="s">
        <v>307</v>
      </c>
      <c r="J2452" s="267" t="s">
        <v>301</v>
      </c>
      <c r="K2452" s="268" t="s">
        <v>308</v>
      </c>
    </row>
    <row r="2453" spans="1:11" x14ac:dyDescent="0.35">
      <c r="A2453" s="269" t="s">
        <v>316</v>
      </c>
      <c r="B2453" s="270"/>
      <c r="C2453" s="270"/>
      <c r="D2453" s="270"/>
      <c r="E2453" s="270"/>
      <c r="G2453" s="269" t="s">
        <v>316</v>
      </c>
      <c r="H2453" s="270"/>
      <c r="I2453" s="270"/>
      <c r="J2453" s="270"/>
      <c r="K2453" s="270"/>
    </row>
    <row r="2454" spans="1:11" x14ac:dyDescent="0.35">
      <c r="A2454" s="271" t="s">
        <v>309</v>
      </c>
      <c r="B2454" s="272"/>
      <c r="C2454" s="272"/>
      <c r="D2454" s="272"/>
      <c r="E2454" s="272"/>
      <c r="G2454" s="271" t="s">
        <v>309</v>
      </c>
      <c r="H2454" s="272"/>
      <c r="I2454" s="272"/>
      <c r="J2454" s="272"/>
      <c r="K2454" s="272"/>
    </row>
    <row r="2455" spans="1:11" x14ac:dyDescent="0.35">
      <c r="A2455" s="269" t="s">
        <v>310</v>
      </c>
      <c r="B2455" s="270"/>
      <c r="C2455" s="270"/>
      <c r="D2455" s="270"/>
      <c r="E2455" s="270"/>
      <c r="G2455" s="269" t="s">
        <v>310</v>
      </c>
      <c r="H2455" s="270"/>
      <c r="I2455" s="270"/>
      <c r="J2455" s="270"/>
      <c r="K2455" s="270"/>
    </row>
    <row r="2456" spans="1:11" x14ac:dyDescent="0.35">
      <c r="A2456" s="271" t="s">
        <v>317</v>
      </c>
      <c r="B2456" s="272"/>
      <c r="C2456" s="272"/>
      <c r="D2456" s="272"/>
      <c r="E2456" s="272"/>
      <c r="G2456" s="271" t="s">
        <v>317</v>
      </c>
      <c r="H2456" s="272"/>
      <c r="I2456" s="272"/>
      <c r="J2456" s="272"/>
      <c r="K2456" s="272"/>
    </row>
    <row r="2457" spans="1:11" x14ac:dyDescent="0.35">
      <c r="A2457" s="269" t="s">
        <v>311</v>
      </c>
      <c r="B2457" s="270"/>
      <c r="C2457" s="270"/>
      <c r="D2457" s="270"/>
      <c r="E2457" s="270"/>
      <c r="G2457" s="269" t="s">
        <v>311</v>
      </c>
      <c r="H2457" s="270"/>
      <c r="I2457" s="270"/>
      <c r="J2457" s="270"/>
      <c r="K2457" s="270"/>
    </row>
    <row r="2458" spans="1:11" x14ac:dyDescent="0.35">
      <c r="A2458" s="271" t="s">
        <v>312</v>
      </c>
      <c r="B2458" s="272">
        <v>7700</v>
      </c>
      <c r="C2458" s="272"/>
      <c r="D2458" s="272"/>
      <c r="E2458" s="272"/>
      <c r="G2458" s="271" t="s">
        <v>312</v>
      </c>
      <c r="H2458" s="272"/>
      <c r="I2458" s="272"/>
      <c r="J2458" s="272"/>
      <c r="K2458" s="272"/>
    </row>
    <row r="2459" spans="1:11" x14ac:dyDescent="0.35">
      <c r="A2459" s="231" t="s">
        <v>34</v>
      </c>
      <c r="B2459" s="230">
        <f>SUM(B2453:B2458)</f>
        <v>7700</v>
      </c>
      <c r="C2459" s="230">
        <f>SUM(C2453:C2458)</f>
        <v>0</v>
      </c>
      <c r="D2459" s="230">
        <f>SUM(D2453:D2458)</f>
        <v>0</v>
      </c>
      <c r="E2459" s="230">
        <f>SUM(E2453:E2458)</f>
        <v>0</v>
      </c>
      <c r="G2459" s="231" t="s">
        <v>34</v>
      </c>
      <c r="H2459" s="230">
        <f>SUM(H2453:H2458)</f>
        <v>0</v>
      </c>
      <c r="I2459" s="230">
        <f>SUM(I2453:I2458)</f>
        <v>0</v>
      </c>
      <c r="J2459" s="230">
        <f>SUM(J2453:J2458)</f>
        <v>0</v>
      </c>
      <c r="K2459" s="230">
        <f>SUM(K2453:K2458)</f>
        <v>0</v>
      </c>
    </row>
    <row r="2460" spans="1:11" ht="15" thickBot="1" x14ac:dyDescent="0.4">
      <c r="A2460" s="231" t="s">
        <v>313</v>
      </c>
      <c r="B2460" s="230">
        <f>+B2459+C2459+D2459+E2459</f>
        <v>7700</v>
      </c>
      <c r="C2460" s="230"/>
      <c r="D2460" s="230"/>
      <c r="E2460" s="230"/>
      <c r="G2460" s="231" t="s">
        <v>313</v>
      </c>
      <c r="H2460" s="230">
        <f>+H2459+I2459+J2459+K2459</f>
        <v>0</v>
      </c>
      <c r="I2460" s="230"/>
      <c r="J2460" s="230"/>
      <c r="K2460" s="230"/>
    </row>
    <row r="2461" spans="1:11" ht="15.5" thickTop="1" thickBot="1" x14ac:dyDescent="0.4">
      <c r="A2461" s="335" t="s">
        <v>298</v>
      </c>
      <c r="B2461" s="336"/>
      <c r="C2461" s="336"/>
      <c r="D2461" s="336"/>
      <c r="E2461" s="337"/>
      <c r="G2461" s="335" t="s">
        <v>298</v>
      </c>
      <c r="H2461" s="336"/>
      <c r="I2461" s="336"/>
      <c r="J2461" s="336"/>
      <c r="K2461" s="337"/>
    </row>
    <row r="2462" spans="1:11" ht="15.5" thickTop="1" thickBot="1" x14ac:dyDescent="0.4">
      <c r="A2462" s="338">
        <v>45514</v>
      </c>
      <c r="B2462" s="336"/>
      <c r="C2462" s="336"/>
      <c r="D2462" s="336"/>
      <c r="E2462" s="337"/>
      <c r="G2462" s="338">
        <v>45514</v>
      </c>
      <c r="H2462" s="336"/>
      <c r="I2462" s="336"/>
      <c r="J2462" s="336"/>
      <c r="K2462" s="337"/>
    </row>
    <row r="2463" spans="1:11" ht="15" thickTop="1" x14ac:dyDescent="0.35">
      <c r="A2463" s="267" t="s">
        <v>159</v>
      </c>
      <c r="B2463" s="267" t="s">
        <v>299</v>
      </c>
      <c r="C2463" s="267" t="s">
        <v>307</v>
      </c>
      <c r="D2463" s="267" t="s">
        <v>301</v>
      </c>
      <c r="E2463" s="268" t="s">
        <v>308</v>
      </c>
      <c r="G2463" s="267" t="s">
        <v>159</v>
      </c>
      <c r="H2463" s="267" t="s">
        <v>299</v>
      </c>
      <c r="I2463" s="267" t="s">
        <v>307</v>
      </c>
      <c r="J2463" s="267" t="s">
        <v>301</v>
      </c>
      <c r="K2463" s="268" t="s">
        <v>308</v>
      </c>
    </row>
    <row r="2464" spans="1:11" x14ac:dyDescent="0.35">
      <c r="A2464" s="269" t="s">
        <v>345</v>
      </c>
      <c r="B2464" s="270">
        <v>2500</v>
      </c>
      <c r="C2464" s="270"/>
      <c r="D2464" s="270"/>
      <c r="E2464" s="270"/>
      <c r="G2464" s="269" t="s">
        <v>345</v>
      </c>
      <c r="H2464" s="270">
        <v>1400</v>
      </c>
      <c r="I2464" s="270"/>
      <c r="J2464" s="270"/>
      <c r="K2464" s="270"/>
    </row>
    <row r="2465" spans="1:11" x14ac:dyDescent="0.35">
      <c r="A2465" s="271" t="s">
        <v>345</v>
      </c>
      <c r="B2465" s="272">
        <v>1700</v>
      </c>
      <c r="C2465" s="272"/>
      <c r="D2465" s="272"/>
      <c r="E2465" s="272"/>
      <c r="G2465" s="271" t="s">
        <v>316</v>
      </c>
      <c r="H2465" s="272">
        <v>1200</v>
      </c>
      <c r="I2465" s="272"/>
      <c r="J2465" s="272"/>
      <c r="K2465" s="272"/>
    </row>
    <row r="2466" spans="1:11" x14ac:dyDescent="0.35">
      <c r="A2466" s="269" t="s">
        <v>310</v>
      </c>
      <c r="B2466" s="270"/>
      <c r="C2466" s="270"/>
      <c r="D2466" s="270"/>
      <c r="E2466" s="270"/>
      <c r="G2466" s="269" t="s">
        <v>310</v>
      </c>
      <c r="H2466" s="270"/>
      <c r="I2466" s="270"/>
      <c r="J2466" s="270"/>
      <c r="K2466" s="270"/>
    </row>
    <row r="2467" spans="1:11" x14ac:dyDescent="0.35">
      <c r="A2467" s="271" t="s">
        <v>317</v>
      </c>
      <c r="B2467" s="272"/>
      <c r="C2467" s="272"/>
      <c r="D2467" s="272"/>
      <c r="E2467" s="272"/>
      <c r="G2467" s="271" t="s">
        <v>317</v>
      </c>
      <c r="H2467" s="272"/>
      <c r="I2467" s="272"/>
      <c r="J2467" s="272"/>
      <c r="K2467" s="272"/>
    </row>
    <row r="2468" spans="1:11" x14ac:dyDescent="0.35">
      <c r="A2468" s="269" t="s">
        <v>311</v>
      </c>
      <c r="B2468" s="270"/>
      <c r="C2468" s="270"/>
      <c r="D2468" s="270"/>
      <c r="E2468" s="270"/>
      <c r="G2468" s="269" t="s">
        <v>311</v>
      </c>
      <c r="H2468" s="270"/>
      <c r="I2468" s="270"/>
      <c r="J2468" s="270"/>
      <c r="K2468" s="270"/>
    </row>
    <row r="2469" spans="1:11" x14ac:dyDescent="0.35">
      <c r="A2469" s="271" t="s">
        <v>312</v>
      </c>
      <c r="B2469" s="272">
        <v>2680</v>
      </c>
      <c r="C2469" s="272"/>
      <c r="D2469" s="272"/>
      <c r="E2469" s="272"/>
      <c r="G2469" s="271" t="s">
        <v>312</v>
      </c>
      <c r="H2469" s="272"/>
      <c r="I2469" s="272"/>
      <c r="J2469" s="272"/>
      <c r="K2469" s="272"/>
    </row>
    <row r="2470" spans="1:11" x14ac:dyDescent="0.35">
      <c r="A2470" s="231" t="s">
        <v>34</v>
      </c>
      <c r="B2470" s="230">
        <f>SUM(B2464:B2469)</f>
        <v>6880</v>
      </c>
      <c r="C2470" s="230">
        <f>SUM(C2464:C2469)</f>
        <v>0</v>
      </c>
      <c r="D2470" s="230">
        <f>SUM(D2464:D2469)</f>
        <v>0</v>
      </c>
      <c r="E2470" s="230">
        <f>SUM(E2464:E2469)</f>
        <v>0</v>
      </c>
      <c r="G2470" s="231" t="s">
        <v>34</v>
      </c>
      <c r="H2470" s="230">
        <f>SUM(H2464:H2469)</f>
        <v>2600</v>
      </c>
      <c r="I2470" s="230">
        <f>SUM(I2464:I2469)</f>
        <v>0</v>
      </c>
      <c r="J2470" s="230">
        <f>SUM(J2464:J2469)</f>
        <v>0</v>
      </c>
      <c r="K2470" s="230">
        <f>SUM(K2464:K2469)</f>
        <v>0</v>
      </c>
    </row>
    <row r="2471" spans="1:11" ht="15" thickBot="1" x14ac:dyDescent="0.4">
      <c r="A2471" s="231" t="s">
        <v>313</v>
      </c>
      <c r="B2471" s="230">
        <f>+B2470+C2470+D2470+E2470</f>
        <v>6880</v>
      </c>
      <c r="C2471" s="230"/>
      <c r="D2471" s="230"/>
      <c r="E2471" s="230"/>
      <c r="G2471" s="231" t="s">
        <v>313</v>
      </c>
      <c r="H2471" s="230">
        <f>+H2470+I2470+J2470+K2470</f>
        <v>2600</v>
      </c>
      <c r="I2471" s="230"/>
      <c r="J2471" s="230"/>
      <c r="K2471" s="230"/>
    </row>
    <row r="2472" spans="1:11" ht="15.5" thickTop="1" thickBot="1" x14ac:dyDescent="0.4">
      <c r="A2472" s="335" t="s">
        <v>298</v>
      </c>
      <c r="B2472" s="336"/>
      <c r="C2472" s="336"/>
      <c r="D2472" s="336"/>
      <c r="E2472" s="337"/>
      <c r="G2472" s="335" t="s">
        <v>298</v>
      </c>
      <c r="H2472" s="336"/>
      <c r="I2472" s="336"/>
      <c r="J2472" s="336"/>
      <c r="K2472" s="337"/>
    </row>
    <row r="2473" spans="1:11" ht="15.5" thickTop="1" thickBot="1" x14ac:dyDescent="0.4">
      <c r="A2473" s="338">
        <v>45515</v>
      </c>
      <c r="B2473" s="336"/>
      <c r="C2473" s="336"/>
      <c r="D2473" s="336"/>
      <c r="E2473" s="337"/>
      <c r="G2473" s="338">
        <v>45515</v>
      </c>
      <c r="H2473" s="336"/>
      <c r="I2473" s="336"/>
      <c r="J2473" s="336"/>
      <c r="K2473" s="337"/>
    </row>
    <row r="2474" spans="1:11" ht="15" thickTop="1" x14ac:dyDescent="0.35">
      <c r="A2474" s="267" t="s">
        <v>159</v>
      </c>
      <c r="B2474" s="267" t="s">
        <v>299</v>
      </c>
      <c r="C2474" s="267" t="s">
        <v>307</v>
      </c>
      <c r="D2474" s="267" t="s">
        <v>301</v>
      </c>
      <c r="E2474" s="268" t="s">
        <v>308</v>
      </c>
      <c r="G2474" s="267" t="s">
        <v>159</v>
      </c>
      <c r="H2474" s="267" t="s">
        <v>299</v>
      </c>
      <c r="I2474" s="267" t="s">
        <v>307</v>
      </c>
      <c r="J2474" s="267" t="s">
        <v>301</v>
      </c>
      <c r="K2474" s="268" t="s">
        <v>308</v>
      </c>
    </row>
    <row r="2475" spans="1:11" x14ac:dyDescent="0.35">
      <c r="A2475" s="269" t="s">
        <v>345</v>
      </c>
      <c r="B2475" s="270"/>
      <c r="C2475" s="270"/>
      <c r="D2475" s="270"/>
      <c r="E2475" s="270"/>
      <c r="G2475" s="269" t="s">
        <v>345</v>
      </c>
      <c r="H2475" s="270"/>
      <c r="I2475" s="270"/>
      <c r="J2475" s="270"/>
      <c r="K2475" s="270"/>
    </row>
    <row r="2476" spans="1:11" x14ac:dyDescent="0.35">
      <c r="A2476" s="271" t="s">
        <v>345</v>
      </c>
      <c r="B2476" s="272"/>
      <c r="C2476" s="272"/>
      <c r="D2476" s="272"/>
      <c r="E2476" s="272"/>
      <c r="G2476" s="271" t="s">
        <v>316</v>
      </c>
      <c r="H2476" s="272"/>
      <c r="I2476" s="272"/>
      <c r="J2476" s="272"/>
      <c r="K2476" s="272"/>
    </row>
    <row r="2477" spans="1:11" x14ac:dyDescent="0.35">
      <c r="A2477" s="269" t="s">
        <v>310</v>
      </c>
      <c r="B2477" s="270"/>
      <c r="C2477" s="270"/>
      <c r="D2477" s="270"/>
      <c r="E2477" s="270"/>
      <c r="G2477" s="269" t="s">
        <v>310</v>
      </c>
      <c r="H2477" s="270"/>
      <c r="I2477" s="270"/>
      <c r="J2477" s="270"/>
      <c r="K2477" s="270"/>
    </row>
    <row r="2478" spans="1:11" x14ac:dyDescent="0.35">
      <c r="A2478" s="271" t="s">
        <v>317</v>
      </c>
      <c r="B2478" s="272"/>
      <c r="C2478" s="272"/>
      <c r="D2478" s="272"/>
      <c r="E2478" s="272"/>
      <c r="G2478" s="271" t="s">
        <v>317</v>
      </c>
      <c r="H2478" s="272"/>
      <c r="I2478" s="272"/>
      <c r="J2478" s="272"/>
      <c r="K2478" s="272"/>
    </row>
    <row r="2479" spans="1:11" x14ac:dyDescent="0.35">
      <c r="A2479" s="269" t="s">
        <v>311</v>
      </c>
      <c r="B2479" s="270"/>
      <c r="C2479" s="270"/>
      <c r="D2479" s="270"/>
      <c r="E2479" s="270"/>
      <c r="G2479" s="269" t="s">
        <v>311</v>
      </c>
      <c r="H2479" s="270"/>
      <c r="I2479" s="270"/>
      <c r="J2479" s="270"/>
      <c r="K2479" s="270"/>
    </row>
    <row r="2480" spans="1:11" x14ac:dyDescent="0.35">
      <c r="A2480" s="271" t="s">
        <v>312</v>
      </c>
      <c r="B2480" s="272">
        <v>1800</v>
      </c>
      <c r="C2480" s="272"/>
      <c r="D2480" s="272"/>
      <c r="E2480" s="272"/>
      <c r="G2480" s="271" t="s">
        <v>312</v>
      </c>
      <c r="H2480" s="272"/>
      <c r="I2480" s="272"/>
      <c r="J2480" s="272"/>
      <c r="K2480" s="272"/>
    </row>
    <row r="2481" spans="1:11" x14ac:dyDescent="0.35">
      <c r="A2481" s="231" t="s">
        <v>34</v>
      </c>
      <c r="B2481" s="230">
        <f>SUM(B2475:B2480)</f>
        <v>1800</v>
      </c>
      <c r="C2481" s="230">
        <f>SUM(C2475:C2480)</f>
        <v>0</v>
      </c>
      <c r="D2481" s="230">
        <f>SUM(D2475:D2480)</f>
        <v>0</v>
      </c>
      <c r="E2481" s="230">
        <f>SUM(E2475:E2480)</f>
        <v>0</v>
      </c>
      <c r="G2481" s="231" t="s">
        <v>34</v>
      </c>
      <c r="H2481" s="230">
        <f>SUM(H2475:H2480)</f>
        <v>0</v>
      </c>
      <c r="I2481" s="230">
        <f>SUM(I2475:I2480)</f>
        <v>0</v>
      </c>
      <c r="J2481" s="230">
        <f>SUM(J2475:J2480)</f>
        <v>0</v>
      </c>
      <c r="K2481" s="230">
        <f>SUM(K2475:K2480)</f>
        <v>0</v>
      </c>
    </row>
    <row r="2482" spans="1:11" ht="15" thickBot="1" x14ac:dyDescent="0.4">
      <c r="A2482" s="231" t="s">
        <v>313</v>
      </c>
      <c r="B2482" s="230">
        <f>+B2481+C2481+D2481+E2481</f>
        <v>1800</v>
      </c>
      <c r="C2482" s="230"/>
      <c r="D2482" s="230"/>
      <c r="E2482" s="230"/>
      <c r="G2482" s="231" t="s">
        <v>313</v>
      </c>
      <c r="H2482" s="230">
        <f>+H2481+I2481+J2481+K2481</f>
        <v>0</v>
      </c>
      <c r="I2482" s="230"/>
      <c r="J2482" s="230"/>
      <c r="K2482" s="230"/>
    </row>
    <row r="2483" spans="1:11" ht="15.5" thickTop="1" thickBot="1" x14ac:dyDescent="0.4">
      <c r="A2483" s="335" t="s">
        <v>298</v>
      </c>
      <c r="B2483" s="336"/>
      <c r="C2483" s="336"/>
      <c r="D2483" s="336"/>
      <c r="E2483" s="337"/>
      <c r="G2483" s="335" t="s">
        <v>298</v>
      </c>
      <c r="H2483" s="336"/>
      <c r="I2483" s="336"/>
      <c r="J2483" s="336"/>
      <c r="K2483" s="337"/>
    </row>
    <row r="2484" spans="1:11" ht="15.5" thickTop="1" thickBot="1" x14ac:dyDescent="0.4">
      <c r="A2484" s="338">
        <v>45516</v>
      </c>
      <c r="B2484" s="336"/>
      <c r="C2484" s="336"/>
      <c r="D2484" s="336"/>
      <c r="E2484" s="337"/>
      <c r="G2484" s="338">
        <v>45516</v>
      </c>
      <c r="H2484" s="336"/>
      <c r="I2484" s="336"/>
      <c r="J2484" s="336"/>
      <c r="K2484" s="337"/>
    </row>
    <row r="2485" spans="1:11" ht="15" thickTop="1" x14ac:dyDescent="0.35">
      <c r="A2485" s="267" t="s">
        <v>159</v>
      </c>
      <c r="B2485" s="267" t="s">
        <v>299</v>
      </c>
      <c r="C2485" s="267" t="s">
        <v>307</v>
      </c>
      <c r="D2485" s="267" t="s">
        <v>301</v>
      </c>
      <c r="E2485" s="268" t="s">
        <v>308</v>
      </c>
      <c r="G2485" s="267" t="s">
        <v>159</v>
      </c>
      <c r="H2485" s="267" t="s">
        <v>299</v>
      </c>
      <c r="I2485" s="267" t="s">
        <v>307</v>
      </c>
      <c r="J2485" s="267" t="s">
        <v>301</v>
      </c>
      <c r="K2485" s="268" t="s">
        <v>308</v>
      </c>
    </row>
    <row r="2486" spans="1:11" x14ac:dyDescent="0.35">
      <c r="A2486" s="269" t="s">
        <v>316</v>
      </c>
      <c r="B2486" s="270"/>
      <c r="C2486" s="270"/>
      <c r="D2486" s="270"/>
      <c r="E2486" s="270"/>
      <c r="G2486" s="269" t="s">
        <v>316</v>
      </c>
      <c r="H2486" s="270"/>
      <c r="I2486" s="270"/>
      <c r="J2486" s="270"/>
      <c r="K2486" s="270"/>
    </row>
    <row r="2487" spans="1:11" x14ac:dyDescent="0.35">
      <c r="A2487" s="271" t="s">
        <v>309</v>
      </c>
      <c r="B2487" s="272"/>
      <c r="C2487" s="272"/>
      <c r="D2487" s="272"/>
      <c r="E2487" s="272"/>
      <c r="G2487" s="271" t="s">
        <v>309</v>
      </c>
      <c r="H2487" s="272"/>
      <c r="I2487" s="272"/>
      <c r="J2487" s="272"/>
      <c r="K2487" s="272"/>
    </row>
    <row r="2488" spans="1:11" x14ac:dyDescent="0.35">
      <c r="A2488" s="269" t="s">
        <v>310</v>
      </c>
      <c r="B2488" s="270">
        <v>110</v>
      </c>
      <c r="C2488" s="270"/>
      <c r="D2488" s="270"/>
      <c r="E2488" s="270"/>
      <c r="G2488" s="269" t="s">
        <v>310</v>
      </c>
      <c r="H2488" s="270"/>
      <c r="I2488" s="270"/>
      <c r="J2488" s="270"/>
      <c r="K2488" s="270"/>
    </row>
    <row r="2489" spans="1:11" x14ac:dyDescent="0.35">
      <c r="A2489" s="271" t="s">
        <v>317</v>
      </c>
      <c r="B2489" s="272"/>
      <c r="C2489" s="272"/>
      <c r="D2489" s="272"/>
      <c r="E2489" s="272"/>
      <c r="G2489" s="271" t="s">
        <v>317</v>
      </c>
      <c r="H2489" s="272"/>
      <c r="I2489" s="272"/>
      <c r="J2489" s="272"/>
      <c r="K2489" s="272"/>
    </row>
    <row r="2490" spans="1:11" x14ac:dyDescent="0.35">
      <c r="A2490" s="269" t="s">
        <v>311</v>
      </c>
      <c r="B2490" s="270"/>
      <c r="C2490" s="270"/>
      <c r="D2490" s="270"/>
      <c r="E2490" s="270"/>
      <c r="G2490" s="269" t="s">
        <v>311</v>
      </c>
      <c r="H2490" s="270"/>
      <c r="I2490" s="270"/>
      <c r="J2490" s="270"/>
      <c r="K2490" s="270"/>
    </row>
    <row r="2491" spans="1:11" x14ac:dyDescent="0.35">
      <c r="A2491" s="271" t="s">
        <v>312</v>
      </c>
      <c r="B2491" s="272"/>
      <c r="C2491" s="272"/>
      <c r="D2491" s="272"/>
      <c r="E2491" s="272"/>
      <c r="G2491" s="271" t="s">
        <v>312</v>
      </c>
      <c r="H2491" s="272"/>
      <c r="I2491" s="272"/>
      <c r="J2491" s="272"/>
      <c r="K2491" s="272"/>
    </row>
    <row r="2492" spans="1:11" x14ac:dyDescent="0.35">
      <c r="A2492" s="231" t="s">
        <v>34</v>
      </c>
      <c r="B2492" s="230">
        <f>SUM(B2486:B2491)</f>
        <v>110</v>
      </c>
      <c r="C2492" s="230">
        <f>SUM(C2486:C2491)</f>
        <v>0</v>
      </c>
      <c r="D2492" s="230">
        <f>SUM(D2486:D2491)</f>
        <v>0</v>
      </c>
      <c r="E2492" s="230">
        <f>SUM(E2486:E2491)</f>
        <v>0</v>
      </c>
      <c r="G2492" s="231" t="s">
        <v>34</v>
      </c>
      <c r="H2492" s="230">
        <f>SUM(H2486:H2491)</f>
        <v>0</v>
      </c>
      <c r="I2492" s="230">
        <f>SUM(I2486:I2491)</f>
        <v>0</v>
      </c>
      <c r="J2492" s="230">
        <f>SUM(J2486:J2491)</f>
        <v>0</v>
      </c>
      <c r="K2492" s="230">
        <f>SUM(K2486:K2491)</f>
        <v>0</v>
      </c>
    </row>
    <row r="2493" spans="1:11" ht="15" thickBot="1" x14ac:dyDescent="0.4">
      <c r="A2493" s="231" t="s">
        <v>313</v>
      </c>
      <c r="B2493" s="230">
        <f>+B2492+C2492+D2492+E2492</f>
        <v>110</v>
      </c>
      <c r="C2493" s="230"/>
      <c r="D2493" s="230"/>
      <c r="E2493" s="230"/>
      <c r="G2493" s="231" t="s">
        <v>313</v>
      </c>
      <c r="H2493" s="230">
        <f>+H2492+I2492+J2492+K2492</f>
        <v>0</v>
      </c>
      <c r="I2493" s="230"/>
      <c r="J2493" s="230"/>
      <c r="K2493" s="230"/>
    </row>
    <row r="2494" spans="1:11" ht="15.5" thickTop="1" thickBot="1" x14ac:dyDescent="0.4">
      <c r="A2494" s="335" t="s">
        <v>298</v>
      </c>
      <c r="B2494" s="336"/>
      <c r="C2494" s="336"/>
      <c r="D2494" s="336"/>
      <c r="E2494" s="337"/>
      <c r="G2494" s="335" t="s">
        <v>298</v>
      </c>
      <c r="H2494" s="336"/>
      <c r="I2494" s="336"/>
      <c r="J2494" s="336"/>
      <c r="K2494" s="337"/>
    </row>
    <row r="2495" spans="1:11" ht="15.5" thickTop="1" thickBot="1" x14ac:dyDescent="0.4">
      <c r="A2495" s="338">
        <v>45517</v>
      </c>
      <c r="B2495" s="336"/>
      <c r="C2495" s="336"/>
      <c r="D2495" s="336"/>
      <c r="E2495" s="337"/>
      <c r="G2495" s="338">
        <v>45517</v>
      </c>
      <c r="H2495" s="336"/>
      <c r="I2495" s="336"/>
      <c r="J2495" s="336"/>
      <c r="K2495" s="337"/>
    </row>
    <row r="2496" spans="1:11" ht="15" thickTop="1" x14ac:dyDescent="0.35">
      <c r="A2496" s="267" t="s">
        <v>159</v>
      </c>
      <c r="B2496" s="267" t="s">
        <v>299</v>
      </c>
      <c r="C2496" s="267" t="s">
        <v>307</v>
      </c>
      <c r="D2496" s="267" t="s">
        <v>301</v>
      </c>
      <c r="E2496" s="268" t="s">
        <v>308</v>
      </c>
      <c r="G2496" s="267" t="s">
        <v>159</v>
      </c>
      <c r="H2496" s="267" t="s">
        <v>299</v>
      </c>
      <c r="I2496" s="267" t="s">
        <v>307</v>
      </c>
      <c r="J2496" s="267" t="s">
        <v>301</v>
      </c>
      <c r="K2496" s="268" t="s">
        <v>308</v>
      </c>
    </row>
    <row r="2497" spans="1:11" x14ac:dyDescent="0.35">
      <c r="A2497" s="269" t="s">
        <v>316</v>
      </c>
      <c r="B2497" s="270"/>
      <c r="C2497" s="270"/>
      <c r="D2497" s="270"/>
      <c r="E2497" s="270"/>
      <c r="G2497" s="269" t="s">
        <v>316</v>
      </c>
      <c r="H2497" s="270"/>
      <c r="I2497" s="270"/>
      <c r="J2497" s="270"/>
      <c r="K2497" s="270"/>
    </row>
    <row r="2498" spans="1:11" x14ac:dyDescent="0.35">
      <c r="A2498" s="271" t="s">
        <v>309</v>
      </c>
      <c r="B2498" s="272"/>
      <c r="C2498" s="272"/>
      <c r="D2498" s="272"/>
      <c r="E2498" s="272"/>
      <c r="G2498" s="271" t="s">
        <v>309</v>
      </c>
      <c r="H2498" s="272"/>
      <c r="I2498" s="272"/>
      <c r="J2498" s="272"/>
      <c r="K2498" s="272"/>
    </row>
    <row r="2499" spans="1:11" x14ac:dyDescent="0.35">
      <c r="A2499" s="269" t="s">
        <v>310</v>
      </c>
      <c r="B2499" s="270"/>
      <c r="C2499" s="270"/>
      <c r="D2499" s="270"/>
      <c r="E2499" s="270"/>
      <c r="G2499" s="269" t="s">
        <v>310</v>
      </c>
      <c r="H2499" s="270"/>
      <c r="I2499" s="270"/>
      <c r="J2499" s="270"/>
      <c r="K2499" s="270"/>
    </row>
    <row r="2500" spans="1:11" x14ac:dyDescent="0.35">
      <c r="A2500" s="271" t="s">
        <v>317</v>
      </c>
      <c r="B2500" s="272"/>
      <c r="C2500" s="272"/>
      <c r="D2500" s="272"/>
      <c r="E2500" s="272"/>
      <c r="G2500" s="271" t="s">
        <v>317</v>
      </c>
      <c r="H2500" s="272"/>
      <c r="I2500" s="272"/>
      <c r="J2500" s="272"/>
      <c r="K2500" s="272"/>
    </row>
    <row r="2501" spans="1:11" x14ac:dyDescent="0.35">
      <c r="A2501" s="269" t="s">
        <v>311</v>
      </c>
      <c r="B2501" s="270"/>
      <c r="C2501" s="270"/>
      <c r="D2501" s="270"/>
      <c r="E2501" s="270"/>
      <c r="G2501" s="269" t="s">
        <v>311</v>
      </c>
      <c r="H2501" s="270"/>
      <c r="I2501" s="270"/>
      <c r="J2501" s="270"/>
      <c r="K2501" s="270"/>
    </row>
    <row r="2502" spans="1:11" x14ac:dyDescent="0.35">
      <c r="A2502" s="271" t="s">
        <v>312</v>
      </c>
      <c r="B2502" s="272"/>
      <c r="C2502" s="272"/>
      <c r="D2502" s="272"/>
      <c r="E2502" s="272"/>
      <c r="G2502" s="271" t="s">
        <v>312</v>
      </c>
      <c r="H2502" s="272"/>
      <c r="I2502" s="272"/>
      <c r="J2502" s="272"/>
      <c r="K2502" s="272"/>
    </row>
    <row r="2503" spans="1:11" x14ac:dyDescent="0.35">
      <c r="A2503" s="231" t="s">
        <v>34</v>
      </c>
      <c r="B2503" s="230">
        <f>SUM(B2497:B2502)</f>
        <v>0</v>
      </c>
      <c r="C2503" s="230">
        <f>SUM(C2497:C2502)</f>
        <v>0</v>
      </c>
      <c r="D2503" s="230">
        <f>SUM(D2497:D2502)</f>
        <v>0</v>
      </c>
      <c r="E2503" s="230">
        <f>SUM(E2497:E2502)</f>
        <v>0</v>
      </c>
      <c r="G2503" s="231" t="s">
        <v>34</v>
      </c>
      <c r="H2503" s="230">
        <f>SUM(H2497:H2502)</f>
        <v>0</v>
      </c>
      <c r="I2503" s="230">
        <f>SUM(I2497:I2502)</f>
        <v>0</v>
      </c>
      <c r="J2503" s="230">
        <f>SUM(J2497:J2502)</f>
        <v>0</v>
      </c>
      <c r="K2503" s="230">
        <f>SUM(K2497:K2502)</f>
        <v>0</v>
      </c>
    </row>
    <row r="2504" spans="1:11" ht="15" thickBot="1" x14ac:dyDescent="0.4">
      <c r="A2504" s="231" t="s">
        <v>313</v>
      </c>
      <c r="B2504" s="230">
        <f>+B2503+C2503+D2503+E2503</f>
        <v>0</v>
      </c>
      <c r="C2504" s="230"/>
      <c r="D2504" s="230"/>
      <c r="E2504" s="230"/>
      <c r="G2504" s="231" t="s">
        <v>313</v>
      </c>
      <c r="H2504" s="230">
        <f>+H2503+I2503+J2503+K2503</f>
        <v>0</v>
      </c>
      <c r="I2504" s="230"/>
      <c r="J2504" s="230"/>
      <c r="K2504" s="230"/>
    </row>
    <row r="2505" spans="1:11" ht="15.5" thickTop="1" thickBot="1" x14ac:dyDescent="0.4">
      <c r="A2505" s="335" t="s">
        <v>298</v>
      </c>
      <c r="B2505" s="336"/>
      <c r="C2505" s="336"/>
      <c r="D2505" s="336"/>
      <c r="E2505" s="337"/>
      <c r="G2505" s="335" t="s">
        <v>298</v>
      </c>
      <c r="H2505" s="336"/>
      <c r="I2505" s="336"/>
      <c r="J2505" s="336"/>
      <c r="K2505" s="337"/>
    </row>
    <row r="2506" spans="1:11" ht="15.5" thickTop="1" thickBot="1" x14ac:dyDescent="0.4">
      <c r="A2506" s="338">
        <v>45518</v>
      </c>
      <c r="B2506" s="336"/>
      <c r="C2506" s="336"/>
      <c r="D2506" s="336"/>
      <c r="E2506" s="337"/>
      <c r="G2506" s="338">
        <v>45518</v>
      </c>
      <c r="H2506" s="336"/>
      <c r="I2506" s="336"/>
      <c r="J2506" s="336"/>
      <c r="K2506" s="337"/>
    </row>
    <row r="2507" spans="1:11" ht="15" thickTop="1" x14ac:dyDescent="0.35">
      <c r="A2507" s="267" t="s">
        <v>159</v>
      </c>
      <c r="B2507" s="267" t="s">
        <v>299</v>
      </c>
      <c r="C2507" s="267" t="s">
        <v>307</v>
      </c>
      <c r="D2507" s="267" t="s">
        <v>301</v>
      </c>
      <c r="E2507" s="268" t="s">
        <v>308</v>
      </c>
      <c r="G2507" s="267" t="s">
        <v>159</v>
      </c>
      <c r="H2507" s="267" t="s">
        <v>299</v>
      </c>
      <c r="I2507" s="267" t="s">
        <v>307</v>
      </c>
      <c r="J2507" s="267" t="s">
        <v>301</v>
      </c>
      <c r="K2507" s="268" t="s">
        <v>308</v>
      </c>
    </row>
    <row r="2508" spans="1:11" x14ac:dyDescent="0.35">
      <c r="A2508" s="269" t="s">
        <v>316</v>
      </c>
      <c r="B2508" s="270"/>
      <c r="C2508" s="270"/>
      <c r="D2508" s="270"/>
      <c r="E2508" s="270"/>
      <c r="G2508" s="269" t="s">
        <v>316</v>
      </c>
      <c r="H2508" s="270"/>
      <c r="I2508" s="270"/>
      <c r="J2508" s="270"/>
      <c r="K2508" s="270"/>
    </row>
    <row r="2509" spans="1:11" x14ac:dyDescent="0.35">
      <c r="A2509" s="271" t="s">
        <v>309</v>
      </c>
      <c r="B2509" s="272"/>
      <c r="C2509" s="272"/>
      <c r="D2509" s="272"/>
      <c r="E2509" s="272"/>
      <c r="G2509" s="271" t="s">
        <v>309</v>
      </c>
      <c r="H2509" s="272"/>
      <c r="I2509" s="272"/>
      <c r="J2509" s="272"/>
      <c r="K2509" s="272"/>
    </row>
    <row r="2510" spans="1:11" x14ac:dyDescent="0.35">
      <c r="A2510" s="269" t="s">
        <v>310</v>
      </c>
      <c r="B2510" s="270"/>
      <c r="C2510" s="270"/>
      <c r="D2510" s="270"/>
      <c r="E2510" s="270"/>
      <c r="G2510" s="269" t="s">
        <v>310</v>
      </c>
      <c r="H2510" s="270"/>
      <c r="I2510" s="270"/>
      <c r="J2510" s="270"/>
      <c r="K2510" s="270"/>
    </row>
    <row r="2511" spans="1:11" x14ac:dyDescent="0.35">
      <c r="A2511" s="271" t="s">
        <v>317</v>
      </c>
      <c r="B2511" s="272"/>
      <c r="C2511" s="272"/>
      <c r="D2511" s="272"/>
      <c r="E2511" s="272"/>
      <c r="G2511" s="271" t="s">
        <v>317</v>
      </c>
      <c r="H2511" s="272"/>
      <c r="I2511" s="272"/>
      <c r="J2511" s="272"/>
      <c r="K2511" s="272"/>
    </row>
    <row r="2512" spans="1:11" x14ac:dyDescent="0.35">
      <c r="A2512" s="269" t="s">
        <v>311</v>
      </c>
      <c r="B2512" s="270"/>
      <c r="C2512" s="270"/>
      <c r="D2512" s="270"/>
      <c r="E2512" s="270"/>
      <c r="G2512" s="269" t="s">
        <v>311</v>
      </c>
      <c r="H2512" s="270"/>
      <c r="I2512" s="270"/>
      <c r="J2512" s="270"/>
      <c r="K2512" s="270"/>
    </row>
    <row r="2513" spans="1:11" x14ac:dyDescent="0.35">
      <c r="A2513" s="271" t="s">
        <v>312</v>
      </c>
      <c r="B2513" s="272"/>
      <c r="C2513" s="272"/>
      <c r="D2513" s="272"/>
      <c r="E2513" s="272"/>
      <c r="G2513" s="271" t="s">
        <v>312</v>
      </c>
      <c r="H2513" s="272"/>
      <c r="I2513" s="272"/>
      <c r="J2513" s="272"/>
      <c r="K2513" s="272"/>
    </row>
    <row r="2514" spans="1:11" x14ac:dyDescent="0.35">
      <c r="A2514" s="231" t="s">
        <v>34</v>
      </c>
      <c r="B2514" s="230">
        <f>SUM(B2508:B2513)</f>
        <v>0</v>
      </c>
      <c r="C2514" s="230">
        <f>SUM(C2508:C2513)</f>
        <v>0</v>
      </c>
      <c r="D2514" s="230">
        <f>SUM(D2508:D2513)</f>
        <v>0</v>
      </c>
      <c r="E2514" s="230">
        <f>SUM(E2508:E2513)</f>
        <v>0</v>
      </c>
      <c r="G2514" s="231" t="s">
        <v>34</v>
      </c>
      <c r="H2514" s="230">
        <f>SUM(H2508:H2513)</f>
        <v>0</v>
      </c>
      <c r="I2514" s="230">
        <f>SUM(I2508:I2513)</f>
        <v>0</v>
      </c>
      <c r="J2514" s="230">
        <f>SUM(J2508:J2513)</f>
        <v>0</v>
      </c>
      <c r="K2514" s="230">
        <f>SUM(K2508:K2513)</f>
        <v>0</v>
      </c>
    </row>
    <row r="2515" spans="1:11" ht="15" thickBot="1" x14ac:dyDescent="0.4">
      <c r="A2515" s="231" t="s">
        <v>313</v>
      </c>
      <c r="B2515" s="230">
        <f>+B2514+C2514+D2514+E2514</f>
        <v>0</v>
      </c>
      <c r="C2515" s="230"/>
      <c r="D2515" s="230"/>
      <c r="E2515" s="230"/>
      <c r="G2515" s="231" t="s">
        <v>313</v>
      </c>
      <c r="H2515" s="230">
        <f>+H2514+I2514+J2514+K2514</f>
        <v>0</v>
      </c>
      <c r="I2515" s="230"/>
      <c r="J2515" s="230"/>
      <c r="K2515" s="230"/>
    </row>
    <row r="2516" spans="1:11" ht="15.5" thickTop="1" thickBot="1" x14ac:dyDescent="0.4">
      <c r="A2516" s="335" t="s">
        <v>298</v>
      </c>
      <c r="B2516" s="336"/>
      <c r="C2516" s="336"/>
      <c r="D2516" s="336"/>
      <c r="E2516" s="337"/>
      <c r="G2516" s="335" t="s">
        <v>298</v>
      </c>
      <c r="H2516" s="336"/>
      <c r="I2516" s="336"/>
      <c r="J2516" s="336"/>
      <c r="K2516" s="337"/>
    </row>
    <row r="2517" spans="1:11" ht="15.5" thickTop="1" thickBot="1" x14ac:dyDescent="0.4">
      <c r="A2517" s="338">
        <v>45519</v>
      </c>
      <c r="B2517" s="336"/>
      <c r="C2517" s="336"/>
      <c r="D2517" s="336"/>
      <c r="E2517" s="337"/>
      <c r="G2517" s="338">
        <v>45519</v>
      </c>
      <c r="H2517" s="336"/>
      <c r="I2517" s="336"/>
      <c r="J2517" s="336"/>
      <c r="K2517" s="337"/>
    </row>
    <row r="2518" spans="1:11" ht="15" thickTop="1" x14ac:dyDescent="0.35">
      <c r="A2518" s="267" t="s">
        <v>159</v>
      </c>
      <c r="B2518" s="267" t="s">
        <v>299</v>
      </c>
      <c r="C2518" s="267" t="s">
        <v>307</v>
      </c>
      <c r="D2518" s="267" t="s">
        <v>301</v>
      </c>
      <c r="E2518" s="268" t="s">
        <v>308</v>
      </c>
      <c r="G2518" s="267" t="s">
        <v>159</v>
      </c>
      <c r="H2518" s="267" t="s">
        <v>299</v>
      </c>
      <c r="I2518" s="267" t="s">
        <v>307</v>
      </c>
      <c r="J2518" s="267" t="s">
        <v>301</v>
      </c>
      <c r="K2518" s="268" t="s">
        <v>308</v>
      </c>
    </row>
    <row r="2519" spans="1:11" x14ac:dyDescent="0.35">
      <c r="A2519" s="269" t="s">
        <v>316</v>
      </c>
      <c r="B2519" s="270"/>
      <c r="C2519" s="270"/>
      <c r="D2519" s="270"/>
      <c r="E2519" s="270"/>
      <c r="G2519" s="269" t="s">
        <v>316</v>
      </c>
      <c r="H2519" s="270"/>
      <c r="I2519" s="270"/>
      <c r="J2519" s="270"/>
      <c r="K2519" s="270"/>
    </row>
    <row r="2520" spans="1:11" x14ac:dyDescent="0.35">
      <c r="A2520" s="271" t="s">
        <v>309</v>
      </c>
      <c r="B2520" s="272"/>
      <c r="C2520" s="272"/>
      <c r="D2520" s="272"/>
      <c r="E2520" s="272"/>
      <c r="G2520" s="271" t="s">
        <v>309</v>
      </c>
      <c r="H2520" s="272"/>
      <c r="I2520" s="272"/>
      <c r="J2520" s="272"/>
      <c r="K2520" s="272"/>
    </row>
    <row r="2521" spans="1:11" x14ac:dyDescent="0.35">
      <c r="A2521" s="269" t="s">
        <v>310</v>
      </c>
      <c r="B2521" s="270">
        <v>3260</v>
      </c>
      <c r="C2521" s="270"/>
      <c r="D2521" s="270"/>
      <c r="E2521" s="270"/>
      <c r="G2521" s="269" t="s">
        <v>310</v>
      </c>
      <c r="H2521" s="270"/>
      <c r="I2521" s="270"/>
      <c r="J2521" s="270"/>
      <c r="K2521" s="270"/>
    </row>
    <row r="2522" spans="1:11" x14ac:dyDescent="0.35">
      <c r="A2522" s="271" t="s">
        <v>317</v>
      </c>
      <c r="B2522" s="272"/>
      <c r="C2522" s="272"/>
      <c r="D2522" s="272"/>
      <c r="E2522" s="272"/>
      <c r="G2522" s="271" t="s">
        <v>317</v>
      </c>
      <c r="H2522" s="272"/>
      <c r="I2522" s="272"/>
      <c r="J2522" s="272"/>
      <c r="K2522" s="272"/>
    </row>
    <row r="2523" spans="1:11" x14ac:dyDescent="0.35">
      <c r="A2523" s="269" t="s">
        <v>311</v>
      </c>
      <c r="B2523" s="270"/>
      <c r="C2523" s="270"/>
      <c r="D2523" s="270"/>
      <c r="E2523" s="270"/>
      <c r="G2523" s="269" t="s">
        <v>311</v>
      </c>
      <c r="H2523" s="270"/>
      <c r="I2523" s="270"/>
      <c r="J2523" s="270"/>
      <c r="K2523" s="270"/>
    </row>
    <row r="2524" spans="1:11" x14ac:dyDescent="0.35">
      <c r="A2524" s="271" t="s">
        <v>312</v>
      </c>
      <c r="B2524" s="272">
        <v>6120</v>
      </c>
      <c r="C2524" s="272"/>
      <c r="D2524" s="272"/>
      <c r="E2524" s="272"/>
      <c r="G2524" s="271" t="s">
        <v>312</v>
      </c>
      <c r="H2524" s="272"/>
      <c r="I2524" s="272"/>
      <c r="J2524" s="272"/>
      <c r="K2524" s="272"/>
    </row>
    <row r="2525" spans="1:11" x14ac:dyDescent="0.35">
      <c r="A2525" s="231" t="s">
        <v>34</v>
      </c>
      <c r="B2525" s="230">
        <f>SUM(B2519:B2524)</f>
        <v>9380</v>
      </c>
      <c r="C2525" s="230">
        <f>SUM(C2519:C2524)</f>
        <v>0</v>
      </c>
      <c r="D2525" s="230">
        <f>SUM(D2519:D2524)</f>
        <v>0</v>
      </c>
      <c r="E2525" s="230">
        <f>SUM(E2519:E2524)</f>
        <v>0</v>
      </c>
      <c r="G2525" s="231" t="s">
        <v>34</v>
      </c>
      <c r="H2525" s="230">
        <f>SUM(H2519:H2524)</f>
        <v>0</v>
      </c>
      <c r="I2525" s="230">
        <f>SUM(I2519:I2524)</f>
        <v>0</v>
      </c>
      <c r="J2525" s="230">
        <f>SUM(J2519:J2524)</f>
        <v>0</v>
      </c>
      <c r="K2525" s="230">
        <f>SUM(K2519:K2524)</f>
        <v>0</v>
      </c>
    </row>
    <row r="2526" spans="1:11" ht="15" thickBot="1" x14ac:dyDescent="0.4">
      <c r="A2526" s="231" t="s">
        <v>313</v>
      </c>
      <c r="B2526" s="230">
        <f>+B2525+C2525+D2525+E2525</f>
        <v>9380</v>
      </c>
      <c r="C2526" s="230"/>
      <c r="D2526" s="230"/>
      <c r="E2526" s="230"/>
      <c r="G2526" s="231" t="s">
        <v>313</v>
      </c>
      <c r="H2526" s="230">
        <f>+H2525+I2525+J2525+K2525</f>
        <v>0</v>
      </c>
      <c r="I2526" s="230"/>
      <c r="J2526" s="230"/>
      <c r="K2526" s="230"/>
    </row>
    <row r="2527" spans="1:11" ht="15.5" thickTop="1" thickBot="1" x14ac:dyDescent="0.4">
      <c r="A2527" s="335" t="s">
        <v>298</v>
      </c>
      <c r="B2527" s="336"/>
      <c r="C2527" s="336"/>
      <c r="D2527" s="336"/>
      <c r="E2527" s="337"/>
      <c r="G2527" s="335" t="s">
        <v>298</v>
      </c>
      <c r="H2527" s="336"/>
      <c r="I2527" s="336"/>
      <c r="J2527" s="336"/>
      <c r="K2527" s="337"/>
    </row>
    <row r="2528" spans="1:11" ht="15.5" thickTop="1" thickBot="1" x14ac:dyDescent="0.4">
      <c r="A2528" s="338">
        <v>45520</v>
      </c>
      <c r="B2528" s="336"/>
      <c r="C2528" s="336"/>
      <c r="D2528" s="336"/>
      <c r="E2528" s="337"/>
      <c r="G2528" s="338">
        <v>45520</v>
      </c>
      <c r="H2528" s="336"/>
      <c r="I2528" s="336"/>
      <c r="J2528" s="336"/>
      <c r="K2528" s="337"/>
    </row>
    <row r="2529" spans="1:11" ht="15" thickTop="1" x14ac:dyDescent="0.35">
      <c r="A2529" s="267" t="s">
        <v>159</v>
      </c>
      <c r="B2529" s="267" t="s">
        <v>299</v>
      </c>
      <c r="C2529" s="267" t="s">
        <v>307</v>
      </c>
      <c r="D2529" s="267" t="s">
        <v>301</v>
      </c>
      <c r="E2529" s="268" t="s">
        <v>308</v>
      </c>
      <c r="G2529" s="267" t="s">
        <v>159</v>
      </c>
      <c r="H2529" s="267" t="s">
        <v>299</v>
      </c>
      <c r="I2529" s="267" t="s">
        <v>307</v>
      </c>
      <c r="J2529" s="267" t="s">
        <v>301</v>
      </c>
      <c r="K2529" s="268" t="s">
        <v>308</v>
      </c>
    </row>
    <row r="2530" spans="1:11" x14ac:dyDescent="0.35">
      <c r="A2530" s="269" t="s">
        <v>316</v>
      </c>
      <c r="B2530" s="270">
        <v>200</v>
      </c>
      <c r="C2530" s="270"/>
      <c r="D2530" s="270"/>
      <c r="E2530" s="270"/>
      <c r="G2530" s="269" t="s">
        <v>316</v>
      </c>
      <c r="H2530" s="270"/>
      <c r="I2530" s="270"/>
      <c r="J2530" s="270"/>
      <c r="K2530" s="270"/>
    </row>
    <row r="2531" spans="1:11" x14ac:dyDescent="0.35">
      <c r="A2531" s="271" t="s">
        <v>309</v>
      </c>
      <c r="B2531" s="272"/>
      <c r="C2531" s="272"/>
      <c r="D2531" s="272"/>
      <c r="E2531" s="272"/>
      <c r="G2531" s="271" t="s">
        <v>309</v>
      </c>
      <c r="H2531" s="272"/>
      <c r="I2531" s="272"/>
      <c r="J2531" s="272"/>
      <c r="K2531" s="272"/>
    </row>
    <row r="2532" spans="1:11" x14ac:dyDescent="0.35">
      <c r="A2532" s="269" t="s">
        <v>310</v>
      </c>
      <c r="B2532" s="270"/>
      <c r="C2532" s="270"/>
      <c r="D2532" s="270"/>
      <c r="E2532" s="270"/>
      <c r="G2532" s="269" t="s">
        <v>310</v>
      </c>
      <c r="H2532" s="270"/>
      <c r="I2532" s="270"/>
      <c r="J2532" s="270"/>
      <c r="K2532" s="270"/>
    </row>
    <row r="2533" spans="1:11" x14ac:dyDescent="0.35">
      <c r="A2533" s="271" t="s">
        <v>317</v>
      </c>
      <c r="B2533" s="272"/>
      <c r="C2533" s="272"/>
      <c r="D2533" s="272"/>
      <c r="E2533" s="272"/>
      <c r="G2533" s="271" t="s">
        <v>317</v>
      </c>
      <c r="H2533" s="272"/>
      <c r="I2533" s="272"/>
      <c r="J2533" s="272"/>
      <c r="K2533" s="272"/>
    </row>
    <row r="2534" spans="1:11" x14ac:dyDescent="0.35">
      <c r="A2534" s="269" t="s">
        <v>311</v>
      </c>
      <c r="B2534" s="270"/>
      <c r="C2534" s="270"/>
      <c r="D2534" s="270"/>
      <c r="E2534" s="270"/>
      <c r="G2534" s="269" t="s">
        <v>311</v>
      </c>
      <c r="H2534" s="270"/>
      <c r="I2534" s="270"/>
      <c r="J2534" s="270"/>
      <c r="K2534" s="270"/>
    </row>
    <row r="2535" spans="1:11" x14ac:dyDescent="0.35">
      <c r="A2535" s="271" t="s">
        <v>312</v>
      </c>
      <c r="B2535" s="272"/>
      <c r="C2535" s="272"/>
      <c r="D2535" s="272"/>
      <c r="E2535" s="272"/>
      <c r="G2535" s="271" t="s">
        <v>312</v>
      </c>
      <c r="H2535" s="272"/>
      <c r="I2535" s="272"/>
      <c r="J2535" s="272"/>
      <c r="K2535" s="272"/>
    </row>
    <row r="2536" spans="1:11" x14ac:dyDescent="0.35">
      <c r="A2536" s="231" t="s">
        <v>34</v>
      </c>
      <c r="B2536" s="230">
        <f>SUM(B2530:B2535)</f>
        <v>200</v>
      </c>
      <c r="C2536" s="230">
        <f>SUM(C2530:C2535)</f>
        <v>0</v>
      </c>
      <c r="D2536" s="230">
        <f>SUM(D2530:D2535)</f>
        <v>0</v>
      </c>
      <c r="E2536" s="230">
        <f>SUM(E2530:E2535)</f>
        <v>0</v>
      </c>
      <c r="G2536" s="231" t="s">
        <v>34</v>
      </c>
      <c r="H2536" s="230">
        <f>SUM(H2530:H2535)</f>
        <v>0</v>
      </c>
      <c r="I2536" s="230">
        <f>SUM(I2530:I2535)</f>
        <v>0</v>
      </c>
      <c r="J2536" s="230">
        <f>SUM(J2530:J2535)</f>
        <v>0</v>
      </c>
      <c r="K2536" s="230">
        <f>SUM(K2530:K2535)</f>
        <v>0</v>
      </c>
    </row>
    <row r="2537" spans="1:11" ht="15" thickBot="1" x14ac:dyDescent="0.4">
      <c r="A2537" s="231" t="s">
        <v>313</v>
      </c>
      <c r="B2537" s="230">
        <f>+B2536+C2536+D2536+E2536</f>
        <v>200</v>
      </c>
      <c r="C2537" s="230"/>
      <c r="D2537" s="230"/>
      <c r="E2537" s="230"/>
      <c r="G2537" s="231" t="s">
        <v>313</v>
      </c>
      <c r="H2537" s="230">
        <f>+H2536+I2536+J2536+K2536</f>
        <v>0</v>
      </c>
      <c r="I2537" s="230"/>
      <c r="J2537" s="230"/>
      <c r="K2537" s="230"/>
    </row>
    <row r="2538" spans="1:11" ht="15.5" thickTop="1" thickBot="1" x14ac:dyDescent="0.4">
      <c r="A2538" s="335" t="s">
        <v>298</v>
      </c>
      <c r="B2538" s="336"/>
      <c r="C2538" s="336"/>
      <c r="D2538" s="336"/>
      <c r="E2538" s="337"/>
      <c r="G2538" s="335" t="s">
        <v>298</v>
      </c>
      <c r="H2538" s="336"/>
      <c r="I2538" s="336"/>
      <c r="J2538" s="336"/>
      <c r="K2538" s="337"/>
    </row>
    <row r="2539" spans="1:11" ht="15.5" thickTop="1" thickBot="1" x14ac:dyDescent="0.4">
      <c r="A2539" s="338">
        <v>45521</v>
      </c>
      <c r="B2539" s="336"/>
      <c r="C2539" s="336"/>
      <c r="D2539" s="336"/>
      <c r="E2539" s="337"/>
      <c r="G2539" s="338">
        <v>45521</v>
      </c>
      <c r="H2539" s="336"/>
      <c r="I2539" s="336"/>
      <c r="J2539" s="336"/>
      <c r="K2539" s="337"/>
    </row>
    <row r="2540" spans="1:11" ht="15" thickTop="1" x14ac:dyDescent="0.35">
      <c r="A2540" s="267" t="s">
        <v>159</v>
      </c>
      <c r="B2540" s="267" t="s">
        <v>299</v>
      </c>
      <c r="C2540" s="267" t="s">
        <v>307</v>
      </c>
      <c r="D2540" s="267" t="s">
        <v>301</v>
      </c>
      <c r="E2540" s="268" t="s">
        <v>308</v>
      </c>
      <c r="G2540" s="267" t="s">
        <v>159</v>
      </c>
      <c r="H2540" s="267" t="s">
        <v>299</v>
      </c>
      <c r="I2540" s="267" t="s">
        <v>307</v>
      </c>
      <c r="J2540" s="267" t="s">
        <v>301</v>
      </c>
      <c r="K2540" s="268" t="s">
        <v>308</v>
      </c>
    </row>
    <row r="2541" spans="1:11" x14ac:dyDescent="0.35">
      <c r="A2541" s="269" t="s">
        <v>316</v>
      </c>
      <c r="B2541" s="270"/>
      <c r="C2541" s="270"/>
      <c r="D2541" s="270"/>
      <c r="E2541" s="270"/>
      <c r="G2541" s="269" t="s">
        <v>316</v>
      </c>
      <c r="H2541" s="270"/>
      <c r="I2541" s="270"/>
      <c r="J2541" s="270"/>
      <c r="K2541" s="270"/>
    </row>
    <row r="2542" spans="1:11" x14ac:dyDescent="0.35">
      <c r="A2542" s="271" t="s">
        <v>309</v>
      </c>
      <c r="B2542" s="272"/>
      <c r="C2542" s="272"/>
      <c r="D2542" s="272"/>
      <c r="E2542" s="272"/>
      <c r="G2542" s="271" t="s">
        <v>309</v>
      </c>
      <c r="H2542" s="272"/>
      <c r="I2542" s="272"/>
      <c r="J2542" s="272"/>
      <c r="K2542" s="272"/>
    </row>
    <row r="2543" spans="1:11" x14ac:dyDescent="0.35">
      <c r="A2543" s="269" t="s">
        <v>310</v>
      </c>
      <c r="B2543" s="270"/>
      <c r="C2543" s="270"/>
      <c r="D2543" s="270"/>
      <c r="E2543" s="270"/>
      <c r="G2543" s="269" t="s">
        <v>310</v>
      </c>
      <c r="H2543" s="270"/>
      <c r="I2543" s="270"/>
      <c r="J2543" s="270"/>
      <c r="K2543" s="270"/>
    </row>
    <row r="2544" spans="1:11" x14ac:dyDescent="0.35">
      <c r="A2544" s="271" t="s">
        <v>317</v>
      </c>
      <c r="B2544" s="272"/>
      <c r="C2544" s="272"/>
      <c r="D2544" s="272"/>
      <c r="E2544" s="272"/>
      <c r="G2544" s="271" t="s">
        <v>317</v>
      </c>
      <c r="H2544" s="272"/>
      <c r="I2544" s="272"/>
      <c r="J2544" s="272"/>
      <c r="K2544" s="272"/>
    </row>
    <row r="2545" spans="1:11" x14ac:dyDescent="0.35">
      <c r="A2545" s="269" t="s">
        <v>311</v>
      </c>
      <c r="B2545" s="270"/>
      <c r="C2545" s="270"/>
      <c r="D2545" s="270"/>
      <c r="E2545" s="270"/>
      <c r="G2545" s="269" t="s">
        <v>311</v>
      </c>
      <c r="H2545" s="270"/>
      <c r="I2545" s="270"/>
      <c r="J2545" s="270"/>
      <c r="K2545" s="270"/>
    </row>
    <row r="2546" spans="1:11" x14ac:dyDescent="0.35">
      <c r="A2546" s="271" t="s">
        <v>312</v>
      </c>
      <c r="B2546" s="272"/>
      <c r="C2546" s="272"/>
      <c r="D2546" s="272"/>
      <c r="E2546" s="272"/>
      <c r="G2546" s="271" t="s">
        <v>312</v>
      </c>
      <c r="H2546" s="272"/>
      <c r="I2546" s="272"/>
      <c r="J2546" s="272"/>
      <c r="K2546" s="272"/>
    </row>
    <row r="2547" spans="1:11" x14ac:dyDescent="0.35">
      <c r="A2547" s="231" t="s">
        <v>34</v>
      </c>
      <c r="B2547" s="230">
        <f>SUM(B2541:B2546)</f>
        <v>0</v>
      </c>
      <c r="C2547" s="230">
        <f>SUM(C2541:C2546)</f>
        <v>0</v>
      </c>
      <c r="D2547" s="230">
        <f>SUM(D2541:D2546)</f>
        <v>0</v>
      </c>
      <c r="E2547" s="230">
        <f>SUM(E2541:E2546)</f>
        <v>0</v>
      </c>
      <c r="G2547" s="231" t="s">
        <v>34</v>
      </c>
      <c r="H2547" s="230">
        <f>SUM(H2541:H2546)</f>
        <v>0</v>
      </c>
      <c r="I2547" s="230">
        <f>SUM(I2541:I2546)</f>
        <v>0</v>
      </c>
      <c r="J2547" s="230">
        <f>SUM(J2541:J2546)</f>
        <v>0</v>
      </c>
      <c r="K2547" s="230">
        <f>SUM(K2541:K2546)</f>
        <v>0</v>
      </c>
    </row>
    <row r="2548" spans="1:11" ht="15" thickBot="1" x14ac:dyDescent="0.4">
      <c r="A2548" s="231" t="s">
        <v>313</v>
      </c>
      <c r="B2548" s="230">
        <f>+B2547+C2547+D2547+E2547</f>
        <v>0</v>
      </c>
      <c r="C2548" s="230"/>
      <c r="D2548" s="230"/>
      <c r="E2548" s="230"/>
      <c r="G2548" s="231" t="s">
        <v>313</v>
      </c>
      <c r="H2548" s="230">
        <f>+H2547+I2547+J2547+K2547</f>
        <v>0</v>
      </c>
      <c r="I2548" s="230"/>
      <c r="J2548" s="230"/>
      <c r="K2548" s="230"/>
    </row>
    <row r="2549" spans="1:11" ht="15.5" thickTop="1" thickBot="1" x14ac:dyDescent="0.4">
      <c r="A2549" s="335" t="s">
        <v>298</v>
      </c>
      <c r="B2549" s="336"/>
      <c r="C2549" s="336"/>
      <c r="D2549" s="336"/>
      <c r="E2549" s="337"/>
      <c r="G2549" s="335" t="s">
        <v>298</v>
      </c>
      <c r="H2549" s="336"/>
      <c r="I2549" s="336"/>
      <c r="J2549" s="336"/>
      <c r="K2549" s="337"/>
    </row>
    <row r="2550" spans="1:11" ht="15.5" thickTop="1" thickBot="1" x14ac:dyDescent="0.4">
      <c r="A2550" s="338">
        <v>45522</v>
      </c>
      <c r="B2550" s="336"/>
      <c r="C2550" s="336"/>
      <c r="D2550" s="336"/>
      <c r="E2550" s="337"/>
      <c r="G2550" s="338">
        <v>45522</v>
      </c>
      <c r="H2550" s="336"/>
      <c r="I2550" s="336"/>
      <c r="J2550" s="336"/>
      <c r="K2550" s="337"/>
    </row>
    <row r="2551" spans="1:11" ht="15" thickTop="1" x14ac:dyDescent="0.35">
      <c r="A2551" s="267" t="s">
        <v>159</v>
      </c>
      <c r="B2551" s="267" t="s">
        <v>299</v>
      </c>
      <c r="C2551" s="267" t="s">
        <v>307</v>
      </c>
      <c r="D2551" s="267" t="s">
        <v>301</v>
      </c>
      <c r="E2551" s="268" t="s">
        <v>308</v>
      </c>
      <c r="G2551" s="267" t="s">
        <v>159</v>
      </c>
      <c r="H2551" s="267" t="s">
        <v>299</v>
      </c>
      <c r="I2551" s="267" t="s">
        <v>307</v>
      </c>
      <c r="J2551" s="267" t="s">
        <v>301</v>
      </c>
      <c r="K2551" s="268" t="s">
        <v>308</v>
      </c>
    </row>
    <row r="2552" spans="1:11" x14ac:dyDescent="0.35">
      <c r="A2552" s="269" t="s">
        <v>345</v>
      </c>
      <c r="B2552" s="270">
        <v>2500</v>
      </c>
      <c r="C2552" s="270"/>
      <c r="D2552" s="270"/>
      <c r="E2552" s="270"/>
      <c r="G2552" s="269" t="s">
        <v>345</v>
      </c>
      <c r="H2552" s="270">
        <v>1400</v>
      </c>
      <c r="I2552" s="270"/>
      <c r="J2552" s="270"/>
      <c r="K2552" s="270"/>
    </row>
    <row r="2553" spans="1:11" x14ac:dyDescent="0.35">
      <c r="A2553" s="271" t="s">
        <v>345</v>
      </c>
      <c r="B2553" s="272">
        <v>1700</v>
      </c>
      <c r="C2553" s="272"/>
      <c r="D2553" s="272"/>
      <c r="E2553" s="272"/>
      <c r="G2553" s="271" t="s">
        <v>309</v>
      </c>
      <c r="H2553" s="272"/>
      <c r="I2553" s="272"/>
      <c r="J2553" s="272"/>
      <c r="K2553" s="272"/>
    </row>
    <row r="2554" spans="1:11" x14ac:dyDescent="0.35">
      <c r="A2554" s="269" t="s">
        <v>310</v>
      </c>
      <c r="B2554" s="270"/>
      <c r="C2554" s="270"/>
      <c r="D2554" s="270"/>
      <c r="E2554" s="270"/>
      <c r="G2554" s="269" t="s">
        <v>310</v>
      </c>
      <c r="H2554" s="270"/>
      <c r="I2554" s="270"/>
      <c r="J2554" s="270"/>
      <c r="K2554" s="270"/>
    </row>
    <row r="2555" spans="1:11" x14ac:dyDescent="0.35">
      <c r="A2555" s="271" t="s">
        <v>317</v>
      </c>
      <c r="B2555" s="272"/>
      <c r="C2555" s="272"/>
      <c r="D2555" s="272"/>
      <c r="E2555" s="272"/>
      <c r="G2555" s="271" t="s">
        <v>317</v>
      </c>
      <c r="H2555" s="272"/>
      <c r="I2555" s="272"/>
      <c r="J2555" s="272"/>
      <c r="K2555" s="272"/>
    </row>
    <row r="2556" spans="1:11" x14ac:dyDescent="0.35">
      <c r="A2556" s="269" t="s">
        <v>311</v>
      </c>
      <c r="B2556" s="270"/>
      <c r="C2556" s="270"/>
      <c r="D2556" s="270"/>
      <c r="E2556" s="270"/>
      <c r="G2556" s="269" t="s">
        <v>311</v>
      </c>
      <c r="H2556" s="270"/>
      <c r="I2556" s="270"/>
      <c r="J2556" s="270"/>
      <c r="K2556" s="270"/>
    </row>
    <row r="2557" spans="1:11" x14ac:dyDescent="0.35">
      <c r="A2557" s="271" t="s">
        <v>312</v>
      </c>
      <c r="B2557" s="272">
        <v>1300</v>
      </c>
      <c r="C2557" s="272"/>
      <c r="D2557" s="272"/>
      <c r="E2557" s="272"/>
      <c r="G2557" s="271" t="s">
        <v>312</v>
      </c>
      <c r="H2557" s="272"/>
      <c r="I2557" s="272"/>
      <c r="J2557" s="272"/>
      <c r="K2557" s="272"/>
    </row>
    <row r="2558" spans="1:11" x14ac:dyDescent="0.35">
      <c r="A2558" s="231" t="s">
        <v>34</v>
      </c>
      <c r="B2558" s="230">
        <f>SUM(B2552:B2557)</f>
        <v>5500</v>
      </c>
      <c r="C2558" s="230">
        <f>SUM(C2552:C2557)</f>
        <v>0</v>
      </c>
      <c r="D2558" s="230">
        <f>SUM(D2552:D2557)</f>
        <v>0</v>
      </c>
      <c r="E2558" s="230">
        <f>SUM(E2552:E2557)</f>
        <v>0</v>
      </c>
      <c r="G2558" s="231" t="s">
        <v>34</v>
      </c>
      <c r="H2558" s="230">
        <f>SUM(H2552:H2557)</f>
        <v>1400</v>
      </c>
      <c r="I2558" s="230">
        <f>SUM(I2552:I2557)</f>
        <v>0</v>
      </c>
      <c r="J2558" s="230">
        <f>SUM(J2552:J2557)</f>
        <v>0</v>
      </c>
      <c r="K2558" s="230">
        <f>SUM(K2552:K2557)</f>
        <v>0</v>
      </c>
    </row>
    <row r="2559" spans="1:11" ht="15" thickBot="1" x14ac:dyDescent="0.4">
      <c r="A2559" s="231" t="s">
        <v>313</v>
      </c>
      <c r="B2559" s="230">
        <f>+B2558+C2558+D2558+E2558</f>
        <v>5500</v>
      </c>
      <c r="C2559" s="230"/>
      <c r="D2559" s="230"/>
      <c r="E2559" s="230"/>
      <c r="G2559" s="231" t="s">
        <v>313</v>
      </c>
      <c r="H2559" s="230">
        <f>+H2558+I2558+J2558+K2558</f>
        <v>1400</v>
      </c>
      <c r="I2559" s="230"/>
      <c r="J2559" s="230"/>
      <c r="K2559" s="230"/>
    </row>
    <row r="2560" spans="1:11" ht="15.5" thickTop="1" thickBot="1" x14ac:dyDescent="0.4">
      <c r="A2560" s="335" t="s">
        <v>298</v>
      </c>
      <c r="B2560" s="336"/>
      <c r="C2560" s="336"/>
      <c r="D2560" s="336"/>
      <c r="E2560" s="337"/>
      <c r="G2560" s="335" t="s">
        <v>298</v>
      </c>
      <c r="H2560" s="336"/>
      <c r="I2560" s="336"/>
      <c r="J2560" s="336"/>
      <c r="K2560" s="337"/>
    </row>
    <row r="2561" spans="1:11" ht="15.5" thickTop="1" thickBot="1" x14ac:dyDescent="0.4">
      <c r="A2561" s="338">
        <v>45523</v>
      </c>
      <c r="B2561" s="336"/>
      <c r="C2561" s="336"/>
      <c r="D2561" s="336"/>
      <c r="E2561" s="337"/>
      <c r="G2561" s="338">
        <v>45523</v>
      </c>
      <c r="H2561" s="336"/>
      <c r="I2561" s="336"/>
      <c r="J2561" s="336"/>
      <c r="K2561" s="337"/>
    </row>
    <row r="2562" spans="1:11" ht="15" thickTop="1" x14ac:dyDescent="0.35">
      <c r="A2562" s="267" t="s">
        <v>159</v>
      </c>
      <c r="B2562" s="267" t="s">
        <v>299</v>
      </c>
      <c r="C2562" s="267" t="s">
        <v>307</v>
      </c>
      <c r="D2562" s="267" t="s">
        <v>301</v>
      </c>
      <c r="E2562" s="268" t="s">
        <v>308</v>
      </c>
      <c r="G2562" s="267" t="s">
        <v>159</v>
      </c>
      <c r="H2562" s="267" t="s">
        <v>299</v>
      </c>
      <c r="I2562" s="267" t="s">
        <v>307</v>
      </c>
      <c r="J2562" s="267" t="s">
        <v>301</v>
      </c>
      <c r="K2562" s="268" t="s">
        <v>308</v>
      </c>
    </row>
    <row r="2563" spans="1:11" x14ac:dyDescent="0.35">
      <c r="A2563" s="269" t="s">
        <v>364</v>
      </c>
      <c r="B2563" s="270">
        <v>55</v>
      </c>
      <c r="C2563" s="270"/>
      <c r="D2563" s="270"/>
      <c r="E2563" s="270"/>
      <c r="G2563" s="269" t="s">
        <v>316</v>
      </c>
      <c r="H2563" s="270">
        <v>200</v>
      </c>
      <c r="I2563" s="270"/>
      <c r="J2563" s="270"/>
      <c r="K2563" s="270"/>
    </row>
    <row r="2564" spans="1:11" x14ac:dyDescent="0.35">
      <c r="A2564" s="271" t="s">
        <v>309</v>
      </c>
      <c r="B2564" s="272"/>
      <c r="C2564" s="272"/>
      <c r="D2564" s="272"/>
      <c r="E2564" s="272"/>
      <c r="G2564" s="271" t="s">
        <v>309</v>
      </c>
      <c r="H2564" s="272"/>
      <c r="I2564" s="272"/>
      <c r="J2564" s="272"/>
      <c r="K2564" s="272"/>
    </row>
    <row r="2565" spans="1:11" x14ac:dyDescent="0.35">
      <c r="A2565" s="269" t="s">
        <v>310</v>
      </c>
      <c r="B2565" s="270"/>
      <c r="C2565" s="270"/>
      <c r="D2565" s="270"/>
      <c r="E2565" s="270"/>
      <c r="G2565" s="269" t="s">
        <v>310</v>
      </c>
      <c r="H2565" s="270"/>
      <c r="I2565" s="270"/>
      <c r="J2565" s="270"/>
      <c r="K2565" s="270"/>
    </row>
    <row r="2566" spans="1:11" x14ac:dyDescent="0.35">
      <c r="A2566" s="271" t="s">
        <v>317</v>
      </c>
      <c r="B2566" s="272"/>
      <c r="C2566" s="272"/>
      <c r="D2566" s="272"/>
      <c r="E2566" s="272"/>
      <c r="G2566" s="271" t="s">
        <v>317</v>
      </c>
      <c r="H2566" s="272"/>
      <c r="I2566" s="272"/>
      <c r="J2566" s="272"/>
      <c r="K2566" s="272"/>
    </row>
    <row r="2567" spans="1:11" x14ac:dyDescent="0.35">
      <c r="A2567" s="269" t="s">
        <v>311</v>
      </c>
      <c r="B2567" s="270"/>
      <c r="C2567" s="270"/>
      <c r="D2567" s="270"/>
      <c r="E2567" s="270"/>
      <c r="G2567" s="269" t="s">
        <v>311</v>
      </c>
      <c r="H2567" s="270"/>
      <c r="I2567" s="270"/>
      <c r="J2567" s="270"/>
      <c r="K2567" s="270"/>
    </row>
    <row r="2568" spans="1:11" x14ac:dyDescent="0.35">
      <c r="A2568" s="271" t="s">
        <v>312</v>
      </c>
      <c r="B2568" s="272"/>
      <c r="C2568" s="272"/>
      <c r="D2568" s="272"/>
      <c r="E2568" s="272"/>
      <c r="G2568" s="271" t="s">
        <v>312</v>
      </c>
      <c r="H2568" s="272"/>
      <c r="I2568" s="272"/>
      <c r="J2568" s="272"/>
      <c r="K2568" s="272"/>
    </row>
    <row r="2569" spans="1:11" x14ac:dyDescent="0.35">
      <c r="A2569" s="231" t="s">
        <v>34</v>
      </c>
      <c r="B2569" s="230">
        <f>SUM(B2563:B2568)</f>
        <v>55</v>
      </c>
      <c r="C2569" s="230">
        <f>SUM(C2563:C2568)</f>
        <v>0</v>
      </c>
      <c r="D2569" s="230">
        <f>SUM(D2563:D2568)</f>
        <v>0</v>
      </c>
      <c r="E2569" s="230">
        <f>SUM(E2563:E2568)</f>
        <v>0</v>
      </c>
      <c r="G2569" s="231" t="s">
        <v>34</v>
      </c>
      <c r="H2569" s="230">
        <f>SUM(H2563:H2568)</f>
        <v>200</v>
      </c>
      <c r="I2569" s="230">
        <f>SUM(I2563:I2568)</f>
        <v>0</v>
      </c>
      <c r="J2569" s="230">
        <f>SUM(J2563:J2568)</f>
        <v>0</v>
      </c>
      <c r="K2569" s="230">
        <f>SUM(K2563:K2568)</f>
        <v>0</v>
      </c>
    </row>
    <row r="2570" spans="1:11" ht="15" thickBot="1" x14ac:dyDescent="0.4">
      <c r="A2570" s="231" t="s">
        <v>313</v>
      </c>
      <c r="B2570" s="230">
        <f>+B2569+C2569+D2569+E2569</f>
        <v>55</v>
      </c>
      <c r="C2570" s="230"/>
      <c r="D2570" s="230"/>
      <c r="E2570" s="230"/>
      <c r="G2570" s="231" t="s">
        <v>313</v>
      </c>
      <c r="H2570" s="230">
        <f>+H2569+I2569+J2569+K2569</f>
        <v>200</v>
      </c>
      <c r="I2570" s="230"/>
      <c r="J2570" s="230"/>
      <c r="K2570" s="230"/>
    </row>
    <row r="2571" spans="1:11" ht="15.5" thickTop="1" thickBot="1" x14ac:dyDescent="0.4">
      <c r="A2571" s="335" t="s">
        <v>298</v>
      </c>
      <c r="B2571" s="336"/>
      <c r="C2571" s="336"/>
      <c r="D2571" s="336"/>
      <c r="E2571" s="337"/>
      <c r="G2571" s="335" t="s">
        <v>298</v>
      </c>
      <c r="H2571" s="336"/>
      <c r="I2571" s="336"/>
      <c r="J2571" s="336"/>
      <c r="K2571" s="337"/>
    </row>
    <row r="2572" spans="1:11" ht="15.5" thickTop="1" thickBot="1" x14ac:dyDescent="0.4">
      <c r="A2572" s="338">
        <v>45524</v>
      </c>
      <c r="B2572" s="336"/>
      <c r="C2572" s="336"/>
      <c r="D2572" s="336"/>
      <c r="E2572" s="337"/>
      <c r="G2572" s="338">
        <v>45524</v>
      </c>
      <c r="H2572" s="336"/>
      <c r="I2572" s="336"/>
      <c r="J2572" s="336"/>
      <c r="K2572" s="337"/>
    </row>
    <row r="2573" spans="1:11" ht="15" thickTop="1" x14ac:dyDescent="0.35">
      <c r="A2573" s="267" t="s">
        <v>159</v>
      </c>
      <c r="B2573" s="267" t="s">
        <v>299</v>
      </c>
      <c r="C2573" s="267" t="s">
        <v>307</v>
      </c>
      <c r="D2573" s="267" t="s">
        <v>301</v>
      </c>
      <c r="E2573" s="268" t="s">
        <v>308</v>
      </c>
      <c r="G2573" s="267" t="s">
        <v>159</v>
      </c>
      <c r="H2573" s="267" t="s">
        <v>299</v>
      </c>
      <c r="I2573" s="267" t="s">
        <v>307</v>
      </c>
      <c r="J2573" s="267" t="s">
        <v>301</v>
      </c>
      <c r="K2573" s="268" t="s">
        <v>308</v>
      </c>
    </row>
    <row r="2574" spans="1:11" x14ac:dyDescent="0.35">
      <c r="A2574" s="269" t="s">
        <v>316</v>
      </c>
      <c r="B2574" s="270"/>
      <c r="C2574" s="270"/>
      <c r="D2574" s="270"/>
      <c r="E2574" s="270"/>
      <c r="G2574" s="269" t="s">
        <v>316</v>
      </c>
      <c r="H2574" s="270"/>
      <c r="I2574" s="270"/>
      <c r="J2574" s="270"/>
      <c r="K2574" s="270"/>
    </row>
    <row r="2575" spans="1:11" x14ac:dyDescent="0.35">
      <c r="A2575" s="271" t="s">
        <v>309</v>
      </c>
      <c r="B2575" s="272"/>
      <c r="C2575" s="272"/>
      <c r="D2575" s="272"/>
      <c r="E2575" s="272"/>
      <c r="G2575" s="271" t="s">
        <v>309</v>
      </c>
      <c r="H2575" s="272"/>
      <c r="I2575" s="272"/>
      <c r="J2575" s="272"/>
      <c r="K2575" s="272"/>
    </row>
    <row r="2576" spans="1:11" x14ac:dyDescent="0.35">
      <c r="A2576" s="269" t="s">
        <v>310</v>
      </c>
      <c r="B2576" s="270"/>
      <c r="C2576" s="270"/>
      <c r="D2576" s="270"/>
      <c r="E2576" s="270"/>
      <c r="G2576" s="269" t="s">
        <v>310</v>
      </c>
      <c r="H2576" s="270"/>
      <c r="I2576" s="270"/>
      <c r="J2576" s="270"/>
      <c r="K2576" s="270"/>
    </row>
    <row r="2577" spans="1:11" x14ac:dyDescent="0.35">
      <c r="A2577" s="271" t="s">
        <v>317</v>
      </c>
      <c r="B2577" s="272"/>
      <c r="C2577" s="272"/>
      <c r="D2577" s="272"/>
      <c r="E2577" s="272"/>
      <c r="G2577" s="271" t="s">
        <v>317</v>
      </c>
      <c r="H2577" s="272"/>
      <c r="I2577" s="272"/>
      <c r="J2577" s="272"/>
      <c r="K2577" s="272"/>
    </row>
    <row r="2578" spans="1:11" x14ac:dyDescent="0.35">
      <c r="A2578" s="269" t="s">
        <v>311</v>
      </c>
      <c r="B2578" s="270"/>
      <c r="C2578" s="270"/>
      <c r="D2578" s="270"/>
      <c r="E2578" s="270"/>
      <c r="G2578" s="269" t="s">
        <v>311</v>
      </c>
      <c r="H2578" s="270"/>
      <c r="I2578" s="270"/>
      <c r="J2578" s="270"/>
      <c r="K2578" s="270"/>
    </row>
    <row r="2579" spans="1:11" x14ac:dyDescent="0.35">
      <c r="A2579" s="271" t="s">
        <v>312</v>
      </c>
      <c r="B2579" s="272"/>
      <c r="C2579" s="272"/>
      <c r="D2579" s="272"/>
      <c r="E2579" s="272"/>
      <c r="G2579" s="271" t="s">
        <v>312</v>
      </c>
      <c r="H2579" s="272"/>
      <c r="I2579" s="272"/>
      <c r="J2579" s="272"/>
      <c r="K2579" s="272"/>
    </row>
    <row r="2580" spans="1:11" x14ac:dyDescent="0.35">
      <c r="A2580" s="231" t="s">
        <v>34</v>
      </c>
      <c r="B2580" s="230">
        <f>SUM(B2574:B2579)</f>
        <v>0</v>
      </c>
      <c r="C2580" s="230">
        <f>SUM(C2574:C2579)</f>
        <v>0</v>
      </c>
      <c r="D2580" s="230">
        <f>SUM(D2574:D2579)</f>
        <v>0</v>
      </c>
      <c r="E2580" s="230">
        <f>SUM(E2574:E2579)</f>
        <v>0</v>
      </c>
      <c r="G2580" s="231" t="s">
        <v>34</v>
      </c>
      <c r="H2580" s="230">
        <f>SUM(H2574:H2579)</f>
        <v>0</v>
      </c>
      <c r="I2580" s="230">
        <f>SUM(I2574:I2579)</f>
        <v>0</v>
      </c>
      <c r="J2580" s="230">
        <f>SUM(J2574:J2579)</f>
        <v>0</v>
      </c>
      <c r="K2580" s="230">
        <f>SUM(K2574:K2579)</f>
        <v>0</v>
      </c>
    </row>
    <row r="2581" spans="1:11" ht="15" thickBot="1" x14ac:dyDescent="0.4">
      <c r="A2581" s="231" t="s">
        <v>313</v>
      </c>
      <c r="B2581" s="230">
        <f>+B2580+C2580+D2580+E2580</f>
        <v>0</v>
      </c>
      <c r="C2581" s="230"/>
      <c r="D2581" s="230"/>
      <c r="E2581" s="230"/>
      <c r="G2581" s="231" t="s">
        <v>313</v>
      </c>
      <c r="H2581" s="230">
        <f>+H2580+I2580+J2580+K2580</f>
        <v>0</v>
      </c>
      <c r="I2581" s="230"/>
      <c r="J2581" s="230"/>
      <c r="K2581" s="230"/>
    </row>
    <row r="2582" spans="1:11" ht="15.5" thickTop="1" thickBot="1" x14ac:dyDescent="0.4">
      <c r="A2582" s="335" t="s">
        <v>298</v>
      </c>
      <c r="B2582" s="336"/>
      <c r="C2582" s="336"/>
      <c r="D2582" s="336"/>
      <c r="E2582" s="337"/>
      <c r="G2582" s="335" t="s">
        <v>298</v>
      </c>
      <c r="H2582" s="336"/>
      <c r="I2582" s="336"/>
      <c r="J2582" s="336"/>
      <c r="K2582" s="337"/>
    </row>
    <row r="2583" spans="1:11" ht="15.5" thickTop="1" thickBot="1" x14ac:dyDescent="0.4">
      <c r="A2583" s="338">
        <v>45525</v>
      </c>
      <c r="B2583" s="336"/>
      <c r="C2583" s="336"/>
      <c r="D2583" s="336"/>
      <c r="E2583" s="337"/>
      <c r="G2583" s="338">
        <v>45525</v>
      </c>
      <c r="H2583" s="336"/>
      <c r="I2583" s="336"/>
      <c r="J2583" s="336"/>
      <c r="K2583" s="337"/>
    </row>
    <row r="2584" spans="1:11" ht="15" thickTop="1" x14ac:dyDescent="0.35">
      <c r="A2584" s="267" t="s">
        <v>159</v>
      </c>
      <c r="B2584" s="267" t="s">
        <v>299</v>
      </c>
      <c r="C2584" s="267" t="s">
        <v>307</v>
      </c>
      <c r="D2584" s="267" t="s">
        <v>301</v>
      </c>
      <c r="E2584" s="268" t="s">
        <v>308</v>
      </c>
      <c r="G2584" s="267" t="s">
        <v>159</v>
      </c>
      <c r="H2584" s="267" t="s">
        <v>299</v>
      </c>
      <c r="I2584" s="267" t="s">
        <v>307</v>
      </c>
      <c r="J2584" s="267" t="s">
        <v>301</v>
      </c>
      <c r="K2584" s="268" t="s">
        <v>308</v>
      </c>
    </row>
    <row r="2585" spans="1:11" x14ac:dyDescent="0.35">
      <c r="A2585" s="269" t="s">
        <v>316</v>
      </c>
      <c r="B2585" s="270"/>
      <c r="C2585" s="270"/>
      <c r="D2585" s="270"/>
      <c r="E2585" s="270"/>
      <c r="G2585" s="269" t="s">
        <v>316</v>
      </c>
      <c r="H2585" s="270"/>
      <c r="I2585" s="270"/>
      <c r="J2585" s="270"/>
      <c r="K2585" s="270"/>
    </row>
    <row r="2586" spans="1:11" x14ac:dyDescent="0.35">
      <c r="A2586" s="271" t="s">
        <v>309</v>
      </c>
      <c r="B2586" s="272"/>
      <c r="C2586" s="272"/>
      <c r="D2586" s="272"/>
      <c r="E2586" s="272"/>
      <c r="G2586" s="271" t="s">
        <v>309</v>
      </c>
      <c r="H2586" s="272"/>
      <c r="I2586" s="272"/>
      <c r="J2586" s="272"/>
      <c r="K2586" s="272"/>
    </row>
    <row r="2587" spans="1:11" x14ac:dyDescent="0.35">
      <c r="A2587" s="269" t="s">
        <v>310</v>
      </c>
      <c r="B2587" s="270"/>
      <c r="C2587" s="270"/>
      <c r="D2587" s="270"/>
      <c r="E2587" s="270"/>
      <c r="G2587" s="269" t="s">
        <v>310</v>
      </c>
      <c r="H2587" s="270"/>
      <c r="I2587" s="270"/>
      <c r="J2587" s="270"/>
      <c r="K2587" s="270"/>
    </row>
    <row r="2588" spans="1:11" x14ac:dyDescent="0.35">
      <c r="A2588" s="271" t="s">
        <v>317</v>
      </c>
      <c r="B2588" s="272"/>
      <c r="C2588" s="272"/>
      <c r="D2588" s="272"/>
      <c r="E2588" s="272"/>
      <c r="G2588" s="271" t="s">
        <v>317</v>
      </c>
      <c r="H2588" s="272"/>
      <c r="I2588" s="272"/>
      <c r="J2588" s="272"/>
      <c r="K2588" s="272"/>
    </row>
    <row r="2589" spans="1:11" x14ac:dyDescent="0.35">
      <c r="A2589" s="269" t="s">
        <v>311</v>
      </c>
      <c r="B2589" s="270"/>
      <c r="C2589" s="270"/>
      <c r="D2589" s="270"/>
      <c r="E2589" s="270"/>
      <c r="G2589" s="269" t="s">
        <v>311</v>
      </c>
      <c r="H2589" s="270"/>
      <c r="I2589" s="270"/>
      <c r="J2589" s="270"/>
      <c r="K2589" s="270"/>
    </row>
    <row r="2590" spans="1:11" x14ac:dyDescent="0.35">
      <c r="A2590" s="271" t="s">
        <v>312</v>
      </c>
      <c r="B2590" s="272"/>
      <c r="C2590" s="272"/>
      <c r="D2590" s="272"/>
      <c r="E2590" s="272"/>
      <c r="G2590" s="271" t="s">
        <v>312</v>
      </c>
      <c r="H2590" s="272"/>
      <c r="I2590" s="272"/>
      <c r="J2590" s="272"/>
      <c r="K2590" s="272"/>
    </row>
    <row r="2591" spans="1:11" x14ac:dyDescent="0.35">
      <c r="A2591" s="231" t="s">
        <v>34</v>
      </c>
      <c r="B2591" s="230">
        <f>SUM(B2585:B2590)</f>
        <v>0</v>
      </c>
      <c r="C2591" s="230">
        <f>SUM(C2585:C2590)</f>
        <v>0</v>
      </c>
      <c r="D2591" s="230">
        <f>SUM(D2585:D2590)</f>
        <v>0</v>
      </c>
      <c r="E2591" s="230">
        <f>SUM(E2585:E2590)</f>
        <v>0</v>
      </c>
      <c r="G2591" s="231" t="s">
        <v>34</v>
      </c>
      <c r="H2591" s="230">
        <f>SUM(H2585:H2590)</f>
        <v>0</v>
      </c>
      <c r="I2591" s="230">
        <f>SUM(I2585:I2590)</f>
        <v>0</v>
      </c>
      <c r="J2591" s="230">
        <f>SUM(J2585:J2590)</f>
        <v>0</v>
      </c>
      <c r="K2591" s="230">
        <f>SUM(K2585:K2590)</f>
        <v>0</v>
      </c>
    </row>
    <row r="2592" spans="1:11" ht="15" thickBot="1" x14ac:dyDescent="0.4">
      <c r="A2592" s="231" t="s">
        <v>313</v>
      </c>
      <c r="B2592" s="230">
        <f>+B2591+C2591+D2591+E2591</f>
        <v>0</v>
      </c>
      <c r="C2592" s="230"/>
      <c r="D2592" s="230"/>
      <c r="E2592" s="230"/>
      <c r="G2592" s="231" t="s">
        <v>313</v>
      </c>
      <c r="H2592" s="230">
        <f>+H2591+I2591+J2591+K2591</f>
        <v>0</v>
      </c>
      <c r="I2592" s="230"/>
      <c r="J2592" s="230"/>
      <c r="K2592" s="230"/>
    </row>
    <row r="2593" spans="1:11" ht="15.5" thickTop="1" thickBot="1" x14ac:dyDescent="0.4">
      <c r="A2593" s="335" t="s">
        <v>298</v>
      </c>
      <c r="B2593" s="336"/>
      <c r="C2593" s="336"/>
      <c r="D2593" s="336"/>
      <c r="E2593" s="337"/>
      <c r="G2593" s="335" t="s">
        <v>298</v>
      </c>
      <c r="H2593" s="336"/>
      <c r="I2593" s="336"/>
      <c r="J2593" s="336"/>
      <c r="K2593" s="337"/>
    </row>
    <row r="2594" spans="1:11" ht="15.5" thickTop="1" thickBot="1" x14ac:dyDescent="0.4">
      <c r="A2594" s="338">
        <v>45526</v>
      </c>
      <c r="B2594" s="336"/>
      <c r="C2594" s="336"/>
      <c r="D2594" s="336"/>
      <c r="E2594" s="337"/>
      <c r="G2594" s="338">
        <v>45526</v>
      </c>
      <c r="H2594" s="336"/>
      <c r="I2594" s="336"/>
      <c r="J2594" s="336"/>
      <c r="K2594" s="337"/>
    </row>
    <row r="2595" spans="1:11" ht="15" thickTop="1" x14ac:dyDescent="0.35">
      <c r="A2595" s="267" t="s">
        <v>159</v>
      </c>
      <c r="B2595" s="267" t="s">
        <v>299</v>
      </c>
      <c r="C2595" s="267" t="s">
        <v>307</v>
      </c>
      <c r="D2595" s="267" t="s">
        <v>301</v>
      </c>
      <c r="E2595" s="268" t="s">
        <v>308</v>
      </c>
      <c r="G2595" s="267" t="s">
        <v>159</v>
      </c>
      <c r="H2595" s="267" t="s">
        <v>299</v>
      </c>
      <c r="I2595" s="267" t="s">
        <v>307</v>
      </c>
      <c r="J2595" s="267" t="s">
        <v>301</v>
      </c>
      <c r="K2595" s="268" t="s">
        <v>308</v>
      </c>
    </row>
    <row r="2596" spans="1:11" x14ac:dyDescent="0.35">
      <c r="A2596" s="269" t="s">
        <v>316</v>
      </c>
      <c r="B2596" s="270">
        <v>156</v>
      </c>
      <c r="C2596" s="270"/>
      <c r="D2596" s="270"/>
      <c r="E2596" s="270"/>
      <c r="G2596" s="269" t="s">
        <v>316</v>
      </c>
      <c r="H2596" s="270"/>
      <c r="I2596" s="270"/>
      <c r="J2596" s="270"/>
      <c r="K2596" s="270"/>
    </row>
    <row r="2597" spans="1:11" x14ac:dyDescent="0.35">
      <c r="A2597" s="271" t="s">
        <v>309</v>
      </c>
      <c r="B2597" s="272"/>
      <c r="C2597" s="272"/>
      <c r="D2597" s="272"/>
      <c r="E2597" s="272"/>
      <c r="G2597" s="271" t="s">
        <v>309</v>
      </c>
      <c r="H2597" s="272"/>
      <c r="I2597" s="272"/>
      <c r="J2597" s="272"/>
      <c r="K2597" s="272"/>
    </row>
    <row r="2598" spans="1:11" x14ac:dyDescent="0.35">
      <c r="A2598" s="269" t="s">
        <v>310</v>
      </c>
      <c r="B2598" s="270">
        <v>1380</v>
      </c>
      <c r="C2598" s="270"/>
      <c r="D2598" s="270"/>
      <c r="E2598" s="270"/>
      <c r="G2598" s="269" t="s">
        <v>310</v>
      </c>
      <c r="H2598" s="270"/>
      <c r="I2598" s="270"/>
      <c r="J2598" s="270"/>
      <c r="K2598" s="270"/>
    </row>
    <row r="2599" spans="1:11" x14ac:dyDescent="0.35">
      <c r="A2599" s="271" t="s">
        <v>317</v>
      </c>
      <c r="B2599" s="272"/>
      <c r="C2599" s="272"/>
      <c r="D2599" s="272"/>
      <c r="E2599" s="272"/>
      <c r="G2599" s="271" t="s">
        <v>317</v>
      </c>
      <c r="H2599" s="272"/>
      <c r="I2599" s="272"/>
      <c r="J2599" s="272"/>
      <c r="K2599" s="272"/>
    </row>
    <row r="2600" spans="1:11" x14ac:dyDescent="0.35">
      <c r="A2600" s="269" t="s">
        <v>311</v>
      </c>
      <c r="B2600" s="270"/>
      <c r="C2600" s="270"/>
      <c r="D2600" s="270"/>
      <c r="E2600" s="270"/>
      <c r="G2600" s="269" t="s">
        <v>311</v>
      </c>
      <c r="H2600" s="270"/>
      <c r="I2600" s="270"/>
      <c r="J2600" s="270"/>
      <c r="K2600" s="270"/>
    </row>
    <row r="2601" spans="1:11" x14ac:dyDescent="0.35">
      <c r="A2601" s="271" t="s">
        <v>312</v>
      </c>
      <c r="B2601" s="272"/>
      <c r="C2601" s="272"/>
      <c r="D2601" s="272"/>
      <c r="E2601" s="272"/>
      <c r="G2601" s="271" t="s">
        <v>312</v>
      </c>
      <c r="H2601" s="272"/>
      <c r="I2601" s="272"/>
      <c r="J2601" s="272"/>
      <c r="K2601" s="272"/>
    </row>
    <row r="2602" spans="1:11" x14ac:dyDescent="0.35">
      <c r="A2602" s="231" t="s">
        <v>34</v>
      </c>
      <c r="B2602" s="230">
        <f>SUM(B2596:B2601)</f>
        <v>1536</v>
      </c>
      <c r="C2602" s="230">
        <f>SUM(C2596:C2601)</f>
        <v>0</v>
      </c>
      <c r="D2602" s="230">
        <f>SUM(D2596:D2601)</f>
        <v>0</v>
      </c>
      <c r="E2602" s="230">
        <f>SUM(E2596:E2601)</f>
        <v>0</v>
      </c>
      <c r="G2602" s="231" t="s">
        <v>34</v>
      </c>
      <c r="H2602" s="230">
        <f>SUM(H2596:H2601)</f>
        <v>0</v>
      </c>
      <c r="I2602" s="230">
        <f>SUM(I2596:I2601)</f>
        <v>0</v>
      </c>
      <c r="J2602" s="230">
        <f>SUM(J2596:J2601)</f>
        <v>0</v>
      </c>
      <c r="K2602" s="230">
        <f>SUM(K2596:K2601)</f>
        <v>0</v>
      </c>
    </row>
    <row r="2603" spans="1:11" ht="15" thickBot="1" x14ac:dyDescent="0.4">
      <c r="A2603" s="231" t="s">
        <v>313</v>
      </c>
      <c r="B2603" s="230">
        <f>+B2602+C2602+D2602+E2602</f>
        <v>1536</v>
      </c>
      <c r="C2603" s="230"/>
      <c r="D2603" s="230"/>
      <c r="E2603" s="230"/>
      <c r="G2603" s="231" t="s">
        <v>313</v>
      </c>
      <c r="H2603" s="230">
        <f>+H2602+I2602+J2602+K2602</f>
        <v>0</v>
      </c>
      <c r="I2603" s="230"/>
      <c r="J2603" s="230"/>
      <c r="K2603" s="230"/>
    </row>
    <row r="2604" spans="1:11" ht="15.5" thickTop="1" thickBot="1" x14ac:dyDescent="0.4">
      <c r="A2604" s="335" t="s">
        <v>298</v>
      </c>
      <c r="B2604" s="336"/>
      <c r="C2604" s="336"/>
      <c r="D2604" s="336"/>
      <c r="E2604" s="337"/>
      <c r="G2604" s="335" t="s">
        <v>298</v>
      </c>
      <c r="H2604" s="336"/>
      <c r="I2604" s="336"/>
      <c r="J2604" s="336"/>
      <c r="K2604" s="337"/>
    </row>
    <row r="2605" spans="1:11" ht="15.5" thickTop="1" thickBot="1" x14ac:dyDescent="0.4">
      <c r="A2605" s="338">
        <v>45527</v>
      </c>
      <c r="B2605" s="336"/>
      <c r="C2605" s="336"/>
      <c r="D2605" s="336"/>
      <c r="E2605" s="337"/>
      <c r="G2605" s="338">
        <v>45527</v>
      </c>
      <c r="H2605" s="336"/>
      <c r="I2605" s="336"/>
      <c r="J2605" s="336"/>
      <c r="K2605" s="337"/>
    </row>
    <row r="2606" spans="1:11" ht="15" thickTop="1" x14ac:dyDescent="0.35">
      <c r="A2606" s="267" t="s">
        <v>159</v>
      </c>
      <c r="B2606" s="267" t="s">
        <v>299</v>
      </c>
      <c r="C2606" s="267" t="s">
        <v>307</v>
      </c>
      <c r="D2606" s="267" t="s">
        <v>301</v>
      </c>
      <c r="E2606" s="268" t="s">
        <v>308</v>
      </c>
      <c r="G2606" s="267" t="s">
        <v>159</v>
      </c>
      <c r="H2606" s="267" t="s">
        <v>299</v>
      </c>
      <c r="I2606" s="267" t="s">
        <v>307</v>
      </c>
      <c r="J2606" s="267" t="s">
        <v>301</v>
      </c>
      <c r="K2606" s="268" t="s">
        <v>308</v>
      </c>
    </row>
    <row r="2607" spans="1:11" x14ac:dyDescent="0.35">
      <c r="A2607" s="269" t="s">
        <v>316</v>
      </c>
      <c r="B2607" s="270"/>
      <c r="C2607" s="270"/>
      <c r="D2607" s="270"/>
      <c r="E2607" s="270"/>
      <c r="G2607" s="269" t="s">
        <v>316</v>
      </c>
      <c r="H2607" s="270"/>
      <c r="I2607" s="270"/>
      <c r="J2607" s="270"/>
      <c r="K2607" s="270"/>
    </row>
    <row r="2608" spans="1:11" x14ac:dyDescent="0.35">
      <c r="A2608" s="271" t="s">
        <v>309</v>
      </c>
      <c r="B2608" s="272"/>
      <c r="C2608" s="272"/>
      <c r="D2608" s="272"/>
      <c r="E2608" s="272"/>
      <c r="G2608" s="271" t="s">
        <v>309</v>
      </c>
      <c r="H2608" s="272"/>
      <c r="I2608" s="272"/>
      <c r="J2608" s="272"/>
      <c r="K2608" s="272"/>
    </row>
    <row r="2609" spans="1:11" x14ac:dyDescent="0.35">
      <c r="A2609" s="269" t="s">
        <v>310</v>
      </c>
      <c r="B2609" s="270"/>
      <c r="C2609" s="270"/>
      <c r="D2609" s="270"/>
      <c r="E2609" s="270"/>
      <c r="G2609" s="269" t="s">
        <v>310</v>
      </c>
      <c r="H2609" s="270"/>
      <c r="I2609" s="270"/>
      <c r="J2609" s="270"/>
      <c r="K2609" s="270"/>
    </row>
    <row r="2610" spans="1:11" x14ac:dyDescent="0.35">
      <c r="A2610" s="271" t="s">
        <v>317</v>
      </c>
      <c r="B2610" s="272"/>
      <c r="C2610" s="272"/>
      <c r="D2610" s="272"/>
      <c r="E2610" s="272"/>
      <c r="G2610" s="271" t="s">
        <v>317</v>
      </c>
      <c r="H2610" s="272"/>
      <c r="I2610" s="272"/>
      <c r="J2610" s="272"/>
      <c r="K2610" s="272"/>
    </row>
    <row r="2611" spans="1:11" x14ac:dyDescent="0.35">
      <c r="A2611" s="269" t="s">
        <v>311</v>
      </c>
      <c r="B2611" s="270"/>
      <c r="C2611" s="270"/>
      <c r="D2611" s="270"/>
      <c r="E2611" s="270"/>
      <c r="G2611" s="269" t="s">
        <v>311</v>
      </c>
      <c r="H2611" s="270"/>
      <c r="I2611" s="270"/>
      <c r="J2611" s="270"/>
      <c r="K2611" s="270"/>
    </row>
    <row r="2612" spans="1:11" x14ac:dyDescent="0.35">
      <c r="A2612" s="271" t="s">
        <v>312</v>
      </c>
      <c r="B2612" s="272">
        <v>6750</v>
      </c>
      <c r="C2612" s="272"/>
      <c r="D2612" s="272"/>
      <c r="E2612" s="272"/>
      <c r="G2612" s="271" t="s">
        <v>312</v>
      </c>
      <c r="H2612" s="272"/>
      <c r="I2612" s="272"/>
      <c r="J2612" s="272"/>
      <c r="K2612" s="272"/>
    </row>
    <row r="2613" spans="1:11" x14ac:dyDescent="0.35">
      <c r="A2613" s="231" t="s">
        <v>34</v>
      </c>
      <c r="B2613" s="230">
        <f>SUM(B2607:B2612)</f>
        <v>6750</v>
      </c>
      <c r="C2613" s="230">
        <f>SUM(C2607:C2612)</f>
        <v>0</v>
      </c>
      <c r="D2613" s="230">
        <f>SUM(D2607:D2612)</f>
        <v>0</v>
      </c>
      <c r="E2613" s="230">
        <f>SUM(E2607:E2612)</f>
        <v>0</v>
      </c>
      <c r="G2613" s="231" t="s">
        <v>34</v>
      </c>
      <c r="H2613" s="230">
        <f>SUM(H2607:H2612)</f>
        <v>0</v>
      </c>
      <c r="I2613" s="230">
        <f>SUM(I2607:I2612)</f>
        <v>0</v>
      </c>
      <c r="J2613" s="230">
        <f>SUM(J2607:J2612)</f>
        <v>0</v>
      </c>
      <c r="K2613" s="230">
        <f>SUM(K2607:K2612)</f>
        <v>0</v>
      </c>
    </row>
    <row r="2614" spans="1:11" ht="15" thickBot="1" x14ac:dyDescent="0.4">
      <c r="A2614" s="231" t="s">
        <v>313</v>
      </c>
      <c r="B2614" s="230">
        <f>+B2613+C2613+D2613+E2613</f>
        <v>6750</v>
      </c>
      <c r="C2614" s="230"/>
      <c r="D2614" s="230"/>
      <c r="E2614" s="230"/>
      <c r="G2614" s="231" t="s">
        <v>313</v>
      </c>
      <c r="H2614" s="230">
        <f>+H2613+I2613+J2613+K2613</f>
        <v>0</v>
      </c>
      <c r="I2614" s="230"/>
      <c r="J2614" s="230"/>
      <c r="K2614" s="230"/>
    </row>
    <row r="2615" spans="1:11" ht="15.5" thickTop="1" thickBot="1" x14ac:dyDescent="0.4">
      <c r="A2615" s="335" t="s">
        <v>298</v>
      </c>
      <c r="B2615" s="336"/>
      <c r="C2615" s="336"/>
      <c r="D2615" s="336"/>
      <c r="E2615" s="337"/>
      <c r="G2615" s="335" t="s">
        <v>298</v>
      </c>
      <c r="H2615" s="336"/>
      <c r="I2615" s="336"/>
      <c r="J2615" s="336"/>
      <c r="K2615" s="337"/>
    </row>
    <row r="2616" spans="1:11" ht="15.5" thickTop="1" thickBot="1" x14ac:dyDescent="0.4">
      <c r="A2616" s="338">
        <v>45528</v>
      </c>
      <c r="B2616" s="336"/>
      <c r="C2616" s="336"/>
      <c r="D2616" s="336"/>
      <c r="E2616" s="337"/>
      <c r="G2616" s="338">
        <v>45528</v>
      </c>
      <c r="H2616" s="336"/>
      <c r="I2616" s="336"/>
      <c r="J2616" s="336"/>
      <c r="K2616" s="337"/>
    </row>
    <row r="2617" spans="1:11" ht="15" thickTop="1" x14ac:dyDescent="0.35">
      <c r="A2617" s="267" t="s">
        <v>159</v>
      </c>
      <c r="B2617" s="267" t="s">
        <v>299</v>
      </c>
      <c r="C2617" s="267" t="s">
        <v>307</v>
      </c>
      <c r="D2617" s="267" t="s">
        <v>301</v>
      </c>
      <c r="E2617" s="268" t="s">
        <v>308</v>
      </c>
      <c r="G2617" s="267" t="s">
        <v>159</v>
      </c>
      <c r="H2617" s="267" t="s">
        <v>299</v>
      </c>
      <c r="I2617" s="267" t="s">
        <v>307</v>
      </c>
      <c r="J2617" s="267" t="s">
        <v>301</v>
      </c>
      <c r="K2617" s="268" t="s">
        <v>308</v>
      </c>
    </row>
    <row r="2618" spans="1:11" x14ac:dyDescent="0.35">
      <c r="A2618" s="269" t="s">
        <v>345</v>
      </c>
      <c r="B2618" s="270">
        <v>2500</v>
      </c>
      <c r="C2618" s="270"/>
      <c r="D2618" s="270"/>
      <c r="E2618" s="270"/>
      <c r="G2618" s="269" t="s">
        <v>345</v>
      </c>
      <c r="H2618" s="270">
        <v>1400</v>
      </c>
      <c r="I2618" s="270"/>
      <c r="J2618" s="270"/>
      <c r="K2618" s="270"/>
    </row>
    <row r="2619" spans="1:11" x14ac:dyDescent="0.35">
      <c r="A2619" s="271" t="s">
        <v>345</v>
      </c>
      <c r="B2619" s="272">
        <v>1700</v>
      </c>
      <c r="C2619" s="272"/>
      <c r="D2619" s="272"/>
      <c r="E2619" s="272"/>
      <c r="G2619" s="271" t="s">
        <v>309</v>
      </c>
      <c r="H2619" s="272"/>
      <c r="I2619" s="272"/>
      <c r="J2619" s="272"/>
      <c r="K2619" s="272"/>
    </row>
    <row r="2620" spans="1:11" x14ac:dyDescent="0.35">
      <c r="A2620" s="269" t="s">
        <v>310</v>
      </c>
      <c r="B2620" s="270"/>
      <c r="C2620" s="270"/>
      <c r="D2620" s="270"/>
      <c r="E2620" s="270"/>
      <c r="G2620" s="269" t="s">
        <v>310</v>
      </c>
      <c r="H2620" s="270"/>
      <c r="I2620" s="270"/>
      <c r="J2620" s="270"/>
      <c r="K2620" s="270"/>
    </row>
    <row r="2621" spans="1:11" x14ac:dyDescent="0.35">
      <c r="A2621" s="271" t="s">
        <v>317</v>
      </c>
      <c r="B2621" s="272"/>
      <c r="C2621" s="272"/>
      <c r="D2621" s="272"/>
      <c r="E2621" s="272"/>
      <c r="G2621" s="271" t="s">
        <v>317</v>
      </c>
      <c r="H2621" s="272"/>
      <c r="I2621" s="272"/>
      <c r="J2621" s="272"/>
      <c r="K2621" s="272"/>
    </row>
    <row r="2622" spans="1:11" x14ac:dyDescent="0.35">
      <c r="A2622" s="269" t="s">
        <v>311</v>
      </c>
      <c r="B2622" s="270"/>
      <c r="C2622" s="270"/>
      <c r="D2622" s="270"/>
      <c r="E2622" s="270"/>
      <c r="G2622" s="269" t="s">
        <v>311</v>
      </c>
      <c r="H2622" s="270"/>
      <c r="I2622" s="270"/>
      <c r="J2622" s="270"/>
      <c r="K2622" s="270"/>
    </row>
    <row r="2623" spans="1:11" x14ac:dyDescent="0.35">
      <c r="A2623" s="271" t="s">
        <v>312</v>
      </c>
      <c r="B2623" s="272">
        <v>2130</v>
      </c>
      <c r="C2623" s="272"/>
      <c r="D2623" s="272"/>
      <c r="E2623" s="272"/>
      <c r="G2623" s="271" t="s">
        <v>312</v>
      </c>
      <c r="H2623" s="272"/>
      <c r="I2623" s="272"/>
      <c r="J2623" s="272"/>
      <c r="K2623" s="272"/>
    </row>
    <row r="2624" spans="1:11" x14ac:dyDescent="0.35">
      <c r="A2624" s="231" t="s">
        <v>34</v>
      </c>
      <c r="B2624" s="230">
        <f>SUM(B2618:B2623)</f>
        <v>6330</v>
      </c>
      <c r="C2624" s="230">
        <f>SUM(C2618:C2623)</f>
        <v>0</v>
      </c>
      <c r="D2624" s="230">
        <f>SUM(D2618:D2623)</f>
        <v>0</v>
      </c>
      <c r="E2624" s="230">
        <f>SUM(E2618:E2623)</f>
        <v>0</v>
      </c>
      <c r="G2624" s="231" t="s">
        <v>34</v>
      </c>
      <c r="H2624" s="230">
        <f>SUM(H2618:H2623)</f>
        <v>1400</v>
      </c>
      <c r="I2624" s="230">
        <f>SUM(I2618:I2623)</f>
        <v>0</v>
      </c>
      <c r="J2624" s="230">
        <f>SUM(J2618:J2623)</f>
        <v>0</v>
      </c>
      <c r="K2624" s="230">
        <f>SUM(K2618:K2623)</f>
        <v>0</v>
      </c>
    </row>
    <row r="2625" spans="1:11" ht="15" thickBot="1" x14ac:dyDescent="0.4">
      <c r="A2625" s="231" t="s">
        <v>313</v>
      </c>
      <c r="B2625" s="230">
        <f>+B2624+C2624+D2624+E2624</f>
        <v>6330</v>
      </c>
      <c r="C2625" s="230"/>
      <c r="D2625" s="230"/>
      <c r="E2625" s="230"/>
      <c r="G2625" s="231" t="s">
        <v>313</v>
      </c>
      <c r="H2625" s="230">
        <f>+H2624+I2624+J2624+K2624</f>
        <v>1400</v>
      </c>
      <c r="I2625" s="230"/>
      <c r="J2625" s="230"/>
      <c r="K2625" s="230"/>
    </row>
    <row r="2626" spans="1:11" ht="15.5" thickTop="1" thickBot="1" x14ac:dyDescent="0.4">
      <c r="A2626" s="335" t="s">
        <v>298</v>
      </c>
      <c r="B2626" s="336"/>
      <c r="C2626" s="336"/>
      <c r="D2626" s="336"/>
      <c r="E2626" s="337"/>
      <c r="G2626" s="335" t="s">
        <v>298</v>
      </c>
      <c r="H2626" s="336"/>
      <c r="I2626" s="336"/>
      <c r="J2626" s="336"/>
      <c r="K2626" s="337"/>
    </row>
    <row r="2627" spans="1:11" ht="15.5" thickTop="1" thickBot="1" x14ac:dyDescent="0.4">
      <c r="A2627" s="338">
        <v>45529</v>
      </c>
      <c r="B2627" s="336"/>
      <c r="C2627" s="336"/>
      <c r="D2627" s="336"/>
      <c r="E2627" s="337"/>
      <c r="G2627" s="338">
        <v>45529</v>
      </c>
      <c r="H2627" s="336"/>
      <c r="I2627" s="336"/>
      <c r="J2627" s="336"/>
      <c r="K2627" s="337"/>
    </row>
    <row r="2628" spans="1:11" ht="15" thickTop="1" x14ac:dyDescent="0.35">
      <c r="A2628" s="267" t="s">
        <v>159</v>
      </c>
      <c r="B2628" s="267" t="s">
        <v>299</v>
      </c>
      <c r="C2628" s="267" t="s">
        <v>307</v>
      </c>
      <c r="D2628" s="267" t="s">
        <v>301</v>
      </c>
      <c r="E2628" s="268" t="s">
        <v>308</v>
      </c>
      <c r="G2628" s="267" t="s">
        <v>159</v>
      </c>
      <c r="H2628" s="267" t="s">
        <v>299</v>
      </c>
      <c r="I2628" s="267" t="s">
        <v>307</v>
      </c>
      <c r="J2628" s="267" t="s">
        <v>301</v>
      </c>
      <c r="K2628" s="268" t="s">
        <v>308</v>
      </c>
    </row>
    <row r="2629" spans="1:11" x14ac:dyDescent="0.35">
      <c r="A2629" s="269" t="s">
        <v>378</v>
      </c>
      <c r="B2629" s="270">
        <v>2400</v>
      </c>
      <c r="C2629" s="270"/>
      <c r="D2629" s="270"/>
      <c r="E2629" s="270"/>
      <c r="G2629" s="269" t="s">
        <v>316</v>
      </c>
      <c r="H2629" s="270"/>
      <c r="I2629" s="270"/>
      <c r="J2629" s="270"/>
      <c r="K2629" s="270"/>
    </row>
    <row r="2630" spans="1:11" x14ac:dyDescent="0.35">
      <c r="A2630" s="271" t="s">
        <v>309</v>
      </c>
      <c r="B2630" s="272"/>
      <c r="C2630" s="272"/>
      <c r="D2630" s="272"/>
      <c r="E2630" s="272"/>
      <c r="G2630" s="271" t="s">
        <v>309</v>
      </c>
      <c r="H2630" s="272"/>
      <c r="I2630" s="272"/>
      <c r="J2630" s="272"/>
      <c r="K2630" s="272"/>
    </row>
    <row r="2631" spans="1:11" x14ac:dyDescent="0.35">
      <c r="A2631" s="269" t="s">
        <v>310</v>
      </c>
      <c r="B2631" s="270"/>
      <c r="C2631" s="270"/>
      <c r="D2631" s="270"/>
      <c r="E2631" s="270"/>
      <c r="G2631" s="269" t="s">
        <v>310</v>
      </c>
      <c r="H2631" s="270"/>
      <c r="I2631" s="270"/>
      <c r="J2631" s="270"/>
      <c r="K2631" s="270"/>
    </row>
    <row r="2632" spans="1:11" x14ac:dyDescent="0.35">
      <c r="A2632" s="271" t="s">
        <v>317</v>
      </c>
      <c r="B2632" s="272"/>
      <c r="C2632" s="272"/>
      <c r="D2632" s="272"/>
      <c r="E2632" s="272"/>
      <c r="G2632" s="271" t="s">
        <v>317</v>
      </c>
      <c r="H2632" s="272"/>
      <c r="I2632" s="272"/>
      <c r="J2632" s="272"/>
      <c r="K2632" s="272"/>
    </row>
    <row r="2633" spans="1:11" x14ac:dyDescent="0.35">
      <c r="A2633" s="269" t="s">
        <v>311</v>
      </c>
      <c r="B2633" s="270"/>
      <c r="C2633" s="270"/>
      <c r="D2633" s="270"/>
      <c r="E2633" s="270"/>
      <c r="G2633" s="269" t="s">
        <v>311</v>
      </c>
      <c r="H2633" s="270"/>
      <c r="I2633" s="270"/>
      <c r="J2633" s="270"/>
      <c r="K2633" s="270"/>
    </row>
    <row r="2634" spans="1:11" x14ac:dyDescent="0.35">
      <c r="A2634" s="271" t="s">
        <v>312</v>
      </c>
      <c r="B2634" s="272"/>
      <c r="C2634" s="272"/>
      <c r="D2634" s="272"/>
      <c r="E2634" s="272"/>
      <c r="G2634" s="271" t="s">
        <v>312</v>
      </c>
      <c r="H2634" s="272"/>
      <c r="I2634" s="272"/>
      <c r="J2634" s="272"/>
      <c r="K2634" s="272"/>
    </row>
    <row r="2635" spans="1:11" x14ac:dyDescent="0.35">
      <c r="A2635" s="231" t="s">
        <v>34</v>
      </c>
      <c r="B2635" s="230">
        <f>SUM(B2629:B2634)</f>
        <v>2400</v>
      </c>
      <c r="C2635" s="230">
        <f>SUM(C2629:C2634)</f>
        <v>0</v>
      </c>
      <c r="D2635" s="230">
        <f>SUM(D2629:D2634)</f>
        <v>0</v>
      </c>
      <c r="E2635" s="230">
        <f>SUM(E2629:E2634)</f>
        <v>0</v>
      </c>
      <c r="G2635" s="231" t="s">
        <v>34</v>
      </c>
      <c r="H2635" s="230">
        <f>SUM(H2629:H2634)</f>
        <v>0</v>
      </c>
      <c r="I2635" s="230">
        <f>SUM(I2629:I2634)</f>
        <v>0</v>
      </c>
      <c r="J2635" s="230">
        <f>SUM(J2629:J2634)</f>
        <v>0</v>
      </c>
      <c r="K2635" s="230">
        <f>SUM(K2629:K2634)</f>
        <v>0</v>
      </c>
    </row>
    <row r="2636" spans="1:11" ht="15" thickBot="1" x14ac:dyDescent="0.4">
      <c r="A2636" s="231" t="s">
        <v>313</v>
      </c>
      <c r="B2636" s="230">
        <f>+B2635+C2635+D2635+E2635</f>
        <v>2400</v>
      </c>
      <c r="C2636" s="230"/>
      <c r="D2636" s="230"/>
      <c r="E2636" s="230"/>
      <c r="G2636" s="231" t="s">
        <v>313</v>
      </c>
      <c r="H2636" s="230">
        <f>+H2635+I2635+J2635+K2635</f>
        <v>0</v>
      </c>
      <c r="I2636" s="230"/>
      <c r="J2636" s="230"/>
      <c r="K2636" s="230"/>
    </row>
    <row r="2637" spans="1:11" ht="15.5" thickTop="1" thickBot="1" x14ac:dyDescent="0.4">
      <c r="A2637" s="335" t="s">
        <v>298</v>
      </c>
      <c r="B2637" s="336"/>
      <c r="C2637" s="336"/>
      <c r="D2637" s="336"/>
      <c r="E2637" s="337"/>
      <c r="G2637" s="335" t="s">
        <v>298</v>
      </c>
      <c r="H2637" s="336"/>
      <c r="I2637" s="336"/>
      <c r="J2637" s="336"/>
      <c r="K2637" s="337"/>
    </row>
    <row r="2638" spans="1:11" ht="15.5" thickTop="1" thickBot="1" x14ac:dyDescent="0.4">
      <c r="A2638" s="338">
        <v>45530</v>
      </c>
      <c r="B2638" s="336"/>
      <c r="C2638" s="336"/>
      <c r="D2638" s="336"/>
      <c r="E2638" s="337"/>
      <c r="G2638" s="338">
        <v>45530</v>
      </c>
      <c r="H2638" s="336"/>
      <c r="I2638" s="336"/>
      <c r="J2638" s="336"/>
      <c r="K2638" s="337"/>
    </row>
    <row r="2639" spans="1:11" ht="15" thickTop="1" x14ac:dyDescent="0.35">
      <c r="A2639" s="267" t="s">
        <v>159</v>
      </c>
      <c r="B2639" s="267" t="s">
        <v>299</v>
      </c>
      <c r="C2639" s="267" t="s">
        <v>307</v>
      </c>
      <c r="D2639" s="267" t="s">
        <v>301</v>
      </c>
      <c r="E2639" s="268" t="s">
        <v>308</v>
      </c>
      <c r="G2639" s="267" t="s">
        <v>159</v>
      </c>
      <c r="H2639" s="267" t="s">
        <v>299</v>
      </c>
      <c r="I2639" s="267" t="s">
        <v>307</v>
      </c>
      <c r="J2639" s="267" t="s">
        <v>301</v>
      </c>
      <c r="K2639" s="268" t="s">
        <v>308</v>
      </c>
    </row>
    <row r="2640" spans="1:11" x14ac:dyDescent="0.35">
      <c r="A2640" s="269" t="s">
        <v>364</v>
      </c>
      <c r="B2640" s="270">
        <v>110</v>
      </c>
      <c r="C2640" s="270"/>
      <c r="D2640" s="270"/>
      <c r="E2640" s="270"/>
      <c r="G2640" s="269" t="s">
        <v>316</v>
      </c>
      <c r="H2640" s="270"/>
      <c r="I2640" s="270"/>
      <c r="J2640" s="270"/>
      <c r="K2640" s="270"/>
    </row>
    <row r="2641" spans="1:11" x14ac:dyDescent="0.35">
      <c r="A2641" s="271" t="s">
        <v>309</v>
      </c>
      <c r="B2641" s="272"/>
      <c r="C2641" s="272"/>
      <c r="D2641" s="272"/>
      <c r="E2641" s="272"/>
      <c r="G2641" s="271" t="s">
        <v>309</v>
      </c>
      <c r="H2641" s="272"/>
      <c r="I2641" s="272"/>
      <c r="J2641" s="272"/>
      <c r="K2641" s="272"/>
    </row>
    <row r="2642" spans="1:11" x14ac:dyDescent="0.35">
      <c r="A2642" s="269" t="s">
        <v>310</v>
      </c>
      <c r="B2642" s="270"/>
      <c r="C2642" s="270"/>
      <c r="D2642" s="270"/>
      <c r="E2642" s="270"/>
      <c r="G2642" s="269" t="s">
        <v>310</v>
      </c>
      <c r="H2642" s="270"/>
      <c r="I2642" s="270"/>
      <c r="J2642" s="270"/>
      <c r="K2642" s="270"/>
    </row>
    <row r="2643" spans="1:11" x14ac:dyDescent="0.35">
      <c r="A2643" s="271" t="s">
        <v>317</v>
      </c>
      <c r="B2643" s="272"/>
      <c r="C2643" s="272"/>
      <c r="D2643" s="272"/>
      <c r="E2643" s="272"/>
      <c r="G2643" s="271" t="s">
        <v>317</v>
      </c>
      <c r="H2643" s="272"/>
      <c r="I2643" s="272"/>
      <c r="J2643" s="272"/>
      <c r="K2643" s="272"/>
    </row>
    <row r="2644" spans="1:11" x14ac:dyDescent="0.35">
      <c r="A2644" s="269" t="s">
        <v>311</v>
      </c>
      <c r="B2644" s="270"/>
      <c r="C2644" s="270"/>
      <c r="D2644" s="270"/>
      <c r="E2644" s="270"/>
      <c r="G2644" s="269" t="s">
        <v>311</v>
      </c>
      <c r="H2644" s="270"/>
      <c r="I2644" s="270"/>
      <c r="J2644" s="270"/>
      <c r="K2644" s="270"/>
    </row>
    <row r="2645" spans="1:11" x14ac:dyDescent="0.35">
      <c r="A2645" s="271" t="s">
        <v>312</v>
      </c>
      <c r="B2645" s="272"/>
      <c r="C2645" s="272"/>
      <c r="D2645" s="272"/>
      <c r="E2645" s="272"/>
      <c r="G2645" s="271" t="s">
        <v>312</v>
      </c>
      <c r="H2645" s="272"/>
      <c r="I2645" s="272"/>
      <c r="J2645" s="272"/>
      <c r="K2645" s="272"/>
    </row>
    <row r="2646" spans="1:11" x14ac:dyDescent="0.35">
      <c r="A2646" s="231" t="s">
        <v>34</v>
      </c>
      <c r="B2646" s="230">
        <f>SUM(B2640:B2645)</f>
        <v>110</v>
      </c>
      <c r="C2646" s="230">
        <f>SUM(C2640:C2645)</f>
        <v>0</v>
      </c>
      <c r="D2646" s="230">
        <f>SUM(D2640:D2645)</f>
        <v>0</v>
      </c>
      <c r="E2646" s="230">
        <f>SUM(E2640:E2645)</f>
        <v>0</v>
      </c>
      <c r="G2646" s="231" t="s">
        <v>34</v>
      </c>
      <c r="H2646" s="230">
        <f>SUM(H2640:H2645)</f>
        <v>0</v>
      </c>
      <c r="I2646" s="230">
        <f>SUM(I2640:I2645)</f>
        <v>0</v>
      </c>
      <c r="J2646" s="230">
        <f>SUM(J2640:J2645)</f>
        <v>0</v>
      </c>
      <c r="K2646" s="230">
        <f>SUM(K2640:K2645)</f>
        <v>0</v>
      </c>
    </row>
    <row r="2647" spans="1:11" ht="15" thickBot="1" x14ac:dyDescent="0.4">
      <c r="A2647" s="231" t="s">
        <v>313</v>
      </c>
      <c r="B2647" s="230">
        <f>+B2646+C2646+D2646+E2646</f>
        <v>110</v>
      </c>
      <c r="C2647" s="230"/>
      <c r="D2647" s="230"/>
      <c r="E2647" s="230"/>
      <c r="G2647" s="231" t="s">
        <v>313</v>
      </c>
      <c r="H2647" s="230">
        <f>+H2646+I2646+J2646+K2646</f>
        <v>0</v>
      </c>
      <c r="I2647" s="230"/>
      <c r="J2647" s="230"/>
      <c r="K2647" s="230"/>
    </row>
    <row r="2648" spans="1:11" ht="15.5" thickTop="1" thickBot="1" x14ac:dyDescent="0.4">
      <c r="A2648" s="335" t="s">
        <v>298</v>
      </c>
      <c r="B2648" s="336"/>
      <c r="C2648" s="336"/>
      <c r="D2648" s="336"/>
      <c r="E2648" s="337"/>
      <c r="G2648" s="335" t="s">
        <v>298</v>
      </c>
      <c r="H2648" s="336"/>
      <c r="I2648" s="336"/>
      <c r="J2648" s="336"/>
      <c r="K2648" s="337"/>
    </row>
    <row r="2649" spans="1:11" ht="15.5" thickTop="1" thickBot="1" x14ac:dyDescent="0.4">
      <c r="A2649" s="338">
        <v>45531</v>
      </c>
      <c r="B2649" s="336"/>
      <c r="C2649" s="336"/>
      <c r="D2649" s="336"/>
      <c r="E2649" s="337"/>
      <c r="G2649" s="338">
        <v>45531</v>
      </c>
      <c r="H2649" s="336"/>
      <c r="I2649" s="336"/>
      <c r="J2649" s="336"/>
      <c r="K2649" s="337"/>
    </row>
    <row r="2650" spans="1:11" ht="15" thickTop="1" x14ac:dyDescent="0.35">
      <c r="A2650" s="267" t="s">
        <v>159</v>
      </c>
      <c r="B2650" s="267" t="s">
        <v>299</v>
      </c>
      <c r="C2650" s="267" t="s">
        <v>307</v>
      </c>
      <c r="D2650" s="267" t="s">
        <v>301</v>
      </c>
      <c r="E2650" s="268" t="s">
        <v>308</v>
      </c>
      <c r="G2650" s="267" t="s">
        <v>159</v>
      </c>
      <c r="H2650" s="267" t="s">
        <v>299</v>
      </c>
      <c r="I2650" s="267" t="s">
        <v>307</v>
      </c>
      <c r="J2650" s="267" t="s">
        <v>301</v>
      </c>
      <c r="K2650" s="268" t="s">
        <v>308</v>
      </c>
    </row>
    <row r="2651" spans="1:11" x14ac:dyDescent="0.35">
      <c r="A2651" s="269" t="s">
        <v>316</v>
      </c>
      <c r="B2651" s="270"/>
      <c r="C2651" s="270"/>
      <c r="D2651" s="270"/>
      <c r="E2651" s="270"/>
      <c r="G2651" s="269" t="s">
        <v>316</v>
      </c>
      <c r="H2651" s="270">
        <v>180</v>
      </c>
      <c r="I2651" s="270"/>
      <c r="J2651" s="270"/>
      <c r="K2651" s="270"/>
    </row>
    <row r="2652" spans="1:11" x14ac:dyDescent="0.35">
      <c r="A2652" s="271" t="s">
        <v>309</v>
      </c>
      <c r="B2652" s="272"/>
      <c r="C2652" s="272"/>
      <c r="D2652" s="272"/>
      <c r="E2652" s="272"/>
      <c r="G2652" s="271" t="s">
        <v>309</v>
      </c>
      <c r="H2652" s="272"/>
      <c r="I2652" s="272"/>
      <c r="J2652" s="272"/>
      <c r="K2652" s="272"/>
    </row>
    <row r="2653" spans="1:11" x14ac:dyDescent="0.35">
      <c r="A2653" s="269" t="s">
        <v>310</v>
      </c>
      <c r="B2653" s="270">
        <v>2240</v>
      </c>
      <c r="C2653" s="270"/>
      <c r="D2653" s="270"/>
      <c r="E2653" s="270"/>
      <c r="G2653" s="269" t="s">
        <v>310</v>
      </c>
      <c r="H2653" s="270"/>
      <c r="I2653" s="270"/>
      <c r="J2653" s="270"/>
      <c r="K2653" s="270"/>
    </row>
    <row r="2654" spans="1:11" x14ac:dyDescent="0.35">
      <c r="A2654" s="271" t="s">
        <v>317</v>
      </c>
      <c r="B2654" s="272"/>
      <c r="C2654" s="272"/>
      <c r="D2654" s="272"/>
      <c r="E2654" s="272"/>
      <c r="G2654" s="271" t="s">
        <v>317</v>
      </c>
      <c r="H2654" s="272"/>
      <c r="I2654" s="272"/>
      <c r="J2654" s="272"/>
      <c r="K2654" s="272"/>
    </row>
    <row r="2655" spans="1:11" x14ac:dyDescent="0.35">
      <c r="A2655" s="269" t="s">
        <v>311</v>
      </c>
      <c r="B2655" s="270"/>
      <c r="C2655" s="270"/>
      <c r="D2655" s="270"/>
      <c r="E2655" s="270"/>
      <c r="G2655" s="269" t="s">
        <v>311</v>
      </c>
      <c r="H2655" s="270"/>
      <c r="I2655" s="270"/>
      <c r="J2655" s="270"/>
      <c r="K2655" s="270"/>
    </row>
    <row r="2656" spans="1:11" x14ac:dyDescent="0.35">
      <c r="A2656" s="271" t="s">
        <v>312</v>
      </c>
      <c r="B2656" s="272"/>
      <c r="C2656" s="272"/>
      <c r="D2656" s="272"/>
      <c r="E2656" s="272"/>
      <c r="G2656" s="271" t="s">
        <v>312</v>
      </c>
      <c r="H2656" s="272"/>
      <c r="I2656" s="272"/>
      <c r="J2656" s="272"/>
      <c r="K2656" s="272"/>
    </row>
    <row r="2657" spans="1:11" x14ac:dyDescent="0.35">
      <c r="A2657" s="231" t="s">
        <v>34</v>
      </c>
      <c r="B2657" s="230">
        <f>SUM(B2651:B2656)</f>
        <v>2240</v>
      </c>
      <c r="C2657" s="230">
        <f>SUM(C2651:C2656)</f>
        <v>0</v>
      </c>
      <c r="D2657" s="230">
        <f>SUM(D2651:D2656)</f>
        <v>0</v>
      </c>
      <c r="E2657" s="230">
        <f>SUM(E2651:E2656)</f>
        <v>0</v>
      </c>
      <c r="G2657" s="231" t="s">
        <v>34</v>
      </c>
      <c r="H2657" s="230">
        <f>SUM(H2651:H2656)</f>
        <v>180</v>
      </c>
      <c r="I2657" s="230">
        <f>SUM(I2651:I2656)</f>
        <v>0</v>
      </c>
      <c r="J2657" s="230">
        <f>SUM(J2651:J2656)</f>
        <v>0</v>
      </c>
      <c r="K2657" s="230">
        <f>SUM(K2651:K2656)</f>
        <v>0</v>
      </c>
    </row>
    <row r="2658" spans="1:11" ht="15" thickBot="1" x14ac:dyDescent="0.4">
      <c r="A2658" s="231" t="s">
        <v>313</v>
      </c>
      <c r="B2658" s="230">
        <f>+B2657+C2657+D2657+E2657</f>
        <v>2240</v>
      </c>
      <c r="C2658" s="230"/>
      <c r="D2658" s="230"/>
      <c r="E2658" s="230"/>
      <c r="G2658" s="231" t="s">
        <v>313</v>
      </c>
      <c r="H2658" s="230">
        <f>+H2657+I2657+J2657+K2657</f>
        <v>180</v>
      </c>
      <c r="I2658" s="230"/>
      <c r="J2658" s="230"/>
      <c r="K2658" s="230"/>
    </row>
    <row r="2659" spans="1:11" ht="15.5" thickTop="1" thickBot="1" x14ac:dyDescent="0.4">
      <c r="A2659" s="335" t="s">
        <v>298</v>
      </c>
      <c r="B2659" s="336"/>
      <c r="C2659" s="336"/>
      <c r="D2659" s="336"/>
      <c r="E2659" s="337"/>
      <c r="G2659" s="335" t="s">
        <v>298</v>
      </c>
      <c r="H2659" s="336"/>
      <c r="I2659" s="336"/>
      <c r="J2659" s="336"/>
      <c r="K2659" s="337"/>
    </row>
    <row r="2660" spans="1:11" ht="15.5" thickTop="1" thickBot="1" x14ac:dyDescent="0.4">
      <c r="A2660" s="338">
        <v>45532</v>
      </c>
      <c r="B2660" s="336"/>
      <c r="C2660" s="336"/>
      <c r="D2660" s="336"/>
      <c r="E2660" s="337"/>
      <c r="G2660" s="338">
        <v>45532</v>
      </c>
      <c r="H2660" s="336"/>
      <c r="I2660" s="336"/>
      <c r="J2660" s="336"/>
      <c r="K2660" s="337"/>
    </row>
    <row r="2661" spans="1:11" ht="15" thickTop="1" x14ac:dyDescent="0.35">
      <c r="A2661" s="267" t="s">
        <v>159</v>
      </c>
      <c r="B2661" s="267" t="s">
        <v>299</v>
      </c>
      <c r="C2661" s="267" t="s">
        <v>307</v>
      </c>
      <c r="D2661" s="267" t="s">
        <v>301</v>
      </c>
      <c r="E2661" s="268" t="s">
        <v>308</v>
      </c>
      <c r="G2661" s="267" t="s">
        <v>159</v>
      </c>
      <c r="H2661" s="267" t="s">
        <v>299</v>
      </c>
      <c r="I2661" s="267" t="s">
        <v>307</v>
      </c>
      <c r="J2661" s="267" t="s">
        <v>301</v>
      </c>
      <c r="K2661" s="268" t="s">
        <v>308</v>
      </c>
    </row>
    <row r="2662" spans="1:11" x14ac:dyDescent="0.35">
      <c r="A2662" s="269" t="s">
        <v>316</v>
      </c>
      <c r="B2662" s="270"/>
      <c r="C2662" s="270"/>
      <c r="D2662" s="270"/>
      <c r="E2662" s="270"/>
      <c r="G2662" s="269" t="s">
        <v>316</v>
      </c>
      <c r="H2662" s="270"/>
      <c r="I2662" s="270"/>
      <c r="J2662" s="270"/>
      <c r="K2662" s="270"/>
    </row>
    <row r="2663" spans="1:11" x14ac:dyDescent="0.35">
      <c r="A2663" s="271" t="s">
        <v>309</v>
      </c>
      <c r="B2663" s="272"/>
      <c r="C2663" s="272"/>
      <c r="D2663" s="272"/>
      <c r="E2663" s="272"/>
      <c r="G2663" s="271" t="s">
        <v>309</v>
      </c>
      <c r="H2663" s="272"/>
      <c r="I2663" s="272"/>
      <c r="J2663" s="272"/>
      <c r="K2663" s="272"/>
    </row>
    <row r="2664" spans="1:11" x14ac:dyDescent="0.35">
      <c r="A2664" s="269" t="s">
        <v>310</v>
      </c>
      <c r="B2664" s="270"/>
      <c r="C2664" s="270"/>
      <c r="D2664" s="270"/>
      <c r="E2664" s="270"/>
      <c r="G2664" s="269" t="s">
        <v>310</v>
      </c>
      <c r="H2664" s="270"/>
      <c r="I2664" s="270"/>
      <c r="J2664" s="270"/>
      <c r="K2664" s="270"/>
    </row>
    <row r="2665" spans="1:11" x14ac:dyDescent="0.35">
      <c r="A2665" s="271" t="s">
        <v>317</v>
      </c>
      <c r="B2665" s="272"/>
      <c r="C2665" s="272"/>
      <c r="D2665" s="272"/>
      <c r="E2665" s="272"/>
      <c r="G2665" s="271" t="s">
        <v>317</v>
      </c>
      <c r="H2665" s="272"/>
      <c r="I2665" s="272"/>
      <c r="J2665" s="272"/>
      <c r="K2665" s="272"/>
    </row>
    <row r="2666" spans="1:11" x14ac:dyDescent="0.35">
      <c r="A2666" s="269" t="s">
        <v>311</v>
      </c>
      <c r="B2666" s="270"/>
      <c r="C2666" s="270"/>
      <c r="D2666" s="270"/>
      <c r="E2666" s="270"/>
      <c r="G2666" s="269" t="s">
        <v>311</v>
      </c>
      <c r="H2666" s="270"/>
      <c r="I2666" s="270"/>
      <c r="J2666" s="270"/>
      <c r="K2666" s="270"/>
    </row>
    <row r="2667" spans="1:11" x14ac:dyDescent="0.35">
      <c r="A2667" s="271" t="s">
        <v>312</v>
      </c>
      <c r="B2667" s="272"/>
      <c r="C2667" s="272"/>
      <c r="D2667" s="272"/>
      <c r="E2667" s="272"/>
      <c r="G2667" s="271" t="s">
        <v>312</v>
      </c>
      <c r="H2667" s="272"/>
      <c r="I2667" s="272"/>
      <c r="J2667" s="272"/>
      <c r="K2667" s="272"/>
    </row>
    <row r="2668" spans="1:11" x14ac:dyDescent="0.35">
      <c r="A2668" s="231" t="s">
        <v>34</v>
      </c>
      <c r="B2668" s="230">
        <f>SUM(B2662:B2667)</f>
        <v>0</v>
      </c>
      <c r="C2668" s="230">
        <f>SUM(C2662:C2667)</f>
        <v>0</v>
      </c>
      <c r="D2668" s="230">
        <f>SUM(D2662:D2667)</f>
        <v>0</v>
      </c>
      <c r="E2668" s="230">
        <f>SUM(E2662:E2667)</f>
        <v>0</v>
      </c>
      <c r="G2668" s="231" t="s">
        <v>34</v>
      </c>
      <c r="H2668" s="230">
        <f>SUM(H2662:H2667)</f>
        <v>0</v>
      </c>
      <c r="I2668" s="230">
        <f>SUM(I2662:I2667)</f>
        <v>0</v>
      </c>
      <c r="J2668" s="230">
        <f>SUM(J2662:J2667)</f>
        <v>0</v>
      </c>
      <c r="K2668" s="230">
        <f>SUM(K2662:K2667)</f>
        <v>0</v>
      </c>
    </row>
    <row r="2669" spans="1:11" ht="15" thickBot="1" x14ac:dyDescent="0.4">
      <c r="A2669" s="231" t="s">
        <v>313</v>
      </c>
      <c r="B2669" s="230">
        <f>+B2668+C2668+D2668+E2668</f>
        <v>0</v>
      </c>
      <c r="C2669" s="230"/>
      <c r="D2669" s="230"/>
      <c r="E2669" s="230"/>
      <c r="G2669" s="231" t="s">
        <v>313</v>
      </c>
      <c r="H2669" s="230">
        <f>+H2668+I2668+J2668+K2668</f>
        <v>0</v>
      </c>
      <c r="I2669" s="230"/>
      <c r="J2669" s="230"/>
      <c r="K2669" s="230"/>
    </row>
    <row r="2670" spans="1:11" ht="15.5" thickTop="1" thickBot="1" x14ac:dyDescent="0.4">
      <c r="A2670" s="335" t="s">
        <v>298</v>
      </c>
      <c r="B2670" s="336"/>
      <c r="C2670" s="336"/>
      <c r="D2670" s="336"/>
      <c r="E2670" s="337"/>
      <c r="G2670" s="335" t="s">
        <v>298</v>
      </c>
      <c r="H2670" s="336"/>
      <c r="I2670" s="336"/>
      <c r="J2670" s="336"/>
      <c r="K2670" s="337"/>
    </row>
    <row r="2671" spans="1:11" ht="15.5" thickTop="1" thickBot="1" x14ac:dyDescent="0.4">
      <c r="A2671" s="338">
        <v>45533</v>
      </c>
      <c r="B2671" s="336"/>
      <c r="C2671" s="336"/>
      <c r="D2671" s="336"/>
      <c r="E2671" s="337"/>
      <c r="G2671" s="338">
        <v>45533</v>
      </c>
      <c r="H2671" s="336"/>
      <c r="I2671" s="336"/>
      <c r="J2671" s="336"/>
      <c r="K2671" s="337"/>
    </row>
    <row r="2672" spans="1:11" ht="15" thickTop="1" x14ac:dyDescent="0.35">
      <c r="A2672" s="267" t="s">
        <v>159</v>
      </c>
      <c r="B2672" s="267" t="s">
        <v>299</v>
      </c>
      <c r="C2672" s="267" t="s">
        <v>307</v>
      </c>
      <c r="D2672" s="267" t="s">
        <v>301</v>
      </c>
      <c r="E2672" s="268" t="s">
        <v>308</v>
      </c>
      <c r="G2672" s="267" t="s">
        <v>159</v>
      </c>
      <c r="H2672" s="267" t="s">
        <v>299</v>
      </c>
      <c r="I2672" s="267" t="s">
        <v>307</v>
      </c>
      <c r="J2672" s="267" t="s">
        <v>301</v>
      </c>
      <c r="K2672" s="268" t="s">
        <v>308</v>
      </c>
    </row>
    <row r="2673" spans="1:11" x14ac:dyDescent="0.35">
      <c r="A2673" s="269" t="s">
        <v>316</v>
      </c>
      <c r="B2673" s="270"/>
      <c r="C2673" s="270"/>
      <c r="D2673" s="270"/>
      <c r="E2673" s="270"/>
      <c r="G2673" s="269" t="s">
        <v>316</v>
      </c>
      <c r="H2673" s="270"/>
      <c r="I2673" s="270"/>
      <c r="J2673" s="270"/>
      <c r="K2673" s="270"/>
    </row>
    <row r="2674" spans="1:11" x14ac:dyDescent="0.35">
      <c r="A2674" s="271" t="s">
        <v>309</v>
      </c>
      <c r="B2674" s="272"/>
      <c r="C2674" s="272"/>
      <c r="D2674" s="272"/>
      <c r="E2674" s="272"/>
      <c r="G2674" s="271" t="s">
        <v>309</v>
      </c>
      <c r="H2674" s="272"/>
      <c r="I2674" s="272"/>
      <c r="J2674" s="272"/>
      <c r="K2674" s="272"/>
    </row>
    <row r="2675" spans="1:11" x14ac:dyDescent="0.35">
      <c r="A2675" s="269" t="s">
        <v>310</v>
      </c>
      <c r="B2675" s="270">
        <v>2300</v>
      </c>
      <c r="C2675" s="270"/>
      <c r="D2675" s="270"/>
      <c r="E2675" s="270"/>
      <c r="G2675" s="269" t="s">
        <v>310</v>
      </c>
      <c r="H2675" s="270"/>
      <c r="I2675" s="270"/>
      <c r="J2675" s="270"/>
      <c r="K2675" s="270"/>
    </row>
    <row r="2676" spans="1:11" x14ac:dyDescent="0.35">
      <c r="A2676" s="271" t="s">
        <v>317</v>
      </c>
      <c r="B2676" s="272"/>
      <c r="C2676" s="272"/>
      <c r="D2676" s="272"/>
      <c r="E2676" s="272"/>
      <c r="G2676" s="271" t="s">
        <v>317</v>
      </c>
      <c r="H2676" s="272"/>
      <c r="I2676" s="272"/>
      <c r="J2676" s="272"/>
      <c r="K2676" s="272"/>
    </row>
    <row r="2677" spans="1:11" x14ac:dyDescent="0.35">
      <c r="A2677" s="269" t="s">
        <v>311</v>
      </c>
      <c r="B2677" s="270"/>
      <c r="C2677" s="270"/>
      <c r="D2677" s="270"/>
      <c r="E2677" s="270"/>
      <c r="G2677" s="269" t="s">
        <v>311</v>
      </c>
      <c r="H2677" s="270"/>
      <c r="I2677" s="270"/>
      <c r="J2677" s="270"/>
      <c r="K2677" s="270"/>
    </row>
    <row r="2678" spans="1:11" x14ac:dyDescent="0.35">
      <c r="A2678" s="271" t="s">
        <v>312</v>
      </c>
      <c r="B2678" s="272">
        <v>4970</v>
      </c>
      <c r="C2678" s="272"/>
      <c r="D2678" s="272"/>
      <c r="E2678" s="272"/>
      <c r="G2678" s="271" t="s">
        <v>312</v>
      </c>
      <c r="H2678" s="272"/>
      <c r="I2678" s="272"/>
      <c r="J2678" s="272"/>
      <c r="K2678" s="272"/>
    </row>
    <row r="2679" spans="1:11" x14ac:dyDescent="0.35">
      <c r="A2679" s="231" t="s">
        <v>34</v>
      </c>
      <c r="B2679" s="230">
        <f>SUM(B2673:B2678)</f>
        <v>7270</v>
      </c>
      <c r="C2679" s="230">
        <f>SUM(C2673:C2678)</f>
        <v>0</v>
      </c>
      <c r="D2679" s="230">
        <f>SUM(D2673:D2678)</f>
        <v>0</v>
      </c>
      <c r="E2679" s="230">
        <f>SUM(E2673:E2678)</f>
        <v>0</v>
      </c>
      <c r="G2679" s="231" t="s">
        <v>34</v>
      </c>
      <c r="H2679" s="230">
        <f>SUM(H2673:H2678)</f>
        <v>0</v>
      </c>
      <c r="I2679" s="230">
        <f>SUM(I2673:I2678)</f>
        <v>0</v>
      </c>
      <c r="J2679" s="230">
        <f>SUM(J2673:J2678)</f>
        <v>0</v>
      </c>
      <c r="K2679" s="230">
        <f>SUM(K2673:K2678)</f>
        <v>0</v>
      </c>
    </row>
    <row r="2680" spans="1:11" ht="15" thickBot="1" x14ac:dyDescent="0.4">
      <c r="A2680" s="231" t="s">
        <v>313</v>
      </c>
      <c r="B2680" s="230">
        <f>+B2679+C2679+D2679+E2679</f>
        <v>7270</v>
      </c>
      <c r="C2680" s="230"/>
      <c r="D2680" s="230"/>
      <c r="E2680" s="230"/>
      <c r="G2680" s="231" t="s">
        <v>313</v>
      </c>
      <c r="H2680" s="230">
        <f>+H2679+I2679+J2679+K2679</f>
        <v>0</v>
      </c>
      <c r="I2680" s="230"/>
      <c r="J2680" s="230"/>
      <c r="K2680" s="230"/>
    </row>
    <row r="2681" spans="1:11" ht="15.5" thickTop="1" thickBot="1" x14ac:dyDescent="0.4">
      <c r="A2681" s="335" t="s">
        <v>298</v>
      </c>
      <c r="B2681" s="336"/>
      <c r="C2681" s="336"/>
      <c r="D2681" s="336"/>
      <c r="E2681" s="337"/>
      <c r="G2681" s="335" t="s">
        <v>298</v>
      </c>
      <c r="H2681" s="336"/>
      <c r="I2681" s="336"/>
      <c r="J2681" s="336"/>
      <c r="K2681" s="337"/>
    </row>
    <row r="2682" spans="1:11" ht="15.5" thickTop="1" thickBot="1" x14ac:dyDescent="0.4">
      <c r="A2682" s="338">
        <v>45534</v>
      </c>
      <c r="B2682" s="336"/>
      <c r="C2682" s="336"/>
      <c r="D2682" s="336"/>
      <c r="E2682" s="337"/>
      <c r="G2682" s="338">
        <v>45534</v>
      </c>
      <c r="H2682" s="336"/>
      <c r="I2682" s="336"/>
      <c r="J2682" s="336"/>
      <c r="K2682" s="337"/>
    </row>
    <row r="2683" spans="1:11" ht="15" thickTop="1" x14ac:dyDescent="0.35">
      <c r="A2683" s="267" t="s">
        <v>159</v>
      </c>
      <c r="B2683" s="267" t="s">
        <v>299</v>
      </c>
      <c r="C2683" s="267" t="s">
        <v>307</v>
      </c>
      <c r="D2683" s="267" t="s">
        <v>301</v>
      </c>
      <c r="E2683" s="268" t="s">
        <v>308</v>
      </c>
      <c r="G2683" s="267" t="s">
        <v>159</v>
      </c>
      <c r="H2683" s="267" t="s">
        <v>299</v>
      </c>
      <c r="I2683" s="267" t="s">
        <v>307</v>
      </c>
      <c r="J2683" s="267" t="s">
        <v>301</v>
      </c>
      <c r="K2683" s="268" t="s">
        <v>308</v>
      </c>
    </row>
    <row r="2684" spans="1:11" x14ac:dyDescent="0.35">
      <c r="A2684" s="269" t="s">
        <v>316</v>
      </c>
      <c r="B2684" s="270">
        <v>230</v>
      </c>
      <c r="C2684" s="270"/>
      <c r="D2684" s="270"/>
      <c r="E2684" s="270"/>
      <c r="G2684" s="269" t="s">
        <v>365</v>
      </c>
      <c r="H2684" s="270">
        <v>749</v>
      </c>
      <c r="I2684" s="270"/>
      <c r="J2684" s="270"/>
      <c r="K2684" s="270"/>
    </row>
    <row r="2685" spans="1:11" x14ac:dyDescent="0.35">
      <c r="A2685" s="271" t="s">
        <v>309</v>
      </c>
      <c r="B2685" s="272"/>
      <c r="C2685" s="272"/>
      <c r="D2685" s="272"/>
      <c r="E2685" s="272"/>
      <c r="G2685" s="271" t="s">
        <v>309</v>
      </c>
      <c r="H2685" s="272"/>
      <c r="I2685" s="272"/>
      <c r="J2685" s="272"/>
      <c r="K2685" s="272"/>
    </row>
    <row r="2686" spans="1:11" x14ac:dyDescent="0.35">
      <c r="A2686" s="269" t="s">
        <v>310</v>
      </c>
      <c r="B2686" s="270"/>
      <c r="C2686" s="270"/>
      <c r="D2686" s="270"/>
      <c r="E2686" s="270"/>
      <c r="G2686" s="269" t="s">
        <v>310</v>
      </c>
      <c r="H2686" s="270"/>
      <c r="I2686" s="270"/>
      <c r="J2686" s="270"/>
      <c r="K2686" s="270"/>
    </row>
    <row r="2687" spans="1:11" x14ac:dyDescent="0.35">
      <c r="A2687" s="271" t="s">
        <v>317</v>
      </c>
      <c r="B2687" s="272"/>
      <c r="C2687" s="272"/>
      <c r="D2687" s="272"/>
      <c r="E2687" s="272"/>
      <c r="G2687" s="271" t="s">
        <v>317</v>
      </c>
      <c r="H2687" s="272"/>
      <c r="I2687" s="272"/>
      <c r="J2687" s="272"/>
      <c r="K2687" s="272"/>
    </row>
    <row r="2688" spans="1:11" x14ac:dyDescent="0.35">
      <c r="A2688" s="269" t="s">
        <v>311</v>
      </c>
      <c r="B2688" s="270"/>
      <c r="C2688" s="270"/>
      <c r="D2688" s="270"/>
      <c r="E2688" s="270"/>
      <c r="G2688" s="269" t="s">
        <v>311</v>
      </c>
      <c r="H2688" s="270"/>
      <c r="I2688" s="270"/>
      <c r="J2688" s="270"/>
      <c r="K2688" s="270"/>
    </row>
    <row r="2689" spans="1:13" x14ac:dyDescent="0.35">
      <c r="A2689" s="271" t="s">
        <v>312</v>
      </c>
      <c r="B2689" s="272"/>
      <c r="C2689" s="272"/>
      <c r="D2689" s="272"/>
      <c r="E2689" s="272"/>
      <c r="G2689" s="271" t="s">
        <v>312</v>
      </c>
      <c r="H2689" s="272"/>
      <c r="I2689" s="272"/>
      <c r="J2689" s="272"/>
      <c r="K2689" s="272"/>
    </row>
    <row r="2690" spans="1:13" x14ac:dyDescent="0.35">
      <c r="A2690" s="231" t="s">
        <v>34</v>
      </c>
      <c r="B2690" s="230">
        <f>SUM(B2684:B2689)</f>
        <v>230</v>
      </c>
      <c r="C2690" s="230">
        <f>SUM(C2684:C2689)</f>
        <v>0</v>
      </c>
      <c r="D2690" s="230">
        <f>SUM(D2684:D2689)</f>
        <v>0</v>
      </c>
      <c r="E2690" s="230">
        <f>SUM(E2684:E2689)</f>
        <v>0</v>
      </c>
      <c r="G2690" s="231" t="s">
        <v>34</v>
      </c>
      <c r="H2690" s="230">
        <f>SUM(H2684:H2689)</f>
        <v>749</v>
      </c>
      <c r="I2690" s="230">
        <f>SUM(I2684:I2689)</f>
        <v>0</v>
      </c>
      <c r="J2690" s="230">
        <f>SUM(J2684:J2689)</f>
        <v>0</v>
      </c>
      <c r="K2690" s="230">
        <f>SUM(K2684:K2689)</f>
        <v>0</v>
      </c>
    </row>
    <row r="2691" spans="1:13" ht="15" thickBot="1" x14ac:dyDescent="0.4">
      <c r="A2691" s="231" t="s">
        <v>313</v>
      </c>
      <c r="B2691" s="230">
        <f>+B2690+C2690+D2690+E2690</f>
        <v>230</v>
      </c>
      <c r="C2691" s="230"/>
      <c r="D2691" s="230"/>
      <c r="E2691" s="230"/>
      <c r="G2691" s="231" t="s">
        <v>313</v>
      </c>
      <c r="H2691" s="230">
        <f>+H2690+I2690+J2690+K2690</f>
        <v>749</v>
      </c>
      <c r="I2691" s="230"/>
      <c r="J2691" s="230"/>
      <c r="K2691" s="230"/>
    </row>
    <row r="2692" spans="1:13" ht="15.5" thickTop="1" thickBot="1" x14ac:dyDescent="0.4">
      <c r="A2692" s="335" t="s">
        <v>298</v>
      </c>
      <c r="B2692" s="336"/>
      <c r="C2692" s="336"/>
      <c r="D2692" s="336"/>
      <c r="E2692" s="337"/>
      <c r="G2692" s="335" t="s">
        <v>298</v>
      </c>
      <c r="H2692" s="336"/>
      <c r="I2692" s="336"/>
      <c r="J2692" s="336"/>
      <c r="K2692" s="337"/>
    </row>
    <row r="2693" spans="1:13" ht="15.5" thickTop="1" thickBot="1" x14ac:dyDescent="0.4">
      <c r="A2693" s="338">
        <v>45535</v>
      </c>
      <c r="B2693" s="336"/>
      <c r="C2693" s="336"/>
      <c r="D2693" s="336"/>
      <c r="E2693" s="337"/>
      <c r="G2693" s="338">
        <v>45535</v>
      </c>
      <c r="H2693" s="336"/>
      <c r="I2693" s="336"/>
      <c r="J2693" s="336"/>
      <c r="K2693" s="337"/>
    </row>
    <row r="2694" spans="1:13" ht="15" thickTop="1" x14ac:dyDescent="0.35">
      <c r="A2694" s="267" t="s">
        <v>159</v>
      </c>
      <c r="B2694" s="267" t="s">
        <v>299</v>
      </c>
      <c r="C2694" s="267" t="s">
        <v>307</v>
      </c>
      <c r="D2694" s="267" t="s">
        <v>301</v>
      </c>
      <c r="E2694" s="268" t="s">
        <v>308</v>
      </c>
      <c r="G2694" s="267" t="s">
        <v>159</v>
      </c>
      <c r="H2694" s="267" t="s">
        <v>299</v>
      </c>
      <c r="I2694" s="267" t="s">
        <v>307</v>
      </c>
      <c r="J2694" s="267" t="s">
        <v>301</v>
      </c>
      <c r="K2694" s="268" t="s">
        <v>308</v>
      </c>
    </row>
    <row r="2695" spans="1:13" x14ac:dyDescent="0.35">
      <c r="A2695" s="269" t="s">
        <v>345</v>
      </c>
      <c r="B2695" s="270">
        <v>2500</v>
      </c>
      <c r="C2695" s="270"/>
      <c r="D2695" s="270"/>
      <c r="E2695" s="270"/>
      <c r="G2695" s="269" t="s">
        <v>345</v>
      </c>
      <c r="H2695" s="270">
        <v>1400</v>
      </c>
      <c r="I2695" s="270"/>
      <c r="J2695" s="270"/>
      <c r="K2695" s="270"/>
    </row>
    <row r="2696" spans="1:13" x14ac:dyDescent="0.35">
      <c r="A2696" s="271" t="s">
        <v>345</v>
      </c>
      <c r="B2696" s="272">
        <v>1700</v>
      </c>
      <c r="C2696" s="272"/>
      <c r="D2696" s="272"/>
      <c r="E2696" s="272"/>
      <c r="G2696" s="271" t="s">
        <v>309</v>
      </c>
      <c r="H2696" s="272"/>
      <c r="I2696" s="272"/>
      <c r="J2696" s="272"/>
      <c r="K2696" s="272"/>
    </row>
    <row r="2697" spans="1:13" x14ac:dyDescent="0.35">
      <c r="A2697" s="269" t="s">
        <v>310</v>
      </c>
      <c r="B2697" s="270"/>
      <c r="C2697" s="270"/>
      <c r="D2697" s="270"/>
      <c r="E2697" s="270"/>
      <c r="G2697" s="269" t="s">
        <v>310</v>
      </c>
      <c r="H2697" s="270"/>
      <c r="I2697" s="270"/>
      <c r="J2697" s="270"/>
      <c r="K2697" s="270"/>
    </row>
    <row r="2698" spans="1:13" x14ac:dyDescent="0.35">
      <c r="A2698" s="271" t="s">
        <v>317</v>
      </c>
      <c r="B2698" s="272"/>
      <c r="C2698" s="272"/>
      <c r="D2698" s="272"/>
      <c r="E2698" s="272"/>
      <c r="G2698" s="271" t="s">
        <v>317</v>
      </c>
      <c r="H2698" s="272"/>
      <c r="I2698" s="272"/>
      <c r="J2698" s="272"/>
      <c r="K2698" s="272"/>
    </row>
    <row r="2699" spans="1:13" x14ac:dyDescent="0.35">
      <c r="A2699" s="269" t="s">
        <v>367</v>
      </c>
      <c r="B2699" s="270">
        <v>140</v>
      </c>
      <c r="C2699" s="270"/>
      <c r="D2699" s="270"/>
      <c r="E2699" s="270"/>
      <c r="G2699" s="269" t="s">
        <v>311</v>
      </c>
      <c r="H2699" s="270"/>
      <c r="I2699" s="270"/>
      <c r="J2699" s="270"/>
      <c r="K2699" s="270"/>
    </row>
    <row r="2700" spans="1:13" x14ac:dyDescent="0.35">
      <c r="A2700" s="271" t="s">
        <v>312</v>
      </c>
      <c r="B2700" s="272">
        <v>12535</v>
      </c>
      <c r="C2700" s="272"/>
      <c r="D2700" s="272"/>
      <c r="E2700" s="272"/>
      <c r="G2700" s="271" t="s">
        <v>312</v>
      </c>
      <c r="H2700" s="272"/>
      <c r="I2700" s="272"/>
      <c r="J2700" s="272"/>
      <c r="K2700" s="272"/>
    </row>
    <row r="2701" spans="1:13" x14ac:dyDescent="0.35">
      <c r="A2701" s="231" t="s">
        <v>34</v>
      </c>
      <c r="B2701" s="230">
        <f>SUM(B2695:B2700)</f>
        <v>16875</v>
      </c>
      <c r="C2701" s="230">
        <f>SUM(C2695:C2700)</f>
        <v>0</v>
      </c>
      <c r="D2701" s="230">
        <f>SUM(D2695:D2700)</f>
        <v>0</v>
      </c>
      <c r="E2701" s="230">
        <f>SUM(E2695:E2700)</f>
        <v>0</v>
      </c>
      <c r="G2701" s="231" t="s">
        <v>34</v>
      </c>
      <c r="H2701" s="230">
        <f>SUM(H2695:H2700)</f>
        <v>1400</v>
      </c>
      <c r="I2701" s="230">
        <f>SUM(I2695:I2700)</f>
        <v>0</v>
      </c>
      <c r="J2701" s="230">
        <f>SUM(J2695:J2700)</f>
        <v>0</v>
      </c>
      <c r="K2701" s="230">
        <f>SUM(K2695:K2700)</f>
        <v>0</v>
      </c>
    </row>
    <row r="2702" spans="1:13" x14ac:dyDescent="0.35">
      <c r="A2702" s="231" t="s">
        <v>313</v>
      </c>
      <c r="B2702" s="230">
        <f>+B2701+C2701+D2701+E2701</f>
        <v>16875</v>
      </c>
      <c r="C2702" s="230"/>
      <c r="D2702" s="230"/>
      <c r="E2702" s="230"/>
      <c r="G2702" s="231" t="s">
        <v>313</v>
      </c>
      <c r="H2702" s="230">
        <f>+H2701+I2701+J2701+K2701</f>
        <v>1400</v>
      </c>
      <c r="I2702" s="230"/>
      <c r="J2702" s="230"/>
      <c r="K2702" s="230"/>
    </row>
    <row r="2703" spans="1:13" ht="15" thickBot="1" x14ac:dyDescent="0.4"/>
    <row r="2704" spans="1:13" ht="35" customHeight="1" thickBot="1" x14ac:dyDescent="0.4">
      <c r="A2704" s="327" t="s">
        <v>328</v>
      </c>
      <c r="B2704" s="328"/>
      <c r="C2704" s="328"/>
      <c r="D2704" s="328"/>
      <c r="E2704" s="328"/>
      <c r="F2704" s="329"/>
      <c r="G2704" s="330">
        <f>SUMIF($A$2362:M2702,"*"&amp;K2704&amp;"*",$B$2362:N2702)</f>
        <v>120482</v>
      </c>
      <c r="H2704" s="331"/>
      <c r="I2704" s="331"/>
      <c r="J2704" s="332"/>
      <c r="K2704" s="333" t="s">
        <v>313</v>
      </c>
      <c r="L2704" s="334"/>
      <c r="M2704" s="233">
        <f>+G2704</f>
        <v>120482</v>
      </c>
    </row>
    <row r="2706" spans="1:11" ht="15" thickBot="1" x14ac:dyDescent="0.4"/>
    <row r="2707" spans="1:11" ht="15.5" thickTop="1" thickBot="1" x14ac:dyDescent="0.4">
      <c r="A2707" s="335" t="s">
        <v>298</v>
      </c>
      <c r="B2707" s="336"/>
      <c r="C2707" s="336"/>
      <c r="D2707" s="336"/>
      <c r="E2707" s="337"/>
      <c r="G2707" s="335" t="s">
        <v>298</v>
      </c>
      <c r="H2707" s="336"/>
      <c r="I2707" s="336"/>
      <c r="J2707" s="336"/>
      <c r="K2707" s="337"/>
    </row>
    <row r="2708" spans="1:11" ht="15.5" thickTop="1" thickBot="1" x14ac:dyDescent="0.4">
      <c r="A2708" s="338">
        <v>45536</v>
      </c>
      <c r="B2708" s="336"/>
      <c r="C2708" s="336"/>
      <c r="D2708" s="336"/>
      <c r="E2708" s="337"/>
      <c r="G2708" s="338">
        <v>45536</v>
      </c>
      <c r="H2708" s="336"/>
      <c r="I2708" s="336"/>
      <c r="J2708" s="336"/>
      <c r="K2708" s="337"/>
    </row>
    <row r="2709" spans="1:11" ht="15" thickTop="1" x14ac:dyDescent="0.35">
      <c r="A2709" s="267" t="s">
        <v>159</v>
      </c>
      <c r="B2709" s="267" t="s">
        <v>299</v>
      </c>
      <c r="C2709" s="267" t="s">
        <v>307</v>
      </c>
      <c r="D2709" s="267" t="s">
        <v>301</v>
      </c>
      <c r="E2709" s="268" t="s">
        <v>308</v>
      </c>
      <c r="G2709" s="267" t="s">
        <v>159</v>
      </c>
      <c r="H2709" s="267" t="s">
        <v>299</v>
      </c>
      <c r="I2709" s="267" t="s">
        <v>307</v>
      </c>
      <c r="J2709" s="267" t="s">
        <v>301</v>
      </c>
      <c r="K2709" s="268" t="s">
        <v>308</v>
      </c>
    </row>
    <row r="2710" spans="1:11" x14ac:dyDescent="0.35">
      <c r="A2710" s="269" t="s">
        <v>316</v>
      </c>
      <c r="B2710" s="270"/>
      <c r="C2710" s="270"/>
      <c r="D2710" s="270"/>
      <c r="E2710" s="270"/>
      <c r="G2710" s="269" t="s">
        <v>316</v>
      </c>
      <c r="H2710" s="270"/>
      <c r="I2710" s="270"/>
      <c r="J2710" s="270"/>
      <c r="K2710" s="270"/>
    </row>
    <row r="2711" spans="1:11" x14ac:dyDescent="0.35">
      <c r="A2711" s="271" t="s">
        <v>309</v>
      </c>
      <c r="B2711" s="272"/>
      <c r="C2711" s="272"/>
      <c r="D2711" s="272"/>
      <c r="E2711" s="272"/>
      <c r="G2711" s="271" t="s">
        <v>309</v>
      </c>
      <c r="H2711" s="272"/>
      <c r="I2711" s="272"/>
      <c r="J2711" s="272"/>
      <c r="K2711" s="272"/>
    </row>
    <row r="2712" spans="1:11" x14ac:dyDescent="0.35">
      <c r="A2712" s="269" t="s">
        <v>310</v>
      </c>
      <c r="B2712" s="270"/>
      <c r="C2712" s="270"/>
      <c r="D2712" s="270"/>
      <c r="E2712" s="270"/>
      <c r="G2712" s="269" t="s">
        <v>310</v>
      </c>
      <c r="H2712" s="270"/>
      <c r="I2712" s="270"/>
      <c r="J2712" s="270"/>
      <c r="K2712" s="270"/>
    </row>
    <row r="2713" spans="1:11" x14ac:dyDescent="0.35">
      <c r="A2713" s="271" t="s">
        <v>317</v>
      </c>
      <c r="B2713" s="272"/>
      <c r="C2713" s="272"/>
      <c r="D2713" s="272"/>
      <c r="E2713" s="272"/>
      <c r="G2713" s="271" t="s">
        <v>317</v>
      </c>
      <c r="H2713" s="272"/>
      <c r="I2713" s="272"/>
      <c r="J2713" s="272"/>
      <c r="K2713" s="272"/>
    </row>
    <row r="2714" spans="1:11" x14ac:dyDescent="0.35">
      <c r="A2714" s="269" t="s">
        <v>311</v>
      </c>
      <c r="B2714" s="270"/>
      <c r="C2714" s="270"/>
      <c r="D2714" s="270"/>
      <c r="E2714" s="270"/>
      <c r="G2714" s="269" t="s">
        <v>311</v>
      </c>
      <c r="H2714" s="270"/>
      <c r="I2714" s="270"/>
      <c r="J2714" s="270"/>
      <c r="K2714" s="270"/>
    </row>
    <row r="2715" spans="1:11" x14ac:dyDescent="0.35">
      <c r="A2715" s="271" t="s">
        <v>312</v>
      </c>
      <c r="B2715" s="272"/>
      <c r="C2715" s="272"/>
      <c r="D2715" s="272"/>
      <c r="E2715" s="272"/>
      <c r="G2715" s="271" t="s">
        <v>312</v>
      </c>
      <c r="H2715" s="272"/>
      <c r="I2715" s="272"/>
      <c r="J2715" s="272"/>
      <c r="K2715" s="272"/>
    </row>
    <row r="2716" spans="1:11" x14ac:dyDescent="0.35">
      <c r="A2716" s="231" t="s">
        <v>34</v>
      </c>
      <c r="B2716" s="230">
        <f>SUM(B2710:B2715)</f>
        <v>0</v>
      </c>
      <c r="C2716" s="230">
        <f>SUM(C2710:C2715)</f>
        <v>0</v>
      </c>
      <c r="D2716" s="230">
        <f>SUM(D2710:D2715)</f>
        <v>0</v>
      </c>
      <c r="E2716" s="230">
        <f>SUM(E2710:E2715)</f>
        <v>0</v>
      </c>
      <c r="G2716" s="231" t="s">
        <v>34</v>
      </c>
      <c r="H2716" s="230">
        <f>SUM(H2710:H2715)</f>
        <v>0</v>
      </c>
      <c r="I2716" s="230">
        <f>SUM(I2710:I2715)</f>
        <v>0</v>
      </c>
      <c r="J2716" s="230">
        <f>SUM(J2710:J2715)</f>
        <v>0</v>
      </c>
      <c r="K2716" s="230">
        <f>SUM(K2710:K2715)</f>
        <v>0</v>
      </c>
    </row>
    <row r="2717" spans="1:11" ht="15" thickBot="1" x14ac:dyDescent="0.4">
      <c r="A2717" s="231" t="s">
        <v>313</v>
      </c>
      <c r="B2717" s="230">
        <f>+B2716+C2716+D2716+E2716</f>
        <v>0</v>
      </c>
      <c r="C2717" s="230"/>
      <c r="D2717" s="230"/>
      <c r="E2717" s="230"/>
      <c r="G2717" s="231" t="s">
        <v>313</v>
      </c>
      <c r="H2717" s="230">
        <f>+H2716+I2716+J2716+K2716</f>
        <v>0</v>
      </c>
      <c r="I2717" s="230"/>
      <c r="J2717" s="230"/>
      <c r="K2717" s="230"/>
    </row>
    <row r="2718" spans="1:11" ht="15.5" thickTop="1" thickBot="1" x14ac:dyDescent="0.4">
      <c r="A2718" s="335" t="s">
        <v>298</v>
      </c>
      <c r="B2718" s="336"/>
      <c r="C2718" s="336"/>
      <c r="D2718" s="336"/>
      <c r="E2718" s="337"/>
      <c r="G2718" s="335" t="s">
        <v>298</v>
      </c>
      <c r="H2718" s="336"/>
      <c r="I2718" s="336"/>
      <c r="J2718" s="336"/>
      <c r="K2718" s="337"/>
    </row>
    <row r="2719" spans="1:11" ht="15.5" thickTop="1" thickBot="1" x14ac:dyDescent="0.4">
      <c r="A2719" s="338">
        <v>45537</v>
      </c>
      <c r="B2719" s="336"/>
      <c r="C2719" s="336"/>
      <c r="D2719" s="336"/>
      <c r="E2719" s="337"/>
      <c r="G2719" s="338">
        <v>45537</v>
      </c>
      <c r="H2719" s="336"/>
      <c r="I2719" s="336"/>
      <c r="J2719" s="336"/>
      <c r="K2719" s="337"/>
    </row>
    <row r="2720" spans="1:11" ht="15" thickTop="1" x14ac:dyDescent="0.35">
      <c r="A2720" s="267" t="s">
        <v>159</v>
      </c>
      <c r="B2720" s="267" t="s">
        <v>299</v>
      </c>
      <c r="C2720" s="267" t="s">
        <v>307</v>
      </c>
      <c r="D2720" s="267" t="s">
        <v>301</v>
      </c>
      <c r="E2720" s="268" t="s">
        <v>308</v>
      </c>
      <c r="G2720" s="267" t="s">
        <v>159</v>
      </c>
      <c r="H2720" s="267" t="s">
        <v>299</v>
      </c>
      <c r="I2720" s="267" t="s">
        <v>307</v>
      </c>
      <c r="J2720" s="267" t="s">
        <v>301</v>
      </c>
      <c r="K2720" s="268" t="s">
        <v>308</v>
      </c>
    </row>
    <row r="2721" spans="1:11" x14ac:dyDescent="0.35">
      <c r="A2721" s="269" t="s">
        <v>316</v>
      </c>
      <c r="B2721" s="270"/>
      <c r="C2721" s="270"/>
      <c r="D2721" s="270"/>
      <c r="E2721" s="270"/>
      <c r="G2721" s="269" t="s">
        <v>316</v>
      </c>
      <c r="H2721" s="270"/>
      <c r="I2721" s="270"/>
      <c r="J2721" s="270"/>
      <c r="K2721" s="270"/>
    </row>
    <row r="2722" spans="1:11" x14ac:dyDescent="0.35">
      <c r="A2722" s="271" t="s">
        <v>309</v>
      </c>
      <c r="B2722" s="272"/>
      <c r="C2722" s="272"/>
      <c r="D2722" s="272"/>
      <c r="E2722" s="272"/>
      <c r="G2722" s="271" t="s">
        <v>309</v>
      </c>
      <c r="H2722" s="272"/>
      <c r="I2722" s="272"/>
      <c r="J2722" s="272"/>
      <c r="K2722" s="272"/>
    </row>
    <row r="2723" spans="1:11" x14ac:dyDescent="0.35">
      <c r="A2723" s="269" t="s">
        <v>310</v>
      </c>
      <c r="B2723" s="270"/>
      <c r="C2723" s="270"/>
      <c r="D2723" s="270"/>
      <c r="E2723" s="270"/>
      <c r="G2723" s="269" t="s">
        <v>310</v>
      </c>
      <c r="H2723" s="270"/>
      <c r="I2723" s="270"/>
      <c r="J2723" s="270"/>
      <c r="K2723" s="270"/>
    </row>
    <row r="2724" spans="1:11" x14ac:dyDescent="0.35">
      <c r="A2724" s="271" t="s">
        <v>317</v>
      </c>
      <c r="B2724" s="272"/>
      <c r="C2724" s="272"/>
      <c r="D2724" s="272"/>
      <c r="E2724" s="272"/>
      <c r="G2724" s="271" t="s">
        <v>317</v>
      </c>
      <c r="H2724" s="272"/>
      <c r="I2724" s="272"/>
      <c r="J2724" s="272"/>
      <c r="K2724" s="272"/>
    </row>
    <row r="2725" spans="1:11" x14ac:dyDescent="0.35">
      <c r="A2725" s="269" t="s">
        <v>311</v>
      </c>
      <c r="B2725" s="270"/>
      <c r="C2725" s="270"/>
      <c r="D2725" s="270"/>
      <c r="E2725" s="270"/>
      <c r="G2725" s="269" t="s">
        <v>311</v>
      </c>
      <c r="H2725" s="270"/>
      <c r="I2725" s="270"/>
      <c r="J2725" s="270"/>
      <c r="K2725" s="270"/>
    </row>
    <row r="2726" spans="1:11" x14ac:dyDescent="0.35">
      <c r="A2726" s="271" t="s">
        <v>312</v>
      </c>
      <c r="B2726" s="272"/>
      <c r="C2726" s="272"/>
      <c r="D2726" s="272"/>
      <c r="E2726" s="272"/>
      <c r="G2726" s="271" t="s">
        <v>312</v>
      </c>
      <c r="H2726" s="272"/>
      <c r="I2726" s="272"/>
      <c r="J2726" s="272"/>
      <c r="K2726" s="272"/>
    </row>
    <row r="2727" spans="1:11" x14ac:dyDescent="0.35">
      <c r="A2727" s="231" t="s">
        <v>34</v>
      </c>
      <c r="B2727" s="230">
        <f>SUM(B2721:B2726)</f>
        <v>0</v>
      </c>
      <c r="C2727" s="230">
        <f>SUM(C2721:C2726)</f>
        <v>0</v>
      </c>
      <c r="D2727" s="230">
        <f>SUM(D2721:D2726)</f>
        <v>0</v>
      </c>
      <c r="E2727" s="230">
        <f>SUM(E2721:E2726)</f>
        <v>0</v>
      </c>
      <c r="G2727" s="231" t="s">
        <v>34</v>
      </c>
      <c r="H2727" s="230">
        <f>SUM(H2721:H2726)</f>
        <v>0</v>
      </c>
      <c r="I2727" s="230">
        <f>SUM(I2721:I2726)</f>
        <v>0</v>
      </c>
      <c r="J2727" s="230">
        <f>SUM(J2721:J2726)</f>
        <v>0</v>
      </c>
      <c r="K2727" s="230">
        <f>SUM(K2721:K2726)</f>
        <v>0</v>
      </c>
    </row>
    <row r="2728" spans="1:11" ht="15" thickBot="1" x14ac:dyDescent="0.4">
      <c r="A2728" s="231" t="s">
        <v>313</v>
      </c>
      <c r="B2728" s="230">
        <f>+B2727+C2727+D2727+E2727</f>
        <v>0</v>
      </c>
      <c r="C2728" s="230"/>
      <c r="D2728" s="230"/>
      <c r="E2728" s="230"/>
      <c r="G2728" s="231" t="s">
        <v>313</v>
      </c>
      <c r="H2728" s="230">
        <f>+H2727+I2727+J2727+K2727</f>
        <v>0</v>
      </c>
      <c r="I2728" s="230"/>
      <c r="J2728" s="230"/>
      <c r="K2728" s="230"/>
    </row>
    <row r="2729" spans="1:11" ht="15.5" thickTop="1" thickBot="1" x14ac:dyDescent="0.4">
      <c r="A2729" s="335" t="s">
        <v>298</v>
      </c>
      <c r="B2729" s="336"/>
      <c r="C2729" s="336"/>
      <c r="D2729" s="336"/>
      <c r="E2729" s="337"/>
      <c r="G2729" s="335" t="s">
        <v>298</v>
      </c>
      <c r="H2729" s="336"/>
      <c r="I2729" s="336"/>
      <c r="J2729" s="336"/>
      <c r="K2729" s="337"/>
    </row>
    <row r="2730" spans="1:11" ht="15.5" thickTop="1" thickBot="1" x14ac:dyDescent="0.4">
      <c r="A2730" s="338">
        <v>45538</v>
      </c>
      <c r="B2730" s="336"/>
      <c r="C2730" s="336"/>
      <c r="D2730" s="336"/>
      <c r="E2730" s="337"/>
      <c r="G2730" s="338">
        <v>45538</v>
      </c>
      <c r="H2730" s="336"/>
      <c r="I2730" s="336"/>
      <c r="J2730" s="336"/>
      <c r="K2730" s="337"/>
    </row>
    <row r="2731" spans="1:11" ht="15" thickTop="1" x14ac:dyDescent="0.35">
      <c r="A2731" s="267" t="s">
        <v>159</v>
      </c>
      <c r="B2731" s="267" t="s">
        <v>299</v>
      </c>
      <c r="C2731" s="267" t="s">
        <v>307</v>
      </c>
      <c r="D2731" s="267" t="s">
        <v>301</v>
      </c>
      <c r="E2731" s="268" t="s">
        <v>308</v>
      </c>
      <c r="G2731" s="267" t="s">
        <v>159</v>
      </c>
      <c r="H2731" s="267" t="s">
        <v>299</v>
      </c>
      <c r="I2731" s="267" t="s">
        <v>307</v>
      </c>
      <c r="J2731" s="267" t="s">
        <v>301</v>
      </c>
      <c r="K2731" s="268" t="s">
        <v>308</v>
      </c>
    </row>
    <row r="2732" spans="1:11" x14ac:dyDescent="0.35">
      <c r="A2732" s="269" t="s">
        <v>316</v>
      </c>
      <c r="B2732" s="270"/>
      <c r="C2732" s="270"/>
      <c r="D2732" s="270"/>
      <c r="E2732" s="270"/>
      <c r="G2732" s="269" t="s">
        <v>316</v>
      </c>
      <c r="H2732" s="270"/>
      <c r="I2732" s="270"/>
      <c r="J2732" s="270"/>
      <c r="K2732" s="270"/>
    </row>
    <row r="2733" spans="1:11" x14ac:dyDescent="0.35">
      <c r="A2733" s="271" t="s">
        <v>309</v>
      </c>
      <c r="B2733" s="272"/>
      <c r="C2733" s="272"/>
      <c r="D2733" s="272"/>
      <c r="E2733" s="272"/>
      <c r="G2733" s="271" t="s">
        <v>309</v>
      </c>
      <c r="H2733" s="272"/>
      <c r="I2733" s="272"/>
      <c r="J2733" s="272"/>
      <c r="K2733" s="272"/>
    </row>
    <row r="2734" spans="1:11" x14ac:dyDescent="0.35">
      <c r="A2734" s="269" t="s">
        <v>310</v>
      </c>
      <c r="B2734" s="270"/>
      <c r="C2734" s="270"/>
      <c r="D2734" s="270"/>
      <c r="E2734" s="270"/>
      <c r="G2734" s="269" t="s">
        <v>310</v>
      </c>
      <c r="H2734" s="270"/>
      <c r="I2734" s="270"/>
      <c r="J2734" s="270"/>
      <c r="K2734" s="270"/>
    </row>
    <row r="2735" spans="1:11" x14ac:dyDescent="0.35">
      <c r="A2735" s="271" t="s">
        <v>317</v>
      </c>
      <c r="B2735" s="272"/>
      <c r="C2735" s="272"/>
      <c r="D2735" s="272"/>
      <c r="E2735" s="272"/>
      <c r="G2735" s="271" t="s">
        <v>317</v>
      </c>
      <c r="H2735" s="272"/>
      <c r="I2735" s="272"/>
      <c r="J2735" s="272"/>
      <c r="K2735" s="272"/>
    </row>
    <row r="2736" spans="1:11" x14ac:dyDescent="0.35">
      <c r="A2736" s="269" t="s">
        <v>311</v>
      </c>
      <c r="B2736" s="270"/>
      <c r="C2736" s="270"/>
      <c r="D2736" s="270"/>
      <c r="E2736" s="270"/>
      <c r="G2736" s="269" t="s">
        <v>311</v>
      </c>
      <c r="H2736" s="270"/>
      <c r="I2736" s="270"/>
      <c r="J2736" s="270"/>
      <c r="K2736" s="270"/>
    </row>
    <row r="2737" spans="1:11" x14ac:dyDescent="0.35">
      <c r="A2737" s="271" t="s">
        <v>312</v>
      </c>
      <c r="B2737" s="272"/>
      <c r="C2737" s="272"/>
      <c r="D2737" s="272"/>
      <c r="E2737" s="272"/>
      <c r="G2737" s="271" t="s">
        <v>312</v>
      </c>
      <c r="H2737" s="272"/>
      <c r="I2737" s="272"/>
      <c r="J2737" s="272"/>
      <c r="K2737" s="272"/>
    </row>
    <row r="2738" spans="1:11" x14ac:dyDescent="0.35">
      <c r="A2738" s="231" t="s">
        <v>34</v>
      </c>
      <c r="B2738" s="230">
        <f>SUM(B2732:B2737)</f>
        <v>0</v>
      </c>
      <c r="C2738" s="230">
        <f>SUM(C2732:C2737)</f>
        <v>0</v>
      </c>
      <c r="D2738" s="230">
        <f>SUM(D2732:D2737)</f>
        <v>0</v>
      </c>
      <c r="E2738" s="230">
        <f>SUM(E2732:E2737)</f>
        <v>0</v>
      </c>
      <c r="G2738" s="231" t="s">
        <v>34</v>
      </c>
      <c r="H2738" s="230">
        <f>SUM(H2732:H2737)</f>
        <v>0</v>
      </c>
      <c r="I2738" s="230">
        <f>SUM(I2732:I2737)</f>
        <v>0</v>
      </c>
      <c r="J2738" s="230">
        <f>SUM(J2732:J2737)</f>
        <v>0</v>
      </c>
      <c r="K2738" s="230">
        <f>SUM(K2732:K2737)</f>
        <v>0</v>
      </c>
    </row>
    <row r="2739" spans="1:11" ht="15" thickBot="1" x14ac:dyDescent="0.4">
      <c r="A2739" s="231" t="s">
        <v>313</v>
      </c>
      <c r="B2739" s="230">
        <f>+B2738+C2738+D2738+E2738</f>
        <v>0</v>
      </c>
      <c r="C2739" s="230"/>
      <c r="D2739" s="230"/>
      <c r="E2739" s="230"/>
      <c r="G2739" s="231" t="s">
        <v>313</v>
      </c>
      <c r="H2739" s="230">
        <f>+H2738+I2738+J2738+K2738</f>
        <v>0</v>
      </c>
      <c r="I2739" s="230"/>
      <c r="J2739" s="230"/>
      <c r="K2739" s="230"/>
    </row>
    <row r="2740" spans="1:11" ht="15.5" thickTop="1" thickBot="1" x14ac:dyDescent="0.4">
      <c r="A2740" s="335" t="s">
        <v>298</v>
      </c>
      <c r="B2740" s="336"/>
      <c r="C2740" s="336"/>
      <c r="D2740" s="336"/>
      <c r="E2740" s="337"/>
      <c r="G2740" s="335" t="s">
        <v>298</v>
      </c>
      <c r="H2740" s="336"/>
      <c r="I2740" s="336"/>
      <c r="J2740" s="336"/>
      <c r="K2740" s="337"/>
    </row>
    <row r="2741" spans="1:11" ht="15.5" thickTop="1" thickBot="1" x14ac:dyDescent="0.4">
      <c r="A2741" s="338">
        <v>45539</v>
      </c>
      <c r="B2741" s="336"/>
      <c r="C2741" s="336"/>
      <c r="D2741" s="336"/>
      <c r="E2741" s="337"/>
      <c r="G2741" s="338">
        <v>45539</v>
      </c>
      <c r="H2741" s="336"/>
      <c r="I2741" s="336"/>
      <c r="J2741" s="336"/>
      <c r="K2741" s="337"/>
    </row>
    <row r="2742" spans="1:11" ht="15" thickTop="1" x14ac:dyDescent="0.35">
      <c r="A2742" s="267" t="s">
        <v>159</v>
      </c>
      <c r="B2742" s="267" t="s">
        <v>299</v>
      </c>
      <c r="C2742" s="267" t="s">
        <v>307</v>
      </c>
      <c r="D2742" s="267" t="s">
        <v>301</v>
      </c>
      <c r="E2742" s="268" t="s">
        <v>308</v>
      </c>
      <c r="G2742" s="267" t="s">
        <v>159</v>
      </c>
      <c r="H2742" s="267" t="s">
        <v>299</v>
      </c>
      <c r="I2742" s="267" t="s">
        <v>307</v>
      </c>
      <c r="J2742" s="267" t="s">
        <v>301</v>
      </c>
      <c r="K2742" s="268" t="s">
        <v>308</v>
      </c>
    </row>
    <row r="2743" spans="1:11" x14ac:dyDescent="0.35">
      <c r="A2743" s="269" t="s">
        <v>316</v>
      </c>
      <c r="B2743" s="270"/>
      <c r="C2743" s="270"/>
      <c r="D2743" s="270"/>
      <c r="E2743" s="270"/>
      <c r="G2743" s="269" t="s">
        <v>316</v>
      </c>
      <c r="H2743" s="270"/>
      <c r="I2743" s="270"/>
      <c r="J2743" s="270"/>
      <c r="K2743" s="270"/>
    </row>
    <row r="2744" spans="1:11" x14ac:dyDescent="0.35">
      <c r="A2744" s="271" t="s">
        <v>309</v>
      </c>
      <c r="B2744" s="272"/>
      <c r="C2744" s="272"/>
      <c r="D2744" s="272"/>
      <c r="E2744" s="272"/>
      <c r="G2744" s="271" t="s">
        <v>309</v>
      </c>
      <c r="H2744" s="272"/>
      <c r="I2744" s="272"/>
      <c r="J2744" s="272"/>
      <c r="K2744" s="272"/>
    </row>
    <row r="2745" spans="1:11" x14ac:dyDescent="0.35">
      <c r="A2745" s="269" t="s">
        <v>310</v>
      </c>
      <c r="B2745" s="270"/>
      <c r="C2745" s="270"/>
      <c r="D2745" s="270"/>
      <c r="E2745" s="270"/>
      <c r="G2745" s="269" t="s">
        <v>310</v>
      </c>
      <c r="H2745" s="270"/>
      <c r="I2745" s="270"/>
      <c r="J2745" s="270"/>
      <c r="K2745" s="270"/>
    </row>
    <row r="2746" spans="1:11" x14ac:dyDescent="0.35">
      <c r="A2746" s="271" t="s">
        <v>317</v>
      </c>
      <c r="B2746" s="272"/>
      <c r="C2746" s="272"/>
      <c r="D2746" s="272"/>
      <c r="E2746" s="272"/>
      <c r="G2746" s="271" t="s">
        <v>317</v>
      </c>
      <c r="H2746" s="272"/>
      <c r="I2746" s="272"/>
      <c r="J2746" s="272"/>
      <c r="K2746" s="272"/>
    </row>
    <row r="2747" spans="1:11" x14ac:dyDescent="0.35">
      <c r="A2747" s="269" t="s">
        <v>311</v>
      </c>
      <c r="B2747" s="270"/>
      <c r="C2747" s="270"/>
      <c r="D2747" s="270"/>
      <c r="E2747" s="270"/>
      <c r="G2747" s="269" t="s">
        <v>311</v>
      </c>
      <c r="H2747" s="270"/>
      <c r="I2747" s="270"/>
      <c r="J2747" s="270"/>
      <c r="K2747" s="270"/>
    </row>
    <row r="2748" spans="1:11" x14ac:dyDescent="0.35">
      <c r="A2748" s="271" t="s">
        <v>312</v>
      </c>
      <c r="B2748" s="272"/>
      <c r="C2748" s="272"/>
      <c r="D2748" s="272"/>
      <c r="E2748" s="272"/>
      <c r="G2748" s="271" t="s">
        <v>312</v>
      </c>
      <c r="H2748" s="272"/>
      <c r="I2748" s="272"/>
      <c r="J2748" s="272"/>
      <c r="K2748" s="272"/>
    </row>
    <row r="2749" spans="1:11" x14ac:dyDescent="0.35">
      <c r="A2749" s="231" t="s">
        <v>34</v>
      </c>
      <c r="B2749" s="230">
        <f>SUM(B2743:B2748)</f>
        <v>0</v>
      </c>
      <c r="C2749" s="230">
        <f>SUM(C2743:C2748)</f>
        <v>0</v>
      </c>
      <c r="D2749" s="230">
        <f>SUM(D2743:D2748)</f>
        <v>0</v>
      </c>
      <c r="E2749" s="230">
        <f>SUM(E2743:E2748)</f>
        <v>0</v>
      </c>
      <c r="G2749" s="231" t="s">
        <v>34</v>
      </c>
      <c r="H2749" s="230">
        <f>SUM(H2743:H2748)</f>
        <v>0</v>
      </c>
      <c r="I2749" s="230">
        <f>SUM(I2743:I2748)</f>
        <v>0</v>
      </c>
      <c r="J2749" s="230">
        <f>SUM(J2743:J2748)</f>
        <v>0</v>
      </c>
      <c r="K2749" s="230">
        <f>SUM(K2743:K2748)</f>
        <v>0</v>
      </c>
    </row>
    <row r="2750" spans="1:11" ht="15" thickBot="1" x14ac:dyDescent="0.4">
      <c r="A2750" s="231" t="s">
        <v>313</v>
      </c>
      <c r="B2750" s="230">
        <f>+B2749+C2749+D2749+E2749</f>
        <v>0</v>
      </c>
      <c r="C2750" s="230"/>
      <c r="D2750" s="230"/>
      <c r="E2750" s="230"/>
      <c r="G2750" s="231" t="s">
        <v>313</v>
      </c>
      <c r="H2750" s="230">
        <f>+H2749+I2749+J2749+K2749</f>
        <v>0</v>
      </c>
      <c r="I2750" s="230"/>
      <c r="J2750" s="230"/>
      <c r="K2750" s="230"/>
    </row>
    <row r="2751" spans="1:11" ht="15.5" thickTop="1" thickBot="1" x14ac:dyDescent="0.4">
      <c r="A2751" s="335" t="s">
        <v>298</v>
      </c>
      <c r="B2751" s="336"/>
      <c r="C2751" s="336"/>
      <c r="D2751" s="336"/>
      <c r="E2751" s="337"/>
      <c r="G2751" s="335" t="s">
        <v>298</v>
      </c>
      <c r="H2751" s="336"/>
      <c r="I2751" s="336"/>
      <c r="J2751" s="336"/>
      <c r="K2751" s="337"/>
    </row>
    <row r="2752" spans="1:11" ht="15.5" thickTop="1" thickBot="1" x14ac:dyDescent="0.4">
      <c r="A2752" s="338">
        <v>45540</v>
      </c>
      <c r="B2752" s="336"/>
      <c r="C2752" s="336"/>
      <c r="D2752" s="336"/>
      <c r="E2752" s="337"/>
      <c r="G2752" s="338">
        <v>45540</v>
      </c>
      <c r="H2752" s="336"/>
      <c r="I2752" s="336"/>
      <c r="J2752" s="336"/>
      <c r="K2752" s="337"/>
    </row>
    <row r="2753" spans="1:11" ht="15" thickTop="1" x14ac:dyDescent="0.35">
      <c r="A2753" s="267" t="s">
        <v>159</v>
      </c>
      <c r="B2753" s="267" t="s">
        <v>299</v>
      </c>
      <c r="C2753" s="267" t="s">
        <v>307</v>
      </c>
      <c r="D2753" s="267" t="s">
        <v>301</v>
      </c>
      <c r="E2753" s="268" t="s">
        <v>308</v>
      </c>
      <c r="G2753" s="267" t="s">
        <v>159</v>
      </c>
      <c r="H2753" s="267" t="s">
        <v>299</v>
      </c>
      <c r="I2753" s="267" t="s">
        <v>307</v>
      </c>
      <c r="J2753" s="267" t="s">
        <v>301</v>
      </c>
      <c r="K2753" s="268" t="s">
        <v>308</v>
      </c>
    </row>
    <row r="2754" spans="1:11" x14ac:dyDescent="0.35">
      <c r="A2754" s="269" t="s">
        <v>316</v>
      </c>
      <c r="B2754" s="270">
        <v>250</v>
      </c>
      <c r="C2754" s="270"/>
      <c r="D2754" s="270"/>
      <c r="E2754" s="270"/>
      <c r="G2754" s="269" t="s">
        <v>316</v>
      </c>
      <c r="H2754" s="270"/>
      <c r="I2754" s="270"/>
      <c r="J2754" s="270"/>
      <c r="K2754" s="270"/>
    </row>
    <row r="2755" spans="1:11" x14ac:dyDescent="0.35">
      <c r="A2755" s="271" t="s">
        <v>309</v>
      </c>
      <c r="B2755" s="272"/>
      <c r="C2755" s="272"/>
      <c r="D2755" s="272"/>
      <c r="E2755" s="272"/>
      <c r="G2755" s="271" t="s">
        <v>309</v>
      </c>
      <c r="H2755" s="272"/>
      <c r="I2755" s="272"/>
      <c r="J2755" s="272"/>
      <c r="K2755" s="272"/>
    </row>
    <row r="2756" spans="1:11" x14ac:dyDescent="0.35">
      <c r="A2756" s="269" t="s">
        <v>310</v>
      </c>
      <c r="B2756" s="270">
        <v>2300</v>
      </c>
      <c r="C2756" s="270"/>
      <c r="D2756" s="270"/>
      <c r="E2756" s="270"/>
      <c r="G2756" s="269" t="s">
        <v>310</v>
      </c>
      <c r="H2756" s="270"/>
      <c r="I2756" s="270"/>
      <c r="J2756" s="270"/>
      <c r="K2756" s="270"/>
    </row>
    <row r="2757" spans="1:11" x14ac:dyDescent="0.35">
      <c r="A2757" s="271" t="s">
        <v>317</v>
      </c>
      <c r="B2757" s="272"/>
      <c r="C2757" s="272"/>
      <c r="D2757" s="272"/>
      <c r="E2757" s="272"/>
      <c r="G2757" s="271" t="s">
        <v>317</v>
      </c>
      <c r="H2757" s="272"/>
      <c r="I2757" s="272"/>
      <c r="J2757" s="272"/>
      <c r="K2757" s="272"/>
    </row>
    <row r="2758" spans="1:11" x14ac:dyDescent="0.35">
      <c r="A2758" s="269" t="s">
        <v>311</v>
      </c>
      <c r="B2758" s="270"/>
      <c r="C2758" s="270"/>
      <c r="D2758" s="270"/>
      <c r="E2758" s="270"/>
      <c r="G2758" s="269" t="s">
        <v>311</v>
      </c>
      <c r="H2758" s="270"/>
      <c r="I2758" s="270"/>
      <c r="J2758" s="270"/>
      <c r="K2758" s="270"/>
    </row>
    <row r="2759" spans="1:11" x14ac:dyDescent="0.35">
      <c r="A2759" s="271" t="s">
        <v>312</v>
      </c>
      <c r="B2759" s="272"/>
      <c r="C2759" s="272"/>
      <c r="D2759" s="272"/>
      <c r="E2759" s="272"/>
      <c r="G2759" s="271" t="s">
        <v>312</v>
      </c>
      <c r="H2759" s="272"/>
      <c r="I2759" s="272"/>
      <c r="J2759" s="272"/>
      <c r="K2759" s="272"/>
    </row>
    <row r="2760" spans="1:11" x14ac:dyDescent="0.35">
      <c r="A2760" s="231" t="s">
        <v>34</v>
      </c>
      <c r="B2760" s="230">
        <f>SUM(B2754:B2759)</f>
        <v>2550</v>
      </c>
      <c r="C2760" s="230">
        <f>SUM(C2754:C2759)</f>
        <v>0</v>
      </c>
      <c r="D2760" s="230">
        <f>SUM(D2754:D2759)</f>
        <v>0</v>
      </c>
      <c r="E2760" s="230">
        <f>SUM(E2754:E2759)</f>
        <v>0</v>
      </c>
      <c r="G2760" s="231" t="s">
        <v>34</v>
      </c>
      <c r="H2760" s="230">
        <f>SUM(H2754:H2759)</f>
        <v>0</v>
      </c>
      <c r="I2760" s="230">
        <f>SUM(I2754:I2759)</f>
        <v>0</v>
      </c>
      <c r="J2760" s="230">
        <f>SUM(J2754:J2759)</f>
        <v>0</v>
      </c>
      <c r="K2760" s="230">
        <f>SUM(K2754:K2759)</f>
        <v>0</v>
      </c>
    </row>
    <row r="2761" spans="1:11" ht="15" thickBot="1" x14ac:dyDescent="0.4">
      <c r="A2761" s="231" t="s">
        <v>313</v>
      </c>
      <c r="B2761" s="230">
        <f>+B2760+C2760+D2760+E2760</f>
        <v>2550</v>
      </c>
      <c r="C2761" s="230"/>
      <c r="D2761" s="230"/>
      <c r="E2761" s="230"/>
      <c r="G2761" s="231" t="s">
        <v>313</v>
      </c>
      <c r="H2761" s="230">
        <f>+H2760+I2760+J2760+K2760</f>
        <v>0</v>
      </c>
      <c r="I2761" s="230"/>
      <c r="J2761" s="230"/>
      <c r="K2761" s="230"/>
    </row>
    <row r="2762" spans="1:11" ht="15.5" thickTop="1" thickBot="1" x14ac:dyDescent="0.4">
      <c r="A2762" s="335" t="s">
        <v>298</v>
      </c>
      <c r="B2762" s="336"/>
      <c r="C2762" s="336"/>
      <c r="D2762" s="336"/>
      <c r="E2762" s="337"/>
      <c r="G2762" s="335" t="s">
        <v>298</v>
      </c>
      <c r="H2762" s="336"/>
      <c r="I2762" s="336"/>
      <c r="J2762" s="336"/>
      <c r="K2762" s="337"/>
    </row>
    <row r="2763" spans="1:11" ht="15.5" thickTop="1" thickBot="1" x14ac:dyDescent="0.4">
      <c r="A2763" s="338">
        <v>45541</v>
      </c>
      <c r="B2763" s="336"/>
      <c r="C2763" s="336"/>
      <c r="D2763" s="336"/>
      <c r="E2763" s="337"/>
      <c r="G2763" s="338">
        <v>45541</v>
      </c>
      <c r="H2763" s="336"/>
      <c r="I2763" s="336"/>
      <c r="J2763" s="336"/>
      <c r="K2763" s="337"/>
    </row>
    <row r="2764" spans="1:11" ht="15" thickTop="1" x14ac:dyDescent="0.35">
      <c r="A2764" s="267" t="s">
        <v>159</v>
      </c>
      <c r="B2764" s="267" t="s">
        <v>299</v>
      </c>
      <c r="C2764" s="267" t="s">
        <v>307</v>
      </c>
      <c r="D2764" s="267" t="s">
        <v>301</v>
      </c>
      <c r="E2764" s="268" t="s">
        <v>308</v>
      </c>
      <c r="G2764" s="267" t="s">
        <v>159</v>
      </c>
      <c r="H2764" s="267" t="s">
        <v>299</v>
      </c>
      <c r="I2764" s="267" t="s">
        <v>307</v>
      </c>
      <c r="J2764" s="267" t="s">
        <v>301</v>
      </c>
      <c r="K2764" s="268" t="s">
        <v>308</v>
      </c>
    </row>
    <row r="2765" spans="1:11" x14ac:dyDescent="0.35">
      <c r="A2765" s="269" t="s">
        <v>316</v>
      </c>
      <c r="B2765" s="270">
        <v>56</v>
      </c>
      <c r="C2765" s="270"/>
      <c r="D2765" s="270"/>
      <c r="E2765" s="270"/>
      <c r="G2765" s="269" t="s">
        <v>316</v>
      </c>
      <c r="H2765" s="270">
        <v>200</v>
      </c>
      <c r="I2765" s="270"/>
      <c r="J2765" s="270"/>
      <c r="K2765" s="270"/>
    </row>
    <row r="2766" spans="1:11" x14ac:dyDescent="0.35">
      <c r="A2766" s="271" t="s">
        <v>309</v>
      </c>
      <c r="B2766" s="272"/>
      <c r="C2766" s="272"/>
      <c r="D2766" s="272"/>
      <c r="E2766" s="272"/>
      <c r="G2766" s="271" t="s">
        <v>309</v>
      </c>
      <c r="H2766" s="272"/>
      <c r="I2766" s="272"/>
      <c r="J2766" s="272"/>
      <c r="K2766" s="272"/>
    </row>
    <row r="2767" spans="1:11" x14ac:dyDescent="0.35">
      <c r="A2767" s="269" t="s">
        <v>310</v>
      </c>
      <c r="B2767" s="270"/>
      <c r="C2767" s="270"/>
      <c r="D2767" s="270"/>
      <c r="E2767" s="270"/>
      <c r="G2767" s="269" t="s">
        <v>310</v>
      </c>
      <c r="H2767" s="270"/>
      <c r="I2767" s="270"/>
      <c r="J2767" s="270"/>
      <c r="K2767" s="270"/>
    </row>
    <row r="2768" spans="1:11" x14ac:dyDescent="0.35">
      <c r="A2768" s="271" t="s">
        <v>317</v>
      </c>
      <c r="B2768" s="272"/>
      <c r="C2768" s="272"/>
      <c r="D2768" s="272"/>
      <c r="E2768" s="272"/>
      <c r="G2768" s="271" t="s">
        <v>317</v>
      </c>
      <c r="H2768" s="272"/>
      <c r="I2768" s="272"/>
      <c r="J2768" s="272"/>
      <c r="K2768" s="272"/>
    </row>
    <row r="2769" spans="1:11" x14ac:dyDescent="0.35">
      <c r="A2769" s="269" t="s">
        <v>311</v>
      </c>
      <c r="B2769" s="270"/>
      <c r="C2769" s="270"/>
      <c r="D2769" s="270"/>
      <c r="E2769" s="270"/>
      <c r="G2769" s="269" t="s">
        <v>311</v>
      </c>
      <c r="H2769" s="270"/>
      <c r="I2769" s="270"/>
      <c r="J2769" s="270"/>
      <c r="K2769" s="270"/>
    </row>
    <row r="2770" spans="1:11" x14ac:dyDescent="0.35">
      <c r="A2770" s="271" t="s">
        <v>312</v>
      </c>
      <c r="B2770" s="272">
        <v>5550</v>
      </c>
      <c r="C2770" s="272"/>
      <c r="D2770" s="272"/>
      <c r="E2770" s="272"/>
      <c r="G2770" s="271" t="s">
        <v>312</v>
      </c>
      <c r="H2770" s="272"/>
      <c r="I2770" s="272"/>
      <c r="J2770" s="272"/>
      <c r="K2770" s="272"/>
    </row>
    <row r="2771" spans="1:11" x14ac:dyDescent="0.35">
      <c r="A2771" s="231" t="s">
        <v>34</v>
      </c>
      <c r="B2771" s="230">
        <f>SUM(B2765:B2770)</f>
        <v>5606</v>
      </c>
      <c r="C2771" s="230">
        <f>SUM(C2765:C2770)</f>
        <v>0</v>
      </c>
      <c r="D2771" s="230">
        <f>SUM(D2765:D2770)</f>
        <v>0</v>
      </c>
      <c r="E2771" s="230">
        <f>SUM(E2765:E2770)</f>
        <v>0</v>
      </c>
      <c r="G2771" s="231" t="s">
        <v>34</v>
      </c>
      <c r="H2771" s="230">
        <f>SUM(H2765:H2770)</f>
        <v>200</v>
      </c>
      <c r="I2771" s="230">
        <f>SUM(I2765:I2770)</f>
        <v>0</v>
      </c>
      <c r="J2771" s="230">
        <f>SUM(J2765:J2770)</f>
        <v>0</v>
      </c>
      <c r="K2771" s="230">
        <f>SUM(K2765:K2770)</f>
        <v>0</v>
      </c>
    </row>
    <row r="2772" spans="1:11" ht="15" thickBot="1" x14ac:dyDescent="0.4">
      <c r="A2772" s="231" t="s">
        <v>313</v>
      </c>
      <c r="B2772" s="230">
        <f>+B2771+C2771+D2771+E2771</f>
        <v>5606</v>
      </c>
      <c r="C2772" s="230"/>
      <c r="D2772" s="230"/>
      <c r="E2772" s="230"/>
      <c r="G2772" s="231" t="s">
        <v>313</v>
      </c>
      <c r="H2772" s="230">
        <f>+H2771+I2771+J2771+K2771</f>
        <v>200</v>
      </c>
      <c r="I2772" s="230"/>
      <c r="J2772" s="230"/>
      <c r="K2772" s="230"/>
    </row>
    <row r="2773" spans="1:11" ht="15.5" thickTop="1" thickBot="1" x14ac:dyDescent="0.4">
      <c r="A2773" s="335" t="s">
        <v>298</v>
      </c>
      <c r="B2773" s="336"/>
      <c r="C2773" s="336"/>
      <c r="D2773" s="336"/>
      <c r="E2773" s="337"/>
      <c r="G2773" s="335" t="s">
        <v>298</v>
      </c>
      <c r="H2773" s="336"/>
      <c r="I2773" s="336"/>
      <c r="J2773" s="336"/>
      <c r="K2773" s="337"/>
    </row>
    <row r="2774" spans="1:11" ht="15.5" thickTop="1" thickBot="1" x14ac:dyDescent="0.4">
      <c r="A2774" s="338">
        <v>45542</v>
      </c>
      <c r="B2774" s="336"/>
      <c r="C2774" s="336"/>
      <c r="D2774" s="336"/>
      <c r="E2774" s="337"/>
      <c r="G2774" s="338">
        <v>45542</v>
      </c>
      <c r="H2774" s="336"/>
      <c r="I2774" s="336"/>
      <c r="J2774" s="336"/>
      <c r="K2774" s="337"/>
    </row>
    <row r="2775" spans="1:11" ht="15" thickTop="1" x14ac:dyDescent="0.35">
      <c r="A2775" s="267" t="s">
        <v>159</v>
      </c>
      <c r="B2775" s="267" t="s">
        <v>299</v>
      </c>
      <c r="C2775" s="267" t="s">
        <v>307</v>
      </c>
      <c r="D2775" s="267" t="s">
        <v>301</v>
      </c>
      <c r="E2775" s="268" t="s">
        <v>308</v>
      </c>
      <c r="G2775" s="267" t="s">
        <v>159</v>
      </c>
      <c r="H2775" s="267" t="s">
        <v>299</v>
      </c>
      <c r="I2775" s="267" t="s">
        <v>307</v>
      </c>
      <c r="J2775" s="267" t="s">
        <v>301</v>
      </c>
      <c r="K2775" s="268" t="s">
        <v>308</v>
      </c>
    </row>
    <row r="2776" spans="1:11" x14ac:dyDescent="0.35">
      <c r="A2776" s="269" t="s">
        <v>345</v>
      </c>
      <c r="B2776" s="270">
        <v>2500</v>
      </c>
      <c r="C2776" s="270"/>
      <c r="D2776" s="270"/>
      <c r="E2776" s="270"/>
      <c r="G2776" s="269" t="s">
        <v>345</v>
      </c>
      <c r="H2776" s="270">
        <v>1400</v>
      </c>
      <c r="I2776" s="270"/>
      <c r="J2776" s="270"/>
      <c r="K2776" s="270"/>
    </row>
    <row r="2777" spans="1:11" x14ac:dyDescent="0.35">
      <c r="A2777" s="271" t="s">
        <v>345</v>
      </c>
      <c r="B2777" s="272">
        <v>1700</v>
      </c>
      <c r="C2777" s="272"/>
      <c r="D2777" s="272"/>
      <c r="E2777" s="272"/>
      <c r="G2777" s="271" t="s">
        <v>309</v>
      </c>
      <c r="H2777" s="272"/>
      <c r="I2777" s="272"/>
      <c r="J2777" s="272"/>
      <c r="K2777" s="272"/>
    </row>
    <row r="2778" spans="1:11" x14ac:dyDescent="0.35">
      <c r="A2778" s="269" t="s">
        <v>366</v>
      </c>
      <c r="B2778" s="270">
        <v>80</v>
      </c>
      <c r="C2778" s="270"/>
      <c r="D2778" s="270"/>
      <c r="E2778" s="270"/>
      <c r="G2778" s="269" t="s">
        <v>310</v>
      </c>
      <c r="H2778" s="270"/>
      <c r="I2778" s="270"/>
      <c r="J2778" s="270"/>
      <c r="K2778" s="270"/>
    </row>
    <row r="2779" spans="1:11" x14ac:dyDescent="0.35">
      <c r="A2779" s="271" t="s">
        <v>317</v>
      </c>
      <c r="B2779" s="272"/>
      <c r="C2779" s="272"/>
      <c r="D2779" s="272"/>
      <c r="E2779" s="272"/>
      <c r="G2779" s="271" t="s">
        <v>317</v>
      </c>
      <c r="H2779" s="272"/>
      <c r="I2779" s="272"/>
      <c r="J2779" s="272"/>
      <c r="K2779" s="272"/>
    </row>
    <row r="2780" spans="1:11" x14ac:dyDescent="0.35">
      <c r="A2780" s="269" t="s">
        <v>311</v>
      </c>
      <c r="B2780" s="270"/>
      <c r="C2780" s="270"/>
      <c r="D2780" s="270"/>
      <c r="E2780" s="270"/>
      <c r="G2780" s="269" t="s">
        <v>311</v>
      </c>
      <c r="H2780" s="270"/>
      <c r="I2780" s="270"/>
      <c r="J2780" s="270"/>
      <c r="K2780" s="270"/>
    </row>
    <row r="2781" spans="1:11" x14ac:dyDescent="0.35">
      <c r="A2781" s="271" t="s">
        <v>312</v>
      </c>
      <c r="B2781" s="272">
        <v>1480</v>
      </c>
      <c r="C2781" s="272"/>
      <c r="D2781" s="272"/>
      <c r="E2781" s="272"/>
      <c r="G2781" s="271" t="s">
        <v>312</v>
      </c>
      <c r="H2781" s="272"/>
      <c r="I2781" s="272"/>
      <c r="J2781" s="272"/>
      <c r="K2781" s="272"/>
    </row>
    <row r="2782" spans="1:11" x14ac:dyDescent="0.35">
      <c r="A2782" s="231" t="s">
        <v>34</v>
      </c>
      <c r="B2782" s="230">
        <f>SUM(B2776:B2781)</f>
        <v>5760</v>
      </c>
      <c r="C2782" s="230">
        <f>SUM(C2776:C2781)</f>
        <v>0</v>
      </c>
      <c r="D2782" s="230">
        <f>SUM(D2776:D2781)</f>
        <v>0</v>
      </c>
      <c r="E2782" s="230">
        <f>SUM(E2776:E2781)</f>
        <v>0</v>
      </c>
      <c r="G2782" s="231" t="s">
        <v>34</v>
      </c>
      <c r="H2782" s="230">
        <f>SUM(H2776:H2781)</f>
        <v>1400</v>
      </c>
      <c r="I2782" s="230">
        <f>SUM(I2776:I2781)</f>
        <v>0</v>
      </c>
      <c r="J2782" s="230">
        <f>SUM(J2776:J2781)</f>
        <v>0</v>
      </c>
      <c r="K2782" s="230">
        <f>SUM(K2776:K2781)</f>
        <v>0</v>
      </c>
    </row>
    <row r="2783" spans="1:11" ht="15" thickBot="1" x14ac:dyDescent="0.4">
      <c r="A2783" s="231" t="s">
        <v>313</v>
      </c>
      <c r="B2783" s="230">
        <f>+B2782+C2782+D2782+E2782</f>
        <v>5760</v>
      </c>
      <c r="C2783" s="230"/>
      <c r="D2783" s="230"/>
      <c r="E2783" s="230"/>
      <c r="G2783" s="231" t="s">
        <v>313</v>
      </c>
      <c r="H2783" s="230">
        <f>+H2782+I2782+J2782+K2782</f>
        <v>1400</v>
      </c>
      <c r="I2783" s="230"/>
      <c r="J2783" s="230"/>
      <c r="K2783" s="230"/>
    </row>
    <row r="2784" spans="1:11" ht="15.5" thickTop="1" thickBot="1" x14ac:dyDescent="0.4">
      <c r="A2784" s="335" t="s">
        <v>298</v>
      </c>
      <c r="B2784" s="336"/>
      <c r="C2784" s="336"/>
      <c r="D2784" s="336"/>
      <c r="E2784" s="337"/>
      <c r="G2784" s="335" t="s">
        <v>298</v>
      </c>
      <c r="H2784" s="336"/>
      <c r="I2784" s="336"/>
      <c r="J2784" s="336"/>
      <c r="K2784" s="337"/>
    </row>
    <row r="2785" spans="1:11" ht="15.5" thickTop="1" thickBot="1" x14ac:dyDescent="0.4">
      <c r="A2785" s="338">
        <v>45543</v>
      </c>
      <c r="B2785" s="336"/>
      <c r="C2785" s="336"/>
      <c r="D2785" s="336"/>
      <c r="E2785" s="337"/>
      <c r="G2785" s="338">
        <v>45543</v>
      </c>
      <c r="H2785" s="336"/>
      <c r="I2785" s="336"/>
      <c r="J2785" s="336"/>
      <c r="K2785" s="337"/>
    </row>
    <row r="2786" spans="1:11" ht="15" thickTop="1" x14ac:dyDescent="0.35">
      <c r="A2786" s="267" t="s">
        <v>159</v>
      </c>
      <c r="B2786" s="267" t="s">
        <v>299</v>
      </c>
      <c r="C2786" s="267" t="s">
        <v>307</v>
      </c>
      <c r="D2786" s="267" t="s">
        <v>301</v>
      </c>
      <c r="E2786" s="268" t="s">
        <v>308</v>
      </c>
      <c r="G2786" s="267" t="s">
        <v>159</v>
      </c>
      <c r="H2786" s="267" t="s">
        <v>299</v>
      </c>
      <c r="I2786" s="267" t="s">
        <v>307</v>
      </c>
      <c r="J2786" s="267" t="s">
        <v>301</v>
      </c>
      <c r="K2786" s="268" t="s">
        <v>308</v>
      </c>
    </row>
    <row r="2787" spans="1:11" x14ac:dyDescent="0.35">
      <c r="A2787" s="269" t="s">
        <v>316</v>
      </c>
      <c r="B2787" s="270"/>
      <c r="C2787" s="270"/>
      <c r="D2787" s="270"/>
      <c r="E2787" s="270"/>
      <c r="G2787" s="269" t="s">
        <v>316</v>
      </c>
      <c r="H2787" s="270"/>
      <c r="I2787" s="270"/>
      <c r="J2787" s="270"/>
      <c r="K2787" s="270"/>
    </row>
    <row r="2788" spans="1:11" x14ac:dyDescent="0.35">
      <c r="A2788" s="271" t="s">
        <v>309</v>
      </c>
      <c r="B2788" s="272"/>
      <c r="C2788" s="272"/>
      <c r="D2788" s="272"/>
      <c r="E2788" s="272"/>
      <c r="G2788" s="271" t="s">
        <v>309</v>
      </c>
      <c r="H2788" s="272"/>
      <c r="I2788" s="272"/>
      <c r="J2788" s="272"/>
      <c r="K2788" s="272"/>
    </row>
    <row r="2789" spans="1:11" x14ac:dyDescent="0.35">
      <c r="A2789" s="269" t="s">
        <v>310</v>
      </c>
      <c r="B2789" s="270"/>
      <c r="C2789" s="270"/>
      <c r="D2789" s="270"/>
      <c r="E2789" s="270"/>
      <c r="G2789" s="269" t="s">
        <v>310</v>
      </c>
      <c r="H2789" s="270"/>
      <c r="I2789" s="270"/>
      <c r="J2789" s="270"/>
      <c r="K2789" s="270"/>
    </row>
    <row r="2790" spans="1:11" x14ac:dyDescent="0.35">
      <c r="A2790" s="271" t="s">
        <v>317</v>
      </c>
      <c r="B2790" s="272"/>
      <c r="C2790" s="272"/>
      <c r="D2790" s="272"/>
      <c r="E2790" s="272"/>
      <c r="G2790" s="271" t="s">
        <v>317</v>
      </c>
      <c r="H2790" s="272"/>
      <c r="I2790" s="272"/>
      <c r="J2790" s="272"/>
      <c r="K2790" s="272"/>
    </row>
    <row r="2791" spans="1:11" x14ac:dyDescent="0.35">
      <c r="A2791" s="269" t="s">
        <v>311</v>
      </c>
      <c r="B2791" s="270"/>
      <c r="C2791" s="270"/>
      <c r="D2791" s="270"/>
      <c r="E2791" s="270"/>
      <c r="G2791" s="269" t="s">
        <v>311</v>
      </c>
      <c r="H2791" s="270"/>
      <c r="I2791" s="270"/>
      <c r="J2791" s="270"/>
      <c r="K2791" s="270"/>
    </row>
    <row r="2792" spans="1:11" x14ac:dyDescent="0.35">
      <c r="A2792" s="271" t="s">
        <v>312</v>
      </c>
      <c r="B2792" s="272"/>
      <c r="C2792" s="272"/>
      <c r="D2792" s="272"/>
      <c r="E2792" s="272"/>
      <c r="G2792" s="271" t="s">
        <v>312</v>
      </c>
      <c r="H2792" s="272"/>
      <c r="I2792" s="272"/>
      <c r="J2792" s="272"/>
      <c r="K2792" s="272"/>
    </row>
    <row r="2793" spans="1:11" x14ac:dyDescent="0.35">
      <c r="A2793" s="231" t="s">
        <v>34</v>
      </c>
      <c r="B2793" s="230">
        <f>SUM(B2787:B2792)</f>
        <v>0</v>
      </c>
      <c r="C2793" s="230">
        <f>SUM(C2787:C2792)</f>
        <v>0</v>
      </c>
      <c r="D2793" s="230">
        <f>SUM(D2787:D2792)</f>
        <v>0</v>
      </c>
      <c r="E2793" s="230">
        <f>SUM(E2787:E2792)</f>
        <v>0</v>
      </c>
      <c r="G2793" s="231" t="s">
        <v>34</v>
      </c>
      <c r="H2793" s="230">
        <f>SUM(H2787:H2792)</f>
        <v>0</v>
      </c>
      <c r="I2793" s="230">
        <f>SUM(I2787:I2792)</f>
        <v>0</v>
      </c>
      <c r="J2793" s="230">
        <f>SUM(J2787:J2792)</f>
        <v>0</v>
      </c>
      <c r="K2793" s="230">
        <f>SUM(K2787:K2792)</f>
        <v>0</v>
      </c>
    </row>
    <row r="2794" spans="1:11" ht="15" thickBot="1" x14ac:dyDescent="0.4">
      <c r="A2794" s="231" t="s">
        <v>313</v>
      </c>
      <c r="B2794" s="230">
        <f>+B2793+C2793+D2793+E2793</f>
        <v>0</v>
      </c>
      <c r="C2794" s="230"/>
      <c r="D2794" s="230"/>
      <c r="E2794" s="230"/>
      <c r="G2794" s="231" t="s">
        <v>313</v>
      </c>
      <c r="H2794" s="230">
        <f>+H2793+I2793+J2793+K2793</f>
        <v>0</v>
      </c>
      <c r="I2794" s="230"/>
      <c r="J2794" s="230"/>
      <c r="K2794" s="230"/>
    </row>
    <row r="2795" spans="1:11" ht="15.5" thickTop="1" thickBot="1" x14ac:dyDescent="0.4">
      <c r="A2795" s="335" t="s">
        <v>298</v>
      </c>
      <c r="B2795" s="336"/>
      <c r="C2795" s="336"/>
      <c r="D2795" s="336"/>
      <c r="E2795" s="337"/>
      <c r="G2795" s="335" t="s">
        <v>298</v>
      </c>
      <c r="H2795" s="336"/>
      <c r="I2795" s="336"/>
      <c r="J2795" s="336"/>
      <c r="K2795" s="337"/>
    </row>
    <row r="2796" spans="1:11" ht="15.5" thickTop="1" thickBot="1" x14ac:dyDescent="0.4">
      <c r="A2796" s="338">
        <v>45544</v>
      </c>
      <c r="B2796" s="336"/>
      <c r="C2796" s="336"/>
      <c r="D2796" s="336"/>
      <c r="E2796" s="337"/>
      <c r="G2796" s="338">
        <v>45544</v>
      </c>
      <c r="H2796" s="336"/>
      <c r="I2796" s="336"/>
      <c r="J2796" s="336"/>
      <c r="K2796" s="337"/>
    </row>
    <row r="2797" spans="1:11" ht="15" thickTop="1" x14ac:dyDescent="0.35">
      <c r="A2797" s="267" t="s">
        <v>159</v>
      </c>
      <c r="B2797" s="267" t="s">
        <v>299</v>
      </c>
      <c r="C2797" s="267" t="s">
        <v>307</v>
      </c>
      <c r="D2797" s="267" t="s">
        <v>301</v>
      </c>
      <c r="E2797" s="268" t="s">
        <v>308</v>
      </c>
      <c r="G2797" s="267" t="s">
        <v>159</v>
      </c>
      <c r="H2797" s="267" t="s">
        <v>299</v>
      </c>
      <c r="I2797" s="267" t="s">
        <v>307</v>
      </c>
      <c r="J2797" s="267" t="s">
        <v>301</v>
      </c>
      <c r="K2797" s="268" t="s">
        <v>308</v>
      </c>
    </row>
    <row r="2798" spans="1:11" x14ac:dyDescent="0.35">
      <c r="A2798" s="269" t="s">
        <v>349</v>
      </c>
      <c r="B2798" s="270">
        <v>2400</v>
      </c>
      <c r="C2798" s="270"/>
      <c r="D2798" s="270"/>
      <c r="E2798" s="270"/>
      <c r="G2798" s="269" t="s">
        <v>316</v>
      </c>
      <c r="H2798" s="270"/>
      <c r="I2798" s="270"/>
      <c r="J2798" s="270"/>
      <c r="K2798" s="270"/>
    </row>
    <row r="2799" spans="1:11" x14ac:dyDescent="0.35">
      <c r="A2799" s="271" t="s">
        <v>350</v>
      </c>
      <c r="B2799" s="272">
        <v>110</v>
      </c>
      <c r="C2799" s="272"/>
      <c r="D2799" s="272"/>
      <c r="E2799" s="272"/>
      <c r="G2799" s="271" t="s">
        <v>309</v>
      </c>
      <c r="H2799" s="272"/>
      <c r="I2799" s="272"/>
      <c r="J2799" s="272"/>
      <c r="K2799" s="272"/>
    </row>
    <row r="2800" spans="1:11" x14ac:dyDescent="0.35">
      <c r="A2800" s="269" t="s">
        <v>310</v>
      </c>
      <c r="B2800" s="270"/>
      <c r="C2800" s="270"/>
      <c r="D2800" s="270"/>
      <c r="E2800" s="270"/>
      <c r="G2800" s="269" t="s">
        <v>310</v>
      </c>
      <c r="H2800" s="270"/>
      <c r="I2800" s="270"/>
      <c r="J2800" s="270"/>
      <c r="K2800" s="270"/>
    </row>
    <row r="2801" spans="1:11" x14ac:dyDescent="0.35">
      <c r="A2801" s="271" t="s">
        <v>317</v>
      </c>
      <c r="B2801" s="272"/>
      <c r="C2801" s="272"/>
      <c r="D2801" s="272"/>
      <c r="E2801" s="272"/>
      <c r="G2801" s="271" t="s">
        <v>317</v>
      </c>
      <c r="H2801" s="272"/>
      <c r="I2801" s="272"/>
      <c r="J2801" s="272"/>
      <c r="K2801" s="272"/>
    </row>
    <row r="2802" spans="1:11" x14ac:dyDescent="0.35">
      <c r="A2802" s="269" t="s">
        <v>311</v>
      </c>
      <c r="B2802" s="270"/>
      <c r="C2802" s="270"/>
      <c r="D2802" s="270"/>
      <c r="E2802" s="270"/>
      <c r="G2802" s="269" t="s">
        <v>311</v>
      </c>
      <c r="H2802" s="270"/>
      <c r="I2802" s="270"/>
      <c r="J2802" s="270"/>
      <c r="K2802" s="270"/>
    </row>
    <row r="2803" spans="1:11" x14ac:dyDescent="0.35">
      <c r="A2803" s="271" t="s">
        <v>312</v>
      </c>
      <c r="B2803" s="272"/>
      <c r="C2803" s="272"/>
      <c r="D2803" s="272"/>
      <c r="E2803" s="272"/>
      <c r="G2803" s="271" t="s">
        <v>312</v>
      </c>
      <c r="H2803" s="272"/>
      <c r="I2803" s="272"/>
      <c r="J2803" s="272"/>
      <c r="K2803" s="272"/>
    </row>
    <row r="2804" spans="1:11" x14ac:dyDescent="0.35">
      <c r="A2804" s="231" t="s">
        <v>34</v>
      </c>
      <c r="B2804" s="230">
        <f>SUM(B2798:B2803)</f>
        <v>2510</v>
      </c>
      <c r="C2804" s="230">
        <f>SUM(C2798:C2803)</f>
        <v>0</v>
      </c>
      <c r="D2804" s="230">
        <f>SUM(D2798:D2803)</f>
        <v>0</v>
      </c>
      <c r="E2804" s="230">
        <f>SUM(E2798:E2803)</f>
        <v>0</v>
      </c>
      <c r="G2804" s="231" t="s">
        <v>34</v>
      </c>
      <c r="H2804" s="230">
        <f>SUM(H2798:H2803)</f>
        <v>0</v>
      </c>
      <c r="I2804" s="230">
        <f>SUM(I2798:I2803)</f>
        <v>0</v>
      </c>
      <c r="J2804" s="230">
        <f>SUM(J2798:J2803)</f>
        <v>0</v>
      </c>
      <c r="K2804" s="230">
        <f>SUM(K2798:K2803)</f>
        <v>0</v>
      </c>
    </row>
    <row r="2805" spans="1:11" ht="15" thickBot="1" x14ac:dyDescent="0.4">
      <c r="A2805" s="231" t="s">
        <v>313</v>
      </c>
      <c r="B2805" s="230">
        <f>+B2804+C2804+D2804+E2804</f>
        <v>2510</v>
      </c>
      <c r="C2805" s="230"/>
      <c r="D2805" s="230"/>
      <c r="E2805" s="230"/>
      <c r="G2805" s="231" t="s">
        <v>313</v>
      </c>
      <c r="H2805" s="230">
        <f>+H2804+I2804+J2804+K2804</f>
        <v>0</v>
      </c>
      <c r="I2805" s="230"/>
      <c r="J2805" s="230"/>
      <c r="K2805" s="230"/>
    </row>
    <row r="2806" spans="1:11" ht="15.5" thickTop="1" thickBot="1" x14ac:dyDescent="0.4">
      <c r="A2806" s="335" t="s">
        <v>298</v>
      </c>
      <c r="B2806" s="336"/>
      <c r="C2806" s="336"/>
      <c r="D2806" s="336"/>
      <c r="E2806" s="337"/>
      <c r="G2806" s="335" t="s">
        <v>298</v>
      </c>
      <c r="H2806" s="336"/>
      <c r="I2806" s="336"/>
      <c r="J2806" s="336"/>
      <c r="K2806" s="337"/>
    </row>
    <row r="2807" spans="1:11" ht="15.5" thickTop="1" thickBot="1" x14ac:dyDescent="0.4">
      <c r="A2807" s="338">
        <v>45545</v>
      </c>
      <c r="B2807" s="336"/>
      <c r="C2807" s="336"/>
      <c r="D2807" s="336"/>
      <c r="E2807" s="337"/>
      <c r="G2807" s="338">
        <v>45545</v>
      </c>
      <c r="H2807" s="336"/>
      <c r="I2807" s="336"/>
      <c r="J2807" s="336"/>
      <c r="K2807" s="337"/>
    </row>
    <row r="2808" spans="1:11" ht="15" thickTop="1" x14ac:dyDescent="0.35">
      <c r="A2808" s="267" t="s">
        <v>159</v>
      </c>
      <c r="B2808" s="267" t="s">
        <v>299</v>
      </c>
      <c r="C2808" s="267" t="s">
        <v>307</v>
      </c>
      <c r="D2808" s="267" t="s">
        <v>301</v>
      </c>
      <c r="E2808" s="268" t="s">
        <v>308</v>
      </c>
      <c r="G2808" s="267" t="s">
        <v>159</v>
      </c>
      <c r="H2808" s="267" t="s">
        <v>299</v>
      </c>
      <c r="I2808" s="267" t="s">
        <v>307</v>
      </c>
      <c r="J2808" s="267" t="s">
        <v>301</v>
      </c>
      <c r="K2808" s="268" t="s">
        <v>308</v>
      </c>
    </row>
    <row r="2809" spans="1:11" x14ac:dyDescent="0.35">
      <c r="A2809" s="269" t="s">
        <v>749</v>
      </c>
      <c r="B2809" s="270">
        <v>400</v>
      </c>
      <c r="C2809" s="270"/>
      <c r="D2809" s="270"/>
      <c r="E2809" s="270"/>
      <c r="G2809" s="269" t="s">
        <v>316</v>
      </c>
      <c r="H2809" s="270"/>
      <c r="I2809" s="270"/>
      <c r="J2809" s="270"/>
      <c r="K2809" s="270"/>
    </row>
    <row r="2810" spans="1:11" x14ac:dyDescent="0.35">
      <c r="A2810" s="271" t="s">
        <v>309</v>
      </c>
      <c r="B2810" s="272"/>
      <c r="C2810" s="272"/>
      <c r="D2810" s="272"/>
      <c r="E2810" s="272"/>
      <c r="G2810" s="271" t="s">
        <v>309</v>
      </c>
      <c r="H2810" s="272"/>
      <c r="I2810" s="272"/>
      <c r="J2810" s="272"/>
      <c r="K2810" s="272"/>
    </row>
    <row r="2811" spans="1:11" x14ac:dyDescent="0.35">
      <c r="A2811" s="269" t="s">
        <v>310</v>
      </c>
      <c r="B2811" s="270"/>
      <c r="C2811" s="270"/>
      <c r="D2811" s="270"/>
      <c r="E2811" s="270"/>
      <c r="G2811" s="269" t="s">
        <v>310</v>
      </c>
      <c r="H2811" s="270"/>
      <c r="I2811" s="270"/>
      <c r="J2811" s="270"/>
      <c r="K2811" s="270"/>
    </row>
    <row r="2812" spans="1:11" x14ac:dyDescent="0.35">
      <c r="A2812" s="271" t="s">
        <v>317</v>
      </c>
      <c r="B2812" s="272"/>
      <c r="C2812" s="272"/>
      <c r="D2812" s="272"/>
      <c r="E2812" s="272"/>
      <c r="G2812" s="271" t="s">
        <v>317</v>
      </c>
      <c r="H2812" s="272"/>
      <c r="I2812" s="272"/>
      <c r="J2812" s="272"/>
      <c r="K2812" s="272"/>
    </row>
    <row r="2813" spans="1:11" x14ac:dyDescent="0.35">
      <c r="A2813" s="269" t="s">
        <v>311</v>
      </c>
      <c r="B2813" s="270"/>
      <c r="C2813" s="270"/>
      <c r="D2813" s="270"/>
      <c r="E2813" s="270"/>
      <c r="G2813" s="269" t="s">
        <v>311</v>
      </c>
      <c r="H2813" s="270"/>
      <c r="I2813" s="270"/>
      <c r="J2813" s="270"/>
      <c r="K2813" s="270"/>
    </row>
    <row r="2814" spans="1:11" x14ac:dyDescent="0.35">
      <c r="A2814" s="271" t="s">
        <v>312</v>
      </c>
      <c r="B2814" s="272"/>
      <c r="C2814" s="272"/>
      <c r="D2814" s="272"/>
      <c r="E2814" s="272"/>
      <c r="G2814" s="271" t="s">
        <v>312</v>
      </c>
      <c r="H2814" s="272"/>
      <c r="I2814" s="272"/>
      <c r="J2814" s="272"/>
      <c r="K2814" s="272"/>
    </row>
    <row r="2815" spans="1:11" x14ac:dyDescent="0.35">
      <c r="A2815" s="231" t="s">
        <v>34</v>
      </c>
      <c r="B2815" s="230">
        <f>SUM(B2809:B2814)</f>
        <v>400</v>
      </c>
      <c r="C2815" s="230">
        <f>SUM(C2809:C2814)</f>
        <v>0</v>
      </c>
      <c r="D2815" s="230">
        <f>SUM(D2809:D2814)</f>
        <v>0</v>
      </c>
      <c r="E2815" s="230">
        <f>SUM(E2809:E2814)</f>
        <v>0</v>
      </c>
      <c r="G2815" s="231" t="s">
        <v>34</v>
      </c>
      <c r="H2815" s="230">
        <f>SUM(H2809:H2814)</f>
        <v>0</v>
      </c>
      <c r="I2815" s="230">
        <f>SUM(I2809:I2814)</f>
        <v>0</v>
      </c>
      <c r="J2815" s="230">
        <f>SUM(J2809:J2814)</f>
        <v>0</v>
      </c>
      <c r="K2815" s="230">
        <f>SUM(K2809:K2814)</f>
        <v>0</v>
      </c>
    </row>
    <row r="2816" spans="1:11" ht="15" thickBot="1" x14ac:dyDescent="0.4">
      <c r="A2816" s="231" t="s">
        <v>313</v>
      </c>
      <c r="B2816" s="230">
        <f>+B2815+C2815+D2815+E2815</f>
        <v>400</v>
      </c>
      <c r="C2816" s="230"/>
      <c r="D2816" s="230"/>
      <c r="E2816" s="230"/>
      <c r="G2816" s="231" t="s">
        <v>313</v>
      </c>
      <c r="H2816" s="230">
        <f>+H2815+I2815+J2815+K2815</f>
        <v>0</v>
      </c>
      <c r="I2816" s="230"/>
      <c r="J2816" s="230"/>
      <c r="K2816" s="230"/>
    </row>
    <row r="2817" spans="1:11" ht="15.5" thickTop="1" thickBot="1" x14ac:dyDescent="0.4">
      <c r="A2817" s="335" t="s">
        <v>298</v>
      </c>
      <c r="B2817" s="336"/>
      <c r="C2817" s="336"/>
      <c r="D2817" s="336"/>
      <c r="E2817" s="337"/>
      <c r="G2817" s="335" t="s">
        <v>298</v>
      </c>
      <c r="H2817" s="336"/>
      <c r="I2817" s="336"/>
      <c r="J2817" s="336"/>
      <c r="K2817" s="337"/>
    </row>
    <row r="2818" spans="1:11" ht="15.5" thickTop="1" thickBot="1" x14ac:dyDescent="0.4">
      <c r="A2818" s="338">
        <v>45546</v>
      </c>
      <c r="B2818" s="336"/>
      <c r="C2818" s="336"/>
      <c r="D2818" s="336"/>
      <c r="E2818" s="337"/>
      <c r="G2818" s="338">
        <v>45546</v>
      </c>
      <c r="H2818" s="336"/>
      <c r="I2818" s="336"/>
      <c r="J2818" s="336"/>
      <c r="K2818" s="337"/>
    </row>
    <row r="2819" spans="1:11" ht="15" thickTop="1" x14ac:dyDescent="0.35">
      <c r="A2819" s="267" t="s">
        <v>159</v>
      </c>
      <c r="B2819" s="267" t="s">
        <v>299</v>
      </c>
      <c r="C2819" s="267" t="s">
        <v>307</v>
      </c>
      <c r="D2819" s="267" t="s">
        <v>301</v>
      </c>
      <c r="E2819" s="268" t="s">
        <v>308</v>
      </c>
      <c r="G2819" s="267" t="s">
        <v>159</v>
      </c>
      <c r="H2819" s="267" t="s">
        <v>299</v>
      </c>
      <c r="I2819" s="267" t="s">
        <v>307</v>
      </c>
      <c r="J2819" s="267" t="s">
        <v>301</v>
      </c>
      <c r="K2819" s="268" t="s">
        <v>308</v>
      </c>
    </row>
    <row r="2820" spans="1:11" x14ac:dyDescent="0.35">
      <c r="A2820" s="269" t="s">
        <v>316</v>
      </c>
      <c r="B2820" s="270">
        <v>160</v>
      </c>
      <c r="C2820" s="270"/>
      <c r="D2820" s="270"/>
      <c r="E2820" s="270"/>
      <c r="G2820" s="269" t="s">
        <v>349</v>
      </c>
      <c r="H2820" s="270">
        <v>2300</v>
      </c>
      <c r="I2820" s="270"/>
      <c r="J2820" s="270"/>
      <c r="K2820" s="270"/>
    </row>
    <row r="2821" spans="1:11" x14ac:dyDescent="0.35">
      <c r="A2821" s="271" t="s">
        <v>309</v>
      </c>
      <c r="B2821" s="272"/>
      <c r="C2821" s="272"/>
      <c r="D2821" s="272"/>
      <c r="E2821" s="272"/>
      <c r="G2821" s="271" t="s">
        <v>309</v>
      </c>
      <c r="H2821" s="272"/>
      <c r="I2821" s="272"/>
      <c r="J2821" s="272"/>
      <c r="K2821" s="272"/>
    </row>
    <row r="2822" spans="1:11" x14ac:dyDescent="0.35">
      <c r="A2822" s="269" t="s">
        <v>310</v>
      </c>
      <c r="B2822" s="270">
        <v>960</v>
      </c>
      <c r="C2822" s="270"/>
      <c r="D2822" s="270"/>
      <c r="E2822" s="270"/>
      <c r="G2822" s="269" t="s">
        <v>310</v>
      </c>
      <c r="H2822" s="270"/>
      <c r="I2822" s="270"/>
      <c r="J2822" s="270"/>
      <c r="K2822" s="270"/>
    </row>
    <row r="2823" spans="1:11" x14ac:dyDescent="0.35">
      <c r="A2823" s="271" t="s">
        <v>317</v>
      </c>
      <c r="B2823" s="272"/>
      <c r="C2823" s="272"/>
      <c r="D2823" s="272"/>
      <c r="E2823" s="272"/>
      <c r="G2823" s="271" t="s">
        <v>317</v>
      </c>
      <c r="H2823" s="272"/>
      <c r="I2823" s="272"/>
      <c r="J2823" s="272"/>
      <c r="K2823" s="272"/>
    </row>
    <row r="2824" spans="1:11" x14ac:dyDescent="0.35">
      <c r="A2824" s="269" t="s">
        <v>311</v>
      </c>
      <c r="B2824" s="270"/>
      <c r="C2824" s="270"/>
      <c r="D2824" s="270"/>
      <c r="E2824" s="270"/>
      <c r="G2824" s="269" t="s">
        <v>311</v>
      </c>
      <c r="H2824" s="270"/>
      <c r="I2824" s="270"/>
      <c r="J2824" s="270"/>
      <c r="K2824" s="270"/>
    </row>
    <row r="2825" spans="1:11" x14ac:dyDescent="0.35">
      <c r="A2825" s="271" t="s">
        <v>312</v>
      </c>
      <c r="B2825" s="272"/>
      <c r="C2825" s="272"/>
      <c r="D2825" s="272"/>
      <c r="E2825" s="272"/>
      <c r="G2825" s="271" t="s">
        <v>312</v>
      </c>
      <c r="H2825" s="272"/>
      <c r="I2825" s="272"/>
      <c r="J2825" s="272"/>
      <c r="K2825" s="272"/>
    </row>
    <row r="2826" spans="1:11" x14ac:dyDescent="0.35">
      <c r="A2826" s="231" t="s">
        <v>34</v>
      </c>
      <c r="B2826" s="230">
        <f>SUM(B2820:B2825)</f>
        <v>1120</v>
      </c>
      <c r="C2826" s="230">
        <f>SUM(C2820:C2825)</f>
        <v>0</v>
      </c>
      <c r="D2826" s="230">
        <f>SUM(D2820:D2825)</f>
        <v>0</v>
      </c>
      <c r="E2826" s="230">
        <f>SUM(E2820:E2825)</f>
        <v>0</v>
      </c>
      <c r="G2826" s="231" t="s">
        <v>34</v>
      </c>
      <c r="H2826" s="230">
        <f>SUM(H2820:H2825)</f>
        <v>2300</v>
      </c>
      <c r="I2826" s="230">
        <f>SUM(I2820:I2825)</f>
        <v>0</v>
      </c>
      <c r="J2826" s="230">
        <f>SUM(J2820:J2825)</f>
        <v>0</v>
      </c>
      <c r="K2826" s="230">
        <f>SUM(K2820:K2825)</f>
        <v>0</v>
      </c>
    </row>
    <row r="2827" spans="1:11" ht="15" thickBot="1" x14ac:dyDescent="0.4">
      <c r="A2827" s="231" t="s">
        <v>313</v>
      </c>
      <c r="B2827" s="230">
        <f>+B2826+C2826+D2826+E2826</f>
        <v>1120</v>
      </c>
      <c r="C2827" s="230"/>
      <c r="D2827" s="230"/>
      <c r="E2827" s="230"/>
      <c r="G2827" s="231" t="s">
        <v>313</v>
      </c>
      <c r="H2827" s="230">
        <f>+H2826+I2826+J2826+K2826</f>
        <v>2300</v>
      </c>
      <c r="I2827" s="230"/>
      <c r="J2827" s="230"/>
      <c r="K2827" s="230"/>
    </row>
    <row r="2828" spans="1:11" ht="15.5" thickTop="1" thickBot="1" x14ac:dyDescent="0.4">
      <c r="A2828" s="335" t="s">
        <v>298</v>
      </c>
      <c r="B2828" s="336"/>
      <c r="C2828" s="336"/>
      <c r="D2828" s="336"/>
      <c r="E2828" s="337"/>
      <c r="G2828" s="335" t="s">
        <v>298</v>
      </c>
      <c r="H2828" s="336"/>
      <c r="I2828" s="336"/>
      <c r="J2828" s="336"/>
      <c r="K2828" s="337"/>
    </row>
    <row r="2829" spans="1:11" ht="15.5" thickTop="1" thickBot="1" x14ac:dyDescent="0.4">
      <c r="A2829" s="338">
        <v>45547</v>
      </c>
      <c r="B2829" s="336"/>
      <c r="C2829" s="336"/>
      <c r="D2829" s="336"/>
      <c r="E2829" s="337"/>
      <c r="G2829" s="338">
        <v>45547</v>
      </c>
      <c r="H2829" s="336"/>
      <c r="I2829" s="336"/>
      <c r="J2829" s="336"/>
      <c r="K2829" s="337"/>
    </row>
    <row r="2830" spans="1:11" ht="15" thickTop="1" x14ac:dyDescent="0.35">
      <c r="A2830" s="267" t="s">
        <v>159</v>
      </c>
      <c r="B2830" s="267" t="s">
        <v>299</v>
      </c>
      <c r="C2830" s="267" t="s">
        <v>307</v>
      </c>
      <c r="D2830" s="267" t="s">
        <v>301</v>
      </c>
      <c r="E2830" s="268" t="s">
        <v>308</v>
      </c>
      <c r="G2830" s="267" t="s">
        <v>159</v>
      </c>
      <c r="H2830" s="267" t="s">
        <v>299</v>
      </c>
      <c r="I2830" s="267" t="s">
        <v>307</v>
      </c>
      <c r="J2830" s="267" t="s">
        <v>301</v>
      </c>
      <c r="K2830" s="268" t="s">
        <v>308</v>
      </c>
    </row>
    <row r="2831" spans="1:11" x14ac:dyDescent="0.35">
      <c r="A2831" s="269" t="s">
        <v>316</v>
      </c>
      <c r="B2831" s="270">
        <v>28</v>
      </c>
      <c r="C2831" s="270"/>
      <c r="D2831" s="270"/>
      <c r="E2831" s="270"/>
      <c r="G2831" s="269" t="s">
        <v>316</v>
      </c>
      <c r="H2831" s="270"/>
      <c r="I2831" s="270"/>
      <c r="J2831" s="270"/>
      <c r="K2831" s="270"/>
    </row>
    <row r="2832" spans="1:11" x14ac:dyDescent="0.35">
      <c r="A2832" s="271" t="s">
        <v>309</v>
      </c>
      <c r="B2832" s="272"/>
      <c r="C2832" s="272"/>
      <c r="D2832" s="272"/>
      <c r="E2832" s="272"/>
      <c r="G2832" s="271" t="s">
        <v>309</v>
      </c>
      <c r="H2832" s="272"/>
      <c r="I2832" s="272"/>
      <c r="J2832" s="272"/>
      <c r="K2832" s="272"/>
    </row>
    <row r="2833" spans="1:11" x14ac:dyDescent="0.35">
      <c r="A2833" s="269" t="s">
        <v>310</v>
      </c>
      <c r="B2833" s="270"/>
      <c r="C2833" s="270"/>
      <c r="D2833" s="270"/>
      <c r="E2833" s="270"/>
      <c r="G2833" s="269" t="s">
        <v>310</v>
      </c>
      <c r="H2833" s="270"/>
      <c r="I2833" s="270"/>
      <c r="J2833" s="270"/>
      <c r="K2833" s="270"/>
    </row>
    <row r="2834" spans="1:11" x14ac:dyDescent="0.35">
      <c r="A2834" s="271" t="s">
        <v>317</v>
      </c>
      <c r="B2834" s="272"/>
      <c r="C2834" s="272"/>
      <c r="D2834" s="272"/>
      <c r="E2834" s="272"/>
      <c r="G2834" s="271" t="s">
        <v>317</v>
      </c>
      <c r="H2834" s="272"/>
      <c r="I2834" s="272"/>
      <c r="J2834" s="272"/>
      <c r="K2834" s="272"/>
    </row>
    <row r="2835" spans="1:11" x14ac:dyDescent="0.35">
      <c r="A2835" s="269" t="s">
        <v>311</v>
      </c>
      <c r="B2835" s="270"/>
      <c r="C2835" s="270"/>
      <c r="D2835" s="270"/>
      <c r="E2835" s="270"/>
      <c r="G2835" s="269" t="s">
        <v>311</v>
      </c>
      <c r="H2835" s="270"/>
      <c r="I2835" s="270"/>
      <c r="J2835" s="270"/>
      <c r="K2835" s="270"/>
    </row>
    <row r="2836" spans="1:11" x14ac:dyDescent="0.35">
      <c r="A2836" s="271" t="s">
        <v>312</v>
      </c>
      <c r="B2836" s="272">
        <v>8875</v>
      </c>
      <c r="C2836" s="272"/>
      <c r="D2836" s="272"/>
      <c r="E2836" s="272"/>
      <c r="G2836" s="271" t="s">
        <v>312</v>
      </c>
      <c r="H2836" s="272"/>
      <c r="I2836" s="272"/>
      <c r="J2836" s="272"/>
      <c r="K2836" s="272"/>
    </row>
    <row r="2837" spans="1:11" x14ac:dyDescent="0.35">
      <c r="A2837" s="231" t="s">
        <v>34</v>
      </c>
      <c r="B2837" s="230">
        <f>SUM(B2831:B2836)</f>
        <v>8903</v>
      </c>
      <c r="C2837" s="230">
        <f>SUM(C2831:C2836)</f>
        <v>0</v>
      </c>
      <c r="D2837" s="230">
        <f>SUM(D2831:D2836)</f>
        <v>0</v>
      </c>
      <c r="E2837" s="230">
        <f>SUM(E2831:E2836)</f>
        <v>0</v>
      </c>
      <c r="G2837" s="231" t="s">
        <v>34</v>
      </c>
      <c r="H2837" s="230">
        <f>SUM(H2831:H2836)</f>
        <v>0</v>
      </c>
      <c r="I2837" s="230">
        <f>SUM(I2831:I2836)</f>
        <v>0</v>
      </c>
      <c r="J2837" s="230">
        <f>SUM(J2831:J2836)</f>
        <v>0</v>
      </c>
      <c r="K2837" s="230">
        <f>SUM(K2831:K2836)</f>
        <v>0</v>
      </c>
    </row>
    <row r="2838" spans="1:11" ht="15" thickBot="1" x14ac:dyDescent="0.4">
      <c r="A2838" s="231" t="s">
        <v>313</v>
      </c>
      <c r="B2838" s="230">
        <f>+B2837+C2837+D2837+E2837</f>
        <v>8903</v>
      </c>
      <c r="C2838" s="230"/>
      <c r="D2838" s="230"/>
      <c r="E2838" s="230"/>
      <c r="G2838" s="231" t="s">
        <v>313</v>
      </c>
      <c r="H2838" s="230">
        <f>+H2837+I2837+J2837+K2837</f>
        <v>0</v>
      </c>
      <c r="I2838" s="230"/>
      <c r="J2838" s="230"/>
      <c r="K2838" s="230"/>
    </row>
    <row r="2839" spans="1:11" ht="15.5" thickTop="1" thickBot="1" x14ac:dyDescent="0.4">
      <c r="A2839" s="335" t="s">
        <v>298</v>
      </c>
      <c r="B2839" s="336"/>
      <c r="C2839" s="336"/>
      <c r="D2839" s="336"/>
      <c r="E2839" s="337"/>
      <c r="G2839" s="335" t="s">
        <v>298</v>
      </c>
      <c r="H2839" s="336"/>
      <c r="I2839" s="336"/>
      <c r="J2839" s="336"/>
      <c r="K2839" s="337"/>
    </row>
    <row r="2840" spans="1:11" ht="15.5" thickTop="1" thickBot="1" x14ac:dyDescent="0.4">
      <c r="A2840" s="338">
        <v>45548</v>
      </c>
      <c r="B2840" s="336"/>
      <c r="C2840" s="336"/>
      <c r="D2840" s="336"/>
      <c r="E2840" s="337"/>
      <c r="G2840" s="338">
        <v>45548</v>
      </c>
      <c r="H2840" s="336"/>
      <c r="I2840" s="336"/>
      <c r="J2840" s="336"/>
      <c r="K2840" s="337"/>
    </row>
    <row r="2841" spans="1:11" ht="15" thickTop="1" x14ac:dyDescent="0.35">
      <c r="A2841" s="267" t="s">
        <v>159</v>
      </c>
      <c r="B2841" s="267" t="s">
        <v>299</v>
      </c>
      <c r="C2841" s="267" t="s">
        <v>307</v>
      </c>
      <c r="D2841" s="267" t="s">
        <v>301</v>
      </c>
      <c r="E2841" s="268" t="s">
        <v>308</v>
      </c>
      <c r="G2841" s="267" t="s">
        <v>159</v>
      </c>
      <c r="H2841" s="267" t="s">
        <v>299</v>
      </c>
      <c r="I2841" s="267" t="s">
        <v>307</v>
      </c>
      <c r="J2841" s="267" t="s">
        <v>301</v>
      </c>
      <c r="K2841" s="268" t="s">
        <v>308</v>
      </c>
    </row>
    <row r="2842" spans="1:11" x14ac:dyDescent="0.35">
      <c r="A2842" s="269" t="s">
        <v>316</v>
      </c>
      <c r="B2842" s="270">
        <v>110</v>
      </c>
      <c r="C2842" s="270"/>
      <c r="D2842" s="270"/>
      <c r="E2842" s="270"/>
      <c r="G2842" s="269" t="s">
        <v>316</v>
      </c>
      <c r="H2842" s="270"/>
      <c r="I2842" s="270"/>
      <c r="J2842" s="270"/>
      <c r="K2842" s="270"/>
    </row>
    <row r="2843" spans="1:11" x14ac:dyDescent="0.35">
      <c r="A2843" s="271" t="s">
        <v>309</v>
      </c>
      <c r="B2843" s="272"/>
      <c r="C2843" s="272"/>
      <c r="D2843" s="272"/>
      <c r="E2843" s="272"/>
      <c r="G2843" s="271" t="s">
        <v>309</v>
      </c>
      <c r="H2843" s="272"/>
      <c r="I2843" s="272"/>
      <c r="J2843" s="272"/>
      <c r="K2843" s="272"/>
    </row>
    <row r="2844" spans="1:11" x14ac:dyDescent="0.35">
      <c r="A2844" s="269" t="s">
        <v>310</v>
      </c>
      <c r="B2844" s="270">
        <v>2300</v>
      </c>
      <c r="C2844" s="270"/>
      <c r="D2844" s="270"/>
      <c r="E2844" s="270"/>
      <c r="G2844" s="269" t="s">
        <v>310</v>
      </c>
      <c r="H2844" s="270"/>
      <c r="I2844" s="270"/>
      <c r="J2844" s="270"/>
      <c r="K2844" s="270"/>
    </row>
    <row r="2845" spans="1:11" x14ac:dyDescent="0.35">
      <c r="A2845" s="271" t="s">
        <v>317</v>
      </c>
      <c r="B2845" s="272"/>
      <c r="C2845" s="272"/>
      <c r="D2845" s="272"/>
      <c r="E2845" s="272"/>
      <c r="G2845" s="271" t="s">
        <v>317</v>
      </c>
      <c r="H2845" s="272"/>
      <c r="I2845" s="272"/>
      <c r="J2845" s="272"/>
      <c r="K2845" s="272"/>
    </row>
    <row r="2846" spans="1:11" x14ac:dyDescent="0.35">
      <c r="A2846" s="269" t="s">
        <v>311</v>
      </c>
      <c r="B2846" s="270"/>
      <c r="C2846" s="270"/>
      <c r="D2846" s="270"/>
      <c r="E2846" s="270"/>
      <c r="G2846" s="269" t="s">
        <v>311</v>
      </c>
      <c r="H2846" s="270"/>
      <c r="I2846" s="270"/>
      <c r="J2846" s="270"/>
      <c r="K2846" s="270"/>
    </row>
    <row r="2847" spans="1:11" x14ac:dyDescent="0.35">
      <c r="A2847" s="271" t="s">
        <v>312</v>
      </c>
      <c r="B2847" s="272"/>
      <c r="C2847" s="272"/>
      <c r="D2847" s="272"/>
      <c r="E2847" s="272"/>
      <c r="G2847" s="271" t="s">
        <v>312</v>
      </c>
      <c r="H2847" s="272"/>
      <c r="I2847" s="272"/>
      <c r="J2847" s="272"/>
      <c r="K2847" s="272"/>
    </row>
    <row r="2848" spans="1:11" x14ac:dyDescent="0.35">
      <c r="A2848" s="231" t="s">
        <v>34</v>
      </c>
      <c r="B2848" s="230">
        <f>SUM(B2842:B2847)</f>
        <v>2410</v>
      </c>
      <c r="C2848" s="230">
        <f>SUM(C2842:C2847)</f>
        <v>0</v>
      </c>
      <c r="D2848" s="230">
        <f>SUM(D2842:D2847)</f>
        <v>0</v>
      </c>
      <c r="E2848" s="230">
        <f>SUM(E2842:E2847)</f>
        <v>0</v>
      </c>
      <c r="G2848" s="231" t="s">
        <v>34</v>
      </c>
      <c r="H2848" s="230">
        <f>SUM(H2842:H2847)</f>
        <v>0</v>
      </c>
      <c r="I2848" s="230">
        <f>SUM(I2842:I2847)</f>
        <v>0</v>
      </c>
      <c r="J2848" s="230">
        <f>SUM(J2842:J2847)</f>
        <v>0</v>
      </c>
      <c r="K2848" s="230">
        <f>SUM(K2842:K2847)</f>
        <v>0</v>
      </c>
    </row>
    <row r="2849" spans="1:11" ht="15" thickBot="1" x14ac:dyDescent="0.4">
      <c r="A2849" s="231" t="s">
        <v>313</v>
      </c>
      <c r="B2849" s="230">
        <f>+B2848+C2848+D2848+E2848</f>
        <v>2410</v>
      </c>
      <c r="C2849" s="230"/>
      <c r="D2849" s="230"/>
      <c r="E2849" s="230"/>
      <c r="G2849" s="231" t="s">
        <v>313</v>
      </c>
      <c r="H2849" s="230">
        <f>+H2848+I2848+J2848+K2848</f>
        <v>0</v>
      </c>
      <c r="I2849" s="230"/>
      <c r="J2849" s="230"/>
      <c r="K2849" s="230"/>
    </row>
    <row r="2850" spans="1:11" ht="15.5" thickTop="1" thickBot="1" x14ac:dyDescent="0.4">
      <c r="A2850" s="335" t="s">
        <v>298</v>
      </c>
      <c r="B2850" s="336"/>
      <c r="C2850" s="336"/>
      <c r="D2850" s="336"/>
      <c r="E2850" s="337"/>
      <c r="G2850" s="335" t="s">
        <v>298</v>
      </c>
      <c r="H2850" s="336"/>
      <c r="I2850" s="336"/>
      <c r="J2850" s="336"/>
      <c r="K2850" s="337"/>
    </row>
    <row r="2851" spans="1:11" ht="15.5" thickTop="1" thickBot="1" x14ac:dyDescent="0.4">
      <c r="A2851" s="338">
        <v>45549</v>
      </c>
      <c r="B2851" s="336"/>
      <c r="C2851" s="336"/>
      <c r="D2851" s="336"/>
      <c r="E2851" s="337"/>
      <c r="G2851" s="338">
        <v>45549</v>
      </c>
      <c r="H2851" s="336"/>
      <c r="I2851" s="336"/>
      <c r="J2851" s="336"/>
      <c r="K2851" s="337"/>
    </row>
    <row r="2852" spans="1:11" ht="15" thickTop="1" x14ac:dyDescent="0.35">
      <c r="A2852" s="267" t="s">
        <v>159</v>
      </c>
      <c r="B2852" s="267" t="s">
        <v>299</v>
      </c>
      <c r="C2852" s="267" t="s">
        <v>307</v>
      </c>
      <c r="D2852" s="267" t="s">
        <v>301</v>
      </c>
      <c r="E2852" s="268" t="s">
        <v>308</v>
      </c>
      <c r="G2852" s="267" t="s">
        <v>159</v>
      </c>
      <c r="H2852" s="267" t="s">
        <v>299</v>
      </c>
      <c r="I2852" s="267" t="s">
        <v>307</v>
      </c>
      <c r="J2852" s="267" t="s">
        <v>301</v>
      </c>
      <c r="K2852" s="268" t="s">
        <v>308</v>
      </c>
    </row>
    <row r="2853" spans="1:11" x14ac:dyDescent="0.35">
      <c r="A2853" s="269" t="s">
        <v>345</v>
      </c>
      <c r="B2853" s="270">
        <v>2500</v>
      </c>
      <c r="C2853" s="270"/>
      <c r="D2853" s="270"/>
      <c r="E2853" s="270"/>
      <c r="G2853" s="269" t="s">
        <v>345</v>
      </c>
      <c r="H2853" s="270">
        <v>1400</v>
      </c>
      <c r="I2853" s="270"/>
      <c r="J2853" s="270"/>
      <c r="K2853" s="270"/>
    </row>
    <row r="2854" spans="1:11" x14ac:dyDescent="0.35">
      <c r="A2854" s="271" t="s">
        <v>345</v>
      </c>
      <c r="B2854" s="272">
        <v>1700</v>
      </c>
      <c r="C2854" s="272"/>
      <c r="D2854" s="272"/>
      <c r="E2854" s="272"/>
      <c r="G2854" s="271" t="s">
        <v>316</v>
      </c>
      <c r="H2854" s="272">
        <v>200</v>
      </c>
      <c r="I2854" s="272"/>
      <c r="J2854" s="272"/>
      <c r="K2854" s="272"/>
    </row>
    <row r="2855" spans="1:11" x14ac:dyDescent="0.35">
      <c r="A2855" s="269" t="s">
        <v>310</v>
      </c>
      <c r="B2855" s="270">
        <v>100</v>
      </c>
      <c r="C2855" s="270"/>
      <c r="D2855" s="270"/>
      <c r="E2855" s="270"/>
      <c r="G2855" s="269" t="s">
        <v>310</v>
      </c>
      <c r="H2855" s="270"/>
      <c r="I2855" s="270"/>
      <c r="J2855" s="270"/>
      <c r="K2855" s="270"/>
    </row>
    <row r="2856" spans="1:11" x14ac:dyDescent="0.35">
      <c r="A2856" s="271" t="s">
        <v>317</v>
      </c>
      <c r="B2856" s="272"/>
      <c r="C2856" s="272"/>
      <c r="D2856" s="272"/>
      <c r="E2856" s="272"/>
      <c r="G2856" s="271" t="s">
        <v>317</v>
      </c>
      <c r="H2856" s="272"/>
      <c r="I2856" s="272"/>
      <c r="J2856" s="272"/>
      <c r="K2856" s="272"/>
    </row>
    <row r="2857" spans="1:11" x14ac:dyDescent="0.35">
      <c r="A2857" s="269" t="s">
        <v>311</v>
      </c>
      <c r="B2857" s="270"/>
      <c r="C2857" s="270"/>
      <c r="D2857" s="270"/>
      <c r="E2857" s="270"/>
      <c r="G2857" s="269" t="s">
        <v>311</v>
      </c>
      <c r="H2857" s="270"/>
      <c r="I2857" s="270"/>
      <c r="J2857" s="270"/>
      <c r="K2857" s="270"/>
    </row>
    <row r="2858" spans="1:11" x14ac:dyDescent="0.35">
      <c r="A2858" s="271" t="s">
        <v>312</v>
      </c>
      <c r="B2858" s="272">
        <v>1480</v>
      </c>
      <c r="C2858" s="272"/>
      <c r="D2858" s="272"/>
      <c r="E2858" s="272"/>
      <c r="G2858" s="271" t="s">
        <v>312</v>
      </c>
      <c r="H2858" s="272"/>
      <c r="I2858" s="272"/>
      <c r="J2858" s="272"/>
      <c r="K2858" s="272"/>
    </row>
    <row r="2859" spans="1:11" x14ac:dyDescent="0.35">
      <c r="A2859" s="231" t="s">
        <v>34</v>
      </c>
      <c r="B2859" s="230">
        <f>SUM(B2853:B2858)</f>
        <v>5780</v>
      </c>
      <c r="C2859" s="230">
        <f>SUM(C2853:C2858)</f>
        <v>0</v>
      </c>
      <c r="D2859" s="230">
        <f>SUM(D2853:D2858)</f>
        <v>0</v>
      </c>
      <c r="E2859" s="230">
        <f>SUM(E2853:E2858)</f>
        <v>0</v>
      </c>
      <c r="G2859" s="231" t="s">
        <v>34</v>
      </c>
      <c r="H2859" s="230">
        <f>SUM(H2853:H2858)</f>
        <v>1600</v>
      </c>
      <c r="I2859" s="230">
        <f>SUM(I2853:I2858)</f>
        <v>0</v>
      </c>
      <c r="J2859" s="230">
        <f>SUM(J2853:J2858)</f>
        <v>0</v>
      </c>
      <c r="K2859" s="230">
        <f>SUM(K2853:K2858)</f>
        <v>0</v>
      </c>
    </row>
    <row r="2860" spans="1:11" ht="15" thickBot="1" x14ac:dyDescent="0.4">
      <c r="A2860" s="231" t="s">
        <v>313</v>
      </c>
      <c r="B2860" s="230">
        <f>+B2859+C2859+D2859+E2859</f>
        <v>5780</v>
      </c>
      <c r="C2860" s="230"/>
      <c r="D2860" s="230"/>
      <c r="E2860" s="230"/>
      <c r="G2860" s="231" t="s">
        <v>313</v>
      </c>
      <c r="H2860" s="230">
        <f>+H2859+I2859+J2859+K2859</f>
        <v>1600</v>
      </c>
      <c r="I2860" s="230"/>
      <c r="J2860" s="230"/>
      <c r="K2860" s="230"/>
    </row>
    <row r="2861" spans="1:11" ht="15.5" thickTop="1" thickBot="1" x14ac:dyDescent="0.4">
      <c r="A2861" s="335" t="s">
        <v>298</v>
      </c>
      <c r="B2861" s="336"/>
      <c r="C2861" s="336"/>
      <c r="D2861" s="336"/>
      <c r="E2861" s="337"/>
      <c r="G2861" s="335" t="s">
        <v>298</v>
      </c>
      <c r="H2861" s="336"/>
      <c r="I2861" s="336"/>
      <c r="J2861" s="336"/>
      <c r="K2861" s="337"/>
    </row>
    <row r="2862" spans="1:11" ht="15.5" thickTop="1" thickBot="1" x14ac:dyDescent="0.4">
      <c r="A2862" s="338">
        <v>45550</v>
      </c>
      <c r="B2862" s="336"/>
      <c r="C2862" s="336"/>
      <c r="D2862" s="336"/>
      <c r="E2862" s="337"/>
      <c r="G2862" s="338">
        <v>45550</v>
      </c>
      <c r="H2862" s="336"/>
      <c r="I2862" s="336"/>
      <c r="J2862" s="336"/>
      <c r="K2862" s="337"/>
    </row>
    <row r="2863" spans="1:11" ht="15" thickTop="1" x14ac:dyDescent="0.35">
      <c r="A2863" s="267" t="s">
        <v>159</v>
      </c>
      <c r="B2863" s="267" t="s">
        <v>299</v>
      </c>
      <c r="C2863" s="267" t="s">
        <v>307</v>
      </c>
      <c r="D2863" s="267" t="s">
        <v>301</v>
      </c>
      <c r="E2863" s="268" t="s">
        <v>308</v>
      </c>
      <c r="G2863" s="267" t="s">
        <v>159</v>
      </c>
      <c r="H2863" s="267" t="s">
        <v>299</v>
      </c>
      <c r="I2863" s="267" t="s">
        <v>307</v>
      </c>
      <c r="J2863" s="267" t="s">
        <v>301</v>
      </c>
      <c r="K2863" s="268" t="s">
        <v>308</v>
      </c>
    </row>
    <row r="2864" spans="1:11" x14ac:dyDescent="0.35">
      <c r="A2864" s="269" t="s">
        <v>316</v>
      </c>
      <c r="B2864" s="270"/>
      <c r="C2864" s="270"/>
      <c r="D2864" s="270"/>
      <c r="E2864" s="270"/>
      <c r="G2864" s="269" t="s">
        <v>316</v>
      </c>
      <c r="H2864" s="270"/>
      <c r="I2864" s="270"/>
      <c r="J2864" s="270"/>
      <c r="K2864" s="270"/>
    </row>
    <row r="2865" spans="1:11" x14ac:dyDescent="0.35">
      <c r="A2865" s="271" t="s">
        <v>309</v>
      </c>
      <c r="B2865" s="272"/>
      <c r="C2865" s="272"/>
      <c r="D2865" s="272"/>
      <c r="E2865" s="272"/>
      <c r="G2865" s="271" t="s">
        <v>309</v>
      </c>
      <c r="H2865" s="272"/>
      <c r="I2865" s="272"/>
      <c r="J2865" s="272"/>
      <c r="K2865" s="272"/>
    </row>
    <row r="2866" spans="1:11" x14ac:dyDescent="0.35">
      <c r="A2866" s="269" t="s">
        <v>310</v>
      </c>
      <c r="B2866" s="270"/>
      <c r="C2866" s="270"/>
      <c r="D2866" s="270"/>
      <c r="E2866" s="270"/>
      <c r="G2866" s="269" t="s">
        <v>310</v>
      </c>
      <c r="H2866" s="270"/>
      <c r="I2866" s="270"/>
      <c r="J2866" s="270"/>
      <c r="K2866" s="270"/>
    </row>
    <row r="2867" spans="1:11" x14ac:dyDescent="0.35">
      <c r="A2867" s="271" t="s">
        <v>317</v>
      </c>
      <c r="B2867" s="272"/>
      <c r="C2867" s="272"/>
      <c r="D2867" s="272"/>
      <c r="E2867" s="272"/>
      <c r="G2867" s="271" t="s">
        <v>317</v>
      </c>
      <c r="H2867" s="272"/>
      <c r="I2867" s="272"/>
      <c r="J2867" s="272"/>
      <c r="K2867" s="272"/>
    </row>
    <row r="2868" spans="1:11" x14ac:dyDescent="0.35">
      <c r="A2868" s="269" t="s">
        <v>311</v>
      </c>
      <c r="B2868" s="270"/>
      <c r="C2868" s="270"/>
      <c r="D2868" s="270"/>
      <c r="E2868" s="270"/>
      <c r="G2868" s="269" t="s">
        <v>311</v>
      </c>
      <c r="H2868" s="270"/>
      <c r="I2868" s="270"/>
      <c r="J2868" s="270"/>
      <c r="K2868" s="270"/>
    </row>
    <row r="2869" spans="1:11" x14ac:dyDescent="0.35">
      <c r="A2869" s="271" t="s">
        <v>312</v>
      </c>
      <c r="B2869" s="272"/>
      <c r="C2869" s="272"/>
      <c r="D2869" s="272"/>
      <c r="E2869" s="272"/>
      <c r="G2869" s="271" t="s">
        <v>312</v>
      </c>
      <c r="H2869" s="272"/>
      <c r="I2869" s="272"/>
      <c r="J2869" s="272"/>
      <c r="K2869" s="272"/>
    </row>
    <row r="2870" spans="1:11" x14ac:dyDescent="0.35">
      <c r="A2870" s="231" t="s">
        <v>34</v>
      </c>
      <c r="B2870" s="230">
        <f>SUM(B2864:B2869)</f>
        <v>0</v>
      </c>
      <c r="C2870" s="230">
        <f>SUM(C2864:C2869)</f>
        <v>0</v>
      </c>
      <c r="D2870" s="230">
        <f>SUM(D2864:D2869)</f>
        <v>0</v>
      </c>
      <c r="E2870" s="230">
        <f>SUM(E2864:E2869)</f>
        <v>0</v>
      </c>
      <c r="G2870" s="231" t="s">
        <v>34</v>
      </c>
      <c r="H2870" s="230">
        <f>SUM(H2864:H2869)</f>
        <v>0</v>
      </c>
      <c r="I2870" s="230">
        <f>SUM(I2864:I2869)</f>
        <v>0</v>
      </c>
      <c r="J2870" s="230">
        <f>SUM(J2864:J2869)</f>
        <v>0</v>
      </c>
      <c r="K2870" s="230">
        <f>SUM(K2864:K2869)</f>
        <v>0</v>
      </c>
    </row>
    <row r="2871" spans="1:11" ht="15" thickBot="1" x14ac:dyDescent="0.4">
      <c r="A2871" s="231" t="s">
        <v>313</v>
      </c>
      <c r="B2871" s="230">
        <f>+B2870+C2870+D2870+E2870</f>
        <v>0</v>
      </c>
      <c r="C2871" s="230"/>
      <c r="D2871" s="230"/>
      <c r="E2871" s="230"/>
      <c r="G2871" s="231" t="s">
        <v>313</v>
      </c>
      <c r="H2871" s="230">
        <f>+H2870+I2870+J2870+K2870</f>
        <v>0</v>
      </c>
      <c r="I2871" s="230"/>
      <c r="J2871" s="230"/>
      <c r="K2871" s="230"/>
    </row>
    <row r="2872" spans="1:11" ht="15.5" thickTop="1" thickBot="1" x14ac:dyDescent="0.4">
      <c r="A2872" s="335" t="s">
        <v>298</v>
      </c>
      <c r="B2872" s="336"/>
      <c r="C2872" s="336"/>
      <c r="D2872" s="336"/>
      <c r="E2872" s="337"/>
      <c r="G2872" s="335" t="s">
        <v>298</v>
      </c>
      <c r="H2872" s="336"/>
      <c r="I2872" s="336"/>
      <c r="J2872" s="336"/>
      <c r="K2872" s="337"/>
    </row>
    <row r="2873" spans="1:11" ht="15.5" thickTop="1" thickBot="1" x14ac:dyDescent="0.4">
      <c r="A2873" s="338">
        <v>45551</v>
      </c>
      <c r="B2873" s="336"/>
      <c r="C2873" s="336"/>
      <c r="D2873" s="336"/>
      <c r="E2873" s="337"/>
      <c r="G2873" s="338">
        <v>45551</v>
      </c>
      <c r="H2873" s="336"/>
      <c r="I2873" s="336"/>
      <c r="J2873" s="336"/>
      <c r="K2873" s="337"/>
    </row>
    <row r="2874" spans="1:11" ht="15" thickTop="1" x14ac:dyDescent="0.35">
      <c r="A2874" s="267" t="s">
        <v>159</v>
      </c>
      <c r="B2874" s="267" t="s">
        <v>299</v>
      </c>
      <c r="C2874" s="267" t="s">
        <v>307</v>
      </c>
      <c r="D2874" s="267" t="s">
        <v>301</v>
      </c>
      <c r="E2874" s="268" t="s">
        <v>308</v>
      </c>
      <c r="G2874" s="267" t="s">
        <v>159</v>
      </c>
      <c r="H2874" s="267" t="s">
        <v>299</v>
      </c>
      <c r="I2874" s="267" t="s">
        <v>307</v>
      </c>
      <c r="J2874" s="267" t="s">
        <v>301</v>
      </c>
      <c r="K2874" s="268" t="s">
        <v>308</v>
      </c>
    </row>
    <row r="2875" spans="1:11" x14ac:dyDescent="0.35">
      <c r="A2875" s="269" t="s">
        <v>316</v>
      </c>
      <c r="B2875" s="270"/>
      <c r="C2875" s="270"/>
      <c r="D2875" s="270"/>
      <c r="E2875" s="270"/>
      <c r="G2875" s="269" t="s">
        <v>316</v>
      </c>
      <c r="H2875" s="270"/>
      <c r="I2875" s="270"/>
      <c r="J2875" s="270"/>
      <c r="K2875" s="270"/>
    </row>
    <row r="2876" spans="1:11" x14ac:dyDescent="0.35">
      <c r="A2876" s="271" t="s">
        <v>350</v>
      </c>
      <c r="B2876" s="272">
        <v>452</v>
      </c>
      <c r="C2876" s="272"/>
      <c r="D2876" s="272"/>
      <c r="E2876" s="272"/>
      <c r="G2876" s="271" t="s">
        <v>309</v>
      </c>
      <c r="H2876" s="272"/>
      <c r="I2876" s="272"/>
      <c r="J2876" s="272"/>
      <c r="K2876" s="272"/>
    </row>
    <row r="2877" spans="1:11" x14ac:dyDescent="0.35">
      <c r="A2877" s="269" t="s">
        <v>310</v>
      </c>
      <c r="B2877" s="270"/>
      <c r="C2877" s="270"/>
      <c r="D2877" s="270"/>
      <c r="E2877" s="270"/>
      <c r="G2877" s="269" t="s">
        <v>310</v>
      </c>
      <c r="H2877" s="270"/>
      <c r="I2877" s="270"/>
      <c r="J2877" s="270"/>
      <c r="K2877" s="270"/>
    </row>
    <row r="2878" spans="1:11" x14ac:dyDescent="0.35">
      <c r="A2878" s="271" t="s">
        <v>317</v>
      </c>
      <c r="B2878" s="272"/>
      <c r="C2878" s="272"/>
      <c r="D2878" s="272"/>
      <c r="E2878" s="272"/>
      <c r="G2878" s="271" t="s">
        <v>317</v>
      </c>
      <c r="H2878" s="272"/>
      <c r="I2878" s="272"/>
      <c r="J2878" s="272"/>
      <c r="K2878" s="272"/>
    </row>
    <row r="2879" spans="1:11" x14ac:dyDescent="0.35">
      <c r="A2879" s="269" t="s">
        <v>311</v>
      </c>
      <c r="B2879" s="270"/>
      <c r="C2879" s="270"/>
      <c r="D2879" s="270"/>
      <c r="E2879" s="270"/>
      <c r="G2879" s="269" t="s">
        <v>311</v>
      </c>
      <c r="H2879" s="270"/>
      <c r="I2879" s="270"/>
      <c r="J2879" s="270"/>
      <c r="K2879" s="270"/>
    </row>
    <row r="2880" spans="1:11" x14ac:dyDescent="0.35">
      <c r="A2880" s="271" t="s">
        <v>312</v>
      </c>
      <c r="B2880" s="272"/>
      <c r="C2880" s="272"/>
      <c r="D2880" s="272"/>
      <c r="E2880" s="272"/>
      <c r="G2880" s="271" t="s">
        <v>312</v>
      </c>
      <c r="H2880" s="272"/>
      <c r="I2880" s="272"/>
      <c r="J2880" s="272"/>
      <c r="K2880" s="272"/>
    </row>
    <row r="2881" spans="1:11" x14ac:dyDescent="0.35">
      <c r="A2881" s="231" t="s">
        <v>34</v>
      </c>
      <c r="B2881" s="230">
        <f>SUM(B2875:B2880)</f>
        <v>452</v>
      </c>
      <c r="C2881" s="230">
        <f>SUM(C2875:C2880)</f>
        <v>0</v>
      </c>
      <c r="D2881" s="230">
        <f>SUM(D2875:D2880)</f>
        <v>0</v>
      </c>
      <c r="E2881" s="230">
        <f>SUM(E2875:E2880)</f>
        <v>0</v>
      </c>
      <c r="G2881" s="231" t="s">
        <v>34</v>
      </c>
      <c r="H2881" s="230">
        <f>SUM(H2875:H2880)</f>
        <v>0</v>
      </c>
      <c r="I2881" s="230">
        <f>SUM(I2875:I2880)</f>
        <v>0</v>
      </c>
      <c r="J2881" s="230">
        <f>SUM(J2875:J2880)</f>
        <v>0</v>
      </c>
      <c r="K2881" s="230">
        <f>SUM(K2875:K2880)</f>
        <v>0</v>
      </c>
    </row>
    <row r="2882" spans="1:11" ht="15" thickBot="1" x14ac:dyDescent="0.4">
      <c r="A2882" s="231" t="s">
        <v>313</v>
      </c>
      <c r="B2882" s="230">
        <f>+B2881+C2881+D2881+E2881</f>
        <v>452</v>
      </c>
      <c r="C2882" s="230"/>
      <c r="D2882" s="230"/>
      <c r="E2882" s="230"/>
      <c r="G2882" s="231" t="s">
        <v>313</v>
      </c>
      <c r="H2882" s="230">
        <f>+H2881+I2881+J2881+K2881</f>
        <v>0</v>
      </c>
      <c r="I2882" s="230"/>
      <c r="J2882" s="230"/>
      <c r="K2882" s="230"/>
    </row>
    <row r="2883" spans="1:11" ht="15.5" thickTop="1" thickBot="1" x14ac:dyDescent="0.4">
      <c r="A2883" s="335" t="s">
        <v>298</v>
      </c>
      <c r="B2883" s="336"/>
      <c r="C2883" s="336"/>
      <c r="D2883" s="336"/>
      <c r="E2883" s="337"/>
      <c r="G2883" s="335" t="s">
        <v>298</v>
      </c>
      <c r="H2883" s="336"/>
      <c r="I2883" s="336"/>
      <c r="J2883" s="336"/>
      <c r="K2883" s="337"/>
    </row>
    <row r="2884" spans="1:11" ht="15.5" thickTop="1" thickBot="1" x14ac:dyDescent="0.4">
      <c r="A2884" s="338">
        <v>45552</v>
      </c>
      <c r="B2884" s="336"/>
      <c r="C2884" s="336"/>
      <c r="D2884" s="336"/>
      <c r="E2884" s="337"/>
      <c r="G2884" s="338">
        <v>45552</v>
      </c>
      <c r="H2884" s="336"/>
      <c r="I2884" s="336"/>
      <c r="J2884" s="336"/>
      <c r="K2884" s="337"/>
    </row>
    <row r="2885" spans="1:11" ht="15" thickTop="1" x14ac:dyDescent="0.35">
      <c r="A2885" s="267" t="s">
        <v>159</v>
      </c>
      <c r="B2885" s="267" t="s">
        <v>299</v>
      </c>
      <c r="C2885" s="267" t="s">
        <v>307</v>
      </c>
      <c r="D2885" s="267" t="s">
        <v>301</v>
      </c>
      <c r="E2885" s="268" t="s">
        <v>308</v>
      </c>
      <c r="G2885" s="267" t="s">
        <v>159</v>
      </c>
      <c r="H2885" s="267" t="s">
        <v>299</v>
      </c>
      <c r="I2885" s="267" t="s">
        <v>307</v>
      </c>
      <c r="J2885" s="267" t="s">
        <v>301</v>
      </c>
      <c r="K2885" s="268" t="s">
        <v>308</v>
      </c>
    </row>
    <row r="2886" spans="1:11" x14ac:dyDescent="0.35">
      <c r="A2886" s="269" t="s">
        <v>316</v>
      </c>
      <c r="B2886" s="270"/>
      <c r="C2886" s="270"/>
      <c r="D2886" s="270"/>
      <c r="E2886" s="270"/>
      <c r="G2886" s="269" t="s">
        <v>316</v>
      </c>
      <c r="H2886" s="270"/>
      <c r="I2886" s="270"/>
      <c r="J2886" s="270"/>
      <c r="K2886" s="270"/>
    </row>
    <row r="2887" spans="1:11" x14ac:dyDescent="0.35">
      <c r="A2887" s="271" t="s">
        <v>309</v>
      </c>
      <c r="B2887" s="272"/>
      <c r="C2887" s="272"/>
      <c r="D2887" s="272"/>
      <c r="E2887" s="272"/>
      <c r="G2887" s="271" t="s">
        <v>309</v>
      </c>
      <c r="H2887" s="272"/>
      <c r="I2887" s="272"/>
      <c r="J2887" s="272"/>
      <c r="K2887" s="272"/>
    </row>
    <row r="2888" spans="1:11" x14ac:dyDescent="0.35">
      <c r="A2888" s="269" t="s">
        <v>310</v>
      </c>
      <c r="B2888" s="270"/>
      <c r="C2888" s="270"/>
      <c r="D2888" s="270"/>
      <c r="E2888" s="270"/>
      <c r="G2888" s="269" t="s">
        <v>310</v>
      </c>
      <c r="H2888" s="270"/>
      <c r="I2888" s="270"/>
      <c r="J2888" s="270"/>
      <c r="K2888" s="270"/>
    </row>
    <row r="2889" spans="1:11" x14ac:dyDescent="0.35">
      <c r="A2889" s="271" t="s">
        <v>317</v>
      </c>
      <c r="B2889" s="272"/>
      <c r="C2889" s="272"/>
      <c r="D2889" s="272"/>
      <c r="E2889" s="272"/>
      <c r="G2889" s="271" t="s">
        <v>317</v>
      </c>
      <c r="H2889" s="272"/>
      <c r="I2889" s="272"/>
      <c r="J2889" s="272"/>
      <c r="K2889" s="272"/>
    </row>
    <row r="2890" spans="1:11" x14ac:dyDescent="0.35">
      <c r="A2890" s="269" t="s">
        <v>311</v>
      </c>
      <c r="B2890" s="270"/>
      <c r="C2890" s="270"/>
      <c r="D2890" s="270"/>
      <c r="E2890" s="270"/>
      <c r="G2890" s="269" t="s">
        <v>311</v>
      </c>
      <c r="H2890" s="270"/>
      <c r="I2890" s="270"/>
      <c r="J2890" s="270"/>
      <c r="K2890" s="270"/>
    </row>
    <row r="2891" spans="1:11" x14ac:dyDescent="0.35">
      <c r="A2891" s="271" t="s">
        <v>312</v>
      </c>
      <c r="B2891" s="272">
        <v>3030</v>
      </c>
      <c r="C2891" s="272"/>
      <c r="D2891" s="272"/>
      <c r="E2891" s="272"/>
      <c r="G2891" s="271" t="s">
        <v>312</v>
      </c>
      <c r="H2891" s="272"/>
      <c r="I2891" s="272"/>
      <c r="J2891" s="272"/>
      <c r="K2891" s="272"/>
    </row>
    <row r="2892" spans="1:11" x14ac:dyDescent="0.35">
      <c r="A2892" s="231" t="s">
        <v>34</v>
      </c>
      <c r="B2892" s="230">
        <f>SUM(B2886:B2891)</f>
        <v>3030</v>
      </c>
      <c r="C2892" s="230">
        <f>SUM(C2886:C2891)</f>
        <v>0</v>
      </c>
      <c r="D2892" s="230">
        <f>SUM(D2886:D2891)</f>
        <v>0</v>
      </c>
      <c r="E2892" s="230">
        <f>SUM(E2886:E2891)</f>
        <v>0</v>
      </c>
      <c r="G2892" s="231" t="s">
        <v>34</v>
      </c>
      <c r="H2892" s="230">
        <f>SUM(H2886:H2891)</f>
        <v>0</v>
      </c>
      <c r="I2892" s="230">
        <f>SUM(I2886:I2891)</f>
        <v>0</v>
      </c>
      <c r="J2892" s="230">
        <f>SUM(J2886:J2891)</f>
        <v>0</v>
      </c>
      <c r="K2892" s="230">
        <f>SUM(K2886:K2891)</f>
        <v>0</v>
      </c>
    </row>
    <row r="2893" spans="1:11" ht="15" thickBot="1" x14ac:dyDescent="0.4">
      <c r="A2893" s="231" t="s">
        <v>313</v>
      </c>
      <c r="B2893" s="230">
        <f>+B2892+C2892+D2892+E2892</f>
        <v>3030</v>
      </c>
      <c r="C2893" s="230"/>
      <c r="D2893" s="230"/>
      <c r="E2893" s="230"/>
      <c r="G2893" s="231" t="s">
        <v>313</v>
      </c>
      <c r="H2893" s="230">
        <f>+H2892+I2892+J2892+K2892</f>
        <v>0</v>
      </c>
      <c r="I2893" s="230"/>
      <c r="J2893" s="230"/>
      <c r="K2893" s="230"/>
    </row>
    <row r="2894" spans="1:11" ht="15.5" thickTop="1" thickBot="1" x14ac:dyDescent="0.4">
      <c r="A2894" s="335" t="s">
        <v>298</v>
      </c>
      <c r="B2894" s="336"/>
      <c r="C2894" s="336"/>
      <c r="D2894" s="336"/>
      <c r="E2894" s="337"/>
      <c r="G2894" s="335" t="s">
        <v>298</v>
      </c>
      <c r="H2894" s="336"/>
      <c r="I2894" s="336"/>
      <c r="J2894" s="336"/>
      <c r="K2894" s="337"/>
    </row>
    <row r="2895" spans="1:11" ht="15.5" thickTop="1" thickBot="1" x14ac:dyDescent="0.4">
      <c r="A2895" s="338">
        <v>45553</v>
      </c>
      <c r="B2895" s="336"/>
      <c r="C2895" s="336"/>
      <c r="D2895" s="336"/>
      <c r="E2895" s="337"/>
      <c r="G2895" s="338">
        <v>45553</v>
      </c>
      <c r="H2895" s="336"/>
      <c r="I2895" s="336"/>
      <c r="J2895" s="336"/>
      <c r="K2895" s="337"/>
    </row>
    <row r="2896" spans="1:11" ht="15" thickTop="1" x14ac:dyDescent="0.35">
      <c r="A2896" s="267" t="s">
        <v>159</v>
      </c>
      <c r="B2896" s="267" t="s">
        <v>299</v>
      </c>
      <c r="C2896" s="267" t="s">
        <v>307</v>
      </c>
      <c r="D2896" s="267" t="s">
        <v>301</v>
      </c>
      <c r="E2896" s="268" t="s">
        <v>308</v>
      </c>
      <c r="G2896" s="267" t="s">
        <v>159</v>
      </c>
      <c r="H2896" s="267" t="s">
        <v>299</v>
      </c>
      <c r="I2896" s="267" t="s">
        <v>307</v>
      </c>
      <c r="J2896" s="267" t="s">
        <v>301</v>
      </c>
      <c r="K2896" s="268" t="s">
        <v>308</v>
      </c>
    </row>
    <row r="2897" spans="1:11" x14ac:dyDescent="0.35">
      <c r="A2897" s="269" t="s">
        <v>316</v>
      </c>
      <c r="B2897" s="270">
        <v>140</v>
      </c>
      <c r="C2897" s="270"/>
      <c r="D2897" s="270"/>
      <c r="E2897" s="270"/>
      <c r="G2897" s="269" t="s">
        <v>316</v>
      </c>
      <c r="H2897" s="270"/>
      <c r="I2897" s="270"/>
      <c r="J2897" s="270"/>
      <c r="K2897" s="270"/>
    </row>
    <row r="2898" spans="1:11" x14ac:dyDescent="0.35">
      <c r="A2898" s="271" t="s">
        <v>309</v>
      </c>
      <c r="B2898" s="272"/>
      <c r="C2898" s="272"/>
      <c r="D2898" s="272"/>
      <c r="E2898" s="272"/>
      <c r="G2898" s="271" t="s">
        <v>309</v>
      </c>
      <c r="H2898" s="272"/>
      <c r="I2898" s="272"/>
      <c r="J2898" s="272"/>
      <c r="K2898" s="272"/>
    </row>
    <row r="2899" spans="1:11" x14ac:dyDescent="0.35">
      <c r="A2899" s="269" t="s">
        <v>310</v>
      </c>
      <c r="B2899" s="270"/>
      <c r="C2899" s="270"/>
      <c r="D2899" s="270"/>
      <c r="E2899" s="270"/>
      <c r="G2899" s="269" t="s">
        <v>310</v>
      </c>
      <c r="H2899" s="270"/>
      <c r="I2899" s="270"/>
      <c r="J2899" s="270"/>
      <c r="K2899" s="270"/>
    </row>
    <row r="2900" spans="1:11" x14ac:dyDescent="0.35">
      <c r="A2900" s="271" t="s">
        <v>317</v>
      </c>
      <c r="B2900" s="272"/>
      <c r="C2900" s="272"/>
      <c r="D2900" s="272"/>
      <c r="E2900" s="272"/>
      <c r="G2900" s="271" t="s">
        <v>317</v>
      </c>
      <c r="H2900" s="272"/>
      <c r="I2900" s="272"/>
      <c r="J2900" s="272"/>
      <c r="K2900" s="272"/>
    </row>
    <row r="2901" spans="1:11" x14ac:dyDescent="0.35">
      <c r="A2901" s="269" t="s">
        <v>311</v>
      </c>
      <c r="B2901" s="270"/>
      <c r="C2901" s="270"/>
      <c r="D2901" s="270"/>
      <c r="E2901" s="270"/>
      <c r="G2901" s="269" t="s">
        <v>311</v>
      </c>
      <c r="H2901" s="270"/>
      <c r="I2901" s="270"/>
      <c r="J2901" s="270"/>
      <c r="K2901" s="270"/>
    </row>
    <row r="2902" spans="1:11" x14ac:dyDescent="0.35">
      <c r="A2902" s="271" t="s">
        <v>312</v>
      </c>
      <c r="B2902" s="272"/>
      <c r="C2902" s="272"/>
      <c r="D2902" s="272"/>
      <c r="E2902" s="272"/>
      <c r="G2902" s="271" t="s">
        <v>312</v>
      </c>
      <c r="H2902" s="272"/>
      <c r="I2902" s="272"/>
      <c r="J2902" s="272"/>
      <c r="K2902" s="272"/>
    </row>
    <row r="2903" spans="1:11" x14ac:dyDescent="0.35">
      <c r="A2903" s="231" t="s">
        <v>34</v>
      </c>
      <c r="B2903" s="230">
        <f>SUM(B2897:B2902)</f>
        <v>140</v>
      </c>
      <c r="C2903" s="230">
        <f>SUM(C2897:C2902)</f>
        <v>0</v>
      </c>
      <c r="D2903" s="230">
        <f>SUM(D2897:D2902)</f>
        <v>0</v>
      </c>
      <c r="E2903" s="230">
        <f>SUM(E2897:E2902)</f>
        <v>0</v>
      </c>
      <c r="G2903" s="231" t="s">
        <v>34</v>
      </c>
      <c r="H2903" s="230">
        <f>SUM(H2897:H2902)</f>
        <v>0</v>
      </c>
      <c r="I2903" s="230">
        <f>SUM(I2897:I2902)</f>
        <v>0</v>
      </c>
      <c r="J2903" s="230">
        <f>SUM(J2897:J2902)</f>
        <v>0</v>
      </c>
      <c r="K2903" s="230">
        <f>SUM(K2897:K2902)</f>
        <v>0</v>
      </c>
    </row>
    <row r="2904" spans="1:11" ht="15" thickBot="1" x14ac:dyDescent="0.4">
      <c r="A2904" s="231" t="s">
        <v>313</v>
      </c>
      <c r="B2904" s="230">
        <f>+B2903+C2903+D2903+E2903</f>
        <v>140</v>
      </c>
      <c r="C2904" s="230"/>
      <c r="D2904" s="230"/>
      <c r="E2904" s="230"/>
      <c r="G2904" s="231" t="s">
        <v>313</v>
      </c>
      <c r="H2904" s="230">
        <f>+H2903+I2903+J2903+K2903</f>
        <v>0</v>
      </c>
      <c r="I2904" s="230"/>
      <c r="J2904" s="230"/>
      <c r="K2904" s="230"/>
    </row>
    <row r="2905" spans="1:11" ht="15.5" thickTop="1" thickBot="1" x14ac:dyDescent="0.4">
      <c r="A2905" s="335" t="s">
        <v>298</v>
      </c>
      <c r="B2905" s="336"/>
      <c r="C2905" s="336"/>
      <c r="D2905" s="336"/>
      <c r="E2905" s="337"/>
      <c r="G2905" s="335" t="s">
        <v>298</v>
      </c>
      <c r="H2905" s="336"/>
      <c r="I2905" s="336"/>
      <c r="J2905" s="336"/>
      <c r="K2905" s="337"/>
    </row>
    <row r="2906" spans="1:11" ht="15.5" thickTop="1" thickBot="1" x14ac:dyDescent="0.4">
      <c r="A2906" s="338">
        <v>45554</v>
      </c>
      <c r="B2906" s="336"/>
      <c r="C2906" s="336"/>
      <c r="D2906" s="336"/>
      <c r="E2906" s="337"/>
      <c r="G2906" s="338">
        <v>45554</v>
      </c>
      <c r="H2906" s="336"/>
      <c r="I2906" s="336"/>
      <c r="J2906" s="336"/>
      <c r="K2906" s="337"/>
    </row>
    <row r="2907" spans="1:11" ht="15" thickTop="1" x14ac:dyDescent="0.35">
      <c r="A2907" s="267" t="s">
        <v>159</v>
      </c>
      <c r="B2907" s="267" t="s">
        <v>299</v>
      </c>
      <c r="C2907" s="267" t="s">
        <v>307</v>
      </c>
      <c r="D2907" s="267" t="s">
        <v>301</v>
      </c>
      <c r="E2907" s="268" t="s">
        <v>308</v>
      </c>
      <c r="G2907" s="267" t="s">
        <v>159</v>
      </c>
      <c r="H2907" s="267" t="s">
        <v>299</v>
      </c>
      <c r="I2907" s="267" t="s">
        <v>307</v>
      </c>
      <c r="J2907" s="267" t="s">
        <v>301</v>
      </c>
      <c r="K2907" s="268" t="s">
        <v>308</v>
      </c>
    </row>
    <row r="2908" spans="1:11" x14ac:dyDescent="0.35">
      <c r="A2908" s="269" t="s">
        <v>316</v>
      </c>
      <c r="B2908" s="270">
        <v>56</v>
      </c>
      <c r="C2908" s="270"/>
      <c r="D2908" s="270"/>
      <c r="E2908" s="270"/>
      <c r="G2908" s="269" t="s">
        <v>316</v>
      </c>
      <c r="H2908" s="270"/>
      <c r="I2908" s="270"/>
      <c r="J2908" s="270"/>
      <c r="K2908" s="270"/>
    </row>
    <row r="2909" spans="1:11" x14ac:dyDescent="0.35">
      <c r="A2909" s="271" t="s">
        <v>309</v>
      </c>
      <c r="B2909" s="272"/>
      <c r="C2909" s="272"/>
      <c r="D2909" s="272"/>
      <c r="E2909" s="272"/>
      <c r="G2909" s="271" t="s">
        <v>309</v>
      </c>
      <c r="H2909" s="272"/>
      <c r="I2909" s="272"/>
      <c r="J2909" s="272"/>
      <c r="K2909" s="272"/>
    </row>
    <row r="2910" spans="1:11" x14ac:dyDescent="0.35">
      <c r="A2910" s="269" t="s">
        <v>310</v>
      </c>
      <c r="B2910" s="270"/>
      <c r="C2910" s="270"/>
      <c r="D2910" s="270"/>
      <c r="E2910" s="270"/>
      <c r="G2910" s="269" t="s">
        <v>310</v>
      </c>
      <c r="H2910" s="270"/>
      <c r="I2910" s="270"/>
      <c r="J2910" s="270"/>
      <c r="K2910" s="270"/>
    </row>
    <row r="2911" spans="1:11" x14ac:dyDescent="0.35">
      <c r="A2911" s="271" t="s">
        <v>317</v>
      </c>
      <c r="B2911" s="272"/>
      <c r="C2911" s="272"/>
      <c r="D2911" s="272"/>
      <c r="E2911" s="272"/>
      <c r="G2911" s="271" t="s">
        <v>317</v>
      </c>
      <c r="H2911" s="272"/>
      <c r="I2911" s="272"/>
      <c r="J2911" s="272"/>
      <c r="K2911" s="272"/>
    </row>
    <row r="2912" spans="1:11" x14ac:dyDescent="0.35">
      <c r="A2912" s="269" t="s">
        <v>311</v>
      </c>
      <c r="B2912" s="270"/>
      <c r="C2912" s="270"/>
      <c r="D2912" s="270"/>
      <c r="E2912" s="270"/>
      <c r="G2912" s="269" t="s">
        <v>311</v>
      </c>
      <c r="H2912" s="270"/>
      <c r="I2912" s="270"/>
      <c r="J2912" s="270"/>
      <c r="K2912" s="270"/>
    </row>
    <row r="2913" spans="1:11" x14ac:dyDescent="0.35">
      <c r="A2913" s="271" t="s">
        <v>312</v>
      </c>
      <c r="B2913" s="272">
        <v>9125</v>
      </c>
      <c r="C2913" s="272"/>
      <c r="D2913" s="272"/>
      <c r="E2913" s="272"/>
      <c r="G2913" s="271" t="s">
        <v>312</v>
      </c>
      <c r="H2913" s="272"/>
      <c r="I2913" s="272"/>
      <c r="J2913" s="272"/>
      <c r="K2913" s="272"/>
    </row>
    <row r="2914" spans="1:11" x14ac:dyDescent="0.35">
      <c r="A2914" s="231" t="s">
        <v>34</v>
      </c>
      <c r="B2914" s="230">
        <f>SUM(B2908:B2913)</f>
        <v>9181</v>
      </c>
      <c r="C2914" s="230">
        <f>SUM(C2908:C2913)</f>
        <v>0</v>
      </c>
      <c r="D2914" s="230">
        <f>SUM(D2908:D2913)</f>
        <v>0</v>
      </c>
      <c r="E2914" s="230">
        <f>SUM(E2908:E2913)</f>
        <v>0</v>
      </c>
      <c r="G2914" s="231" t="s">
        <v>34</v>
      </c>
      <c r="H2914" s="230">
        <f>SUM(H2908:H2913)</f>
        <v>0</v>
      </c>
      <c r="I2914" s="230">
        <f>SUM(I2908:I2913)</f>
        <v>0</v>
      </c>
      <c r="J2914" s="230">
        <f>SUM(J2908:J2913)</f>
        <v>0</v>
      </c>
      <c r="K2914" s="230">
        <f>SUM(K2908:K2913)</f>
        <v>0</v>
      </c>
    </row>
    <row r="2915" spans="1:11" ht="15" thickBot="1" x14ac:dyDescent="0.4">
      <c r="A2915" s="231" t="s">
        <v>313</v>
      </c>
      <c r="B2915" s="230">
        <f>+B2914+C2914+D2914+E2914</f>
        <v>9181</v>
      </c>
      <c r="C2915" s="230"/>
      <c r="D2915" s="230"/>
      <c r="E2915" s="230"/>
      <c r="G2915" s="231" t="s">
        <v>313</v>
      </c>
      <c r="H2915" s="230">
        <f>+H2914+I2914+J2914+K2914</f>
        <v>0</v>
      </c>
      <c r="I2915" s="230"/>
      <c r="J2915" s="230"/>
      <c r="K2915" s="230"/>
    </row>
    <row r="2916" spans="1:11" ht="15.5" thickTop="1" thickBot="1" x14ac:dyDescent="0.4">
      <c r="A2916" s="335" t="s">
        <v>298</v>
      </c>
      <c r="B2916" s="336"/>
      <c r="C2916" s="336"/>
      <c r="D2916" s="336"/>
      <c r="E2916" s="337"/>
      <c r="G2916" s="335" t="s">
        <v>298</v>
      </c>
      <c r="H2916" s="336"/>
      <c r="I2916" s="336"/>
      <c r="J2916" s="336"/>
      <c r="K2916" s="337"/>
    </row>
    <row r="2917" spans="1:11" ht="15.5" thickTop="1" thickBot="1" x14ac:dyDescent="0.4">
      <c r="A2917" s="338">
        <v>45555</v>
      </c>
      <c r="B2917" s="336"/>
      <c r="C2917" s="336"/>
      <c r="D2917" s="336"/>
      <c r="E2917" s="337"/>
      <c r="G2917" s="338">
        <v>45555</v>
      </c>
      <c r="H2917" s="336"/>
      <c r="I2917" s="336"/>
      <c r="J2917" s="336"/>
      <c r="K2917" s="337"/>
    </row>
    <row r="2918" spans="1:11" ht="15" thickTop="1" x14ac:dyDescent="0.35">
      <c r="A2918" s="267" t="s">
        <v>159</v>
      </c>
      <c r="B2918" s="267" t="s">
        <v>299</v>
      </c>
      <c r="C2918" s="267" t="s">
        <v>307</v>
      </c>
      <c r="D2918" s="267" t="s">
        <v>301</v>
      </c>
      <c r="E2918" s="268" t="s">
        <v>308</v>
      </c>
      <c r="G2918" s="267" t="s">
        <v>159</v>
      </c>
      <c r="H2918" s="267" t="s">
        <v>299</v>
      </c>
      <c r="I2918" s="267" t="s">
        <v>307</v>
      </c>
      <c r="J2918" s="267" t="s">
        <v>301</v>
      </c>
      <c r="K2918" s="268" t="s">
        <v>308</v>
      </c>
    </row>
    <row r="2919" spans="1:11" x14ac:dyDescent="0.35">
      <c r="A2919" s="269" t="s">
        <v>316</v>
      </c>
      <c r="B2919" s="270">
        <v>160</v>
      </c>
      <c r="C2919" s="270"/>
      <c r="D2919" s="270"/>
      <c r="E2919" s="270"/>
      <c r="G2919" s="269" t="s">
        <v>316</v>
      </c>
      <c r="H2919" s="270"/>
      <c r="I2919" s="270"/>
      <c r="J2919" s="270"/>
      <c r="K2919" s="270"/>
    </row>
    <row r="2920" spans="1:11" x14ac:dyDescent="0.35">
      <c r="A2920" s="271" t="s">
        <v>309</v>
      </c>
      <c r="B2920" s="272"/>
      <c r="C2920" s="272"/>
      <c r="D2920" s="272"/>
      <c r="E2920" s="272"/>
      <c r="G2920" s="271" t="s">
        <v>309</v>
      </c>
      <c r="H2920" s="272"/>
      <c r="I2920" s="272"/>
      <c r="J2920" s="272"/>
      <c r="K2920" s="272"/>
    </row>
    <row r="2921" spans="1:11" x14ac:dyDescent="0.35">
      <c r="A2921" s="269" t="s">
        <v>310</v>
      </c>
      <c r="B2921" s="270"/>
      <c r="C2921" s="270"/>
      <c r="D2921" s="270"/>
      <c r="E2921" s="270"/>
      <c r="G2921" s="269" t="s">
        <v>310</v>
      </c>
      <c r="H2921" s="270"/>
      <c r="I2921" s="270"/>
      <c r="J2921" s="270"/>
      <c r="K2921" s="270"/>
    </row>
    <row r="2922" spans="1:11" x14ac:dyDescent="0.35">
      <c r="A2922" s="271" t="s">
        <v>317</v>
      </c>
      <c r="B2922" s="272"/>
      <c r="C2922" s="272"/>
      <c r="D2922" s="272"/>
      <c r="E2922" s="272"/>
      <c r="G2922" s="271" t="s">
        <v>317</v>
      </c>
      <c r="H2922" s="272"/>
      <c r="I2922" s="272"/>
      <c r="J2922" s="272"/>
      <c r="K2922" s="272"/>
    </row>
    <row r="2923" spans="1:11" x14ac:dyDescent="0.35">
      <c r="A2923" s="269" t="s">
        <v>311</v>
      </c>
      <c r="B2923" s="270"/>
      <c r="C2923" s="270"/>
      <c r="D2923" s="270"/>
      <c r="E2923" s="270"/>
      <c r="G2923" s="269" t="s">
        <v>311</v>
      </c>
      <c r="H2923" s="270"/>
      <c r="I2923" s="270"/>
      <c r="J2923" s="270"/>
      <c r="K2923" s="270"/>
    </row>
    <row r="2924" spans="1:11" x14ac:dyDescent="0.35">
      <c r="A2924" s="271" t="s">
        <v>312</v>
      </c>
      <c r="B2924" s="272">
        <v>2515</v>
      </c>
      <c r="C2924" s="272"/>
      <c r="D2924" s="272"/>
      <c r="E2924" s="272"/>
      <c r="G2924" s="271" t="s">
        <v>312</v>
      </c>
      <c r="H2924" s="272"/>
      <c r="I2924" s="272"/>
      <c r="J2924" s="272"/>
      <c r="K2924" s="272"/>
    </row>
    <row r="2925" spans="1:11" x14ac:dyDescent="0.35">
      <c r="A2925" s="231" t="s">
        <v>34</v>
      </c>
      <c r="B2925" s="230">
        <f>SUM(B2919:B2924)</f>
        <v>2675</v>
      </c>
      <c r="C2925" s="230">
        <f>SUM(C2919:C2924)</f>
        <v>0</v>
      </c>
      <c r="D2925" s="230">
        <f>SUM(D2919:D2924)</f>
        <v>0</v>
      </c>
      <c r="E2925" s="230">
        <f>SUM(E2919:E2924)</f>
        <v>0</v>
      </c>
      <c r="G2925" s="231" t="s">
        <v>34</v>
      </c>
      <c r="H2925" s="230">
        <f>SUM(H2919:H2924)</f>
        <v>0</v>
      </c>
      <c r="I2925" s="230">
        <f>SUM(I2919:I2924)</f>
        <v>0</v>
      </c>
      <c r="J2925" s="230">
        <f>SUM(J2919:J2924)</f>
        <v>0</v>
      </c>
      <c r="K2925" s="230">
        <f>SUM(K2919:K2924)</f>
        <v>0</v>
      </c>
    </row>
    <row r="2926" spans="1:11" ht="15" thickBot="1" x14ac:dyDescent="0.4">
      <c r="A2926" s="231" t="s">
        <v>313</v>
      </c>
      <c r="B2926" s="230">
        <f>+B2925+C2925+D2925+E2925</f>
        <v>2675</v>
      </c>
      <c r="C2926" s="230"/>
      <c r="D2926" s="230"/>
      <c r="E2926" s="230"/>
      <c r="G2926" s="231" t="s">
        <v>313</v>
      </c>
      <c r="H2926" s="230">
        <f>+H2925+I2925+J2925+K2925</f>
        <v>0</v>
      </c>
      <c r="I2926" s="230"/>
      <c r="J2926" s="230"/>
      <c r="K2926" s="230"/>
    </row>
    <row r="2927" spans="1:11" ht="15.5" thickTop="1" thickBot="1" x14ac:dyDescent="0.4">
      <c r="A2927" s="335" t="s">
        <v>298</v>
      </c>
      <c r="B2927" s="336"/>
      <c r="C2927" s="336"/>
      <c r="D2927" s="336"/>
      <c r="E2927" s="337"/>
      <c r="G2927" s="335" t="s">
        <v>298</v>
      </c>
      <c r="H2927" s="336"/>
      <c r="I2927" s="336"/>
      <c r="J2927" s="336"/>
      <c r="K2927" s="337"/>
    </row>
    <row r="2928" spans="1:11" ht="15.5" thickTop="1" thickBot="1" x14ac:dyDescent="0.4">
      <c r="A2928" s="338">
        <v>45556</v>
      </c>
      <c r="B2928" s="336"/>
      <c r="C2928" s="336"/>
      <c r="D2928" s="336"/>
      <c r="E2928" s="337"/>
      <c r="G2928" s="338">
        <v>45556</v>
      </c>
      <c r="H2928" s="336"/>
      <c r="I2928" s="336"/>
      <c r="J2928" s="336"/>
      <c r="K2928" s="337"/>
    </row>
    <row r="2929" spans="1:11" ht="15" thickTop="1" x14ac:dyDescent="0.35">
      <c r="A2929" s="267" t="s">
        <v>159</v>
      </c>
      <c r="B2929" s="267" t="s">
        <v>299</v>
      </c>
      <c r="C2929" s="267" t="s">
        <v>307</v>
      </c>
      <c r="D2929" s="267" t="s">
        <v>301</v>
      </c>
      <c r="E2929" s="268" t="s">
        <v>308</v>
      </c>
      <c r="G2929" s="267" t="s">
        <v>159</v>
      </c>
      <c r="H2929" s="267" t="s">
        <v>299</v>
      </c>
      <c r="I2929" s="267" t="s">
        <v>307</v>
      </c>
      <c r="J2929" s="267" t="s">
        <v>301</v>
      </c>
      <c r="K2929" s="268" t="s">
        <v>308</v>
      </c>
    </row>
    <row r="2930" spans="1:11" x14ac:dyDescent="0.35">
      <c r="A2930" s="283" t="s">
        <v>345</v>
      </c>
      <c r="B2930" s="270">
        <v>2500</v>
      </c>
      <c r="C2930" s="270"/>
      <c r="D2930" s="270"/>
      <c r="E2930" s="270"/>
      <c r="G2930" s="269" t="s">
        <v>345</v>
      </c>
      <c r="H2930" s="270">
        <v>1634</v>
      </c>
      <c r="I2930" s="270"/>
      <c r="J2930" s="270"/>
      <c r="K2930" s="270"/>
    </row>
    <row r="2931" spans="1:11" x14ac:dyDescent="0.35">
      <c r="A2931" s="271" t="s">
        <v>345</v>
      </c>
      <c r="B2931" s="272">
        <v>1984</v>
      </c>
      <c r="C2931" s="272"/>
      <c r="D2931" s="272"/>
      <c r="E2931" s="272"/>
      <c r="G2931" s="271" t="s">
        <v>309</v>
      </c>
      <c r="H2931" s="272"/>
      <c r="I2931" s="272"/>
      <c r="J2931" s="272"/>
      <c r="K2931" s="272"/>
    </row>
    <row r="2932" spans="1:11" x14ac:dyDescent="0.35">
      <c r="A2932" s="269" t="s">
        <v>310</v>
      </c>
      <c r="B2932" s="270"/>
      <c r="C2932" s="270"/>
      <c r="D2932" s="270"/>
      <c r="E2932" s="270"/>
      <c r="G2932" s="269" t="s">
        <v>310</v>
      </c>
      <c r="H2932" s="270"/>
      <c r="I2932" s="270"/>
      <c r="J2932" s="270"/>
      <c r="K2932" s="270"/>
    </row>
    <row r="2933" spans="1:11" x14ac:dyDescent="0.35">
      <c r="A2933" s="271" t="s">
        <v>317</v>
      </c>
      <c r="B2933" s="272"/>
      <c r="C2933" s="272"/>
      <c r="D2933" s="272"/>
      <c r="E2933" s="272"/>
      <c r="G2933" s="271" t="s">
        <v>317</v>
      </c>
      <c r="H2933" s="272"/>
      <c r="I2933" s="272"/>
      <c r="J2933" s="272"/>
      <c r="K2933" s="272"/>
    </row>
    <row r="2934" spans="1:11" x14ac:dyDescent="0.35">
      <c r="A2934" s="269" t="s">
        <v>352</v>
      </c>
      <c r="B2934" s="270">
        <v>50</v>
      </c>
      <c r="C2934" s="270"/>
      <c r="D2934" s="270"/>
      <c r="E2934" s="270"/>
      <c r="G2934" s="269" t="s">
        <v>311</v>
      </c>
      <c r="H2934" s="270"/>
      <c r="I2934" s="270"/>
      <c r="J2934" s="270"/>
      <c r="K2934" s="270"/>
    </row>
    <row r="2935" spans="1:11" x14ac:dyDescent="0.35">
      <c r="A2935" s="271" t="s">
        <v>312</v>
      </c>
      <c r="B2935" s="272">
        <v>2750</v>
      </c>
      <c r="C2935" s="272"/>
      <c r="D2935" s="272"/>
      <c r="E2935" s="272"/>
      <c r="G2935" s="271" t="s">
        <v>312</v>
      </c>
      <c r="H2935" s="272"/>
      <c r="I2935" s="272"/>
      <c r="J2935" s="272"/>
      <c r="K2935" s="272"/>
    </row>
    <row r="2936" spans="1:11" x14ac:dyDescent="0.35">
      <c r="A2936" s="231" t="s">
        <v>34</v>
      </c>
      <c r="B2936" s="230">
        <f>SUM(B2930:B2935)</f>
        <v>7284</v>
      </c>
      <c r="C2936" s="230">
        <f>SUM(C2930:C2935)</f>
        <v>0</v>
      </c>
      <c r="D2936" s="230">
        <f>SUM(D2930:D2935)</f>
        <v>0</v>
      </c>
      <c r="E2936" s="230">
        <f>SUM(E2930:E2935)</f>
        <v>0</v>
      </c>
      <c r="G2936" s="231" t="s">
        <v>34</v>
      </c>
      <c r="H2936" s="230">
        <f>SUM(H2930:H2935)</f>
        <v>1634</v>
      </c>
      <c r="I2936" s="230">
        <f>SUM(I2930:I2935)</f>
        <v>0</v>
      </c>
      <c r="J2936" s="230">
        <f>SUM(J2930:J2935)</f>
        <v>0</v>
      </c>
      <c r="K2936" s="230">
        <f>SUM(K2930:K2935)</f>
        <v>0</v>
      </c>
    </row>
    <row r="2937" spans="1:11" ht="15" thickBot="1" x14ac:dyDescent="0.4">
      <c r="A2937" s="231" t="s">
        <v>313</v>
      </c>
      <c r="B2937" s="230">
        <f>+B2936+C2936+D2936+E2936</f>
        <v>7284</v>
      </c>
      <c r="C2937" s="230"/>
      <c r="D2937" s="230"/>
      <c r="E2937" s="230"/>
      <c r="G2937" s="231" t="s">
        <v>313</v>
      </c>
      <c r="H2937" s="230">
        <f>+H2936+I2936+J2936+K2936</f>
        <v>1634</v>
      </c>
      <c r="I2937" s="230"/>
      <c r="J2937" s="230"/>
      <c r="K2937" s="230"/>
    </row>
    <row r="2938" spans="1:11" ht="15.5" thickTop="1" thickBot="1" x14ac:dyDescent="0.4">
      <c r="A2938" s="335" t="s">
        <v>298</v>
      </c>
      <c r="B2938" s="336"/>
      <c r="C2938" s="336"/>
      <c r="D2938" s="336"/>
      <c r="E2938" s="337"/>
      <c r="G2938" s="335" t="s">
        <v>298</v>
      </c>
      <c r="H2938" s="336"/>
      <c r="I2938" s="336"/>
      <c r="J2938" s="336"/>
      <c r="K2938" s="337"/>
    </row>
    <row r="2939" spans="1:11" ht="15.5" thickTop="1" thickBot="1" x14ac:dyDescent="0.4">
      <c r="A2939" s="338">
        <v>45557</v>
      </c>
      <c r="B2939" s="336"/>
      <c r="C2939" s="336"/>
      <c r="D2939" s="336"/>
      <c r="E2939" s="337"/>
      <c r="G2939" s="338">
        <v>45557</v>
      </c>
      <c r="H2939" s="336"/>
      <c r="I2939" s="336"/>
      <c r="J2939" s="336"/>
      <c r="K2939" s="337"/>
    </row>
    <row r="2940" spans="1:11" ht="15" thickTop="1" x14ac:dyDescent="0.35">
      <c r="A2940" s="267" t="s">
        <v>159</v>
      </c>
      <c r="B2940" s="267" t="s">
        <v>299</v>
      </c>
      <c r="C2940" s="267" t="s">
        <v>307</v>
      </c>
      <c r="D2940" s="267" t="s">
        <v>301</v>
      </c>
      <c r="E2940" s="268" t="s">
        <v>308</v>
      </c>
      <c r="G2940" s="267" t="s">
        <v>159</v>
      </c>
      <c r="H2940" s="267" t="s">
        <v>299</v>
      </c>
      <c r="I2940" s="267" t="s">
        <v>307</v>
      </c>
      <c r="J2940" s="267" t="s">
        <v>301</v>
      </c>
      <c r="K2940" s="268" t="s">
        <v>308</v>
      </c>
    </row>
    <row r="2941" spans="1:11" x14ac:dyDescent="0.35">
      <c r="A2941" s="269" t="s">
        <v>316</v>
      </c>
      <c r="B2941" s="270">
        <v>100</v>
      </c>
      <c r="C2941" s="270"/>
      <c r="D2941" s="270"/>
      <c r="E2941" s="270"/>
      <c r="G2941" s="269" t="s">
        <v>316</v>
      </c>
      <c r="H2941" s="270"/>
      <c r="I2941" s="270"/>
      <c r="J2941" s="270"/>
      <c r="K2941" s="270"/>
    </row>
    <row r="2942" spans="1:11" x14ac:dyDescent="0.35">
      <c r="A2942" s="271" t="s">
        <v>309</v>
      </c>
      <c r="B2942" s="272"/>
      <c r="C2942" s="272"/>
      <c r="D2942" s="272"/>
      <c r="E2942" s="272"/>
      <c r="G2942" s="271" t="s">
        <v>309</v>
      </c>
      <c r="H2942" s="272"/>
      <c r="I2942" s="272"/>
      <c r="J2942" s="272"/>
      <c r="K2942" s="272"/>
    </row>
    <row r="2943" spans="1:11" x14ac:dyDescent="0.35">
      <c r="A2943" s="269" t="s">
        <v>310</v>
      </c>
      <c r="B2943" s="270"/>
      <c r="C2943" s="270"/>
      <c r="D2943" s="270"/>
      <c r="E2943" s="270"/>
      <c r="G2943" s="269" t="s">
        <v>310</v>
      </c>
      <c r="H2943" s="270"/>
      <c r="I2943" s="270"/>
      <c r="J2943" s="270"/>
      <c r="K2943" s="270"/>
    </row>
    <row r="2944" spans="1:11" x14ac:dyDescent="0.35">
      <c r="A2944" s="271" t="s">
        <v>317</v>
      </c>
      <c r="B2944" s="272"/>
      <c r="C2944" s="272"/>
      <c r="D2944" s="272"/>
      <c r="E2944" s="272"/>
      <c r="G2944" s="271" t="s">
        <v>317</v>
      </c>
      <c r="H2944" s="272"/>
      <c r="I2944" s="272"/>
      <c r="J2944" s="272"/>
      <c r="K2944" s="272"/>
    </row>
    <row r="2945" spans="1:11" x14ac:dyDescent="0.35">
      <c r="A2945" s="269" t="s">
        <v>311</v>
      </c>
      <c r="B2945" s="270"/>
      <c r="C2945" s="270"/>
      <c r="D2945" s="270"/>
      <c r="E2945" s="270"/>
      <c r="G2945" s="269" t="s">
        <v>311</v>
      </c>
      <c r="H2945" s="270"/>
      <c r="I2945" s="270"/>
      <c r="J2945" s="270"/>
      <c r="K2945" s="270"/>
    </row>
    <row r="2946" spans="1:11" x14ac:dyDescent="0.35">
      <c r="A2946" s="271" t="s">
        <v>312</v>
      </c>
      <c r="B2946" s="272"/>
      <c r="C2946" s="272"/>
      <c r="D2946" s="272"/>
      <c r="E2946" s="272"/>
      <c r="G2946" s="271" t="s">
        <v>312</v>
      </c>
      <c r="H2946" s="272"/>
      <c r="I2946" s="272"/>
      <c r="J2946" s="272"/>
      <c r="K2946" s="272"/>
    </row>
    <row r="2947" spans="1:11" x14ac:dyDescent="0.35">
      <c r="A2947" s="231" t="s">
        <v>34</v>
      </c>
      <c r="B2947" s="230">
        <f>SUM(B2941:B2946)</f>
        <v>100</v>
      </c>
      <c r="C2947" s="230">
        <f>SUM(C2941:C2946)</f>
        <v>0</v>
      </c>
      <c r="D2947" s="230">
        <f>SUM(D2941:D2946)</f>
        <v>0</v>
      </c>
      <c r="E2947" s="230">
        <f>SUM(E2941:E2946)</f>
        <v>0</v>
      </c>
      <c r="G2947" s="231" t="s">
        <v>34</v>
      </c>
      <c r="H2947" s="230">
        <f>SUM(H2941:H2946)</f>
        <v>0</v>
      </c>
      <c r="I2947" s="230">
        <f>SUM(I2941:I2946)</f>
        <v>0</v>
      </c>
      <c r="J2947" s="230">
        <f>SUM(J2941:J2946)</f>
        <v>0</v>
      </c>
      <c r="K2947" s="230">
        <f>SUM(K2941:K2946)</f>
        <v>0</v>
      </c>
    </row>
    <row r="2948" spans="1:11" ht="15" thickBot="1" x14ac:dyDescent="0.4">
      <c r="A2948" s="231" t="s">
        <v>313</v>
      </c>
      <c r="B2948" s="230">
        <f>+B2947+C2947+D2947+E2947</f>
        <v>100</v>
      </c>
      <c r="C2948" s="230"/>
      <c r="D2948" s="230"/>
      <c r="E2948" s="230"/>
      <c r="G2948" s="231" t="s">
        <v>313</v>
      </c>
      <c r="H2948" s="230">
        <f>+H2947+I2947+J2947+K2947</f>
        <v>0</v>
      </c>
      <c r="I2948" s="230"/>
      <c r="J2948" s="230"/>
      <c r="K2948" s="230"/>
    </row>
    <row r="2949" spans="1:11" ht="15.5" thickTop="1" thickBot="1" x14ac:dyDescent="0.4">
      <c r="A2949" s="335" t="s">
        <v>298</v>
      </c>
      <c r="B2949" s="336"/>
      <c r="C2949" s="336"/>
      <c r="D2949" s="336"/>
      <c r="E2949" s="337"/>
      <c r="G2949" s="335" t="s">
        <v>298</v>
      </c>
      <c r="H2949" s="336"/>
      <c r="I2949" s="336"/>
      <c r="J2949" s="336"/>
      <c r="K2949" s="337"/>
    </row>
    <row r="2950" spans="1:11" ht="15.5" thickTop="1" thickBot="1" x14ac:dyDescent="0.4">
      <c r="A2950" s="338">
        <v>45558</v>
      </c>
      <c r="B2950" s="336"/>
      <c r="C2950" s="336"/>
      <c r="D2950" s="336"/>
      <c r="E2950" s="337"/>
      <c r="G2950" s="338">
        <v>45558</v>
      </c>
      <c r="H2950" s="336"/>
      <c r="I2950" s="336"/>
      <c r="J2950" s="336"/>
      <c r="K2950" s="337"/>
    </row>
    <row r="2951" spans="1:11" ht="15" thickTop="1" x14ac:dyDescent="0.35">
      <c r="A2951" s="267" t="s">
        <v>159</v>
      </c>
      <c r="B2951" s="267" t="s">
        <v>299</v>
      </c>
      <c r="C2951" s="267" t="s">
        <v>307</v>
      </c>
      <c r="D2951" s="267" t="s">
        <v>301</v>
      </c>
      <c r="E2951" s="268" t="s">
        <v>308</v>
      </c>
      <c r="G2951" s="267" t="s">
        <v>159</v>
      </c>
      <c r="H2951" s="267" t="s">
        <v>299</v>
      </c>
      <c r="I2951" s="267" t="s">
        <v>307</v>
      </c>
      <c r="J2951" s="267" t="s">
        <v>301</v>
      </c>
      <c r="K2951" s="268" t="s">
        <v>308</v>
      </c>
    </row>
    <row r="2952" spans="1:11" x14ac:dyDescent="0.35">
      <c r="A2952" s="269" t="s">
        <v>316</v>
      </c>
      <c r="B2952" s="270"/>
      <c r="C2952" s="270"/>
      <c r="D2952" s="270"/>
      <c r="E2952" s="270"/>
      <c r="G2952" s="269" t="s">
        <v>316</v>
      </c>
      <c r="H2952" s="270">
        <v>28</v>
      </c>
      <c r="I2952" s="270"/>
      <c r="J2952" s="270"/>
      <c r="K2952" s="270"/>
    </row>
    <row r="2953" spans="1:11" x14ac:dyDescent="0.35">
      <c r="A2953" s="271" t="s">
        <v>309</v>
      </c>
      <c r="B2953" s="272"/>
      <c r="C2953" s="272"/>
      <c r="D2953" s="272"/>
      <c r="E2953" s="272"/>
      <c r="G2953" s="271" t="s">
        <v>309</v>
      </c>
      <c r="H2953" s="272"/>
      <c r="I2953" s="272"/>
      <c r="J2953" s="272"/>
      <c r="K2953" s="272"/>
    </row>
    <row r="2954" spans="1:11" x14ac:dyDescent="0.35">
      <c r="A2954" s="269" t="s">
        <v>310</v>
      </c>
      <c r="B2954" s="270"/>
      <c r="C2954" s="270"/>
      <c r="D2954" s="270"/>
      <c r="E2954" s="270"/>
      <c r="G2954" s="269" t="s">
        <v>310</v>
      </c>
      <c r="H2954" s="270"/>
      <c r="I2954" s="270"/>
      <c r="J2954" s="270"/>
      <c r="K2954" s="270"/>
    </row>
    <row r="2955" spans="1:11" x14ac:dyDescent="0.35">
      <c r="A2955" s="271" t="s">
        <v>317</v>
      </c>
      <c r="B2955" s="272"/>
      <c r="C2955" s="272"/>
      <c r="D2955" s="272"/>
      <c r="E2955" s="272"/>
      <c r="G2955" s="271" t="s">
        <v>317</v>
      </c>
      <c r="H2955" s="272"/>
      <c r="I2955" s="272"/>
      <c r="J2955" s="272"/>
      <c r="K2955" s="272"/>
    </row>
    <row r="2956" spans="1:11" x14ac:dyDescent="0.35">
      <c r="A2956" s="269" t="s">
        <v>311</v>
      </c>
      <c r="B2956" s="270"/>
      <c r="C2956" s="270"/>
      <c r="D2956" s="270"/>
      <c r="E2956" s="270"/>
      <c r="G2956" s="269" t="s">
        <v>311</v>
      </c>
      <c r="H2956" s="270"/>
      <c r="I2956" s="270"/>
      <c r="J2956" s="270"/>
      <c r="K2956" s="270"/>
    </row>
    <row r="2957" spans="1:11" x14ac:dyDescent="0.35">
      <c r="A2957" s="271" t="s">
        <v>312</v>
      </c>
      <c r="B2957" s="272"/>
      <c r="C2957" s="272"/>
      <c r="D2957" s="272"/>
      <c r="E2957" s="272"/>
      <c r="G2957" s="271" t="s">
        <v>312</v>
      </c>
      <c r="H2957" s="272"/>
      <c r="I2957" s="272"/>
      <c r="J2957" s="272"/>
      <c r="K2957" s="272"/>
    </row>
    <row r="2958" spans="1:11" x14ac:dyDescent="0.35">
      <c r="A2958" s="231" t="s">
        <v>34</v>
      </c>
      <c r="B2958" s="230">
        <f>SUM(B2952:B2957)</f>
        <v>0</v>
      </c>
      <c r="C2958" s="230">
        <f>SUM(C2952:C2957)</f>
        <v>0</v>
      </c>
      <c r="D2958" s="230">
        <f>SUM(D2952:D2957)</f>
        <v>0</v>
      </c>
      <c r="E2958" s="230">
        <f>SUM(E2952:E2957)</f>
        <v>0</v>
      </c>
      <c r="G2958" s="231" t="s">
        <v>34</v>
      </c>
      <c r="H2958" s="230">
        <f>SUM(H2952:H2957)</f>
        <v>28</v>
      </c>
      <c r="I2958" s="230">
        <f>SUM(I2952:I2957)</f>
        <v>0</v>
      </c>
      <c r="J2958" s="230">
        <f>SUM(J2952:J2957)</f>
        <v>0</v>
      </c>
      <c r="K2958" s="230">
        <f>SUM(K2952:K2957)</f>
        <v>0</v>
      </c>
    </row>
    <row r="2959" spans="1:11" ht="15" thickBot="1" x14ac:dyDescent="0.4">
      <c r="A2959" s="231" t="s">
        <v>313</v>
      </c>
      <c r="B2959" s="230">
        <f>+B2958+C2958+D2958+E2958</f>
        <v>0</v>
      </c>
      <c r="C2959" s="230"/>
      <c r="D2959" s="230"/>
      <c r="E2959" s="230"/>
      <c r="G2959" s="231" t="s">
        <v>313</v>
      </c>
      <c r="H2959" s="230">
        <f>+H2958+I2958+J2958+K2958</f>
        <v>28</v>
      </c>
      <c r="I2959" s="230"/>
      <c r="J2959" s="230"/>
      <c r="K2959" s="230"/>
    </row>
    <row r="2960" spans="1:11" ht="15.5" thickTop="1" thickBot="1" x14ac:dyDescent="0.4">
      <c r="A2960" s="335" t="s">
        <v>298</v>
      </c>
      <c r="B2960" s="336"/>
      <c r="C2960" s="336"/>
      <c r="D2960" s="336"/>
      <c r="E2960" s="337"/>
      <c r="G2960" s="335" t="s">
        <v>298</v>
      </c>
      <c r="H2960" s="336"/>
      <c r="I2960" s="336"/>
      <c r="J2960" s="336"/>
      <c r="K2960" s="337"/>
    </row>
    <row r="2961" spans="1:11" ht="15.5" thickTop="1" thickBot="1" x14ac:dyDescent="0.4">
      <c r="A2961" s="338">
        <v>45559</v>
      </c>
      <c r="B2961" s="336"/>
      <c r="C2961" s="336"/>
      <c r="D2961" s="336"/>
      <c r="E2961" s="337"/>
      <c r="G2961" s="338">
        <v>45559</v>
      </c>
      <c r="H2961" s="336"/>
      <c r="I2961" s="336"/>
      <c r="J2961" s="336"/>
      <c r="K2961" s="337"/>
    </row>
    <row r="2962" spans="1:11" ht="15" thickTop="1" x14ac:dyDescent="0.35">
      <c r="A2962" s="267" t="s">
        <v>159</v>
      </c>
      <c r="B2962" s="267" t="s">
        <v>299</v>
      </c>
      <c r="C2962" s="267" t="s">
        <v>307</v>
      </c>
      <c r="D2962" s="267" t="s">
        <v>301</v>
      </c>
      <c r="E2962" s="268" t="s">
        <v>308</v>
      </c>
      <c r="G2962" s="267" t="s">
        <v>159</v>
      </c>
      <c r="H2962" s="267" t="s">
        <v>299</v>
      </c>
      <c r="I2962" s="267" t="s">
        <v>307</v>
      </c>
      <c r="J2962" s="267" t="s">
        <v>301</v>
      </c>
      <c r="K2962" s="268" t="s">
        <v>308</v>
      </c>
    </row>
    <row r="2963" spans="1:11" x14ac:dyDescent="0.35">
      <c r="A2963" s="269" t="s">
        <v>316</v>
      </c>
      <c r="B2963" s="270"/>
      <c r="C2963" s="270"/>
      <c r="D2963" s="270"/>
      <c r="E2963" s="270"/>
      <c r="G2963" s="269" t="s">
        <v>316</v>
      </c>
      <c r="H2963" s="270"/>
      <c r="I2963" s="270"/>
      <c r="J2963" s="270"/>
      <c r="K2963" s="270"/>
    </row>
    <row r="2964" spans="1:11" x14ac:dyDescent="0.35">
      <c r="A2964" s="271" t="s">
        <v>309</v>
      </c>
      <c r="B2964" s="272"/>
      <c r="C2964" s="272"/>
      <c r="D2964" s="272"/>
      <c r="E2964" s="272"/>
      <c r="G2964" s="271" t="s">
        <v>309</v>
      </c>
      <c r="H2964" s="272"/>
      <c r="I2964" s="272"/>
      <c r="J2964" s="272"/>
      <c r="K2964" s="272"/>
    </row>
    <row r="2965" spans="1:11" x14ac:dyDescent="0.35">
      <c r="A2965" s="269" t="s">
        <v>310</v>
      </c>
      <c r="B2965" s="270"/>
      <c r="C2965" s="270"/>
      <c r="D2965" s="270"/>
      <c r="E2965" s="270"/>
      <c r="G2965" s="269" t="s">
        <v>310</v>
      </c>
      <c r="H2965" s="270"/>
      <c r="I2965" s="270"/>
      <c r="J2965" s="270"/>
      <c r="K2965" s="270"/>
    </row>
    <row r="2966" spans="1:11" x14ac:dyDescent="0.35">
      <c r="A2966" s="271" t="s">
        <v>317</v>
      </c>
      <c r="B2966" s="272"/>
      <c r="C2966" s="272"/>
      <c r="D2966" s="272"/>
      <c r="E2966" s="272"/>
      <c r="G2966" s="271" t="s">
        <v>317</v>
      </c>
      <c r="H2966" s="272"/>
      <c r="I2966" s="272"/>
      <c r="J2966" s="272"/>
      <c r="K2966" s="272"/>
    </row>
    <row r="2967" spans="1:11" x14ac:dyDescent="0.35">
      <c r="A2967" s="269" t="s">
        <v>311</v>
      </c>
      <c r="B2967" s="270"/>
      <c r="C2967" s="270"/>
      <c r="D2967" s="270"/>
      <c r="E2967" s="270"/>
      <c r="G2967" s="269" t="s">
        <v>311</v>
      </c>
      <c r="H2967" s="270"/>
      <c r="I2967" s="270"/>
      <c r="J2967" s="270"/>
      <c r="K2967" s="270"/>
    </row>
    <row r="2968" spans="1:11" x14ac:dyDescent="0.35">
      <c r="A2968" s="271" t="s">
        <v>312</v>
      </c>
      <c r="B2968" s="272"/>
      <c r="C2968" s="272"/>
      <c r="D2968" s="272"/>
      <c r="E2968" s="272"/>
      <c r="G2968" s="271" t="s">
        <v>312</v>
      </c>
      <c r="H2968" s="272"/>
      <c r="I2968" s="272"/>
      <c r="J2968" s="272"/>
      <c r="K2968" s="272"/>
    </row>
    <row r="2969" spans="1:11" x14ac:dyDescent="0.35">
      <c r="A2969" s="231" t="s">
        <v>34</v>
      </c>
      <c r="B2969" s="230">
        <f>SUM(B2963:B2968)</f>
        <v>0</v>
      </c>
      <c r="C2969" s="230">
        <f>SUM(C2963:C2968)</f>
        <v>0</v>
      </c>
      <c r="D2969" s="230">
        <f>SUM(D2963:D2968)</f>
        <v>0</v>
      </c>
      <c r="E2969" s="230">
        <f>SUM(E2963:E2968)</f>
        <v>0</v>
      </c>
      <c r="G2969" s="231" t="s">
        <v>34</v>
      </c>
      <c r="H2969" s="230">
        <f>SUM(H2963:H2968)</f>
        <v>0</v>
      </c>
      <c r="I2969" s="230">
        <f>SUM(I2963:I2968)</f>
        <v>0</v>
      </c>
      <c r="J2969" s="230">
        <f>SUM(J2963:J2968)</f>
        <v>0</v>
      </c>
      <c r="K2969" s="230">
        <f>SUM(K2963:K2968)</f>
        <v>0</v>
      </c>
    </row>
    <row r="2970" spans="1:11" ht="15" thickBot="1" x14ac:dyDescent="0.4">
      <c r="A2970" s="231" t="s">
        <v>313</v>
      </c>
      <c r="B2970" s="230">
        <f>+B2969+C2969+D2969+E2969</f>
        <v>0</v>
      </c>
      <c r="C2970" s="230"/>
      <c r="D2970" s="230"/>
      <c r="E2970" s="230"/>
      <c r="G2970" s="231" t="s">
        <v>313</v>
      </c>
      <c r="H2970" s="230">
        <f>+H2969+I2969+J2969+K2969</f>
        <v>0</v>
      </c>
      <c r="I2970" s="230"/>
      <c r="J2970" s="230"/>
      <c r="K2970" s="230"/>
    </row>
    <row r="2971" spans="1:11" ht="15.5" thickTop="1" thickBot="1" x14ac:dyDescent="0.4">
      <c r="A2971" s="335" t="s">
        <v>298</v>
      </c>
      <c r="B2971" s="336"/>
      <c r="C2971" s="336"/>
      <c r="D2971" s="336"/>
      <c r="E2971" s="337"/>
      <c r="G2971" s="335" t="s">
        <v>298</v>
      </c>
      <c r="H2971" s="336"/>
      <c r="I2971" s="336"/>
      <c r="J2971" s="336"/>
      <c r="K2971" s="337"/>
    </row>
    <row r="2972" spans="1:11" ht="15.5" thickTop="1" thickBot="1" x14ac:dyDescent="0.4">
      <c r="A2972" s="338">
        <v>45560</v>
      </c>
      <c r="B2972" s="336"/>
      <c r="C2972" s="336"/>
      <c r="D2972" s="336"/>
      <c r="E2972" s="337"/>
      <c r="G2972" s="338">
        <v>45560</v>
      </c>
      <c r="H2972" s="336"/>
      <c r="I2972" s="336"/>
      <c r="J2972" s="336"/>
      <c r="K2972" s="337"/>
    </row>
    <row r="2973" spans="1:11" ht="15" thickTop="1" x14ac:dyDescent="0.35">
      <c r="A2973" s="267" t="s">
        <v>159</v>
      </c>
      <c r="B2973" s="267" t="s">
        <v>299</v>
      </c>
      <c r="C2973" s="267" t="s">
        <v>307</v>
      </c>
      <c r="D2973" s="267" t="s">
        <v>301</v>
      </c>
      <c r="E2973" s="268" t="s">
        <v>308</v>
      </c>
      <c r="G2973" s="267" t="s">
        <v>159</v>
      </c>
      <c r="H2973" s="267" t="s">
        <v>299</v>
      </c>
      <c r="I2973" s="267" t="s">
        <v>307</v>
      </c>
      <c r="J2973" s="267" t="s">
        <v>301</v>
      </c>
      <c r="K2973" s="268" t="s">
        <v>308</v>
      </c>
    </row>
    <row r="2974" spans="1:11" x14ac:dyDescent="0.35">
      <c r="A2974" s="269" t="s">
        <v>316</v>
      </c>
      <c r="B2974" s="270"/>
      <c r="C2974" s="270"/>
      <c r="D2974" s="270"/>
      <c r="E2974" s="270"/>
      <c r="G2974" s="269" t="s">
        <v>316</v>
      </c>
      <c r="H2974" s="270"/>
      <c r="I2974" s="270"/>
      <c r="J2974" s="270"/>
      <c r="K2974" s="270"/>
    </row>
    <row r="2975" spans="1:11" x14ac:dyDescent="0.35">
      <c r="A2975" s="271" t="s">
        <v>750</v>
      </c>
      <c r="B2975" s="272">
        <v>390</v>
      </c>
      <c r="C2975" s="272"/>
      <c r="D2975" s="272"/>
      <c r="E2975" s="272"/>
      <c r="G2975" s="271" t="s">
        <v>309</v>
      </c>
      <c r="H2975" s="272"/>
      <c r="I2975" s="272"/>
      <c r="J2975" s="272"/>
      <c r="K2975" s="272"/>
    </row>
    <row r="2976" spans="1:11" x14ac:dyDescent="0.35">
      <c r="A2976" s="269" t="s">
        <v>310</v>
      </c>
      <c r="B2976" s="270"/>
      <c r="C2976" s="270"/>
      <c r="D2976" s="270"/>
      <c r="E2976" s="270"/>
      <c r="G2976" s="269" t="s">
        <v>310</v>
      </c>
      <c r="H2976" s="270"/>
      <c r="I2976" s="270"/>
      <c r="J2976" s="270"/>
      <c r="K2976" s="270"/>
    </row>
    <row r="2977" spans="1:11" x14ac:dyDescent="0.35">
      <c r="A2977" s="271" t="s">
        <v>317</v>
      </c>
      <c r="B2977" s="272"/>
      <c r="C2977" s="272"/>
      <c r="D2977" s="272"/>
      <c r="E2977" s="272"/>
      <c r="G2977" s="271" t="s">
        <v>317</v>
      </c>
      <c r="H2977" s="272"/>
      <c r="I2977" s="272"/>
      <c r="J2977" s="272"/>
      <c r="K2977" s="272"/>
    </row>
    <row r="2978" spans="1:11" x14ac:dyDescent="0.35">
      <c r="A2978" s="269" t="s">
        <v>311</v>
      </c>
      <c r="B2978" s="270"/>
      <c r="C2978" s="270"/>
      <c r="D2978" s="270"/>
      <c r="E2978" s="270"/>
      <c r="G2978" s="269" t="s">
        <v>311</v>
      </c>
      <c r="H2978" s="270"/>
      <c r="I2978" s="270"/>
      <c r="J2978" s="270"/>
      <c r="K2978" s="270"/>
    </row>
    <row r="2979" spans="1:11" x14ac:dyDescent="0.35">
      <c r="A2979" s="271" t="s">
        <v>312</v>
      </c>
      <c r="B2979" s="272"/>
      <c r="C2979" s="272"/>
      <c r="D2979" s="272"/>
      <c r="E2979" s="272"/>
      <c r="G2979" s="271" t="s">
        <v>312</v>
      </c>
      <c r="H2979" s="272"/>
      <c r="I2979" s="272"/>
      <c r="J2979" s="272"/>
      <c r="K2979" s="272"/>
    </row>
    <row r="2980" spans="1:11" x14ac:dyDescent="0.35">
      <c r="A2980" s="231" t="s">
        <v>34</v>
      </c>
      <c r="B2980" s="230">
        <f>SUM(B2974:B2979)</f>
        <v>390</v>
      </c>
      <c r="C2980" s="230">
        <f>SUM(C2974:C2979)</f>
        <v>0</v>
      </c>
      <c r="D2980" s="230">
        <f>SUM(D2974:D2979)</f>
        <v>0</v>
      </c>
      <c r="E2980" s="230">
        <f>SUM(E2974:E2979)</f>
        <v>0</v>
      </c>
      <c r="G2980" s="231" t="s">
        <v>34</v>
      </c>
      <c r="H2980" s="230">
        <f>SUM(H2974:H2979)</f>
        <v>0</v>
      </c>
      <c r="I2980" s="230">
        <f>SUM(I2974:I2979)</f>
        <v>0</v>
      </c>
      <c r="J2980" s="230">
        <f>SUM(J2974:J2979)</f>
        <v>0</v>
      </c>
      <c r="K2980" s="230">
        <f>SUM(K2974:K2979)</f>
        <v>0</v>
      </c>
    </row>
    <row r="2981" spans="1:11" ht="15" thickBot="1" x14ac:dyDescent="0.4">
      <c r="A2981" s="231" t="s">
        <v>313</v>
      </c>
      <c r="B2981" s="230">
        <f>+B2980+C2980+D2980+E2980</f>
        <v>390</v>
      </c>
      <c r="C2981" s="230"/>
      <c r="D2981" s="230"/>
      <c r="E2981" s="230"/>
      <c r="G2981" s="231" t="s">
        <v>313</v>
      </c>
      <c r="H2981" s="230">
        <f>+H2980+I2980+J2980+K2980</f>
        <v>0</v>
      </c>
      <c r="I2981" s="230"/>
      <c r="J2981" s="230"/>
      <c r="K2981" s="230"/>
    </row>
    <row r="2982" spans="1:11" ht="15.5" thickTop="1" thickBot="1" x14ac:dyDescent="0.4">
      <c r="A2982" s="335" t="s">
        <v>298</v>
      </c>
      <c r="B2982" s="336"/>
      <c r="C2982" s="336"/>
      <c r="D2982" s="336"/>
      <c r="E2982" s="337"/>
      <c r="G2982" s="335" t="s">
        <v>298</v>
      </c>
      <c r="H2982" s="336"/>
      <c r="I2982" s="336"/>
      <c r="J2982" s="336"/>
      <c r="K2982" s="337"/>
    </row>
    <row r="2983" spans="1:11" ht="15.5" thickTop="1" thickBot="1" x14ac:dyDescent="0.4">
      <c r="A2983" s="338">
        <v>45561</v>
      </c>
      <c r="B2983" s="336"/>
      <c r="C2983" s="336"/>
      <c r="D2983" s="336"/>
      <c r="E2983" s="337"/>
      <c r="G2983" s="338">
        <v>45561</v>
      </c>
      <c r="H2983" s="336"/>
      <c r="I2983" s="336"/>
      <c r="J2983" s="336"/>
      <c r="K2983" s="337"/>
    </row>
    <row r="2984" spans="1:11" ht="15" thickTop="1" x14ac:dyDescent="0.35">
      <c r="A2984" s="267" t="s">
        <v>159</v>
      </c>
      <c r="B2984" s="267" t="s">
        <v>299</v>
      </c>
      <c r="C2984" s="267" t="s">
        <v>307</v>
      </c>
      <c r="D2984" s="267" t="s">
        <v>301</v>
      </c>
      <c r="E2984" s="268" t="s">
        <v>308</v>
      </c>
      <c r="G2984" s="267" t="s">
        <v>159</v>
      </c>
      <c r="H2984" s="267" t="s">
        <v>299</v>
      </c>
      <c r="I2984" s="267" t="s">
        <v>307</v>
      </c>
      <c r="J2984" s="267" t="s">
        <v>301</v>
      </c>
      <c r="K2984" s="268" t="s">
        <v>308</v>
      </c>
    </row>
    <row r="2985" spans="1:11" x14ac:dyDescent="0.35">
      <c r="A2985" s="269" t="s">
        <v>316</v>
      </c>
      <c r="B2985" s="270">
        <v>170</v>
      </c>
      <c r="C2985" s="270"/>
      <c r="D2985" s="270"/>
      <c r="E2985" s="270"/>
      <c r="G2985" s="269" t="s">
        <v>316</v>
      </c>
      <c r="H2985" s="270"/>
      <c r="I2985" s="270"/>
      <c r="J2985" s="270"/>
      <c r="K2985" s="270"/>
    </row>
    <row r="2986" spans="1:11" x14ac:dyDescent="0.35">
      <c r="A2986" s="271" t="s">
        <v>309</v>
      </c>
      <c r="B2986" s="272"/>
      <c r="C2986" s="272"/>
      <c r="D2986" s="272"/>
      <c r="E2986" s="272"/>
      <c r="G2986" s="271" t="s">
        <v>309</v>
      </c>
      <c r="H2986" s="272"/>
      <c r="I2986" s="272"/>
      <c r="J2986" s="272"/>
      <c r="K2986" s="272"/>
    </row>
    <row r="2987" spans="1:11" x14ac:dyDescent="0.35">
      <c r="A2987" s="269" t="s">
        <v>310</v>
      </c>
      <c r="B2987" s="270">
        <v>3450</v>
      </c>
      <c r="C2987" s="270"/>
      <c r="D2987" s="270"/>
      <c r="E2987" s="270"/>
      <c r="G2987" s="269" t="s">
        <v>310</v>
      </c>
      <c r="H2987" s="270"/>
      <c r="I2987" s="270"/>
      <c r="J2987" s="270"/>
      <c r="K2987" s="270"/>
    </row>
    <row r="2988" spans="1:11" x14ac:dyDescent="0.35">
      <c r="A2988" s="271" t="s">
        <v>317</v>
      </c>
      <c r="B2988" s="272"/>
      <c r="C2988" s="272"/>
      <c r="D2988" s="272"/>
      <c r="E2988" s="272"/>
      <c r="G2988" s="271" t="s">
        <v>317</v>
      </c>
      <c r="H2988" s="272"/>
      <c r="I2988" s="272"/>
      <c r="J2988" s="272"/>
      <c r="K2988" s="272"/>
    </row>
    <row r="2989" spans="1:11" x14ac:dyDescent="0.35">
      <c r="A2989" s="269" t="s">
        <v>311</v>
      </c>
      <c r="B2989" s="270"/>
      <c r="C2989" s="270"/>
      <c r="D2989" s="270"/>
      <c r="E2989" s="270"/>
      <c r="G2989" s="269" t="s">
        <v>311</v>
      </c>
      <c r="H2989" s="270"/>
      <c r="I2989" s="270"/>
      <c r="J2989" s="270"/>
      <c r="K2989" s="270"/>
    </row>
    <row r="2990" spans="1:11" x14ac:dyDescent="0.35">
      <c r="A2990" s="271" t="s">
        <v>312</v>
      </c>
      <c r="B2990" s="272">
        <v>350</v>
      </c>
      <c r="C2990" s="272"/>
      <c r="D2990" s="272"/>
      <c r="E2990" s="272"/>
      <c r="G2990" s="271" t="s">
        <v>312</v>
      </c>
      <c r="H2990" s="272"/>
      <c r="I2990" s="272"/>
      <c r="J2990" s="272"/>
      <c r="K2990" s="272"/>
    </row>
    <row r="2991" spans="1:11" x14ac:dyDescent="0.35">
      <c r="A2991" s="231" t="s">
        <v>34</v>
      </c>
      <c r="B2991" s="230">
        <f>SUM(B2985:B2990)</f>
        <v>3970</v>
      </c>
      <c r="C2991" s="230">
        <f>SUM(C2985:C2990)</f>
        <v>0</v>
      </c>
      <c r="D2991" s="230">
        <f>SUM(D2985:D2990)</f>
        <v>0</v>
      </c>
      <c r="E2991" s="230">
        <f>SUM(E2985:E2990)</f>
        <v>0</v>
      </c>
      <c r="G2991" s="231" t="s">
        <v>34</v>
      </c>
      <c r="H2991" s="230">
        <f>SUM(H2985:H2990)</f>
        <v>0</v>
      </c>
      <c r="I2991" s="230">
        <f>SUM(I2985:I2990)</f>
        <v>0</v>
      </c>
      <c r="J2991" s="230">
        <f>SUM(J2985:J2990)</f>
        <v>0</v>
      </c>
      <c r="K2991" s="230">
        <f>SUM(K2985:K2990)</f>
        <v>0</v>
      </c>
    </row>
    <row r="2992" spans="1:11" ht="15" thickBot="1" x14ac:dyDescent="0.4">
      <c r="A2992" s="231" t="s">
        <v>313</v>
      </c>
      <c r="B2992" s="230">
        <f>+B2991+C2991+D2991+E2991</f>
        <v>3970</v>
      </c>
      <c r="C2992" s="230"/>
      <c r="D2992" s="230"/>
      <c r="E2992" s="230"/>
      <c r="G2992" s="231" t="s">
        <v>313</v>
      </c>
      <c r="H2992" s="230">
        <f>+H2991+I2991+J2991+K2991</f>
        <v>0</v>
      </c>
      <c r="I2992" s="230"/>
      <c r="J2992" s="230"/>
      <c r="K2992" s="230"/>
    </row>
    <row r="2993" spans="1:11" ht="15.5" thickTop="1" thickBot="1" x14ac:dyDescent="0.4">
      <c r="A2993" s="335" t="s">
        <v>298</v>
      </c>
      <c r="B2993" s="336"/>
      <c r="C2993" s="336"/>
      <c r="D2993" s="336"/>
      <c r="E2993" s="337"/>
      <c r="G2993" s="335" t="s">
        <v>298</v>
      </c>
      <c r="H2993" s="336"/>
      <c r="I2993" s="336"/>
      <c r="J2993" s="336"/>
      <c r="K2993" s="337"/>
    </row>
    <row r="2994" spans="1:11" ht="15.5" thickTop="1" thickBot="1" x14ac:dyDescent="0.4">
      <c r="A2994" s="338">
        <v>45562</v>
      </c>
      <c r="B2994" s="336"/>
      <c r="C2994" s="336"/>
      <c r="D2994" s="336"/>
      <c r="E2994" s="337"/>
      <c r="G2994" s="338">
        <v>45562</v>
      </c>
      <c r="H2994" s="336"/>
      <c r="I2994" s="336"/>
      <c r="J2994" s="336"/>
      <c r="K2994" s="337"/>
    </row>
    <row r="2995" spans="1:11" ht="15" thickTop="1" x14ac:dyDescent="0.35">
      <c r="A2995" s="267" t="s">
        <v>159</v>
      </c>
      <c r="B2995" s="267" t="s">
        <v>299</v>
      </c>
      <c r="C2995" s="267" t="s">
        <v>307</v>
      </c>
      <c r="D2995" s="267" t="s">
        <v>301</v>
      </c>
      <c r="E2995" s="268" t="s">
        <v>308</v>
      </c>
      <c r="G2995" s="267" t="s">
        <v>159</v>
      </c>
      <c r="H2995" s="267" t="s">
        <v>299</v>
      </c>
      <c r="I2995" s="267" t="s">
        <v>307</v>
      </c>
      <c r="J2995" s="267" t="s">
        <v>301</v>
      </c>
      <c r="K2995" s="268" t="s">
        <v>308</v>
      </c>
    </row>
    <row r="2996" spans="1:11" x14ac:dyDescent="0.35">
      <c r="A2996" s="269" t="s">
        <v>316</v>
      </c>
      <c r="B2996" s="270"/>
      <c r="C2996" s="270"/>
      <c r="D2996" s="270"/>
      <c r="E2996" s="270"/>
      <c r="G2996" s="269" t="s">
        <v>500</v>
      </c>
      <c r="H2996" s="270">
        <v>764</v>
      </c>
      <c r="I2996" s="270"/>
      <c r="J2996" s="270"/>
      <c r="K2996" s="270"/>
    </row>
    <row r="2997" spans="1:11" x14ac:dyDescent="0.35">
      <c r="A2997" s="271" t="s">
        <v>309</v>
      </c>
      <c r="B2997" s="272"/>
      <c r="C2997" s="272"/>
      <c r="D2997" s="272"/>
      <c r="E2997" s="272"/>
      <c r="G2997" s="271" t="s">
        <v>309</v>
      </c>
      <c r="H2997" s="272"/>
      <c r="I2997" s="272"/>
      <c r="J2997" s="272"/>
      <c r="K2997" s="272"/>
    </row>
    <row r="2998" spans="1:11" x14ac:dyDescent="0.35">
      <c r="A2998" s="269" t="s">
        <v>310</v>
      </c>
      <c r="B2998" s="270"/>
      <c r="C2998" s="270"/>
      <c r="D2998" s="270"/>
      <c r="E2998" s="270"/>
      <c r="G2998" s="269" t="s">
        <v>310</v>
      </c>
      <c r="H2998" s="270"/>
      <c r="I2998" s="270"/>
      <c r="J2998" s="270"/>
      <c r="K2998" s="270"/>
    </row>
    <row r="2999" spans="1:11" x14ac:dyDescent="0.35">
      <c r="A2999" s="271" t="s">
        <v>317</v>
      </c>
      <c r="B2999" s="272"/>
      <c r="C2999" s="272"/>
      <c r="D2999" s="272"/>
      <c r="E2999" s="272"/>
      <c r="G2999" s="271" t="s">
        <v>317</v>
      </c>
      <c r="H2999" s="272"/>
      <c r="I2999" s="272"/>
      <c r="J2999" s="272"/>
      <c r="K2999" s="272"/>
    </row>
    <row r="3000" spans="1:11" x14ac:dyDescent="0.35">
      <c r="A3000" s="269" t="s">
        <v>311</v>
      </c>
      <c r="B3000" s="270"/>
      <c r="C3000" s="270"/>
      <c r="D3000" s="270"/>
      <c r="E3000" s="270"/>
      <c r="G3000" s="269" t="s">
        <v>311</v>
      </c>
      <c r="H3000" s="270"/>
      <c r="I3000" s="270"/>
      <c r="J3000" s="270"/>
      <c r="K3000" s="270"/>
    </row>
    <row r="3001" spans="1:11" x14ac:dyDescent="0.35">
      <c r="A3001" s="271" t="s">
        <v>312</v>
      </c>
      <c r="B3001" s="272">
        <v>4300</v>
      </c>
      <c r="C3001" s="272"/>
      <c r="D3001" s="272"/>
      <c r="E3001" s="272"/>
      <c r="G3001" s="271" t="s">
        <v>312</v>
      </c>
      <c r="H3001" s="272"/>
      <c r="I3001" s="272"/>
      <c r="J3001" s="272"/>
      <c r="K3001" s="272"/>
    </row>
    <row r="3002" spans="1:11" x14ac:dyDescent="0.35">
      <c r="A3002" s="231" t="s">
        <v>34</v>
      </c>
      <c r="B3002" s="230">
        <f>SUM(B2996:B3001)</f>
        <v>4300</v>
      </c>
      <c r="C3002" s="230">
        <f>SUM(C2996:C3001)</f>
        <v>0</v>
      </c>
      <c r="D3002" s="230">
        <f>SUM(D2996:D3001)</f>
        <v>0</v>
      </c>
      <c r="E3002" s="230">
        <f>SUM(E2996:E3001)</f>
        <v>0</v>
      </c>
      <c r="G3002" s="231" t="s">
        <v>34</v>
      </c>
      <c r="H3002" s="230">
        <f>SUM(H2996:H3001)</f>
        <v>764</v>
      </c>
      <c r="I3002" s="230">
        <f>SUM(I2996:I3001)</f>
        <v>0</v>
      </c>
      <c r="J3002" s="230">
        <f>SUM(J2996:J3001)</f>
        <v>0</v>
      </c>
      <c r="K3002" s="230">
        <f>SUM(K2996:K3001)</f>
        <v>0</v>
      </c>
    </row>
    <row r="3003" spans="1:11" ht="15" thickBot="1" x14ac:dyDescent="0.4">
      <c r="A3003" s="231" t="s">
        <v>313</v>
      </c>
      <c r="B3003" s="230">
        <f>+B3002+C3002+D3002+E3002</f>
        <v>4300</v>
      </c>
      <c r="C3003" s="230"/>
      <c r="D3003" s="230"/>
      <c r="E3003" s="230"/>
      <c r="G3003" s="231" t="s">
        <v>313</v>
      </c>
      <c r="H3003" s="230">
        <f>+H3002+I3002+J3002+K3002</f>
        <v>764</v>
      </c>
      <c r="I3003" s="230"/>
      <c r="J3003" s="230"/>
      <c r="K3003" s="230"/>
    </row>
    <row r="3004" spans="1:11" ht="15.5" thickTop="1" thickBot="1" x14ac:dyDescent="0.4">
      <c r="A3004" s="335" t="s">
        <v>298</v>
      </c>
      <c r="B3004" s="336"/>
      <c r="C3004" s="336"/>
      <c r="D3004" s="336"/>
      <c r="E3004" s="337"/>
      <c r="G3004" s="335" t="s">
        <v>298</v>
      </c>
      <c r="H3004" s="336"/>
      <c r="I3004" s="336"/>
      <c r="J3004" s="336"/>
      <c r="K3004" s="337"/>
    </row>
    <row r="3005" spans="1:11" ht="15.5" thickTop="1" thickBot="1" x14ac:dyDescent="0.4">
      <c r="A3005" s="338">
        <v>45563</v>
      </c>
      <c r="B3005" s="336"/>
      <c r="C3005" s="336"/>
      <c r="D3005" s="336"/>
      <c r="E3005" s="337"/>
      <c r="G3005" s="338">
        <v>45563</v>
      </c>
      <c r="H3005" s="336"/>
      <c r="I3005" s="336"/>
      <c r="J3005" s="336"/>
      <c r="K3005" s="337"/>
    </row>
    <row r="3006" spans="1:11" ht="15" thickTop="1" x14ac:dyDescent="0.35">
      <c r="A3006" s="267" t="s">
        <v>159</v>
      </c>
      <c r="B3006" s="267" t="s">
        <v>299</v>
      </c>
      <c r="C3006" s="267" t="s">
        <v>307</v>
      </c>
      <c r="D3006" s="267" t="s">
        <v>301</v>
      </c>
      <c r="E3006" s="268" t="s">
        <v>308</v>
      </c>
      <c r="G3006" s="267" t="s">
        <v>159</v>
      </c>
      <c r="H3006" s="267" t="s">
        <v>299</v>
      </c>
      <c r="I3006" s="267" t="s">
        <v>307</v>
      </c>
      <c r="J3006" s="267" t="s">
        <v>301</v>
      </c>
      <c r="K3006" s="268" t="s">
        <v>308</v>
      </c>
    </row>
    <row r="3007" spans="1:11" x14ac:dyDescent="0.35">
      <c r="A3007" s="269" t="s">
        <v>345</v>
      </c>
      <c r="B3007" s="270">
        <v>2500</v>
      </c>
      <c r="C3007" s="270"/>
      <c r="D3007" s="270"/>
      <c r="E3007" s="270"/>
      <c r="G3007" s="269" t="s">
        <v>345</v>
      </c>
      <c r="H3007" s="270">
        <v>1400</v>
      </c>
      <c r="I3007" s="270"/>
      <c r="J3007" s="270"/>
      <c r="K3007" s="270"/>
    </row>
    <row r="3008" spans="1:11" x14ac:dyDescent="0.35">
      <c r="A3008" s="271" t="s">
        <v>345</v>
      </c>
      <c r="B3008" s="272">
        <v>1700</v>
      </c>
      <c r="C3008" s="272"/>
      <c r="D3008" s="272"/>
      <c r="E3008" s="272"/>
      <c r="G3008" s="271" t="s">
        <v>309</v>
      </c>
      <c r="H3008" s="272"/>
      <c r="I3008" s="272"/>
      <c r="J3008" s="272"/>
      <c r="K3008" s="272"/>
    </row>
    <row r="3009" spans="1:11" x14ac:dyDescent="0.35">
      <c r="A3009" s="269" t="s">
        <v>310</v>
      </c>
      <c r="B3009" s="270"/>
      <c r="C3009" s="270"/>
      <c r="D3009" s="270"/>
      <c r="E3009" s="270"/>
      <c r="G3009" s="269" t="s">
        <v>310</v>
      </c>
      <c r="H3009" s="270"/>
      <c r="I3009" s="270"/>
      <c r="J3009" s="270"/>
      <c r="K3009" s="270"/>
    </row>
    <row r="3010" spans="1:11" x14ac:dyDescent="0.35">
      <c r="A3010" s="271" t="s">
        <v>317</v>
      </c>
      <c r="B3010" s="272"/>
      <c r="C3010" s="272"/>
      <c r="D3010" s="272"/>
      <c r="E3010" s="272"/>
      <c r="G3010" s="271" t="s">
        <v>317</v>
      </c>
      <c r="H3010" s="272"/>
      <c r="I3010" s="272"/>
      <c r="J3010" s="272"/>
      <c r="K3010" s="272"/>
    </row>
    <row r="3011" spans="1:11" x14ac:dyDescent="0.35">
      <c r="A3011" s="269" t="s">
        <v>311</v>
      </c>
      <c r="B3011" s="270"/>
      <c r="C3011" s="270"/>
      <c r="D3011" s="270"/>
      <c r="E3011" s="270"/>
      <c r="G3011" s="269" t="s">
        <v>311</v>
      </c>
      <c r="H3011" s="270"/>
      <c r="I3011" s="270"/>
      <c r="J3011" s="270"/>
      <c r="K3011" s="270"/>
    </row>
    <row r="3012" spans="1:11" x14ac:dyDescent="0.35">
      <c r="A3012" s="271" t="s">
        <v>312</v>
      </c>
      <c r="B3012" s="272">
        <v>1480</v>
      </c>
      <c r="C3012" s="272"/>
      <c r="D3012" s="272"/>
      <c r="E3012" s="272"/>
      <c r="G3012" s="271" t="s">
        <v>312</v>
      </c>
      <c r="H3012" s="272"/>
      <c r="I3012" s="272"/>
      <c r="J3012" s="272"/>
      <c r="K3012" s="272"/>
    </row>
    <row r="3013" spans="1:11" x14ac:dyDescent="0.35">
      <c r="A3013" s="231" t="s">
        <v>34</v>
      </c>
      <c r="B3013" s="230">
        <f>SUM(B3007:B3012)</f>
        <v>5680</v>
      </c>
      <c r="C3013" s="230">
        <f>SUM(C3007:C3012)</f>
        <v>0</v>
      </c>
      <c r="D3013" s="230">
        <f>SUM(D3007:D3012)</f>
        <v>0</v>
      </c>
      <c r="E3013" s="230">
        <f>SUM(E3007:E3012)</f>
        <v>0</v>
      </c>
      <c r="G3013" s="231" t="s">
        <v>34</v>
      </c>
      <c r="H3013" s="230">
        <f>SUM(H3007:H3012)</f>
        <v>1400</v>
      </c>
      <c r="I3013" s="230">
        <f>SUM(I3007:I3012)</f>
        <v>0</v>
      </c>
      <c r="J3013" s="230">
        <f>SUM(J3007:J3012)</f>
        <v>0</v>
      </c>
      <c r="K3013" s="230">
        <f>SUM(K3007:K3012)</f>
        <v>0</v>
      </c>
    </row>
    <row r="3014" spans="1:11" ht="15" thickBot="1" x14ac:dyDescent="0.4">
      <c r="A3014" s="231" t="s">
        <v>313</v>
      </c>
      <c r="B3014" s="230">
        <f>+B3013+C3013+D3013+E3013</f>
        <v>5680</v>
      </c>
      <c r="C3014" s="230"/>
      <c r="D3014" s="230"/>
      <c r="E3014" s="230"/>
      <c r="G3014" s="231" t="s">
        <v>313</v>
      </c>
      <c r="H3014" s="230">
        <f>+H3013+I3013+J3013+K3013</f>
        <v>1400</v>
      </c>
      <c r="I3014" s="230"/>
      <c r="J3014" s="230"/>
      <c r="K3014" s="230"/>
    </row>
    <row r="3015" spans="1:11" ht="15.5" thickTop="1" thickBot="1" x14ac:dyDescent="0.4">
      <c r="A3015" s="335" t="s">
        <v>298</v>
      </c>
      <c r="B3015" s="336"/>
      <c r="C3015" s="336"/>
      <c r="D3015" s="336"/>
      <c r="E3015" s="337"/>
      <c r="G3015" s="335" t="s">
        <v>298</v>
      </c>
      <c r="H3015" s="336"/>
      <c r="I3015" s="336"/>
      <c r="J3015" s="336"/>
      <c r="K3015" s="337"/>
    </row>
    <row r="3016" spans="1:11" ht="15.5" thickTop="1" thickBot="1" x14ac:dyDescent="0.4">
      <c r="A3016" s="338">
        <v>45564</v>
      </c>
      <c r="B3016" s="336"/>
      <c r="C3016" s="336"/>
      <c r="D3016" s="336"/>
      <c r="E3016" s="337"/>
      <c r="G3016" s="338">
        <v>45564</v>
      </c>
      <c r="H3016" s="336"/>
      <c r="I3016" s="336"/>
      <c r="J3016" s="336"/>
      <c r="K3016" s="337"/>
    </row>
    <row r="3017" spans="1:11" ht="15" thickTop="1" x14ac:dyDescent="0.35">
      <c r="A3017" s="267" t="s">
        <v>159</v>
      </c>
      <c r="B3017" s="267" t="s">
        <v>299</v>
      </c>
      <c r="C3017" s="267" t="s">
        <v>307</v>
      </c>
      <c r="D3017" s="267" t="s">
        <v>301</v>
      </c>
      <c r="E3017" s="268" t="s">
        <v>308</v>
      </c>
      <c r="G3017" s="267" t="s">
        <v>159</v>
      </c>
      <c r="H3017" s="267" t="s">
        <v>299</v>
      </c>
      <c r="I3017" s="267" t="s">
        <v>307</v>
      </c>
      <c r="J3017" s="267" t="s">
        <v>301</v>
      </c>
      <c r="K3017" s="268" t="s">
        <v>308</v>
      </c>
    </row>
    <row r="3018" spans="1:11" x14ac:dyDescent="0.35">
      <c r="A3018" s="269" t="s">
        <v>316</v>
      </c>
      <c r="B3018" s="270">
        <v>100</v>
      </c>
      <c r="C3018" s="270"/>
      <c r="D3018" s="270"/>
      <c r="E3018" s="270"/>
      <c r="G3018" s="269" t="s">
        <v>316</v>
      </c>
      <c r="H3018" s="270"/>
      <c r="I3018" s="270"/>
      <c r="J3018" s="270"/>
      <c r="K3018" s="270"/>
    </row>
    <row r="3019" spans="1:11" x14ac:dyDescent="0.35">
      <c r="A3019" s="271" t="s">
        <v>309</v>
      </c>
      <c r="B3019" s="272"/>
      <c r="C3019" s="272"/>
      <c r="D3019" s="272"/>
      <c r="E3019" s="272"/>
      <c r="G3019" s="271" t="s">
        <v>309</v>
      </c>
      <c r="H3019" s="272"/>
      <c r="I3019" s="272"/>
      <c r="J3019" s="272"/>
      <c r="K3019" s="272"/>
    </row>
    <row r="3020" spans="1:11" x14ac:dyDescent="0.35">
      <c r="A3020" s="269" t="s">
        <v>310</v>
      </c>
      <c r="B3020" s="270"/>
      <c r="C3020" s="270"/>
      <c r="D3020" s="270"/>
      <c r="E3020" s="270"/>
      <c r="G3020" s="269" t="s">
        <v>310</v>
      </c>
      <c r="H3020" s="270"/>
      <c r="I3020" s="270"/>
      <c r="J3020" s="270"/>
      <c r="K3020" s="270"/>
    </row>
    <row r="3021" spans="1:11" x14ac:dyDescent="0.35">
      <c r="A3021" s="271" t="s">
        <v>317</v>
      </c>
      <c r="B3021" s="272"/>
      <c r="C3021" s="272"/>
      <c r="D3021" s="272"/>
      <c r="E3021" s="272"/>
      <c r="G3021" s="271" t="s">
        <v>317</v>
      </c>
      <c r="H3021" s="272"/>
      <c r="I3021" s="272"/>
      <c r="J3021" s="272"/>
      <c r="K3021" s="272"/>
    </row>
    <row r="3022" spans="1:11" x14ac:dyDescent="0.35">
      <c r="A3022" s="269" t="s">
        <v>311</v>
      </c>
      <c r="B3022" s="270"/>
      <c r="C3022" s="270"/>
      <c r="D3022" s="270"/>
      <c r="E3022" s="270"/>
      <c r="G3022" s="269" t="s">
        <v>311</v>
      </c>
      <c r="H3022" s="270"/>
      <c r="I3022" s="270"/>
      <c r="J3022" s="270"/>
      <c r="K3022" s="270"/>
    </row>
    <row r="3023" spans="1:11" x14ac:dyDescent="0.35">
      <c r="A3023" s="271" t="s">
        <v>312</v>
      </c>
      <c r="B3023" s="272"/>
      <c r="C3023" s="272"/>
      <c r="D3023" s="272"/>
      <c r="E3023" s="272"/>
      <c r="G3023" s="271" t="s">
        <v>312</v>
      </c>
      <c r="H3023" s="272"/>
      <c r="I3023" s="272"/>
      <c r="J3023" s="272"/>
      <c r="K3023" s="272"/>
    </row>
    <row r="3024" spans="1:11" x14ac:dyDescent="0.35">
      <c r="A3024" s="231" t="s">
        <v>34</v>
      </c>
      <c r="B3024" s="230">
        <f>SUM(B3018:B3023)</f>
        <v>100</v>
      </c>
      <c r="C3024" s="230">
        <f>SUM(C3018:C3023)</f>
        <v>0</v>
      </c>
      <c r="D3024" s="230">
        <f>SUM(D3018:D3023)</f>
        <v>0</v>
      </c>
      <c r="E3024" s="230">
        <f>SUM(E3018:E3023)</f>
        <v>0</v>
      </c>
      <c r="G3024" s="231" t="s">
        <v>34</v>
      </c>
      <c r="H3024" s="230">
        <f>SUM(H3018:H3023)</f>
        <v>0</v>
      </c>
      <c r="I3024" s="230">
        <f>SUM(I3018:I3023)</f>
        <v>0</v>
      </c>
      <c r="J3024" s="230">
        <f>SUM(J3018:J3023)</f>
        <v>0</v>
      </c>
      <c r="K3024" s="230">
        <f>SUM(K3018:K3023)</f>
        <v>0</v>
      </c>
    </row>
    <row r="3025" spans="1:13" ht="15" thickBot="1" x14ac:dyDescent="0.4">
      <c r="A3025" s="231" t="s">
        <v>313</v>
      </c>
      <c r="B3025" s="230">
        <f>+B3024+C3024+D3024+E3024</f>
        <v>100</v>
      </c>
      <c r="C3025" s="230"/>
      <c r="D3025" s="230"/>
      <c r="E3025" s="230"/>
      <c r="G3025" s="231" t="s">
        <v>313</v>
      </c>
      <c r="H3025" s="230">
        <f>+H3024+I3024+J3024+K3024</f>
        <v>0</v>
      </c>
      <c r="I3025" s="230"/>
      <c r="J3025" s="230"/>
      <c r="K3025" s="230"/>
    </row>
    <row r="3026" spans="1:13" ht="15.5" thickTop="1" thickBot="1" x14ac:dyDescent="0.4">
      <c r="A3026" s="335" t="s">
        <v>298</v>
      </c>
      <c r="B3026" s="336"/>
      <c r="C3026" s="336"/>
      <c r="D3026" s="336"/>
      <c r="E3026" s="337"/>
      <c r="G3026" s="335" t="s">
        <v>298</v>
      </c>
      <c r="H3026" s="336"/>
      <c r="I3026" s="336"/>
      <c r="J3026" s="336"/>
      <c r="K3026" s="337"/>
    </row>
    <row r="3027" spans="1:13" ht="15.5" thickTop="1" thickBot="1" x14ac:dyDescent="0.4">
      <c r="A3027" s="338">
        <v>45565</v>
      </c>
      <c r="B3027" s="336"/>
      <c r="C3027" s="336"/>
      <c r="D3027" s="336"/>
      <c r="E3027" s="337"/>
      <c r="G3027" s="338">
        <v>45565</v>
      </c>
      <c r="H3027" s="336"/>
      <c r="I3027" s="336"/>
      <c r="J3027" s="336"/>
      <c r="K3027" s="337"/>
    </row>
    <row r="3028" spans="1:13" ht="15" thickTop="1" x14ac:dyDescent="0.35">
      <c r="A3028" s="267" t="s">
        <v>159</v>
      </c>
      <c r="B3028" s="267" t="s">
        <v>299</v>
      </c>
      <c r="C3028" s="267" t="s">
        <v>307</v>
      </c>
      <c r="D3028" s="267" t="s">
        <v>301</v>
      </c>
      <c r="E3028" s="268" t="s">
        <v>308</v>
      </c>
      <c r="G3028" s="267" t="s">
        <v>159</v>
      </c>
      <c r="H3028" s="267" t="s">
        <v>299</v>
      </c>
      <c r="I3028" s="267" t="s">
        <v>307</v>
      </c>
      <c r="J3028" s="267" t="s">
        <v>301</v>
      </c>
      <c r="K3028" s="268" t="s">
        <v>308</v>
      </c>
    </row>
    <row r="3029" spans="1:13" x14ac:dyDescent="0.35">
      <c r="A3029" s="269" t="s">
        <v>316</v>
      </c>
      <c r="B3029" s="270"/>
      <c r="C3029" s="270"/>
      <c r="D3029" s="270"/>
      <c r="E3029" s="270"/>
      <c r="G3029" s="269" t="s">
        <v>316</v>
      </c>
      <c r="H3029" s="270"/>
      <c r="I3029" s="270"/>
      <c r="J3029" s="270"/>
      <c r="K3029" s="270"/>
    </row>
    <row r="3030" spans="1:13" x14ac:dyDescent="0.35">
      <c r="A3030" s="271" t="s">
        <v>350</v>
      </c>
      <c r="B3030" s="272">
        <v>170</v>
      </c>
      <c r="C3030" s="272"/>
      <c r="D3030" s="272"/>
      <c r="E3030" s="272"/>
      <c r="G3030" s="271" t="s">
        <v>309</v>
      </c>
      <c r="H3030" s="272"/>
      <c r="I3030" s="272"/>
      <c r="J3030" s="272"/>
      <c r="K3030" s="272"/>
    </row>
    <row r="3031" spans="1:13" x14ac:dyDescent="0.35">
      <c r="A3031" s="269" t="s">
        <v>310</v>
      </c>
      <c r="B3031" s="270"/>
      <c r="C3031" s="270"/>
      <c r="D3031" s="270"/>
      <c r="E3031" s="270"/>
      <c r="G3031" s="269" t="s">
        <v>310</v>
      </c>
      <c r="H3031" s="270"/>
      <c r="I3031" s="270"/>
      <c r="J3031" s="270"/>
      <c r="K3031" s="270"/>
    </row>
    <row r="3032" spans="1:13" x14ac:dyDescent="0.35">
      <c r="A3032" s="271" t="s">
        <v>317</v>
      </c>
      <c r="B3032" s="272"/>
      <c r="C3032" s="272"/>
      <c r="D3032" s="272"/>
      <c r="E3032" s="272"/>
      <c r="G3032" s="271" t="s">
        <v>317</v>
      </c>
      <c r="H3032" s="272"/>
      <c r="I3032" s="272"/>
      <c r="J3032" s="272"/>
      <c r="K3032" s="272"/>
    </row>
    <row r="3033" spans="1:13" x14ac:dyDescent="0.35">
      <c r="A3033" s="269" t="s">
        <v>311</v>
      </c>
      <c r="B3033" s="270"/>
      <c r="C3033" s="270"/>
      <c r="D3033" s="270"/>
      <c r="E3033" s="270"/>
      <c r="G3033" s="269" t="s">
        <v>311</v>
      </c>
      <c r="H3033" s="270"/>
      <c r="I3033" s="270"/>
      <c r="J3033" s="270"/>
      <c r="K3033" s="270"/>
    </row>
    <row r="3034" spans="1:13" x14ac:dyDescent="0.35">
      <c r="A3034" s="271" t="s">
        <v>312</v>
      </c>
      <c r="B3034" s="272"/>
      <c r="C3034" s="272"/>
      <c r="D3034" s="272"/>
      <c r="E3034" s="272"/>
      <c r="G3034" s="271" t="s">
        <v>312</v>
      </c>
      <c r="H3034" s="272"/>
      <c r="I3034" s="272"/>
      <c r="J3034" s="272"/>
      <c r="K3034" s="272"/>
    </row>
    <row r="3035" spans="1:13" x14ac:dyDescent="0.35">
      <c r="A3035" s="231" t="s">
        <v>34</v>
      </c>
      <c r="B3035" s="230">
        <f>SUM(B3029:B3034)</f>
        <v>170</v>
      </c>
      <c r="C3035" s="230">
        <f>SUM(C3029:C3034)</f>
        <v>0</v>
      </c>
      <c r="D3035" s="230">
        <f>SUM(D3029:D3034)</f>
        <v>0</v>
      </c>
      <c r="E3035" s="230">
        <f>SUM(E3029:E3034)</f>
        <v>0</v>
      </c>
      <c r="G3035" s="231" t="s">
        <v>34</v>
      </c>
      <c r="H3035" s="230">
        <f>SUM(H3029:H3034)</f>
        <v>0</v>
      </c>
      <c r="I3035" s="230">
        <f>SUM(I3029:I3034)</f>
        <v>0</v>
      </c>
      <c r="J3035" s="230">
        <f>SUM(J3029:J3034)</f>
        <v>0</v>
      </c>
      <c r="K3035" s="230">
        <f>SUM(K3029:K3034)</f>
        <v>0</v>
      </c>
    </row>
    <row r="3036" spans="1:13" x14ac:dyDescent="0.35">
      <c r="A3036" s="231" t="s">
        <v>313</v>
      </c>
      <c r="B3036" s="230">
        <f>+B3035+C3035+D3035+E3035</f>
        <v>170</v>
      </c>
      <c r="C3036" s="230"/>
      <c r="D3036" s="230"/>
      <c r="E3036" s="230"/>
      <c r="G3036" s="231" t="s">
        <v>313</v>
      </c>
      <c r="H3036" s="230">
        <f>+H3035+I3035+J3035+K3035</f>
        <v>0</v>
      </c>
      <c r="I3036" s="230"/>
      <c r="J3036" s="230"/>
      <c r="K3036" s="230"/>
    </row>
    <row r="3038" spans="1:13" ht="15" thickBot="1" x14ac:dyDescent="0.4"/>
    <row r="3039" spans="1:13" ht="35" customHeight="1" thickBot="1" x14ac:dyDescent="0.4">
      <c r="A3039" s="327" t="s">
        <v>329</v>
      </c>
      <c r="B3039" s="328"/>
      <c r="C3039" s="328"/>
      <c r="D3039" s="328"/>
      <c r="E3039" s="328"/>
      <c r="F3039" s="329"/>
      <c r="G3039" s="330">
        <f>SUMIF($A$2707:M3025,"*"&amp;K3039&amp;"*",$B$2707:N3025)</f>
        <v>81667</v>
      </c>
      <c r="H3039" s="331"/>
      <c r="I3039" s="331"/>
      <c r="J3039" s="332"/>
      <c r="K3039" s="333" t="s">
        <v>313</v>
      </c>
      <c r="L3039" s="334"/>
      <c r="M3039" s="233">
        <f>+G3039</f>
        <v>81667</v>
      </c>
    </row>
    <row r="3040" spans="1:13" x14ac:dyDescent="0.35">
      <c r="A3040" s="47"/>
      <c r="B3040" s="47"/>
      <c r="C3040" s="47"/>
      <c r="D3040" s="47"/>
      <c r="E3040" s="47"/>
      <c r="F3040" s="47"/>
      <c r="G3040" s="47"/>
      <c r="H3040" s="47"/>
      <c r="I3040" s="47"/>
      <c r="J3040" s="47"/>
      <c r="K3040" s="47"/>
    </row>
    <row r="3041" spans="1:11" ht="15" thickBot="1" x14ac:dyDescent="0.4">
      <c r="A3041" s="47"/>
      <c r="B3041" s="47"/>
      <c r="C3041" s="47"/>
      <c r="D3041" s="47"/>
      <c r="E3041" s="47"/>
      <c r="F3041" s="47"/>
      <c r="G3041" s="47"/>
      <c r="H3041" s="47"/>
      <c r="I3041" s="47"/>
      <c r="J3041" s="47"/>
      <c r="K3041" s="47"/>
    </row>
    <row r="3042" spans="1:11" ht="15.5" thickTop="1" thickBot="1" x14ac:dyDescent="0.4">
      <c r="A3042" s="335" t="s">
        <v>298</v>
      </c>
      <c r="B3042" s="336"/>
      <c r="C3042" s="336"/>
      <c r="D3042" s="336"/>
      <c r="E3042" s="337"/>
      <c r="G3042" s="335" t="s">
        <v>298</v>
      </c>
      <c r="H3042" s="336"/>
      <c r="I3042" s="336"/>
      <c r="J3042" s="336"/>
      <c r="K3042" s="337"/>
    </row>
    <row r="3043" spans="1:11" ht="15.5" thickTop="1" thickBot="1" x14ac:dyDescent="0.4">
      <c r="A3043" s="338">
        <v>45566</v>
      </c>
      <c r="B3043" s="336"/>
      <c r="C3043" s="336"/>
      <c r="D3043" s="336"/>
      <c r="E3043" s="337"/>
      <c r="G3043" s="338">
        <v>45566</v>
      </c>
      <c r="H3043" s="336"/>
      <c r="I3043" s="336"/>
      <c r="J3043" s="336"/>
      <c r="K3043" s="337"/>
    </row>
    <row r="3044" spans="1:11" ht="15" thickTop="1" x14ac:dyDescent="0.35">
      <c r="A3044" s="267" t="s">
        <v>159</v>
      </c>
      <c r="B3044" s="267" t="s">
        <v>299</v>
      </c>
      <c r="C3044" s="267" t="s">
        <v>307</v>
      </c>
      <c r="D3044" s="267" t="s">
        <v>301</v>
      </c>
      <c r="E3044" s="268" t="s">
        <v>308</v>
      </c>
      <c r="G3044" s="267" t="s">
        <v>159</v>
      </c>
      <c r="H3044" s="267" t="s">
        <v>299</v>
      </c>
      <c r="I3044" s="267" t="s">
        <v>307</v>
      </c>
      <c r="J3044" s="267" t="s">
        <v>301</v>
      </c>
      <c r="K3044" s="268" t="s">
        <v>308</v>
      </c>
    </row>
    <row r="3045" spans="1:11" x14ac:dyDescent="0.35">
      <c r="A3045" s="269" t="s">
        <v>316</v>
      </c>
      <c r="B3045" s="270"/>
      <c r="C3045" s="270"/>
      <c r="D3045" s="270"/>
      <c r="E3045" s="270"/>
      <c r="G3045" s="269" t="s">
        <v>807</v>
      </c>
      <c r="H3045" s="270">
        <v>4088</v>
      </c>
      <c r="I3045" s="270"/>
      <c r="J3045" s="270"/>
      <c r="K3045" s="270"/>
    </row>
    <row r="3046" spans="1:11" x14ac:dyDescent="0.35">
      <c r="A3046" s="271" t="s">
        <v>309</v>
      </c>
      <c r="B3046" s="272"/>
      <c r="C3046" s="272"/>
      <c r="D3046" s="272"/>
      <c r="E3046" s="272"/>
      <c r="G3046" s="271" t="s">
        <v>309</v>
      </c>
      <c r="H3046" s="272"/>
      <c r="I3046" s="272"/>
      <c r="J3046" s="272"/>
      <c r="K3046" s="272"/>
    </row>
    <row r="3047" spans="1:11" x14ac:dyDescent="0.35">
      <c r="A3047" s="269" t="s">
        <v>310</v>
      </c>
      <c r="B3047" s="270"/>
      <c r="C3047" s="270"/>
      <c r="D3047" s="270"/>
      <c r="E3047" s="270"/>
      <c r="G3047" s="269" t="s">
        <v>310</v>
      </c>
      <c r="H3047" s="270"/>
      <c r="I3047" s="270"/>
      <c r="J3047" s="270"/>
      <c r="K3047" s="270"/>
    </row>
    <row r="3048" spans="1:11" x14ac:dyDescent="0.35">
      <c r="A3048" s="271" t="s">
        <v>317</v>
      </c>
      <c r="B3048" s="272"/>
      <c r="C3048" s="272"/>
      <c r="D3048" s="272"/>
      <c r="E3048" s="272"/>
      <c r="G3048" s="271" t="s">
        <v>317</v>
      </c>
      <c r="H3048" s="272"/>
      <c r="I3048" s="272"/>
      <c r="J3048" s="272"/>
      <c r="K3048" s="272"/>
    </row>
    <row r="3049" spans="1:11" x14ac:dyDescent="0.35">
      <c r="A3049" s="269" t="s">
        <v>311</v>
      </c>
      <c r="B3049" s="270"/>
      <c r="C3049" s="270"/>
      <c r="D3049" s="270"/>
      <c r="E3049" s="270"/>
      <c r="G3049" s="269" t="s">
        <v>311</v>
      </c>
      <c r="H3049" s="270"/>
      <c r="I3049" s="270"/>
      <c r="J3049" s="270"/>
      <c r="K3049" s="270"/>
    </row>
    <row r="3050" spans="1:11" x14ac:dyDescent="0.35">
      <c r="A3050" s="271" t="s">
        <v>312</v>
      </c>
      <c r="B3050" s="272">
        <v>4580</v>
      </c>
      <c r="C3050" s="272"/>
      <c r="D3050" s="272"/>
      <c r="E3050" s="272"/>
      <c r="G3050" s="271" t="s">
        <v>312</v>
      </c>
      <c r="H3050" s="272"/>
      <c r="I3050" s="272"/>
      <c r="J3050" s="272"/>
      <c r="K3050" s="272"/>
    </row>
    <row r="3051" spans="1:11" x14ac:dyDescent="0.35">
      <c r="A3051" s="231" t="s">
        <v>34</v>
      </c>
      <c r="B3051" s="230">
        <f>SUM(B3045:B3050)</f>
        <v>4580</v>
      </c>
      <c r="C3051" s="230">
        <f>SUM(C3045:C3050)</f>
        <v>0</v>
      </c>
      <c r="D3051" s="230">
        <f>SUM(D3045:D3050)</f>
        <v>0</v>
      </c>
      <c r="E3051" s="230">
        <f>SUM(E3045:E3050)</f>
        <v>0</v>
      </c>
      <c r="G3051" s="231" t="s">
        <v>34</v>
      </c>
      <c r="H3051" s="230">
        <f>SUM(H3045:H3050)</f>
        <v>4088</v>
      </c>
      <c r="I3051" s="230">
        <f>SUM(I3045:I3050)</f>
        <v>0</v>
      </c>
      <c r="J3051" s="230">
        <f>SUM(J3045:J3050)</f>
        <v>0</v>
      </c>
      <c r="K3051" s="230">
        <f>SUM(K3045:K3050)</f>
        <v>0</v>
      </c>
    </row>
    <row r="3052" spans="1:11" ht="15" thickBot="1" x14ac:dyDescent="0.4">
      <c r="A3052" s="231" t="s">
        <v>313</v>
      </c>
      <c r="B3052" s="230">
        <f>+B3051+C3051+D3051+E3051</f>
        <v>4580</v>
      </c>
      <c r="C3052" s="230"/>
      <c r="D3052" s="230"/>
      <c r="E3052" s="230"/>
      <c r="G3052" s="231" t="s">
        <v>313</v>
      </c>
      <c r="H3052" s="230">
        <f>+H3051+I3051+J3051+K3051</f>
        <v>4088</v>
      </c>
      <c r="I3052" s="230"/>
      <c r="J3052" s="230"/>
      <c r="K3052" s="230"/>
    </row>
    <row r="3053" spans="1:11" ht="15.5" thickTop="1" thickBot="1" x14ac:dyDescent="0.4">
      <c r="A3053" s="335" t="s">
        <v>298</v>
      </c>
      <c r="B3053" s="336"/>
      <c r="C3053" s="336"/>
      <c r="D3053" s="336"/>
      <c r="E3053" s="337"/>
      <c r="G3053" s="335" t="s">
        <v>298</v>
      </c>
      <c r="H3053" s="336"/>
      <c r="I3053" s="336"/>
      <c r="J3053" s="336"/>
      <c r="K3053" s="337"/>
    </row>
    <row r="3054" spans="1:11" ht="15.5" thickTop="1" thickBot="1" x14ac:dyDescent="0.4">
      <c r="A3054" s="338">
        <v>45567</v>
      </c>
      <c r="B3054" s="336"/>
      <c r="C3054" s="336"/>
      <c r="D3054" s="336"/>
      <c r="E3054" s="337"/>
      <c r="G3054" s="338">
        <v>45567</v>
      </c>
      <c r="H3054" s="336"/>
      <c r="I3054" s="336"/>
      <c r="J3054" s="336"/>
      <c r="K3054" s="337"/>
    </row>
    <row r="3055" spans="1:11" ht="15" thickTop="1" x14ac:dyDescent="0.35">
      <c r="A3055" s="267" t="s">
        <v>159</v>
      </c>
      <c r="B3055" s="267" t="s">
        <v>299</v>
      </c>
      <c r="C3055" s="267" t="s">
        <v>307</v>
      </c>
      <c r="D3055" s="267" t="s">
        <v>301</v>
      </c>
      <c r="E3055" s="268" t="s">
        <v>308</v>
      </c>
      <c r="G3055" s="267" t="s">
        <v>159</v>
      </c>
      <c r="H3055" s="267" t="s">
        <v>299</v>
      </c>
      <c r="I3055" s="267" t="s">
        <v>307</v>
      </c>
      <c r="J3055" s="267" t="s">
        <v>301</v>
      </c>
      <c r="K3055" s="268" t="s">
        <v>308</v>
      </c>
    </row>
    <row r="3056" spans="1:11" x14ac:dyDescent="0.35">
      <c r="A3056" s="269" t="s">
        <v>316</v>
      </c>
      <c r="B3056" s="270">
        <v>110</v>
      </c>
      <c r="C3056" s="270"/>
      <c r="D3056" s="270"/>
      <c r="E3056" s="270"/>
      <c r="G3056" s="269" t="s">
        <v>316</v>
      </c>
      <c r="H3056" s="270"/>
      <c r="I3056" s="270"/>
      <c r="J3056" s="270"/>
      <c r="K3056" s="270"/>
    </row>
    <row r="3057" spans="1:11" x14ac:dyDescent="0.35">
      <c r="A3057" s="271" t="s">
        <v>309</v>
      </c>
      <c r="B3057" s="272">
        <v>415</v>
      </c>
      <c r="C3057" s="272"/>
      <c r="D3057" s="272"/>
      <c r="E3057" s="272"/>
      <c r="G3057" s="271" t="s">
        <v>309</v>
      </c>
      <c r="H3057" s="272"/>
      <c r="I3057" s="272"/>
      <c r="J3057" s="272"/>
      <c r="K3057" s="272"/>
    </row>
    <row r="3058" spans="1:11" x14ac:dyDescent="0.35">
      <c r="A3058" s="269" t="s">
        <v>310</v>
      </c>
      <c r="B3058" s="270"/>
      <c r="C3058" s="270"/>
      <c r="D3058" s="270"/>
      <c r="E3058" s="270"/>
      <c r="G3058" s="269" t="s">
        <v>310</v>
      </c>
      <c r="H3058" s="270"/>
      <c r="I3058" s="270"/>
      <c r="J3058" s="270"/>
      <c r="K3058" s="270"/>
    </row>
    <row r="3059" spans="1:11" x14ac:dyDescent="0.35">
      <c r="A3059" s="271" t="s">
        <v>317</v>
      </c>
      <c r="B3059" s="272"/>
      <c r="C3059" s="272"/>
      <c r="D3059" s="272"/>
      <c r="E3059" s="272"/>
      <c r="G3059" s="271" t="s">
        <v>317</v>
      </c>
      <c r="H3059" s="272"/>
      <c r="I3059" s="272"/>
      <c r="J3059" s="272"/>
      <c r="K3059" s="272"/>
    </row>
    <row r="3060" spans="1:11" x14ac:dyDescent="0.35">
      <c r="A3060" s="269" t="s">
        <v>311</v>
      </c>
      <c r="B3060" s="270"/>
      <c r="C3060" s="270"/>
      <c r="D3060" s="270"/>
      <c r="E3060" s="270"/>
      <c r="G3060" s="269" t="s">
        <v>311</v>
      </c>
      <c r="H3060" s="270"/>
      <c r="I3060" s="270"/>
      <c r="J3060" s="270"/>
      <c r="K3060" s="270"/>
    </row>
    <row r="3061" spans="1:11" x14ac:dyDescent="0.35">
      <c r="A3061" s="271" t="s">
        <v>312</v>
      </c>
      <c r="B3061" s="272"/>
      <c r="C3061" s="272"/>
      <c r="D3061" s="272"/>
      <c r="E3061" s="272"/>
      <c r="G3061" s="271" t="s">
        <v>312</v>
      </c>
      <c r="H3061" s="272"/>
      <c r="I3061" s="272"/>
      <c r="J3061" s="272"/>
      <c r="K3061" s="272"/>
    </row>
    <row r="3062" spans="1:11" x14ac:dyDescent="0.35">
      <c r="A3062" s="231" t="s">
        <v>34</v>
      </c>
      <c r="B3062" s="230">
        <f>SUM(B3056:B3061)</f>
        <v>525</v>
      </c>
      <c r="C3062" s="230">
        <f>SUM(C3056:C3061)</f>
        <v>0</v>
      </c>
      <c r="D3062" s="230">
        <f>SUM(D3056:D3061)</f>
        <v>0</v>
      </c>
      <c r="E3062" s="230">
        <f>SUM(E3056:E3061)</f>
        <v>0</v>
      </c>
      <c r="G3062" s="231" t="s">
        <v>34</v>
      </c>
      <c r="H3062" s="230">
        <f>SUM(H3056:H3061)</f>
        <v>0</v>
      </c>
      <c r="I3062" s="230">
        <f>SUM(I3056:I3061)</f>
        <v>0</v>
      </c>
      <c r="J3062" s="230">
        <f>SUM(J3056:J3061)</f>
        <v>0</v>
      </c>
      <c r="K3062" s="230">
        <f>SUM(K3056:K3061)</f>
        <v>0</v>
      </c>
    </row>
    <row r="3063" spans="1:11" ht="15" thickBot="1" x14ac:dyDescent="0.4">
      <c r="A3063" s="231" t="s">
        <v>313</v>
      </c>
      <c r="B3063" s="230">
        <f>+B3062+C3062+D3062+E3062</f>
        <v>525</v>
      </c>
      <c r="C3063" s="230"/>
      <c r="D3063" s="230"/>
      <c r="E3063" s="230"/>
      <c r="G3063" s="231" t="s">
        <v>313</v>
      </c>
      <c r="H3063" s="230">
        <f>+H3062+I3062+J3062+K3062</f>
        <v>0</v>
      </c>
      <c r="I3063" s="230"/>
      <c r="J3063" s="230"/>
      <c r="K3063" s="230"/>
    </row>
    <row r="3064" spans="1:11" ht="15.5" thickTop="1" thickBot="1" x14ac:dyDescent="0.4">
      <c r="A3064" s="335" t="s">
        <v>298</v>
      </c>
      <c r="B3064" s="336"/>
      <c r="C3064" s="336"/>
      <c r="D3064" s="336"/>
      <c r="E3064" s="337"/>
      <c r="G3064" s="335" t="s">
        <v>298</v>
      </c>
      <c r="H3064" s="336"/>
      <c r="I3064" s="336"/>
      <c r="J3064" s="336"/>
      <c r="K3064" s="337"/>
    </row>
    <row r="3065" spans="1:11" ht="15.5" thickTop="1" thickBot="1" x14ac:dyDescent="0.4">
      <c r="A3065" s="338">
        <v>45568</v>
      </c>
      <c r="B3065" s="336"/>
      <c r="C3065" s="336"/>
      <c r="D3065" s="336"/>
      <c r="E3065" s="337"/>
      <c r="G3065" s="338">
        <v>45568</v>
      </c>
      <c r="H3065" s="336"/>
      <c r="I3065" s="336"/>
      <c r="J3065" s="336"/>
      <c r="K3065" s="337"/>
    </row>
    <row r="3066" spans="1:11" ht="15" thickTop="1" x14ac:dyDescent="0.35">
      <c r="A3066" s="267" t="s">
        <v>159</v>
      </c>
      <c r="B3066" s="267" t="s">
        <v>299</v>
      </c>
      <c r="C3066" s="267" t="s">
        <v>307</v>
      </c>
      <c r="D3066" s="267" t="s">
        <v>301</v>
      </c>
      <c r="E3066" s="268" t="s">
        <v>308</v>
      </c>
      <c r="G3066" s="267" t="s">
        <v>159</v>
      </c>
      <c r="H3066" s="267" t="s">
        <v>299</v>
      </c>
      <c r="I3066" s="267" t="s">
        <v>307</v>
      </c>
      <c r="J3066" s="267" t="s">
        <v>301</v>
      </c>
      <c r="K3066" s="268" t="s">
        <v>308</v>
      </c>
    </row>
    <row r="3067" spans="1:11" x14ac:dyDescent="0.35">
      <c r="A3067" s="269" t="s">
        <v>316</v>
      </c>
      <c r="B3067" s="270"/>
      <c r="C3067" s="270"/>
      <c r="D3067" s="270"/>
      <c r="E3067" s="270"/>
      <c r="G3067" s="269" t="s">
        <v>316</v>
      </c>
      <c r="H3067" s="270"/>
      <c r="I3067" s="270"/>
      <c r="J3067" s="270"/>
      <c r="K3067" s="270"/>
    </row>
    <row r="3068" spans="1:11" x14ac:dyDescent="0.35">
      <c r="A3068" s="271" t="s">
        <v>309</v>
      </c>
      <c r="B3068" s="272"/>
      <c r="C3068" s="272"/>
      <c r="D3068" s="272"/>
      <c r="E3068" s="272"/>
      <c r="G3068" s="271" t="s">
        <v>309</v>
      </c>
      <c r="H3068" s="272"/>
      <c r="I3068" s="272"/>
      <c r="J3068" s="272"/>
      <c r="K3068" s="272"/>
    </row>
    <row r="3069" spans="1:11" x14ac:dyDescent="0.35">
      <c r="A3069" s="269" t="s">
        <v>310</v>
      </c>
      <c r="B3069" s="270"/>
      <c r="C3069" s="270"/>
      <c r="D3069" s="270"/>
      <c r="E3069" s="270"/>
      <c r="G3069" s="269" t="s">
        <v>310</v>
      </c>
      <c r="H3069" s="270"/>
      <c r="I3069" s="270"/>
      <c r="J3069" s="270"/>
      <c r="K3069" s="270"/>
    </row>
    <row r="3070" spans="1:11" x14ac:dyDescent="0.35">
      <c r="A3070" s="271" t="s">
        <v>317</v>
      </c>
      <c r="B3070" s="272"/>
      <c r="C3070" s="272"/>
      <c r="D3070" s="272"/>
      <c r="E3070" s="272"/>
      <c r="G3070" s="271" t="s">
        <v>317</v>
      </c>
      <c r="H3070" s="272"/>
      <c r="I3070" s="272"/>
      <c r="J3070" s="272"/>
      <c r="K3070" s="272"/>
    </row>
    <row r="3071" spans="1:11" x14ac:dyDescent="0.35">
      <c r="A3071" s="269" t="s">
        <v>311</v>
      </c>
      <c r="B3071" s="270"/>
      <c r="C3071" s="270"/>
      <c r="D3071" s="270"/>
      <c r="E3071" s="270"/>
      <c r="G3071" s="269" t="s">
        <v>311</v>
      </c>
      <c r="H3071" s="270"/>
      <c r="I3071" s="270"/>
      <c r="J3071" s="270"/>
      <c r="K3071" s="270"/>
    </row>
    <row r="3072" spans="1:11" x14ac:dyDescent="0.35">
      <c r="A3072" s="271" t="s">
        <v>312</v>
      </c>
      <c r="B3072" s="272">
        <v>4600</v>
      </c>
      <c r="C3072" s="272"/>
      <c r="D3072" s="272"/>
      <c r="E3072" s="272"/>
      <c r="G3072" s="271" t="s">
        <v>312</v>
      </c>
      <c r="H3072" s="272"/>
      <c r="I3072" s="272"/>
      <c r="J3072" s="272"/>
      <c r="K3072" s="272"/>
    </row>
    <row r="3073" spans="1:11" x14ac:dyDescent="0.35">
      <c r="A3073" s="231" t="s">
        <v>34</v>
      </c>
      <c r="B3073" s="230">
        <f>SUM(B3067:B3072)</f>
        <v>4600</v>
      </c>
      <c r="C3073" s="230">
        <f>SUM(C3067:C3072)</f>
        <v>0</v>
      </c>
      <c r="D3073" s="230">
        <f>SUM(D3067:D3072)</f>
        <v>0</v>
      </c>
      <c r="E3073" s="230">
        <f>SUM(E3067:E3072)</f>
        <v>0</v>
      </c>
      <c r="G3073" s="231" t="s">
        <v>34</v>
      </c>
      <c r="H3073" s="230">
        <f>SUM(H3067:H3072)</f>
        <v>0</v>
      </c>
      <c r="I3073" s="230">
        <f>SUM(I3067:I3072)</f>
        <v>0</v>
      </c>
      <c r="J3073" s="230">
        <f>SUM(J3067:J3072)</f>
        <v>0</v>
      </c>
      <c r="K3073" s="230">
        <f>SUM(K3067:K3072)</f>
        <v>0</v>
      </c>
    </row>
    <row r="3074" spans="1:11" ht="15" thickBot="1" x14ac:dyDescent="0.4">
      <c r="A3074" s="231" t="s">
        <v>313</v>
      </c>
      <c r="B3074" s="230">
        <f>+B3073+C3073+D3073+E3073</f>
        <v>4600</v>
      </c>
      <c r="C3074" s="230"/>
      <c r="D3074" s="230"/>
      <c r="E3074" s="230"/>
      <c r="G3074" s="231" t="s">
        <v>313</v>
      </c>
      <c r="H3074" s="230">
        <f>+H3073+I3073+J3073+K3073</f>
        <v>0</v>
      </c>
      <c r="I3074" s="230"/>
      <c r="J3074" s="230"/>
      <c r="K3074" s="230"/>
    </row>
    <row r="3075" spans="1:11" ht="15.5" thickTop="1" thickBot="1" x14ac:dyDescent="0.4">
      <c r="A3075" s="335" t="s">
        <v>298</v>
      </c>
      <c r="B3075" s="336"/>
      <c r="C3075" s="336"/>
      <c r="D3075" s="336"/>
      <c r="E3075" s="337"/>
      <c r="G3075" s="335" t="s">
        <v>298</v>
      </c>
      <c r="H3075" s="336"/>
      <c r="I3075" s="336"/>
      <c r="J3075" s="336"/>
      <c r="K3075" s="337"/>
    </row>
    <row r="3076" spans="1:11" ht="15.5" thickTop="1" thickBot="1" x14ac:dyDescent="0.4">
      <c r="A3076" s="338">
        <v>45569</v>
      </c>
      <c r="B3076" s="336"/>
      <c r="C3076" s="336"/>
      <c r="D3076" s="336"/>
      <c r="E3076" s="337"/>
      <c r="G3076" s="338">
        <v>45569</v>
      </c>
      <c r="H3076" s="336"/>
      <c r="I3076" s="336"/>
      <c r="J3076" s="336"/>
      <c r="K3076" s="337"/>
    </row>
    <row r="3077" spans="1:11" ht="15" thickTop="1" x14ac:dyDescent="0.35">
      <c r="A3077" s="267" t="s">
        <v>159</v>
      </c>
      <c r="B3077" s="267" t="s">
        <v>299</v>
      </c>
      <c r="C3077" s="267" t="s">
        <v>307</v>
      </c>
      <c r="D3077" s="267" t="s">
        <v>301</v>
      </c>
      <c r="E3077" s="268" t="s">
        <v>308</v>
      </c>
      <c r="G3077" s="267" t="s">
        <v>159</v>
      </c>
      <c r="H3077" s="267" t="s">
        <v>299</v>
      </c>
      <c r="I3077" s="267" t="s">
        <v>307</v>
      </c>
      <c r="J3077" s="267" t="s">
        <v>301</v>
      </c>
      <c r="K3077" s="268" t="s">
        <v>308</v>
      </c>
    </row>
    <row r="3078" spans="1:11" x14ac:dyDescent="0.35">
      <c r="A3078" s="269" t="s">
        <v>316</v>
      </c>
      <c r="B3078" s="270"/>
      <c r="C3078" s="270"/>
      <c r="D3078" s="270"/>
      <c r="E3078" s="270"/>
      <c r="G3078" s="269" t="s">
        <v>316</v>
      </c>
      <c r="H3078" s="270"/>
      <c r="I3078" s="270"/>
      <c r="J3078" s="270"/>
      <c r="K3078" s="270"/>
    </row>
    <row r="3079" spans="1:11" x14ac:dyDescent="0.35">
      <c r="A3079" s="271" t="s">
        <v>309</v>
      </c>
      <c r="B3079" s="272"/>
      <c r="C3079" s="272"/>
      <c r="D3079" s="272"/>
      <c r="E3079" s="272"/>
      <c r="G3079" s="271" t="s">
        <v>309</v>
      </c>
      <c r="H3079" s="272"/>
      <c r="I3079" s="272"/>
      <c r="J3079" s="272"/>
      <c r="K3079" s="272"/>
    </row>
    <row r="3080" spans="1:11" x14ac:dyDescent="0.35">
      <c r="A3080" s="269" t="s">
        <v>310</v>
      </c>
      <c r="B3080" s="270"/>
      <c r="C3080" s="270"/>
      <c r="D3080" s="270"/>
      <c r="E3080" s="270"/>
      <c r="G3080" s="269" t="s">
        <v>310</v>
      </c>
      <c r="H3080" s="270"/>
      <c r="I3080" s="270"/>
      <c r="J3080" s="270"/>
      <c r="K3080" s="270"/>
    </row>
    <row r="3081" spans="1:11" x14ac:dyDescent="0.35">
      <c r="A3081" s="271" t="s">
        <v>317</v>
      </c>
      <c r="B3081" s="272"/>
      <c r="C3081" s="272"/>
      <c r="D3081" s="272"/>
      <c r="E3081" s="272"/>
      <c r="G3081" s="271" t="s">
        <v>317</v>
      </c>
      <c r="H3081" s="272"/>
      <c r="I3081" s="272"/>
      <c r="J3081" s="272"/>
      <c r="K3081" s="272"/>
    </row>
    <row r="3082" spans="1:11" x14ac:dyDescent="0.35">
      <c r="A3082" s="269" t="s">
        <v>808</v>
      </c>
      <c r="B3082" s="270">
        <v>550</v>
      </c>
      <c r="C3082" s="270"/>
      <c r="D3082" s="270"/>
      <c r="E3082" s="270"/>
      <c r="G3082" s="269" t="s">
        <v>311</v>
      </c>
      <c r="H3082" s="270"/>
      <c r="I3082" s="270"/>
      <c r="J3082" s="270"/>
      <c r="K3082" s="270"/>
    </row>
    <row r="3083" spans="1:11" x14ac:dyDescent="0.35">
      <c r="A3083" s="271" t="s">
        <v>312</v>
      </c>
      <c r="B3083" s="272">
        <v>7375</v>
      </c>
      <c r="C3083" s="272"/>
      <c r="D3083" s="272"/>
      <c r="E3083" s="272"/>
      <c r="G3083" s="271" t="s">
        <v>312</v>
      </c>
      <c r="H3083" s="272"/>
      <c r="I3083" s="272"/>
      <c r="J3083" s="272"/>
      <c r="K3083" s="272"/>
    </row>
    <row r="3084" spans="1:11" x14ac:dyDescent="0.35">
      <c r="A3084" s="231" t="s">
        <v>34</v>
      </c>
      <c r="B3084" s="230">
        <f>SUM(B3078:B3083)</f>
        <v>7925</v>
      </c>
      <c r="C3084" s="230">
        <f>SUM(C3078:C3083)</f>
        <v>0</v>
      </c>
      <c r="D3084" s="230">
        <f>SUM(D3078:D3083)</f>
        <v>0</v>
      </c>
      <c r="E3084" s="230">
        <f>SUM(E3078:E3083)</f>
        <v>0</v>
      </c>
      <c r="G3084" s="231" t="s">
        <v>34</v>
      </c>
      <c r="H3084" s="230">
        <f>SUM(H3078:H3083)</f>
        <v>0</v>
      </c>
      <c r="I3084" s="230">
        <f>SUM(I3078:I3083)</f>
        <v>0</v>
      </c>
      <c r="J3084" s="230">
        <f>SUM(J3078:J3083)</f>
        <v>0</v>
      </c>
      <c r="K3084" s="230">
        <f>SUM(K3078:K3083)</f>
        <v>0</v>
      </c>
    </row>
    <row r="3085" spans="1:11" ht="15" thickBot="1" x14ac:dyDescent="0.4">
      <c r="A3085" s="231" t="s">
        <v>313</v>
      </c>
      <c r="B3085" s="230">
        <f>+B3084+C3084+D3084+E3084</f>
        <v>7925</v>
      </c>
      <c r="C3085" s="230"/>
      <c r="D3085" s="230"/>
      <c r="E3085" s="230"/>
      <c r="G3085" s="231" t="s">
        <v>313</v>
      </c>
      <c r="H3085" s="230">
        <f>+H3084+I3084+J3084+K3084</f>
        <v>0</v>
      </c>
      <c r="I3085" s="230"/>
      <c r="J3085" s="230"/>
      <c r="K3085" s="230"/>
    </row>
    <row r="3086" spans="1:11" ht="15.5" thickTop="1" thickBot="1" x14ac:dyDescent="0.4">
      <c r="A3086" s="335" t="s">
        <v>298</v>
      </c>
      <c r="B3086" s="336"/>
      <c r="C3086" s="336"/>
      <c r="D3086" s="336"/>
      <c r="E3086" s="337"/>
      <c r="G3086" s="335" t="s">
        <v>298</v>
      </c>
      <c r="H3086" s="336"/>
      <c r="I3086" s="336"/>
      <c r="J3086" s="336"/>
      <c r="K3086" s="337"/>
    </row>
    <row r="3087" spans="1:11" ht="15.5" thickTop="1" thickBot="1" x14ac:dyDescent="0.4">
      <c r="A3087" s="338">
        <v>45570</v>
      </c>
      <c r="B3087" s="336"/>
      <c r="C3087" s="336"/>
      <c r="D3087" s="336"/>
      <c r="E3087" s="337"/>
      <c r="G3087" s="338">
        <v>45570</v>
      </c>
      <c r="H3087" s="336"/>
      <c r="I3087" s="336"/>
      <c r="J3087" s="336"/>
      <c r="K3087" s="337"/>
    </row>
    <row r="3088" spans="1:11" ht="15" thickTop="1" x14ac:dyDescent="0.35">
      <c r="A3088" s="267" t="s">
        <v>159</v>
      </c>
      <c r="B3088" s="267" t="s">
        <v>299</v>
      </c>
      <c r="C3088" s="267" t="s">
        <v>307</v>
      </c>
      <c r="D3088" s="267" t="s">
        <v>301</v>
      </c>
      <c r="E3088" s="268" t="s">
        <v>308</v>
      </c>
      <c r="G3088" s="267" t="s">
        <v>159</v>
      </c>
      <c r="H3088" s="267" t="s">
        <v>299</v>
      </c>
      <c r="I3088" s="267" t="s">
        <v>307</v>
      </c>
      <c r="J3088" s="267" t="s">
        <v>301</v>
      </c>
      <c r="K3088" s="268" t="s">
        <v>308</v>
      </c>
    </row>
    <row r="3089" spans="1:11" x14ac:dyDescent="0.35">
      <c r="A3089" s="269" t="s">
        <v>379</v>
      </c>
      <c r="B3089" s="270">
        <v>2500</v>
      </c>
      <c r="C3089" s="270"/>
      <c r="D3089" s="270"/>
      <c r="E3089" s="270"/>
      <c r="G3089" s="269" t="s">
        <v>379</v>
      </c>
      <c r="H3089" s="270">
        <v>1400</v>
      </c>
      <c r="I3089" s="270"/>
      <c r="J3089" s="270"/>
      <c r="K3089" s="270"/>
    </row>
    <row r="3090" spans="1:11" x14ac:dyDescent="0.35">
      <c r="A3090" s="271" t="s">
        <v>379</v>
      </c>
      <c r="B3090" s="272">
        <v>1700</v>
      </c>
      <c r="C3090" s="272"/>
      <c r="D3090" s="272"/>
      <c r="E3090" s="272"/>
      <c r="G3090" s="271" t="s">
        <v>366</v>
      </c>
      <c r="H3090" s="272">
        <v>120</v>
      </c>
      <c r="I3090" s="272"/>
      <c r="J3090" s="272"/>
      <c r="K3090" s="272"/>
    </row>
    <row r="3091" spans="1:11" x14ac:dyDescent="0.35">
      <c r="A3091" s="269" t="s">
        <v>371</v>
      </c>
      <c r="B3091" s="270">
        <v>1600</v>
      </c>
      <c r="C3091" s="270"/>
      <c r="D3091" s="270"/>
      <c r="E3091" s="270"/>
      <c r="G3091" s="269" t="s">
        <v>310</v>
      </c>
      <c r="H3091" s="270"/>
      <c r="I3091" s="270"/>
      <c r="J3091" s="270"/>
      <c r="K3091" s="270"/>
    </row>
    <row r="3092" spans="1:11" x14ac:dyDescent="0.35">
      <c r="A3092" s="271" t="s">
        <v>317</v>
      </c>
      <c r="B3092" s="272"/>
      <c r="C3092" s="272"/>
      <c r="D3092" s="272"/>
      <c r="E3092" s="272"/>
      <c r="G3092" s="271" t="s">
        <v>317</v>
      </c>
      <c r="H3092" s="272"/>
      <c r="I3092" s="272"/>
      <c r="J3092" s="272"/>
      <c r="K3092" s="272"/>
    </row>
    <row r="3093" spans="1:11" x14ac:dyDescent="0.35">
      <c r="A3093" s="269" t="s">
        <v>311</v>
      </c>
      <c r="B3093" s="270"/>
      <c r="C3093" s="270"/>
      <c r="D3093" s="270"/>
      <c r="E3093" s="270"/>
      <c r="G3093" s="269" t="s">
        <v>311</v>
      </c>
      <c r="H3093" s="270"/>
      <c r="I3093" s="270"/>
      <c r="J3093" s="270"/>
      <c r="K3093" s="270"/>
    </row>
    <row r="3094" spans="1:11" x14ac:dyDescent="0.35">
      <c r="A3094" s="271" t="s">
        <v>312</v>
      </c>
      <c r="B3094" s="272"/>
      <c r="C3094" s="272"/>
      <c r="D3094" s="272"/>
      <c r="E3094" s="272"/>
      <c r="G3094" s="271" t="s">
        <v>312</v>
      </c>
      <c r="H3094" s="272"/>
      <c r="I3094" s="272"/>
      <c r="J3094" s="272"/>
      <c r="K3094" s="272"/>
    </row>
    <row r="3095" spans="1:11" x14ac:dyDescent="0.35">
      <c r="A3095" s="231" t="s">
        <v>34</v>
      </c>
      <c r="B3095" s="230">
        <f>SUM(B3089:B3094)</f>
        <v>5800</v>
      </c>
      <c r="C3095" s="230">
        <f>SUM(C3089:C3094)</f>
        <v>0</v>
      </c>
      <c r="D3095" s="230">
        <f>SUM(D3089:D3094)</f>
        <v>0</v>
      </c>
      <c r="E3095" s="230">
        <f>SUM(E3089:E3094)</f>
        <v>0</v>
      </c>
      <c r="G3095" s="231" t="s">
        <v>34</v>
      </c>
      <c r="H3095" s="230">
        <f>SUM(H3089:H3094)</f>
        <v>1520</v>
      </c>
      <c r="I3095" s="230">
        <f>SUM(I3089:I3094)</f>
        <v>0</v>
      </c>
      <c r="J3095" s="230">
        <f>SUM(J3089:J3094)</f>
        <v>0</v>
      </c>
      <c r="K3095" s="230">
        <f>SUM(K3089:K3094)</f>
        <v>0</v>
      </c>
    </row>
    <row r="3096" spans="1:11" ht="15" thickBot="1" x14ac:dyDescent="0.4">
      <c r="A3096" s="231" t="s">
        <v>313</v>
      </c>
      <c r="B3096" s="230">
        <f>+B3095+C3095+D3095+E3095</f>
        <v>5800</v>
      </c>
      <c r="C3096" s="230"/>
      <c r="D3096" s="230"/>
      <c r="E3096" s="230"/>
      <c r="G3096" s="231" t="s">
        <v>313</v>
      </c>
      <c r="H3096" s="230">
        <f>+H3095+I3095+J3095+K3095</f>
        <v>1520</v>
      </c>
      <c r="I3096" s="230"/>
      <c r="J3096" s="230"/>
      <c r="K3096" s="230"/>
    </row>
    <row r="3097" spans="1:11" ht="15.5" thickTop="1" thickBot="1" x14ac:dyDescent="0.4">
      <c r="A3097" s="335" t="s">
        <v>298</v>
      </c>
      <c r="B3097" s="336"/>
      <c r="C3097" s="336"/>
      <c r="D3097" s="336"/>
      <c r="E3097" s="337"/>
      <c r="G3097" s="335" t="s">
        <v>298</v>
      </c>
      <c r="H3097" s="336"/>
      <c r="I3097" s="336"/>
      <c r="J3097" s="336"/>
      <c r="K3097" s="337"/>
    </row>
    <row r="3098" spans="1:11" ht="15.5" thickTop="1" thickBot="1" x14ac:dyDescent="0.4">
      <c r="A3098" s="338">
        <v>45571</v>
      </c>
      <c r="B3098" s="336"/>
      <c r="C3098" s="336"/>
      <c r="D3098" s="336"/>
      <c r="E3098" s="337"/>
      <c r="G3098" s="338">
        <v>45571</v>
      </c>
      <c r="H3098" s="336"/>
      <c r="I3098" s="336"/>
      <c r="J3098" s="336"/>
      <c r="K3098" s="337"/>
    </row>
    <row r="3099" spans="1:11" ht="15" thickTop="1" x14ac:dyDescent="0.35">
      <c r="A3099" s="267" t="s">
        <v>159</v>
      </c>
      <c r="B3099" s="267" t="s">
        <v>299</v>
      </c>
      <c r="C3099" s="267" t="s">
        <v>307</v>
      </c>
      <c r="D3099" s="267" t="s">
        <v>301</v>
      </c>
      <c r="E3099" s="268" t="s">
        <v>308</v>
      </c>
      <c r="G3099" s="267" t="s">
        <v>159</v>
      </c>
      <c r="H3099" s="267" t="s">
        <v>299</v>
      </c>
      <c r="I3099" s="267" t="s">
        <v>307</v>
      </c>
      <c r="J3099" s="267" t="s">
        <v>301</v>
      </c>
      <c r="K3099" s="268" t="s">
        <v>308</v>
      </c>
    </row>
    <row r="3100" spans="1:11" x14ac:dyDescent="0.35">
      <c r="A3100" s="269" t="s">
        <v>316</v>
      </c>
      <c r="B3100" s="270"/>
      <c r="C3100" s="270"/>
      <c r="D3100" s="270"/>
      <c r="E3100" s="270"/>
      <c r="G3100" s="269" t="s">
        <v>316</v>
      </c>
      <c r="H3100" s="270"/>
      <c r="I3100" s="270"/>
      <c r="J3100" s="270"/>
      <c r="K3100" s="270"/>
    </row>
    <row r="3101" spans="1:11" x14ac:dyDescent="0.35">
      <c r="A3101" s="271" t="s">
        <v>309</v>
      </c>
      <c r="B3101" s="272"/>
      <c r="C3101" s="272"/>
      <c r="D3101" s="272"/>
      <c r="E3101" s="272"/>
      <c r="G3101" s="271" t="s">
        <v>309</v>
      </c>
      <c r="H3101" s="272"/>
      <c r="I3101" s="272"/>
      <c r="J3101" s="272"/>
      <c r="K3101" s="272"/>
    </row>
    <row r="3102" spans="1:11" x14ac:dyDescent="0.35">
      <c r="A3102" s="269" t="s">
        <v>310</v>
      </c>
      <c r="B3102" s="270"/>
      <c r="C3102" s="270"/>
      <c r="D3102" s="270"/>
      <c r="E3102" s="270"/>
      <c r="G3102" s="269" t="s">
        <v>310</v>
      </c>
      <c r="H3102" s="270"/>
      <c r="I3102" s="270"/>
      <c r="J3102" s="270"/>
      <c r="K3102" s="270"/>
    </row>
    <row r="3103" spans="1:11" x14ac:dyDescent="0.35">
      <c r="A3103" s="271" t="s">
        <v>317</v>
      </c>
      <c r="B3103" s="272"/>
      <c r="C3103" s="272"/>
      <c r="D3103" s="272"/>
      <c r="E3103" s="272"/>
      <c r="G3103" s="271" t="s">
        <v>317</v>
      </c>
      <c r="H3103" s="272"/>
      <c r="I3103" s="272"/>
      <c r="J3103" s="272"/>
      <c r="K3103" s="272"/>
    </row>
    <row r="3104" spans="1:11" x14ac:dyDescent="0.35">
      <c r="A3104" s="269" t="s">
        <v>311</v>
      </c>
      <c r="B3104" s="270"/>
      <c r="C3104" s="270"/>
      <c r="D3104" s="270"/>
      <c r="E3104" s="270"/>
      <c r="G3104" s="269" t="s">
        <v>311</v>
      </c>
      <c r="H3104" s="270"/>
      <c r="I3104" s="270"/>
      <c r="J3104" s="270"/>
      <c r="K3104" s="270"/>
    </row>
    <row r="3105" spans="1:11" x14ac:dyDescent="0.35">
      <c r="A3105" s="271" t="s">
        <v>312</v>
      </c>
      <c r="B3105" s="272"/>
      <c r="C3105" s="272"/>
      <c r="D3105" s="272"/>
      <c r="E3105" s="272"/>
      <c r="G3105" s="271" t="s">
        <v>312</v>
      </c>
      <c r="H3105" s="272"/>
      <c r="I3105" s="272"/>
      <c r="J3105" s="272"/>
      <c r="K3105" s="272"/>
    </row>
    <row r="3106" spans="1:11" x14ac:dyDescent="0.35">
      <c r="A3106" s="231" t="s">
        <v>34</v>
      </c>
      <c r="B3106" s="230">
        <f>SUM(B3100:B3105)</f>
        <v>0</v>
      </c>
      <c r="C3106" s="230">
        <f>SUM(C3100:C3105)</f>
        <v>0</v>
      </c>
      <c r="D3106" s="230">
        <f>SUM(D3100:D3105)</f>
        <v>0</v>
      </c>
      <c r="E3106" s="230">
        <f>SUM(E3100:E3105)</f>
        <v>0</v>
      </c>
      <c r="G3106" s="231" t="s">
        <v>34</v>
      </c>
      <c r="H3106" s="230">
        <f>SUM(H3100:H3105)</f>
        <v>0</v>
      </c>
      <c r="I3106" s="230">
        <f>SUM(I3100:I3105)</f>
        <v>0</v>
      </c>
      <c r="J3106" s="230">
        <f>SUM(J3100:J3105)</f>
        <v>0</v>
      </c>
      <c r="K3106" s="230">
        <f>SUM(K3100:K3105)</f>
        <v>0</v>
      </c>
    </row>
    <row r="3107" spans="1:11" ht="15" thickBot="1" x14ac:dyDescent="0.4">
      <c r="A3107" s="231" t="s">
        <v>313</v>
      </c>
      <c r="B3107" s="230">
        <f>+B3106+C3106+D3106+E3106</f>
        <v>0</v>
      </c>
      <c r="C3107" s="230"/>
      <c r="D3107" s="230"/>
      <c r="E3107" s="230"/>
      <c r="G3107" s="231" t="s">
        <v>313</v>
      </c>
      <c r="H3107" s="230">
        <f>+H3106+I3106+J3106+K3106</f>
        <v>0</v>
      </c>
      <c r="I3107" s="230"/>
      <c r="J3107" s="230"/>
      <c r="K3107" s="230"/>
    </row>
    <row r="3108" spans="1:11" ht="15.5" thickTop="1" thickBot="1" x14ac:dyDescent="0.4">
      <c r="A3108" s="335" t="s">
        <v>298</v>
      </c>
      <c r="B3108" s="336"/>
      <c r="C3108" s="336"/>
      <c r="D3108" s="336"/>
      <c r="E3108" s="337"/>
      <c r="G3108" s="335" t="s">
        <v>298</v>
      </c>
      <c r="H3108" s="336"/>
      <c r="I3108" s="336"/>
      <c r="J3108" s="336"/>
      <c r="K3108" s="337"/>
    </row>
    <row r="3109" spans="1:11" ht="15.5" thickTop="1" thickBot="1" x14ac:dyDescent="0.4">
      <c r="A3109" s="338">
        <v>45572</v>
      </c>
      <c r="B3109" s="336"/>
      <c r="C3109" s="336"/>
      <c r="D3109" s="336"/>
      <c r="E3109" s="337"/>
      <c r="G3109" s="338">
        <v>45572</v>
      </c>
      <c r="H3109" s="336"/>
      <c r="I3109" s="336"/>
      <c r="J3109" s="336"/>
      <c r="K3109" s="337"/>
    </row>
    <row r="3110" spans="1:11" ht="15" thickTop="1" x14ac:dyDescent="0.35">
      <c r="A3110" s="267" t="s">
        <v>159</v>
      </c>
      <c r="B3110" s="267" t="s">
        <v>299</v>
      </c>
      <c r="C3110" s="267" t="s">
        <v>307</v>
      </c>
      <c r="D3110" s="267" t="s">
        <v>301</v>
      </c>
      <c r="E3110" s="268" t="s">
        <v>308</v>
      </c>
      <c r="G3110" s="267" t="s">
        <v>159</v>
      </c>
      <c r="H3110" s="267" t="s">
        <v>299</v>
      </c>
      <c r="I3110" s="267" t="s">
        <v>307</v>
      </c>
      <c r="J3110" s="267" t="s">
        <v>301</v>
      </c>
      <c r="K3110" s="268" t="s">
        <v>308</v>
      </c>
    </row>
    <row r="3111" spans="1:11" x14ac:dyDescent="0.35">
      <c r="A3111" s="269" t="s">
        <v>316</v>
      </c>
      <c r="B3111" s="270">
        <v>200</v>
      </c>
      <c r="C3111" s="270"/>
      <c r="D3111" s="270"/>
      <c r="E3111" s="270"/>
      <c r="G3111" s="269" t="s">
        <v>316</v>
      </c>
      <c r="H3111" s="270"/>
      <c r="I3111" s="270"/>
      <c r="J3111" s="270"/>
      <c r="K3111" s="270"/>
    </row>
    <row r="3112" spans="1:11" x14ac:dyDescent="0.35">
      <c r="A3112" s="271" t="s">
        <v>309</v>
      </c>
      <c r="B3112" s="272"/>
      <c r="C3112" s="272"/>
      <c r="D3112" s="272"/>
      <c r="E3112" s="272"/>
      <c r="G3112" s="271" t="s">
        <v>309</v>
      </c>
      <c r="H3112" s="272"/>
      <c r="I3112" s="272"/>
      <c r="J3112" s="272"/>
      <c r="K3112" s="272"/>
    </row>
    <row r="3113" spans="1:11" x14ac:dyDescent="0.35">
      <c r="A3113" s="269" t="s">
        <v>310</v>
      </c>
      <c r="B3113" s="270"/>
      <c r="C3113" s="270"/>
      <c r="D3113" s="270"/>
      <c r="E3113" s="270"/>
      <c r="G3113" s="269" t="s">
        <v>310</v>
      </c>
      <c r="H3113" s="270"/>
      <c r="I3113" s="270"/>
      <c r="J3113" s="270"/>
      <c r="K3113" s="270"/>
    </row>
    <row r="3114" spans="1:11" x14ac:dyDescent="0.35">
      <c r="A3114" s="271" t="s">
        <v>317</v>
      </c>
      <c r="B3114" s="272"/>
      <c r="C3114" s="272"/>
      <c r="D3114" s="272"/>
      <c r="E3114" s="272"/>
      <c r="G3114" s="271" t="s">
        <v>317</v>
      </c>
      <c r="H3114" s="272"/>
      <c r="I3114" s="272"/>
      <c r="J3114" s="272"/>
      <c r="K3114" s="272"/>
    </row>
    <row r="3115" spans="1:11" x14ac:dyDescent="0.35">
      <c r="A3115" s="269" t="s">
        <v>311</v>
      </c>
      <c r="B3115" s="270"/>
      <c r="C3115" s="270"/>
      <c r="D3115" s="270"/>
      <c r="E3115" s="270"/>
      <c r="G3115" s="269" t="s">
        <v>311</v>
      </c>
      <c r="H3115" s="270"/>
      <c r="I3115" s="270"/>
      <c r="J3115" s="270"/>
      <c r="K3115" s="270"/>
    </row>
    <row r="3116" spans="1:11" x14ac:dyDescent="0.35">
      <c r="A3116" s="271" t="s">
        <v>312</v>
      </c>
      <c r="B3116" s="272"/>
      <c r="C3116" s="272"/>
      <c r="D3116" s="272"/>
      <c r="E3116" s="272"/>
      <c r="G3116" s="271" t="s">
        <v>312</v>
      </c>
      <c r="H3116" s="272"/>
      <c r="I3116" s="272"/>
      <c r="J3116" s="272"/>
      <c r="K3116" s="272"/>
    </row>
    <row r="3117" spans="1:11" x14ac:dyDescent="0.35">
      <c r="A3117" s="231" t="s">
        <v>34</v>
      </c>
      <c r="B3117" s="230">
        <f>SUM(B3111:B3116)</f>
        <v>200</v>
      </c>
      <c r="C3117" s="230">
        <f>SUM(C3111:C3116)</f>
        <v>0</v>
      </c>
      <c r="D3117" s="230">
        <f>SUM(D3111:D3116)</f>
        <v>0</v>
      </c>
      <c r="E3117" s="230">
        <f>SUM(E3111:E3116)</f>
        <v>0</v>
      </c>
      <c r="G3117" s="231" t="s">
        <v>34</v>
      </c>
      <c r="H3117" s="230">
        <f>SUM(H3111:H3116)</f>
        <v>0</v>
      </c>
      <c r="I3117" s="230">
        <f>SUM(I3111:I3116)</f>
        <v>0</v>
      </c>
      <c r="J3117" s="230">
        <f>SUM(J3111:J3116)</f>
        <v>0</v>
      </c>
      <c r="K3117" s="230">
        <f>SUM(K3111:K3116)</f>
        <v>0</v>
      </c>
    </row>
    <row r="3118" spans="1:11" ht="15" thickBot="1" x14ac:dyDescent="0.4">
      <c r="A3118" s="231" t="s">
        <v>313</v>
      </c>
      <c r="B3118" s="230">
        <f>+B3117+C3117+D3117+E3117</f>
        <v>200</v>
      </c>
      <c r="C3118" s="230"/>
      <c r="D3118" s="230"/>
      <c r="E3118" s="230"/>
      <c r="G3118" s="231" t="s">
        <v>313</v>
      </c>
      <c r="H3118" s="230">
        <f>+H3117+I3117+J3117+K3117</f>
        <v>0</v>
      </c>
      <c r="I3118" s="230"/>
      <c r="J3118" s="230"/>
      <c r="K3118" s="230"/>
    </row>
    <row r="3119" spans="1:11" ht="15.5" thickTop="1" thickBot="1" x14ac:dyDescent="0.4">
      <c r="A3119" s="335" t="s">
        <v>298</v>
      </c>
      <c r="B3119" s="336"/>
      <c r="C3119" s="336"/>
      <c r="D3119" s="336"/>
      <c r="E3119" s="337"/>
      <c r="G3119" s="335" t="s">
        <v>298</v>
      </c>
      <c r="H3119" s="336"/>
      <c r="I3119" s="336"/>
      <c r="J3119" s="336"/>
      <c r="K3119" s="337"/>
    </row>
    <row r="3120" spans="1:11" ht="15.5" thickTop="1" thickBot="1" x14ac:dyDescent="0.4">
      <c r="A3120" s="338">
        <v>45573</v>
      </c>
      <c r="B3120" s="336"/>
      <c r="C3120" s="336"/>
      <c r="D3120" s="336"/>
      <c r="E3120" s="337"/>
      <c r="G3120" s="338">
        <v>45573</v>
      </c>
      <c r="H3120" s="336"/>
      <c r="I3120" s="336"/>
      <c r="J3120" s="336"/>
      <c r="K3120" s="337"/>
    </row>
    <row r="3121" spans="1:11" ht="15" thickTop="1" x14ac:dyDescent="0.35">
      <c r="A3121" s="267" t="s">
        <v>159</v>
      </c>
      <c r="B3121" s="267" t="s">
        <v>299</v>
      </c>
      <c r="C3121" s="267" t="s">
        <v>307</v>
      </c>
      <c r="D3121" s="267" t="s">
        <v>301</v>
      </c>
      <c r="E3121" s="268" t="s">
        <v>308</v>
      </c>
      <c r="G3121" s="267" t="s">
        <v>159</v>
      </c>
      <c r="H3121" s="267" t="s">
        <v>299</v>
      </c>
      <c r="I3121" s="267" t="s">
        <v>307</v>
      </c>
      <c r="J3121" s="267" t="s">
        <v>301</v>
      </c>
      <c r="K3121" s="268" t="s">
        <v>308</v>
      </c>
    </row>
    <row r="3122" spans="1:11" x14ac:dyDescent="0.35">
      <c r="A3122" s="269" t="s">
        <v>316</v>
      </c>
      <c r="B3122" s="270"/>
      <c r="C3122" s="270"/>
      <c r="D3122" s="270"/>
      <c r="E3122" s="270"/>
      <c r="G3122" s="269" t="s">
        <v>378</v>
      </c>
      <c r="H3122" s="270">
        <v>2300</v>
      </c>
      <c r="I3122" s="270"/>
      <c r="J3122" s="270"/>
      <c r="K3122" s="270"/>
    </row>
    <row r="3123" spans="1:11" x14ac:dyDescent="0.35">
      <c r="A3123" s="271" t="s">
        <v>309</v>
      </c>
      <c r="B3123" s="272"/>
      <c r="C3123" s="272"/>
      <c r="D3123" s="272"/>
      <c r="E3123" s="272"/>
      <c r="G3123" s="271" t="s">
        <v>309</v>
      </c>
      <c r="H3123" s="272"/>
      <c r="I3123" s="272"/>
      <c r="J3123" s="272"/>
      <c r="K3123" s="272"/>
    </row>
    <row r="3124" spans="1:11" x14ac:dyDescent="0.35">
      <c r="A3124" s="269" t="s">
        <v>310</v>
      </c>
      <c r="B3124" s="270"/>
      <c r="C3124" s="270"/>
      <c r="D3124" s="270"/>
      <c r="E3124" s="270"/>
      <c r="G3124" s="269" t="s">
        <v>310</v>
      </c>
      <c r="H3124" s="270"/>
      <c r="I3124" s="270"/>
      <c r="J3124" s="270"/>
      <c r="K3124" s="270"/>
    </row>
    <row r="3125" spans="1:11" x14ac:dyDescent="0.35">
      <c r="A3125" s="271" t="s">
        <v>317</v>
      </c>
      <c r="B3125" s="272"/>
      <c r="C3125" s="272"/>
      <c r="D3125" s="272"/>
      <c r="E3125" s="272"/>
      <c r="G3125" s="271" t="s">
        <v>317</v>
      </c>
      <c r="H3125" s="272"/>
      <c r="I3125" s="272"/>
      <c r="J3125" s="272"/>
      <c r="K3125" s="272"/>
    </row>
    <row r="3126" spans="1:11" x14ac:dyDescent="0.35">
      <c r="A3126" s="269" t="s">
        <v>806</v>
      </c>
      <c r="B3126" s="270">
        <v>4500</v>
      </c>
      <c r="C3126" s="270"/>
      <c r="D3126" s="270"/>
      <c r="E3126" s="270"/>
      <c r="G3126" s="269" t="s">
        <v>311</v>
      </c>
      <c r="H3126" s="270"/>
      <c r="I3126" s="270"/>
      <c r="J3126" s="270"/>
      <c r="K3126" s="270"/>
    </row>
    <row r="3127" spans="1:11" x14ac:dyDescent="0.35">
      <c r="A3127" s="271" t="s">
        <v>312</v>
      </c>
      <c r="B3127" s="272">
        <v>15350</v>
      </c>
      <c r="C3127" s="272"/>
      <c r="D3127" s="272"/>
      <c r="E3127" s="272"/>
      <c r="G3127" s="271" t="s">
        <v>312</v>
      </c>
      <c r="H3127" s="272"/>
      <c r="I3127" s="272"/>
      <c r="J3127" s="272"/>
      <c r="K3127" s="272"/>
    </row>
    <row r="3128" spans="1:11" x14ac:dyDescent="0.35">
      <c r="A3128" s="231" t="s">
        <v>34</v>
      </c>
      <c r="B3128" s="230">
        <f>SUM(B3122:B3127)</f>
        <v>19850</v>
      </c>
      <c r="C3128" s="230">
        <f>SUM(C3122:C3127)</f>
        <v>0</v>
      </c>
      <c r="D3128" s="230">
        <f>SUM(D3122:D3127)</f>
        <v>0</v>
      </c>
      <c r="E3128" s="230">
        <f>SUM(E3122:E3127)</f>
        <v>0</v>
      </c>
      <c r="G3128" s="231" t="s">
        <v>34</v>
      </c>
      <c r="H3128" s="230">
        <f>SUM(H3122:H3127)</f>
        <v>2300</v>
      </c>
      <c r="I3128" s="230">
        <f>SUM(I3122:I3127)</f>
        <v>0</v>
      </c>
      <c r="J3128" s="230">
        <f>SUM(J3122:J3127)</f>
        <v>0</v>
      </c>
      <c r="K3128" s="230">
        <f>SUM(K3122:K3127)</f>
        <v>0</v>
      </c>
    </row>
    <row r="3129" spans="1:11" ht="15" thickBot="1" x14ac:dyDescent="0.4">
      <c r="A3129" s="231" t="s">
        <v>313</v>
      </c>
      <c r="B3129" s="230">
        <f>+B3128+C3128+D3128+E3128</f>
        <v>19850</v>
      </c>
      <c r="C3129" s="230"/>
      <c r="D3129" s="230"/>
      <c r="E3129" s="230"/>
      <c r="G3129" s="231" t="s">
        <v>313</v>
      </c>
      <c r="H3129" s="230">
        <f>+H3128+I3128+J3128+K3128</f>
        <v>2300</v>
      </c>
      <c r="I3129" s="230"/>
      <c r="J3129" s="230"/>
      <c r="K3129" s="230"/>
    </row>
    <row r="3130" spans="1:11" ht="15.5" thickTop="1" thickBot="1" x14ac:dyDescent="0.4">
      <c r="A3130" s="335" t="s">
        <v>298</v>
      </c>
      <c r="B3130" s="336"/>
      <c r="C3130" s="336"/>
      <c r="D3130" s="336"/>
      <c r="E3130" s="337"/>
      <c r="G3130" s="335" t="s">
        <v>298</v>
      </c>
      <c r="H3130" s="336"/>
      <c r="I3130" s="336"/>
      <c r="J3130" s="336"/>
      <c r="K3130" s="337"/>
    </row>
    <row r="3131" spans="1:11" ht="15.5" thickTop="1" thickBot="1" x14ac:dyDescent="0.4">
      <c r="A3131" s="338">
        <v>45574</v>
      </c>
      <c r="B3131" s="336"/>
      <c r="C3131" s="336"/>
      <c r="D3131" s="336"/>
      <c r="E3131" s="337"/>
      <c r="G3131" s="338">
        <v>45574</v>
      </c>
      <c r="H3131" s="336"/>
      <c r="I3131" s="336"/>
      <c r="J3131" s="336"/>
      <c r="K3131" s="337"/>
    </row>
    <row r="3132" spans="1:11" ht="15" thickTop="1" x14ac:dyDescent="0.35">
      <c r="A3132" s="267" t="s">
        <v>159</v>
      </c>
      <c r="B3132" s="267" t="s">
        <v>299</v>
      </c>
      <c r="C3132" s="267" t="s">
        <v>307</v>
      </c>
      <c r="D3132" s="267" t="s">
        <v>301</v>
      </c>
      <c r="E3132" s="268" t="s">
        <v>308</v>
      </c>
      <c r="G3132" s="267" t="s">
        <v>159</v>
      </c>
      <c r="H3132" s="267" t="s">
        <v>299</v>
      </c>
      <c r="I3132" s="267" t="s">
        <v>307</v>
      </c>
      <c r="J3132" s="267" t="s">
        <v>301</v>
      </c>
      <c r="K3132" s="268" t="s">
        <v>308</v>
      </c>
    </row>
    <row r="3133" spans="1:11" x14ac:dyDescent="0.35">
      <c r="A3133" s="269" t="s">
        <v>316</v>
      </c>
      <c r="B3133" s="270">
        <v>200</v>
      </c>
      <c r="C3133" s="270"/>
      <c r="D3133" s="270"/>
      <c r="E3133" s="270"/>
      <c r="G3133" s="269" t="s">
        <v>316</v>
      </c>
      <c r="H3133" s="270"/>
      <c r="I3133" s="270"/>
      <c r="J3133" s="270"/>
      <c r="K3133" s="270"/>
    </row>
    <row r="3134" spans="1:11" x14ac:dyDescent="0.35">
      <c r="A3134" s="271" t="s">
        <v>309</v>
      </c>
      <c r="B3134" s="272"/>
      <c r="C3134" s="272"/>
      <c r="D3134" s="272"/>
      <c r="E3134" s="272"/>
      <c r="G3134" s="271" t="s">
        <v>309</v>
      </c>
      <c r="H3134" s="272"/>
      <c r="I3134" s="272"/>
      <c r="J3134" s="272"/>
      <c r="K3134" s="272"/>
    </row>
    <row r="3135" spans="1:11" x14ac:dyDescent="0.35">
      <c r="A3135" s="269" t="s">
        <v>805</v>
      </c>
      <c r="B3135" s="270">
        <v>1200</v>
      </c>
      <c r="C3135" s="270"/>
      <c r="D3135" s="270"/>
      <c r="E3135" s="270"/>
      <c r="G3135" s="269" t="s">
        <v>310</v>
      </c>
      <c r="H3135" s="270"/>
      <c r="I3135" s="270"/>
      <c r="J3135" s="270"/>
      <c r="K3135" s="270"/>
    </row>
    <row r="3136" spans="1:11" x14ac:dyDescent="0.35">
      <c r="A3136" s="271" t="s">
        <v>317</v>
      </c>
      <c r="B3136" s="272"/>
      <c r="C3136" s="272"/>
      <c r="D3136" s="272"/>
      <c r="E3136" s="272"/>
      <c r="G3136" s="271" t="s">
        <v>317</v>
      </c>
      <c r="H3136" s="272"/>
      <c r="I3136" s="272"/>
      <c r="J3136" s="272"/>
      <c r="K3136" s="272"/>
    </row>
    <row r="3137" spans="1:11" x14ac:dyDescent="0.35">
      <c r="A3137" s="269" t="s">
        <v>311</v>
      </c>
      <c r="B3137" s="270"/>
      <c r="C3137" s="270"/>
      <c r="D3137" s="270"/>
      <c r="E3137" s="270"/>
      <c r="G3137" s="269" t="s">
        <v>311</v>
      </c>
      <c r="H3137" s="270"/>
      <c r="I3137" s="270"/>
      <c r="J3137" s="270"/>
      <c r="K3137" s="270"/>
    </row>
    <row r="3138" spans="1:11" x14ac:dyDescent="0.35">
      <c r="A3138" s="271" t="s">
        <v>312</v>
      </c>
      <c r="B3138" s="272"/>
      <c r="C3138" s="272"/>
      <c r="D3138" s="272"/>
      <c r="E3138" s="272"/>
      <c r="G3138" s="271" t="s">
        <v>312</v>
      </c>
      <c r="H3138" s="272"/>
      <c r="I3138" s="272"/>
      <c r="J3138" s="272"/>
      <c r="K3138" s="272"/>
    </row>
    <row r="3139" spans="1:11" x14ac:dyDescent="0.35">
      <c r="A3139" s="231" t="s">
        <v>34</v>
      </c>
      <c r="B3139" s="230">
        <f>SUM(B3133:B3138)</f>
        <v>1400</v>
      </c>
      <c r="C3139" s="230">
        <f>SUM(C3133:C3138)</f>
        <v>0</v>
      </c>
      <c r="D3139" s="230">
        <f>SUM(D3133:D3138)</f>
        <v>0</v>
      </c>
      <c r="E3139" s="230">
        <f>SUM(E3133:E3138)</f>
        <v>0</v>
      </c>
      <c r="G3139" s="231" t="s">
        <v>34</v>
      </c>
      <c r="H3139" s="230">
        <f>SUM(H3133:H3138)</f>
        <v>0</v>
      </c>
      <c r="I3139" s="230">
        <f>SUM(I3133:I3138)</f>
        <v>0</v>
      </c>
      <c r="J3139" s="230">
        <f>SUM(J3133:J3138)</f>
        <v>0</v>
      </c>
      <c r="K3139" s="230">
        <f>SUM(K3133:K3138)</f>
        <v>0</v>
      </c>
    </row>
    <row r="3140" spans="1:11" ht="15" thickBot="1" x14ac:dyDescent="0.4">
      <c r="A3140" s="231" t="s">
        <v>313</v>
      </c>
      <c r="B3140" s="230">
        <f>+B3139+C3139+D3139+E3139</f>
        <v>1400</v>
      </c>
      <c r="C3140" s="230"/>
      <c r="D3140" s="230"/>
      <c r="E3140" s="230"/>
      <c r="G3140" s="231" t="s">
        <v>313</v>
      </c>
      <c r="H3140" s="230">
        <f>+H3139+I3139+J3139+K3139</f>
        <v>0</v>
      </c>
      <c r="I3140" s="230"/>
      <c r="J3140" s="230"/>
      <c r="K3140" s="230"/>
    </row>
    <row r="3141" spans="1:11" ht="15.5" thickTop="1" thickBot="1" x14ac:dyDescent="0.4">
      <c r="A3141" s="335" t="s">
        <v>298</v>
      </c>
      <c r="B3141" s="336"/>
      <c r="C3141" s="336"/>
      <c r="D3141" s="336"/>
      <c r="E3141" s="337"/>
      <c r="G3141" s="335" t="s">
        <v>298</v>
      </c>
      <c r="H3141" s="336"/>
      <c r="I3141" s="336"/>
      <c r="J3141" s="336"/>
      <c r="K3141" s="337"/>
    </row>
    <row r="3142" spans="1:11" ht="15.5" thickTop="1" thickBot="1" x14ac:dyDescent="0.4">
      <c r="A3142" s="338">
        <v>45575</v>
      </c>
      <c r="B3142" s="336"/>
      <c r="C3142" s="336"/>
      <c r="D3142" s="336"/>
      <c r="E3142" s="337"/>
      <c r="G3142" s="338">
        <v>45575</v>
      </c>
      <c r="H3142" s="336"/>
      <c r="I3142" s="336"/>
      <c r="J3142" s="336"/>
      <c r="K3142" s="337"/>
    </row>
    <row r="3143" spans="1:11" ht="15" thickTop="1" x14ac:dyDescent="0.35">
      <c r="A3143" s="267" t="s">
        <v>159</v>
      </c>
      <c r="B3143" s="267" t="s">
        <v>299</v>
      </c>
      <c r="C3143" s="267" t="s">
        <v>307</v>
      </c>
      <c r="D3143" s="267" t="s">
        <v>301</v>
      </c>
      <c r="E3143" s="268" t="s">
        <v>308</v>
      </c>
      <c r="G3143" s="267" t="s">
        <v>159</v>
      </c>
      <c r="H3143" s="267" t="s">
        <v>299</v>
      </c>
      <c r="I3143" s="267" t="s">
        <v>307</v>
      </c>
      <c r="J3143" s="267" t="s">
        <v>301</v>
      </c>
      <c r="K3143" s="268" t="s">
        <v>308</v>
      </c>
    </row>
    <row r="3144" spans="1:11" x14ac:dyDescent="0.35">
      <c r="A3144" s="269" t="s">
        <v>316</v>
      </c>
      <c r="B3144" s="270"/>
      <c r="C3144" s="270"/>
      <c r="D3144" s="270"/>
      <c r="E3144" s="270"/>
      <c r="G3144" s="269" t="s">
        <v>316</v>
      </c>
      <c r="H3144" s="270"/>
      <c r="I3144" s="270"/>
      <c r="J3144" s="270"/>
      <c r="K3144" s="270"/>
    </row>
    <row r="3145" spans="1:11" x14ac:dyDescent="0.35">
      <c r="A3145" s="271" t="s">
        <v>309</v>
      </c>
      <c r="B3145" s="272"/>
      <c r="C3145" s="272"/>
      <c r="D3145" s="272"/>
      <c r="E3145" s="272"/>
      <c r="G3145" s="271" t="s">
        <v>309</v>
      </c>
      <c r="H3145" s="272"/>
      <c r="I3145" s="272"/>
      <c r="J3145" s="272"/>
      <c r="K3145" s="272"/>
    </row>
    <row r="3146" spans="1:11" x14ac:dyDescent="0.35">
      <c r="A3146" s="269" t="s">
        <v>310</v>
      </c>
      <c r="B3146" s="270">
        <v>2300</v>
      </c>
      <c r="C3146" s="270"/>
      <c r="D3146" s="270"/>
      <c r="E3146" s="270"/>
      <c r="G3146" s="269" t="s">
        <v>310</v>
      </c>
      <c r="H3146" s="270"/>
      <c r="I3146" s="270"/>
      <c r="J3146" s="270"/>
      <c r="K3146" s="270"/>
    </row>
    <row r="3147" spans="1:11" x14ac:dyDescent="0.35">
      <c r="A3147" s="271" t="s">
        <v>317</v>
      </c>
      <c r="B3147" s="272"/>
      <c r="C3147" s="272"/>
      <c r="D3147" s="272"/>
      <c r="E3147" s="272"/>
      <c r="G3147" s="271" t="s">
        <v>317</v>
      </c>
      <c r="H3147" s="272"/>
      <c r="I3147" s="272"/>
      <c r="J3147" s="272"/>
      <c r="K3147" s="272"/>
    </row>
    <row r="3148" spans="1:11" x14ac:dyDescent="0.35">
      <c r="A3148" s="269" t="s">
        <v>311</v>
      </c>
      <c r="B3148" s="270"/>
      <c r="C3148" s="270"/>
      <c r="D3148" s="270"/>
      <c r="E3148" s="270"/>
      <c r="G3148" s="269" t="s">
        <v>311</v>
      </c>
      <c r="H3148" s="270"/>
      <c r="I3148" s="270"/>
      <c r="J3148" s="270"/>
      <c r="K3148" s="270"/>
    </row>
    <row r="3149" spans="1:11" x14ac:dyDescent="0.35">
      <c r="A3149" s="271" t="s">
        <v>312</v>
      </c>
      <c r="B3149" s="272">
        <v>6935</v>
      </c>
      <c r="C3149" s="272"/>
      <c r="D3149" s="272"/>
      <c r="E3149" s="272"/>
      <c r="G3149" s="271" t="s">
        <v>312</v>
      </c>
      <c r="H3149" s="272"/>
      <c r="I3149" s="272"/>
      <c r="J3149" s="272"/>
      <c r="K3149" s="272"/>
    </row>
    <row r="3150" spans="1:11" x14ac:dyDescent="0.35">
      <c r="A3150" s="231" t="s">
        <v>34</v>
      </c>
      <c r="B3150" s="230">
        <f>SUM(B3144:B3149)</f>
        <v>9235</v>
      </c>
      <c r="C3150" s="230">
        <f>SUM(C3144:C3149)</f>
        <v>0</v>
      </c>
      <c r="D3150" s="230">
        <f>SUM(D3144:D3149)</f>
        <v>0</v>
      </c>
      <c r="E3150" s="230">
        <f>SUM(E3144:E3149)</f>
        <v>0</v>
      </c>
      <c r="G3150" s="231" t="s">
        <v>34</v>
      </c>
      <c r="H3150" s="230">
        <f>SUM(H3144:H3149)</f>
        <v>0</v>
      </c>
      <c r="I3150" s="230">
        <f>SUM(I3144:I3149)</f>
        <v>0</v>
      </c>
      <c r="J3150" s="230">
        <f>SUM(J3144:J3149)</f>
        <v>0</v>
      </c>
      <c r="K3150" s="230">
        <f>SUM(K3144:K3149)</f>
        <v>0</v>
      </c>
    </row>
    <row r="3151" spans="1:11" ht="15" thickBot="1" x14ac:dyDescent="0.4">
      <c r="A3151" s="231" t="s">
        <v>313</v>
      </c>
      <c r="B3151" s="230">
        <f>+B3150+C3150+D3150+E3150</f>
        <v>9235</v>
      </c>
      <c r="C3151" s="230"/>
      <c r="D3151" s="230"/>
      <c r="E3151" s="230"/>
      <c r="G3151" s="231" t="s">
        <v>313</v>
      </c>
      <c r="H3151" s="230">
        <f>+H3150+I3150+J3150+K3150</f>
        <v>0</v>
      </c>
      <c r="I3151" s="230"/>
      <c r="J3151" s="230"/>
      <c r="K3151" s="230"/>
    </row>
    <row r="3152" spans="1:11" ht="15.5" thickTop="1" thickBot="1" x14ac:dyDescent="0.4">
      <c r="A3152" s="335" t="s">
        <v>298</v>
      </c>
      <c r="B3152" s="336"/>
      <c r="C3152" s="336"/>
      <c r="D3152" s="336"/>
      <c r="E3152" s="337"/>
      <c r="G3152" s="335" t="s">
        <v>298</v>
      </c>
      <c r="H3152" s="336"/>
      <c r="I3152" s="336"/>
      <c r="J3152" s="336"/>
      <c r="K3152" s="337"/>
    </row>
    <row r="3153" spans="1:11" ht="15.5" thickTop="1" thickBot="1" x14ac:dyDescent="0.4">
      <c r="A3153" s="338">
        <v>45576</v>
      </c>
      <c r="B3153" s="336"/>
      <c r="C3153" s="336"/>
      <c r="D3153" s="336"/>
      <c r="E3153" s="337"/>
      <c r="G3153" s="338">
        <v>45576</v>
      </c>
      <c r="H3153" s="336"/>
      <c r="I3153" s="336"/>
      <c r="J3153" s="336"/>
      <c r="K3153" s="337"/>
    </row>
    <row r="3154" spans="1:11" ht="15" thickTop="1" x14ac:dyDescent="0.35">
      <c r="A3154" s="267" t="s">
        <v>159</v>
      </c>
      <c r="B3154" s="267" t="s">
        <v>299</v>
      </c>
      <c r="C3154" s="267" t="s">
        <v>307</v>
      </c>
      <c r="D3154" s="267" t="s">
        <v>301</v>
      </c>
      <c r="E3154" s="268" t="s">
        <v>308</v>
      </c>
      <c r="G3154" s="267" t="s">
        <v>159</v>
      </c>
      <c r="H3154" s="267" t="s">
        <v>299</v>
      </c>
      <c r="I3154" s="267" t="s">
        <v>307</v>
      </c>
      <c r="J3154" s="267" t="s">
        <v>301</v>
      </c>
      <c r="K3154" s="268" t="s">
        <v>308</v>
      </c>
    </row>
    <row r="3155" spans="1:11" x14ac:dyDescent="0.35">
      <c r="A3155" s="269" t="s">
        <v>316</v>
      </c>
      <c r="B3155" s="270"/>
      <c r="C3155" s="270"/>
      <c r="D3155" s="270"/>
      <c r="E3155" s="270"/>
      <c r="G3155" s="269" t="s">
        <v>316</v>
      </c>
      <c r="H3155" s="270"/>
      <c r="I3155" s="270"/>
      <c r="J3155" s="270"/>
      <c r="K3155" s="270"/>
    </row>
    <row r="3156" spans="1:11" x14ac:dyDescent="0.35">
      <c r="A3156" s="271" t="s">
        <v>309</v>
      </c>
      <c r="B3156" s="272"/>
      <c r="C3156" s="272"/>
      <c r="D3156" s="272"/>
      <c r="E3156" s="272"/>
      <c r="G3156" s="271" t="s">
        <v>309</v>
      </c>
      <c r="H3156" s="272"/>
      <c r="I3156" s="272"/>
      <c r="J3156" s="272"/>
      <c r="K3156" s="272"/>
    </row>
    <row r="3157" spans="1:11" x14ac:dyDescent="0.35">
      <c r="A3157" s="269" t="s">
        <v>310</v>
      </c>
      <c r="B3157" s="270"/>
      <c r="C3157" s="270"/>
      <c r="D3157" s="270"/>
      <c r="E3157" s="270"/>
      <c r="G3157" s="269" t="s">
        <v>310</v>
      </c>
      <c r="H3157" s="270"/>
      <c r="I3157" s="270"/>
      <c r="J3157" s="270"/>
      <c r="K3157" s="270"/>
    </row>
    <row r="3158" spans="1:11" x14ac:dyDescent="0.35">
      <c r="A3158" s="271" t="s">
        <v>317</v>
      </c>
      <c r="B3158" s="272"/>
      <c r="C3158" s="272"/>
      <c r="D3158" s="272"/>
      <c r="E3158" s="272"/>
      <c r="G3158" s="271" t="s">
        <v>317</v>
      </c>
      <c r="H3158" s="272"/>
      <c r="I3158" s="272"/>
      <c r="J3158" s="272"/>
      <c r="K3158" s="272"/>
    </row>
    <row r="3159" spans="1:11" x14ac:dyDescent="0.35">
      <c r="A3159" s="269" t="s">
        <v>311</v>
      </c>
      <c r="B3159" s="270"/>
      <c r="C3159" s="270"/>
      <c r="D3159" s="270"/>
      <c r="E3159" s="270"/>
      <c r="G3159" s="269" t="s">
        <v>311</v>
      </c>
      <c r="H3159" s="270"/>
      <c r="I3159" s="270"/>
      <c r="J3159" s="270"/>
      <c r="K3159" s="270"/>
    </row>
    <row r="3160" spans="1:11" x14ac:dyDescent="0.35">
      <c r="A3160" s="271" t="s">
        <v>312</v>
      </c>
      <c r="B3160" s="272"/>
      <c r="C3160" s="272"/>
      <c r="D3160" s="272"/>
      <c r="E3160" s="272"/>
      <c r="G3160" s="271" t="s">
        <v>312</v>
      </c>
      <c r="H3160" s="272"/>
      <c r="I3160" s="272"/>
      <c r="J3160" s="272"/>
      <c r="K3160" s="272"/>
    </row>
    <row r="3161" spans="1:11" x14ac:dyDescent="0.35">
      <c r="A3161" s="231" t="s">
        <v>34</v>
      </c>
      <c r="B3161" s="230">
        <f>SUM(B3155:B3160)</f>
        <v>0</v>
      </c>
      <c r="C3161" s="230">
        <f>SUM(C3155:C3160)</f>
        <v>0</v>
      </c>
      <c r="D3161" s="230">
        <f>SUM(D3155:D3160)</f>
        <v>0</v>
      </c>
      <c r="E3161" s="230">
        <f>SUM(E3155:E3160)</f>
        <v>0</v>
      </c>
      <c r="G3161" s="231" t="s">
        <v>34</v>
      </c>
      <c r="H3161" s="230">
        <f>SUM(H3155:H3160)</f>
        <v>0</v>
      </c>
      <c r="I3161" s="230">
        <f>SUM(I3155:I3160)</f>
        <v>0</v>
      </c>
      <c r="J3161" s="230">
        <f>SUM(J3155:J3160)</f>
        <v>0</v>
      </c>
      <c r="K3161" s="230">
        <f>SUM(K3155:K3160)</f>
        <v>0</v>
      </c>
    </row>
    <row r="3162" spans="1:11" ht="15" thickBot="1" x14ac:dyDescent="0.4">
      <c r="A3162" s="231" t="s">
        <v>313</v>
      </c>
      <c r="B3162" s="230">
        <f>+B3161+C3161+D3161+E3161</f>
        <v>0</v>
      </c>
      <c r="C3162" s="230"/>
      <c r="D3162" s="230"/>
      <c r="E3162" s="230"/>
      <c r="G3162" s="231" t="s">
        <v>313</v>
      </c>
      <c r="H3162" s="230">
        <f>+H3161+I3161+J3161+K3161</f>
        <v>0</v>
      </c>
      <c r="I3162" s="230"/>
      <c r="J3162" s="230"/>
      <c r="K3162" s="230"/>
    </row>
    <row r="3163" spans="1:11" ht="15.5" thickTop="1" thickBot="1" x14ac:dyDescent="0.4">
      <c r="A3163" s="335" t="s">
        <v>298</v>
      </c>
      <c r="B3163" s="336"/>
      <c r="C3163" s="336"/>
      <c r="D3163" s="336"/>
      <c r="E3163" s="337"/>
      <c r="G3163" s="335" t="s">
        <v>298</v>
      </c>
      <c r="H3163" s="336"/>
      <c r="I3163" s="336"/>
      <c r="J3163" s="336"/>
      <c r="K3163" s="337"/>
    </row>
    <row r="3164" spans="1:11" ht="15.5" thickTop="1" thickBot="1" x14ac:dyDescent="0.4">
      <c r="A3164" s="338">
        <v>45577</v>
      </c>
      <c r="B3164" s="336"/>
      <c r="C3164" s="336"/>
      <c r="D3164" s="336"/>
      <c r="E3164" s="337"/>
      <c r="G3164" s="338">
        <v>45577</v>
      </c>
      <c r="H3164" s="336"/>
      <c r="I3164" s="336"/>
      <c r="J3164" s="336"/>
      <c r="K3164" s="337"/>
    </row>
    <row r="3165" spans="1:11" ht="15" thickTop="1" x14ac:dyDescent="0.35">
      <c r="A3165" s="267" t="s">
        <v>159</v>
      </c>
      <c r="B3165" s="267" t="s">
        <v>299</v>
      </c>
      <c r="C3165" s="267" t="s">
        <v>307</v>
      </c>
      <c r="D3165" s="267" t="s">
        <v>301</v>
      </c>
      <c r="E3165" s="268" t="s">
        <v>308</v>
      </c>
      <c r="G3165" s="267" t="s">
        <v>159</v>
      </c>
      <c r="H3165" s="267" t="s">
        <v>299</v>
      </c>
      <c r="I3165" s="267" t="s">
        <v>307</v>
      </c>
      <c r="J3165" s="267" t="s">
        <v>301</v>
      </c>
      <c r="K3165" s="268" t="s">
        <v>308</v>
      </c>
    </row>
    <row r="3166" spans="1:11" x14ac:dyDescent="0.35">
      <c r="A3166" s="269" t="s">
        <v>316</v>
      </c>
      <c r="B3166" s="270">
        <v>2500</v>
      </c>
      <c r="C3166" s="270"/>
      <c r="D3166" s="270"/>
      <c r="E3166" s="270"/>
      <c r="G3166" s="269" t="s">
        <v>316</v>
      </c>
      <c r="H3166" s="270">
        <v>1400</v>
      </c>
      <c r="I3166" s="270"/>
      <c r="J3166" s="270"/>
      <c r="K3166" s="270"/>
    </row>
    <row r="3167" spans="1:11" x14ac:dyDescent="0.35">
      <c r="A3167" s="271" t="s">
        <v>309</v>
      </c>
      <c r="B3167" s="272">
        <v>1700</v>
      </c>
      <c r="C3167" s="272"/>
      <c r="D3167" s="272"/>
      <c r="E3167" s="272"/>
      <c r="G3167" s="271" t="s">
        <v>309</v>
      </c>
      <c r="H3167" s="272"/>
      <c r="I3167" s="272"/>
      <c r="J3167" s="272"/>
      <c r="K3167" s="272"/>
    </row>
    <row r="3168" spans="1:11" x14ac:dyDescent="0.35">
      <c r="A3168" s="269" t="s">
        <v>310</v>
      </c>
      <c r="B3168" s="270"/>
      <c r="C3168" s="270"/>
      <c r="D3168" s="270"/>
      <c r="E3168" s="270"/>
      <c r="G3168" s="269" t="s">
        <v>310</v>
      </c>
      <c r="H3168" s="270"/>
      <c r="I3168" s="270"/>
      <c r="J3168" s="270"/>
      <c r="K3168" s="270"/>
    </row>
    <row r="3169" spans="1:11" x14ac:dyDescent="0.35">
      <c r="A3169" s="271" t="s">
        <v>317</v>
      </c>
      <c r="B3169" s="272"/>
      <c r="C3169" s="272"/>
      <c r="D3169" s="272"/>
      <c r="E3169" s="272"/>
      <c r="G3169" s="271" t="s">
        <v>317</v>
      </c>
      <c r="H3169" s="272"/>
      <c r="I3169" s="272"/>
      <c r="J3169" s="272"/>
      <c r="K3169" s="272"/>
    </row>
    <row r="3170" spans="1:11" x14ac:dyDescent="0.35">
      <c r="A3170" s="269" t="s">
        <v>311</v>
      </c>
      <c r="B3170" s="270"/>
      <c r="C3170" s="270"/>
      <c r="D3170" s="270"/>
      <c r="E3170" s="270"/>
      <c r="G3170" s="269" t="s">
        <v>311</v>
      </c>
      <c r="H3170" s="270"/>
      <c r="I3170" s="270"/>
      <c r="J3170" s="270"/>
      <c r="K3170" s="270"/>
    </row>
    <row r="3171" spans="1:11" x14ac:dyDescent="0.35">
      <c r="A3171" s="271" t="s">
        <v>312</v>
      </c>
      <c r="B3171" s="272">
        <v>1300</v>
      </c>
      <c r="C3171" s="272"/>
      <c r="D3171" s="272"/>
      <c r="E3171" s="272"/>
      <c r="G3171" s="271" t="s">
        <v>312</v>
      </c>
      <c r="H3171" s="272"/>
      <c r="I3171" s="272"/>
      <c r="J3171" s="272"/>
      <c r="K3171" s="272"/>
    </row>
    <row r="3172" spans="1:11" x14ac:dyDescent="0.35">
      <c r="A3172" s="231" t="s">
        <v>34</v>
      </c>
      <c r="B3172" s="230">
        <f>SUM(B3166:B3171)</f>
        <v>5500</v>
      </c>
      <c r="C3172" s="230">
        <f>SUM(C3166:C3171)</f>
        <v>0</v>
      </c>
      <c r="D3172" s="230">
        <f>SUM(D3166:D3171)</f>
        <v>0</v>
      </c>
      <c r="E3172" s="230">
        <f>SUM(E3166:E3171)</f>
        <v>0</v>
      </c>
      <c r="G3172" s="231" t="s">
        <v>34</v>
      </c>
      <c r="H3172" s="230">
        <f>SUM(H3166:H3171)</f>
        <v>1400</v>
      </c>
      <c r="I3172" s="230">
        <f>SUM(I3166:I3171)</f>
        <v>0</v>
      </c>
      <c r="J3172" s="230">
        <f>SUM(J3166:J3171)</f>
        <v>0</v>
      </c>
      <c r="K3172" s="230">
        <f>SUM(K3166:K3171)</f>
        <v>0</v>
      </c>
    </row>
    <row r="3173" spans="1:11" ht="15" thickBot="1" x14ac:dyDescent="0.4">
      <c r="A3173" s="231" t="s">
        <v>313</v>
      </c>
      <c r="B3173" s="230">
        <f>+B3172+C3172+D3172+E3172</f>
        <v>5500</v>
      </c>
      <c r="C3173" s="230"/>
      <c r="D3173" s="230"/>
      <c r="E3173" s="230"/>
      <c r="G3173" s="231" t="s">
        <v>313</v>
      </c>
      <c r="H3173" s="230">
        <f>+H3172+I3172+J3172+K3172</f>
        <v>1400</v>
      </c>
      <c r="I3173" s="230"/>
      <c r="J3173" s="230"/>
      <c r="K3173" s="230"/>
    </row>
    <row r="3174" spans="1:11" ht="15.5" thickTop="1" thickBot="1" x14ac:dyDescent="0.4">
      <c r="A3174" s="335" t="s">
        <v>298</v>
      </c>
      <c r="B3174" s="336"/>
      <c r="C3174" s="336"/>
      <c r="D3174" s="336"/>
      <c r="E3174" s="337"/>
      <c r="G3174" s="335" t="s">
        <v>298</v>
      </c>
      <c r="H3174" s="336"/>
      <c r="I3174" s="336"/>
      <c r="J3174" s="336"/>
      <c r="K3174" s="337"/>
    </row>
    <row r="3175" spans="1:11" ht="15.5" thickTop="1" thickBot="1" x14ac:dyDescent="0.4">
      <c r="A3175" s="338">
        <v>45578</v>
      </c>
      <c r="B3175" s="336"/>
      <c r="C3175" s="336"/>
      <c r="D3175" s="336"/>
      <c r="E3175" s="337"/>
      <c r="G3175" s="338">
        <v>45578</v>
      </c>
      <c r="H3175" s="336"/>
      <c r="I3175" s="336"/>
      <c r="J3175" s="336"/>
      <c r="K3175" s="337"/>
    </row>
    <row r="3176" spans="1:11" ht="15" thickTop="1" x14ac:dyDescent="0.35">
      <c r="A3176" s="267" t="s">
        <v>159</v>
      </c>
      <c r="B3176" s="267" t="s">
        <v>299</v>
      </c>
      <c r="C3176" s="267" t="s">
        <v>307</v>
      </c>
      <c r="D3176" s="267" t="s">
        <v>301</v>
      </c>
      <c r="E3176" s="268" t="s">
        <v>308</v>
      </c>
      <c r="G3176" s="267" t="s">
        <v>159</v>
      </c>
      <c r="H3176" s="267" t="s">
        <v>299</v>
      </c>
      <c r="I3176" s="267" t="s">
        <v>307</v>
      </c>
      <c r="J3176" s="267" t="s">
        <v>301</v>
      </c>
      <c r="K3176" s="268" t="s">
        <v>308</v>
      </c>
    </row>
    <row r="3177" spans="1:11" x14ac:dyDescent="0.35">
      <c r="A3177" s="269" t="s">
        <v>316</v>
      </c>
      <c r="B3177" s="270"/>
      <c r="C3177" s="270"/>
      <c r="D3177" s="270"/>
      <c r="E3177" s="270"/>
      <c r="G3177" s="269" t="s">
        <v>316</v>
      </c>
      <c r="H3177" s="270"/>
      <c r="I3177" s="270"/>
      <c r="J3177" s="270"/>
      <c r="K3177" s="270"/>
    </row>
    <row r="3178" spans="1:11" x14ac:dyDescent="0.35">
      <c r="A3178" s="271" t="s">
        <v>309</v>
      </c>
      <c r="B3178" s="272"/>
      <c r="C3178" s="272"/>
      <c r="D3178" s="272"/>
      <c r="E3178" s="272"/>
      <c r="G3178" s="271" t="s">
        <v>309</v>
      </c>
      <c r="H3178" s="272"/>
      <c r="I3178" s="272"/>
      <c r="J3178" s="272"/>
      <c r="K3178" s="272"/>
    </row>
    <row r="3179" spans="1:11" x14ac:dyDescent="0.35">
      <c r="A3179" s="269" t="s">
        <v>310</v>
      </c>
      <c r="B3179" s="270"/>
      <c r="C3179" s="270"/>
      <c r="D3179" s="270"/>
      <c r="E3179" s="270"/>
      <c r="G3179" s="269" t="s">
        <v>310</v>
      </c>
      <c r="H3179" s="270"/>
      <c r="I3179" s="270"/>
      <c r="J3179" s="270"/>
      <c r="K3179" s="270"/>
    </row>
    <row r="3180" spans="1:11" x14ac:dyDescent="0.35">
      <c r="A3180" s="271" t="s">
        <v>317</v>
      </c>
      <c r="B3180" s="272"/>
      <c r="C3180" s="272"/>
      <c r="D3180" s="272"/>
      <c r="E3180" s="272"/>
      <c r="G3180" s="271" t="s">
        <v>317</v>
      </c>
      <c r="H3180" s="272"/>
      <c r="I3180" s="272"/>
      <c r="J3180" s="272"/>
      <c r="K3180" s="272"/>
    </row>
    <row r="3181" spans="1:11" x14ac:dyDescent="0.35">
      <c r="A3181" s="269" t="s">
        <v>311</v>
      </c>
      <c r="B3181" s="270"/>
      <c r="C3181" s="270"/>
      <c r="D3181" s="270"/>
      <c r="E3181" s="270"/>
      <c r="G3181" s="269" t="s">
        <v>311</v>
      </c>
      <c r="H3181" s="270"/>
      <c r="I3181" s="270"/>
      <c r="J3181" s="270"/>
      <c r="K3181" s="270"/>
    </row>
    <row r="3182" spans="1:11" x14ac:dyDescent="0.35">
      <c r="A3182" s="271" t="s">
        <v>312</v>
      </c>
      <c r="B3182" s="272"/>
      <c r="C3182" s="272"/>
      <c r="D3182" s="272"/>
      <c r="E3182" s="272"/>
      <c r="G3182" s="271" t="s">
        <v>312</v>
      </c>
      <c r="H3182" s="272"/>
      <c r="I3182" s="272"/>
      <c r="J3182" s="272"/>
      <c r="K3182" s="272"/>
    </row>
    <row r="3183" spans="1:11" x14ac:dyDescent="0.35">
      <c r="A3183" s="231" t="s">
        <v>34</v>
      </c>
      <c r="B3183" s="230">
        <f>SUM(B3177:B3182)</f>
        <v>0</v>
      </c>
      <c r="C3183" s="230">
        <f>SUM(C3177:C3182)</f>
        <v>0</v>
      </c>
      <c r="D3183" s="230">
        <f>SUM(D3177:D3182)</f>
        <v>0</v>
      </c>
      <c r="E3183" s="230">
        <f>SUM(E3177:E3182)</f>
        <v>0</v>
      </c>
      <c r="G3183" s="231" t="s">
        <v>34</v>
      </c>
      <c r="H3183" s="230">
        <f>SUM(H3177:H3182)</f>
        <v>0</v>
      </c>
      <c r="I3183" s="230">
        <f>SUM(I3177:I3182)</f>
        <v>0</v>
      </c>
      <c r="J3183" s="230">
        <f>SUM(J3177:J3182)</f>
        <v>0</v>
      </c>
      <c r="K3183" s="230">
        <f>SUM(K3177:K3182)</f>
        <v>0</v>
      </c>
    </row>
    <row r="3184" spans="1:11" ht="15" thickBot="1" x14ac:dyDescent="0.4">
      <c r="A3184" s="231" t="s">
        <v>313</v>
      </c>
      <c r="B3184" s="230">
        <f>+B3183+C3183+D3183+E3183</f>
        <v>0</v>
      </c>
      <c r="C3184" s="230"/>
      <c r="D3184" s="230"/>
      <c r="E3184" s="230"/>
      <c r="G3184" s="231" t="s">
        <v>313</v>
      </c>
      <c r="H3184" s="230">
        <f>+H3183+I3183+J3183+K3183</f>
        <v>0</v>
      </c>
      <c r="I3184" s="230"/>
      <c r="J3184" s="230"/>
      <c r="K3184" s="230"/>
    </row>
    <row r="3185" spans="1:11" ht="15.5" thickTop="1" thickBot="1" x14ac:dyDescent="0.4">
      <c r="A3185" s="335" t="s">
        <v>298</v>
      </c>
      <c r="B3185" s="336"/>
      <c r="C3185" s="336"/>
      <c r="D3185" s="336"/>
      <c r="E3185" s="337"/>
      <c r="G3185" s="335" t="s">
        <v>298</v>
      </c>
      <c r="H3185" s="336"/>
      <c r="I3185" s="336"/>
      <c r="J3185" s="336"/>
      <c r="K3185" s="337"/>
    </row>
    <row r="3186" spans="1:11" ht="15.5" thickTop="1" thickBot="1" x14ac:dyDescent="0.4">
      <c r="A3186" s="338">
        <v>45579</v>
      </c>
      <c r="B3186" s="336"/>
      <c r="C3186" s="336"/>
      <c r="D3186" s="336"/>
      <c r="E3186" s="337"/>
      <c r="G3186" s="338">
        <v>45579</v>
      </c>
      <c r="H3186" s="336"/>
      <c r="I3186" s="336"/>
      <c r="J3186" s="336"/>
      <c r="K3186" s="337"/>
    </row>
    <row r="3187" spans="1:11" ht="15" thickTop="1" x14ac:dyDescent="0.35">
      <c r="A3187" s="267" t="s">
        <v>159</v>
      </c>
      <c r="B3187" s="267" t="s">
        <v>299</v>
      </c>
      <c r="C3187" s="267" t="s">
        <v>307</v>
      </c>
      <c r="D3187" s="267" t="s">
        <v>301</v>
      </c>
      <c r="E3187" s="268" t="s">
        <v>308</v>
      </c>
      <c r="G3187" s="267" t="s">
        <v>159</v>
      </c>
      <c r="H3187" s="267" t="s">
        <v>299</v>
      </c>
      <c r="I3187" s="267" t="s">
        <v>307</v>
      </c>
      <c r="J3187" s="267" t="s">
        <v>301</v>
      </c>
      <c r="K3187" s="268" t="s">
        <v>308</v>
      </c>
    </row>
    <row r="3188" spans="1:11" x14ac:dyDescent="0.35">
      <c r="A3188" s="269" t="s">
        <v>316</v>
      </c>
      <c r="B3188" s="270"/>
      <c r="C3188" s="270"/>
      <c r="D3188" s="270"/>
      <c r="E3188" s="270"/>
      <c r="G3188" s="269" t="s">
        <v>316</v>
      </c>
      <c r="H3188" s="270"/>
      <c r="I3188" s="270"/>
      <c r="J3188" s="270"/>
      <c r="K3188" s="270"/>
    </row>
    <row r="3189" spans="1:11" x14ac:dyDescent="0.35">
      <c r="A3189" s="271" t="s">
        <v>309</v>
      </c>
      <c r="B3189" s="272"/>
      <c r="C3189" s="272"/>
      <c r="D3189" s="272"/>
      <c r="E3189" s="272"/>
      <c r="G3189" s="271" t="s">
        <v>309</v>
      </c>
      <c r="H3189" s="272"/>
      <c r="I3189" s="272"/>
      <c r="J3189" s="272"/>
      <c r="K3189" s="272"/>
    </row>
    <row r="3190" spans="1:11" x14ac:dyDescent="0.35">
      <c r="A3190" s="269" t="s">
        <v>310</v>
      </c>
      <c r="B3190" s="270"/>
      <c r="C3190" s="270"/>
      <c r="D3190" s="270"/>
      <c r="E3190" s="270"/>
      <c r="G3190" s="269" t="s">
        <v>310</v>
      </c>
      <c r="H3190" s="270"/>
      <c r="I3190" s="270"/>
      <c r="J3190" s="270"/>
      <c r="K3190" s="270"/>
    </row>
    <row r="3191" spans="1:11" x14ac:dyDescent="0.35">
      <c r="A3191" s="271" t="s">
        <v>317</v>
      </c>
      <c r="B3191" s="272"/>
      <c r="C3191" s="272"/>
      <c r="D3191" s="272"/>
      <c r="E3191" s="272"/>
      <c r="G3191" s="271" t="s">
        <v>317</v>
      </c>
      <c r="H3191" s="272"/>
      <c r="I3191" s="272"/>
      <c r="J3191" s="272"/>
      <c r="K3191" s="272"/>
    </row>
    <row r="3192" spans="1:11" x14ac:dyDescent="0.35">
      <c r="A3192" s="269" t="s">
        <v>311</v>
      </c>
      <c r="B3192" s="270"/>
      <c r="C3192" s="270"/>
      <c r="D3192" s="270"/>
      <c r="E3192" s="270"/>
      <c r="G3192" s="269" t="s">
        <v>311</v>
      </c>
      <c r="H3192" s="270"/>
      <c r="I3192" s="270"/>
      <c r="J3192" s="270"/>
      <c r="K3192" s="270"/>
    </row>
    <row r="3193" spans="1:11" x14ac:dyDescent="0.35">
      <c r="A3193" s="271" t="s">
        <v>312</v>
      </c>
      <c r="B3193" s="272"/>
      <c r="C3193" s="272"/>
      <c r="D3193" s="272"/>
      <c r="E3193" s="272"/>
      <c r="G3193" s="271" t="s">
        <v>312</v>
      </c>
      <c r="H3193" s="272"/>
      <c r="I3193" s="272"/>
      <c r="J3193" s="272"/>
      <c r="K3193" s="272"/>
    </row>
    <row r="3194" spans="1:11" x14ac:dyDescent="0.35">
      <c r="A3194" s="231" t="s">
        <v>34</v>
      </c>
      <c r="B3194" s="230">
        <f>SUM(B3188:B3193)</f>
        <v>0</v>
      </c>
      <c r="C3194" s="230">
        <f>SUM(C3188:C3193)</f>
        <v>0</v>
      </c>
      <c r="D3194" s="230">
        <f>SUM(D3188:D3193)</f>
        <v>0</v>
      </c>
      <c r="E3194" s="230">
        <f>SUM(E3188:E3193)</f>
        <v>0</v>
      </c>
      <c r="G3194" s="231" t="s">
        <v>34</v>
      </c>
      <c r="H3194" s="230">
        <f>SUM(H3188:H3193)</f>
        <v>0</v>
      </c>
      <c r="I3194" s="230">
        <f>SUM(I3188:I3193)</f>
        <v>0</v>
      </c>
      <c r="J3194" s="230">
        <f>SUM(J3188:J3193)</f>
        <v>0</v>
      </c>
      <c r="K3194" s="230">
        <f>SUM(K3188:K3193)</f>
        <v>0</v>
      </c>
    </row>
    <row r="3195" spans="1:11" ht="15" thickBot="1" x14ac:dyDescent="0.4">
      <c r="A3195" s="231" t="s">
        <v>313</v>
      </c>
      <c r="B3195" s="230">
        <f>+B3194+C3194+D3194+E3194</f>
        <v>0</v>
      </c>
      <c r="C3195" s="230"/>
      <c r="D3195" s="230"/>
      <c r="E3195" s="230"/>
      <c r="G3195" s="231" t="s">
        <v>313</v>
      </c>
      <c r="H3195" s="230">
        <f>+H3194+I3194+J3194+K3194</f>
        <v>0</v>
      </c>
      <c r="I3195" s="230"/>
      <c r="J3195" s="230"/>
      <c r="K3195" s="230"/>
    </row>
    <row r="3196" spans="1:11" ht="15.5" thickTop="1" thickBot="1" x14ac:dyDescent="0.4">
      <c r="A3196" s="335" t="s">
        <v>298</v>
      </c>
      <c r="B3196" s="336"/>
      <c r="C3196" s="336"/>
      <c r="D3196" s="336"/>
      <c r="E3196" s="337"/>
      <c r="G3196" s="335" t="s">
        <v>298</v>
      </c>
      <c r="H3196" s="336"/>
      <c r="I3196" s="336"/>
      <c r="J3196" s="336"/>
      <c r="K3196" s="337"/>
    </row>
    <row r="3197" spans="1:11" ht="15.5" thickTop="1" thickBot="1" x14ac:dyDescent="0.4">
      <c r="A3197" s="338">
        <v>45580</v>
      </c>
      <c r="B3197" s="336"/>
      <c r="C3197" s="336"/>
      <c r="D3197" s="336"/>
      <c r="E3197" s="337"/>
      <c r="G3197" s="338">
        <v>45580</v>
      </c>
      <c r="H3197" s="336"/>
      <c r="I3197" s="336"/>
      <c r="J3197" s="336"/>
      <c r="K3197" s="337"/>
    </row>
    <row r="3198" spans="1:11" ht="15" thickTop="1" x14ac:dyDescent="0.35">
      <c r="A3198" s="267" t="s">
        <v>159</v>
      </c>
      <c r="B3198" s="267" t="s">
        <v>299</v>
      </c>
      <c r="C3198" s="267" t="s">
        <v>307</v>
      </c>
      <c r="D3198" s="267" t="s">
        <v>301</v>
      </c>
      <c r="E3198" s="268" t="s">
        <v>308</v>
      </c>
      <c r="G3198" s="267" t="s">
        <v>159</v>
      </c>
      <c r="H3198" s="267" t="s">
        <v>299</v>
      </c>
      <c r="I3198" s="267" t="s">
        <v>307</v>
      </c>
      <c r="J3198" s="267" t="s">
        <v>301</v>
      </c>
      <c r="K3198" s="268" t="s">
        <v>308</v>
      </c>
    </row>
    <row r="3199" spans="1:11" x14ac:dyDescent="0.35">
      <c r="A3199" s="269" t="s">
        <v>316</v>
      </c>
      <c r="B3199" s="270"/>
      <c r="C3199" s="270"/>
      <c r="D3199" s="270"/>
      <c r="E3199" s="270"/>
      <c r="G3199" s="269" t="s">
        <v>316</v>
      </c>
      <c r="H3199" s="270"/>
      <c r="I3199" s="270"/>
      <c r="J3199" s="270"/>
      <c r="K3199" s="270"/>
    </row>
    <row r="3200" spans="1:11" x14ac:dyDescent="0.35">
      <c r="A3200" s="271" t="s">
        <v>309</v>
      </c>
      <c r="B3200" s="272"/>
      <c r="C3200" s="272"/>
      <c r="D3200" s="272"/>
      <c r="E3200" s="272"/>
      <c r="G3200" s="271" t="s">
        <v>309</v>
      </c>
      <c r="H3200" s="272"/>
      <c r="I3200" s="272"/>
      <c r="J3200" s="272"/>
      <c r="K3200" s="272"/>
    </row>
    <row r="3201" spans="1:11" x14ac:dyDescent="0.35">
      <c r="A3201" s="269" t="s">
        <v>310</v>
      </c>
      <c r="B3201" s="270"/>
      <c r="C3201" s="270"/>
      <c r="D3201" s="270"/>
      <c r="E3201" s="270"/>
      <c r="G3201" s="269" t="s">
        <v>310</v>
      </c>
      <c r="H3201" s="270"/>
      <c r="I3201" s="270"/>
      <c r="J3201" s="270"/>
      <c r="K3201" s="270"/>
    </row>
    <row r="3202" spans="1:11" x14ac:dyDescent="0.35">
      <c r="A3202" s="271" t="s">
        <v>317</v>
      </c>
      <c r="B3202" s="272"/>
      <c r="C3202" s="272"/>
      <c r="D3202" s="272"/>
      <c r="E3202" s="272"/>
      <c r="G3202" s="271" t="s">
        <v>317</v>
      </c>
      <c r="H3202" s="272"/>
      <c r="I3202" s="272"/>
      <c r="J3202" s="272"/>
      <c r="K3202" s="272"/>
    </row>
    <row r="3203" spans="1:11" x14ac:dyDescent="0.35">
      <c r="A3203" s="269" t="s">
        <v>311</v>
      </c>
      <c r="B3203" s="270"/>
      <c r="C3203" s="270"/>
      <c r="D3203" s="270"/>
      <c r="E3203" s="270"/>
      <c r="G3203" s="269" t="s">
        <v>311</v>
      </c>
      <c r="H3203" s="270"/>
      <c r="I3203" s="270"/>
      <c r="J3203" s="270"/>
      <c r="K3203" s="270"/>
    </row>
    <row r="3204" spans="1:11" x14ac:dyDescent="0.35">
      <c r="A3204" s="271" t="s">
        <v>312</v>
      </c>
      <c r="B3204" s="272"/>
      <c r="C3204" s="272"/>
      <c r="D3204" s="272"/>
      <c r="E3204" s="272"/>
      <c r="G3204" s="271" t="s">
        <v>312</v>
      </c>
      <c r="H3204" s="272"/>
      <c r="I3204" s="272"/>
      <c r="J3204" s="272"/>
      <c r="K3204" s="272"/>
    </row>
    <row r="3205" spans="1:11" x14ac:dyDescent="0.35">
      <c r="A3205" s="231" t="s">
        <v>34</v>
      </c>
      <c r="B3205" s="230">
        <f>SUM(B3199:B3204)</f>
        <v>0</v>
      </c>
      <c r="C3205" s="230">
        <f>SUM(C3199:C3204)</f>
        <v>0</v>
      </c>
      <c r="D3205" s="230">
        <f>SUM(D3199:D3204)</f>
        <v>0</v>
      </c>
      <c r="E3205" s="230">
        <f>SUM(E3199:E3204)</f>
        <v>0</v>
      </c>
      <c r="G3205" s="231" t="s">
        <v>34</v>
      </c>
      <c r="H3205" s="230">
        <f>SUM(H3199:H3204)</f>
        <v>0</v>
      </c>
      <c r="I3205" s="230">
        <f>SUM(I3199:I3204)</f>
        <v>0</v>
      </c>
      <c r="J3205" s="230">
        <f>SUM(J3199:J3204)</f>
        <v>0</v>
      </c>
      <c r="K3205" s="230">
        <f>SUM(K3199:K3204)</f>
        <v>0</v>
      </c>
    </row>
    <row r="3206" spans="1:11" ht="15" thickBot="1" x14ac:dyDescent="0.4">
      <c r="A3206" s="231" t="s">
        <v>313</v>
      </c>
      <c r="B3206" s="230">
        <f>+B3205+C3205+D3205+E3205</f>
        <v>0</v>
      </c>
      <c r="C3206" s="230"/>
      <c r="D3206" s="230"/>
      <c r="E3206" s="230"/>
      <c r="G3206" s="231" t="s">
        <v>313</v>
      </c>
      <c r="H3206" s="230">
        <f>+H3205+I3205+J3205+K3205</f>
        <v>0</v>
      </c>
      <c r="I3206" s="230"/>
      <c r="J3206" s="230"/>
      <c r="K3206" s="230"/>
    </row>
    <row r="3207" spans="1:11" ht="15.5" thickTop="1" thickBot="1" x14ac:dyDescent="0.4">
      <c r="A3207" s="335" t="s">
        <v>298</v>
      </c>
      <c r="B3207" s="336"/>
      <c r="C3207" s="336"/>
      <c r="D3207" s="336"/>
      <c r="E3207" s="337"/>
      <c r="G3207" s="335" t="s">
        <v>298</v>
      </c>
      <c r="H3207" s="336"/>
      <c r="I3207" s="336"/>
      <c r="J3207" s="336"/>
      <c r="K3207" s="337"/>
    </row>
    <row r="3208" spans="1:11" ht="15.5" thickTop="1" thickBot="1" x14ac:dyDescent="0.4">
      <c r="A3208" s="338">
        <v>45581</v>
      </c>
      <c r="B3208" s="336"/>
      <c r="C3208" s="336"/>
      <c r="D3208" s="336"/>
      <c r="E3208" s="337"/>
      <c r="G3208" s="338">
        <v>45581</v>
      </c>
      <c r="H3208" s="336"/>
      <c r="I3208" s="336"/>
      <c r="J3208" s="336"/>
      <c r="K3208" s="337"/>
    </row>
    <row r="3209" spans="1:11" ht="15" thickTop="1" x14ac:dyDescent="0.35">
      <c r="A3209" s="267" t="s">
        <v>159</v>
      </c>
      <c r="B3209" s="267" t="s">
        <v>299</v>
      </c>
      <c r="C3209" s="267" t="s">
        <v>307</v>
      </c>
      <c r="D3209" s="267" t="s">
        <v>301</v>
      </c>
      <c r="E3209" s="268" t="s">
        <v>308</v>
      </c>
      <c r="G3209" s="267" t="s">
        <v>159</v>
      </c>
      <c r="H3209" s="267" t="s">
        <v>299</v>
      </c>
      <c r="I3209" s="267" t="s">
        <v>307</v>
      </c>
      <c r="J3209" s="267" t="s">
        <v>301</v>
      </c>
      <c r="K3209" s="268" t="s">
        <v>308</v>
      </c>
    </row>
    <row r="3210" spans="1:11" x14ac:dyDescent="0.35">
      <c r="A3210" s="269" t="s">
        <v>316</v>
      </c>
      <c r="B3210" s="270"/>
      <c r="C3210" s="270"/>
      <c r="D3210" s="270"/>
      <c r="E3210" s="270"/>
      <c r="G3210" s="269" t="s">
        <v>316</v>
      </c>
      <c r="H3210" s="270"/>
      <c r="I3210" s="270"/>
      <c r="J3210" s="270"/>
      <c r="K3210" s="270"/>
    </row>
    <row r="3211" spans="1:11" x14ac:dyDescent="0.35">
      <c r="A3211" s="271" t="s">
        <v>309</v>
      </c>
      <c r="B3211" s="272"/>
      <c r="C3211" s="272"/>
      <c r="D3211" s="272"/>
      <c r="E3211" s="272"/>
      <c r="G3211" s="271" t="s">
        <v>309</v>
      </c>
      <c r="H3211" s="272"/>
      <c r="I3211" s="272"/>
      <c r="J3211" s="272"/>
      <c r="K3211" s="272"/>
    </row>
    <row r="3212" spans="1:11" x14ac:dyDescent="0.35">
      <c r="A3212" s="269" t="s">
        <v>310</v>
      </c>
      <c r="B3212" s="270"/>
      <c r="C3212" s="270"/>
      <c r="D3212" s="270"/>
      <c r="E3212" s="270"/>
      <c r="G3212" s="269" t="s">
        <v>310</v>
      </c>
      <c r="H3212" s="270"/>
      <c r="I3212" s="270"/>
      <c r="J3212" s="270"/>
      <c r="K3212" s="270"/>
    </row>
    <row r="3213" spans="1:11" x14ac:dyDescent="0.35">
      <c r="A3213" s="271" t="s">
        <v>317</v>
      </c>
      <c r="B3213" s="272"/>
      <c r="C3213" s="272"/>
      <c r="D3213" s="272"/>
      <c r="E3213" s="272"/>
      <c r="G3213" s="271" t="s">
        <v>317</v>
      </c>
      <c r="H3213" s="272"/>
      <c r="I3213" s="272"/>
      <c r="J3213" s="272"/>
      <c r="K3213" s="272"/>
    </row>
    <row r="3214" spans="1:11" x14ac:dyDescent="0.35">
      <c r="A3214" s="269" t="s">
        <v>311</v>
      </c>
      <c r="B3214" s="270"/>
      <c r="C3214" s="270"/>
      <c r="D3214" s="270"/>
      <c r="E3214" s="270"/>
      <c r="G3214" s="269" t="s">
        <v>311</v>
      </c>
      <c r="H3214" s="270"/>
      <c r="I3214" s="270"/>
      <c r="J3214" s="270"/>
      <c r="K3214" s="270"/>
    </row>
    <row r="3215" spans="1:11" x14ac:dyDescent="0.35">
      <c r="A3215" s="271" t="s">
        <v>312</v>
      </c>
      <c r="B3215" s="272">
        <v>700</v>
      </c>
      <c r="C3215" s="272"/>
      <c r="D3215" s="272"/>
      <c r="E3215" s="272"/>
      <c r="G3215" s="271" t="s">
        <v>312</v>
      </c>
      <c r="H3215" s="272"/>
      <c r="I3215" s="272"/>
      <c r="J3215" s="272"/>
      <c r="K3215" s="272"/>
    </row>
    <row r="3216" spans="1:11" x14ac:dyDescent="0.35">
      <c r="A3216" s="231" t="s">
        <v>34</v>
      </c>
      <c r="B3216" s="230">
        <f>SUM(B3210:B3215)</f>
        <v>700</v>
      </c>
      <c r="C3216" s="230">
        <f>SUM(C3210:C3215)</f>
        <v>0</v>
      </c>
      <c r="D3216" s="230">
        <f>SUM(D3210:D3215)</f>
        <v>0</v>
      </c>
      <c r="E3216" s="230">
        <f>SUM(E3210:E3215)</f>
        <v>0</v>
      </c>
      <c r="G3216" s="231" t="s">
        <v>34</v>
      </c>
      <c r="H3216" s="230">
        <f>SUM(H3210:H3215)</f>
        <v>0</v>
      </c>
      <c r="I3216" s="230">
        <f>SUM(I3210:I3215)</f>
        <v>0</v>
      </c>
      <c r="J3216" s="230">
        <f>SUM(J3210:J3215)</f>
        <v>0</v>
      </c>
      <c r="K3216" s="230">
        <f>SUM(K3210:K3215)</f>
        <v>0</v>
      </c>
    </row>
    <row r="3217" spans="1:11" ht="15" thickBot="1" x14ac:dyDescent="0.4">
      <c r="A3217" s="231" t="s">
        <v>313</v>
      </c>
      <c r="B3217" s="230">
        <f>+B3216+C3216+D3216+E3216</f>
        <v>700</v>
      </c>
      <c r="C3217" s="230"/>
      <c r="D3217" s="230"/>
      <c r="E3217" s="230"/>
      <c r="G3217" s="231" t="s">
        <v>313</v>
      </c>
      <c r="H3217" s="230">
        <f>+H3216+I3216+J3216+K3216</f>
        <v>0</v>
      </c>
      <c r="I3217" s="230"/>
      <c r="J3217" s="230"/>
      <c r="K3217" s="230"/>
    </row>
    <row r="3218" spans="1:11" ht="15.5" thickTop="1" thickBot="1" x14ac:dyDescent="0.4">
      <c r="A3218" s="335" t="s">
        <v>298</v>
      </c>
      <c r="B3218" s="336"/>
      <c r="C3218" s="336"/>
      <c r="D3218" s="336"/>
      <c r="E3218" s="337"/>
      <c r="G3218" s="335" t="s">
        <v>298</v>
      </c>
      <c r="H3218" s="336"/>
      <c r="I3218" s="336"/>
      <c r="J3218" s="336"/>
      <c r="K3218" s="337"/>
    </row>
    <row r="3219" spans="1:11" ht="15.5" thickTop="1" thickBot="1" x14ac:dyDescent="0.4">
      <c r="A3219" s="338">
        <v>45582</v>
      </c>
      <c r="B3219" s="336"/>
      <c r="C3219" s="336"/>
      <c r="D3219" s="336"/>
      <c r="E3219" s="337"/>
      <c r="G3219" s="338">
        <v>45582</v>
      </c>
      <c r="H3219" s="336"/>
      <c r="I3219" s="336"/>
      <c r="J3219" s="336"/>
      <c r="K3219" s="337"/>
    </row>
    <row r="3220" spans="1:11" ht="15" thickTop="1" x14ac:dyDescent="0.35">
      <c r="A3220" s="267" t="s">
        <v>159</v>
      </c>
      <c r="B3220" s="267" t="s">
        <v>299</v>
      </c>
      <c r="C3220" s="267" t="s">
        <v>307</v>
      </c>
      <c r="D3220" s="267" t="s">
        <v>301</v>
      </c>
      <c r="E3220" s="268" t="s">
        <v>308</v>
      </c>
      <c r="G3220" s="267" t="s">
        <v>159</v>
      </c>
      <c r="H3220" s="267" t="s">
        <v>299</v>
      </c>
      <c r="I3220" s="267" t="s">
        <v>307</v>
      </c>
      <c r="J3220" s="267" t="s">
        <v>301</v>
      </c>
      <c r="K3220" s="268" t="s">
        <v>308</v>
      </c>
    </row>
    <row r="3221" spans="1:11" x14ac:dyDescent="0.35">
      <c r="A3221" s="269" t="s">
        <v>809</v>
      </c>
      <c r="B3221" s="270">
        <v>888</v>
      </c>
      <c r="C3221" s="270"/>
      <c r="D3221" s="270"/>
      <c r="E3221" s="270"/>
      <c r="G3221" s="269" t="s">
        <v>316</v>
      </c>
      <c r="H3221" s="270"/>
      <c r="I3221" s="270"/>
      <c r="J3221" s="270"/>
      <c r="K3221" s="270"/>
    </row>
    <row r="3222" spans="1:11" x14ac:dyDescent="0.35">
      <c r="A3222" s="271" t="s">
        <v>309</v>
      </c>
      <c r="B3222" s="272"/>
      <c r="C3222" s="272"/>
      <c r="D3222" s="272"/>
      <c r="E3222" s="272"/>
      <c r="G3222" s="271" t="s">
        <v>309</v>
      </c>
      <c r="H3222" s="272"/>
      <c r="I3222" s="272"/>
      <c r="J3222" s="272"/>
      <c r="K3222" s="272"/>
    </row>
    <row r="3223" spans="1:11" x14ac:dyDescent="0.35">
      <c r="A3223" s="269" t="s">
        <v>310</v>
      </c>
      <c r="B3223" s="270">
        <v>2300</v>
      </c>
      <c r="C3223" s="270"/>
      <c r="D3223" s="270"/>
      <c r="E3223" s="270"/>
      <c r="G3223" s="269" t="s">
        <v>310</v>
      </c>
      <c r="H3223" s="270"/>
      <c r="I3223" s="270"/>
      <c r="J3223" s="270"/>
      <c r="K3223" s="270"/>
    </row>
    <row r="3224" spans="1:11" x14ac:dyDescent="0.35">
      <c r="A3224" s="271" t="s">
        <v>317</v>
      </c>
      <c r="B3224" s="272"/>
      <c r="C3224" s="272"/>
      <c r="D3224" s="272"/>
      <c r="E3224" s="272"/>
      <c r="G3224" s="271" t="s">
        <v>317</v>
      </c>
      <c r="H3224" s="272"/>
      <c r="I3224" s="272"/>
      <c r="J3224" s="272"/>
      <c r="K3224" s="272"/>
    </row>
    <row r="3225" spans="1:11" x14ac:dyDescent="0.35">
      <c r="A3225" s="269" t="s">
        <v>311</v>
      </c>
      <c r="B3225" s="270"/>
      <c r="C3225" s="270"/>
      <c r="D3225" s="270"/>
      <c r="E3225" s="270"/>
      <c r="G3225" s="269" t="s">
        <v>311</v>
      </c>
      <c r="H3225" s="270"/>
      <c r="I3225" s="270"/>
      <c r="J3225" s="270"/>
      <c r="K3225" s="270"/>
    </row>
    <row r="3226" spans="1:11" x14ac:dyDescent="0.35">
      <c r="A3226" s="271" t="s">
        <v>312</v>
      </c>
      <c r="B3226" s="272">
        <v>6620</v>
      </c>
      <c r="C3226" s="272"/>
      <c r="D3226" s="272"/>
      <c r="E3226" s="272"/>
      <c r="G3226" s="271" t="s">
        <v>312</v>
      </c>
      <c r="H3226" s="272"/>
      <c r="I3226" s="272"/>
      <c r="J3226" s="272"/>
      <c r="K3226" s="272"/>
    </row>
    <row r="3227" spans="1:11" x14ac:dyDescent="0.35">
      <c r="A3227" s="231" t="s">
        <v>34</v>
      </c>
      <c r="B3227" s="230">
        <f>SUM(B3221:B3226)</f>
        <v>9808</v>
      </c>
      <c r="C3227" s="230">
        <f>SUM(C3221:C3226)</f>
        <v>0</v>
      </c>
      <c r="D3227" s="230">
        <f>SUM(D3221:D3226)</f>
        <v>0</v>
      </c>
      <c r="E3227" s="230">
        <f>SUM(E3221:E3226)</f>
        <v>0</v>
      </c>
      <c r="G3227" s="231" t="s">
        <v>34</v>
      </c>
      <c r="H3227" s="230">
        <f>SUM(H3221:H3226)</f>
        <v>0</v>
      </c>
      <c r="I3227" s="230">
        <f>SUM(I3221:I3226)</f>
        <v>0</v>
      </c>
      <c r="J3227" s="230">
        <f>SUM(J3221:J3226)</f>
        <v>0</v>
      </c>
      <c r="K3227" s="230">
        <f>SUM(K3221:K3226)</f>
        <v>0</v>
      </c>
    </row>
    <row r="3228" spans="1:11" ht="15" thickBot="1" x14ac:dyDescent="0.4">
      <c r="A3228" s="231" t="s">
        <v>313</v>
      </c>
      <c r="B3228" s="230">
        <f>+B3227+C3227+D3227+E3227</f>
        <v>9808</v>
      </c>
      <c r="C3228" s="230"/>
      <c r="D3228" s="230"/>
      <c r="E3228" s="230"/>
      <c r="G3228" s="231" t="s">
        <v>313</v>
      </c>
      <c r="H3228" s="230">
        <f>+H3227+I3227+J3227+K3227</f>
        <v>0</v>
      </c>
      <c r="I3228" s="230"/>
      <c r="J3228" s="230"/>
      <c r="K3228" s="230"/>
    </row>
    <row r="3229" spans="1:11" ht="15.5" thickTop="1" thickBot="1" x14ac:dyDescent="0.4">
      <c r="A3229" s="335" t="s">
        <v>298</v>
      </c>
      <c r="B3229" s="336"/>
      <c r="C3229" s="336"/>
      <c r="D3229" s="336"/>
      <c r="E3229" s="337"/>
      <c r="G3229" s="335" t="s">
        <v>298</v>
      </c>
      <c r="H3229" s="336"/>
      <c r="I3229" s="336"/>
      <c r="J3229" s="336"/>
      <c r="K3229" s="337"/>
    </row>
    <row r="3230" spans="1:11" ht="15.5" thickTop="1" thickBot="1" x14ac:dyDescent="0.4">
      <c r="A3230" s="338">
        <v>45583</v>
      </c>
      <c r="B3230" s="336"/>
      <c r="C3230" s="336"/>
      <c r="D3230" s="336"/>
      <c r="E3230" s="337"/>
      <c r="G3230" s="338">
        <v>45583</v>
      </c>
      <c r="H3230" s="336"/>
      <c r="I3230" s="336"/>
      <c r="J3230" s="336"/>
      <c r="K3230" s="337"/>
    </row>
    <row r="3231" spans="1:11" ht="15" thickTop="1" x14ac:dyDescent="0.35">
      <c r="A3231" s="267" t="s">
        <v>159</v>
      </c>
      <c r="B3231" s="267" t="s">
        <v>299</v>
      </c>
      <c r="C3231" s="267" t="s">
        <v>307</v>
      </c>
      <c r="D3231" s="267" t="s">
        <v>301</v>
      </c>
      <c r="E3231" s="268" t="s">
        <v>308</v>
      </c>
      <c r="G3231" s="267" t="s">
        <v>159</v>
      </c>
      <c r="H3231" s="267" t="s">
        <v>299</v>
      </c>
      <c r="I3231" s="267" t="s">
        <v>307</v>
      </c>
      <c r="J3231" s="267" t="s">
        <v>301</v>
      </c>
      <c r="K3231" s="268" t="s">
        <v>308</v>
      </c>
    </row>
    <row r="3232" spans="1:11" x14ac:dyDescent="0.35">
      <c r="A3232" s="269" t="s">
        <v>316</v>
      </c>
      <c r="B3232" s="270">
        <v>160</v>
      </c>
      <c r="C3232" s="270"/>
      <c r="D3232" s="270"/>
      <c r="E3232" s="270"/>
      <c r="G3232" s="269" t="s">
        <v>316</v>
      </c>
      <c r="H3232" s="270">
        <v>800</v>
      </c>
      <c r="I3232" s="270"/>
      <c r="J3232" s="270"/>
      <c r="K3232" s="270"/>
    </row>
    <row r="3233" spans="1:11" x14ac:dyDescent="0.35">
      <c r="A3233" s="271" t="s">
        <v>309</v>
      </c>
      <c r="B3233" s="272"/>
      <c r="C3233" s="272"/>
      <c r="D3233" s="272"/>
      <c r="E3233" s="272"/>
      <c r="G3233" s="271" t="s">
        <v>309</v>
      </c>
      <c r="H3233" s="272"/>
      <c r="I3233" s="272"/>
      <c r="J3233" s="272"/>
      <c r="K3233" s="272"/>
    </row>
    <row r="3234" spans="1:11" x14ac:dyDescent="0.35">
      <c r="A3234" s="269" t="s">
        <v>310</v>
      </c>
      <c r="B3234" s="270"/>
      <c r="C3234" s="270"/>
      <c r="D3234" s="270"/>
      <c r="E3234" s="270"/>
      <c r="G3234" s="269" t="s">
        <v>310</v>
      </c>
      <c r="H3234" s="270"/>
      <c r="I3234" s="270"/>
      <c r="J3234" s="270"/>
      <c r="K3234" s="270"/>
    </row>
    <row r="3235" spans="1:11" x14ac:dyDescent="0.35">
      <c r="A3235" s="271" t="s">
        <v>317</v>
      </c>
      <c r="B3235" s="272"/>
      <c r="C3235" s="272"/>
      <c r="D3235" s="272"/>
      <c r="E3235" s="272"/>
      <c r="G3235" s="271" t="s">
        <v>317</v>
      </c>
      <c r="H3235" s="272"/>
      <c r="I3235" s="272"/>
      <c r="J3235" s="272"/>
      <c r="K3235" s="272"/>
    </row>
    <row r="3236" spans="1:11" x14ac:dyDescent="0.35">
      <c r="A3236" s="269" t="s">
        <v>311</v>
      </c>
      <c r="B3236" s="270"/>
      <c r="C3236" s="270"/>
      <c r="D3236" s="270"/>
      <c r="E3236" s="270"/>
      <c r="G3236" s="269" t="s">
        <v>311</v>
      </c>
      <c r="H3236" s="270"/>
      <c r="I3236" s="270"/>
      <c r="J3236" s="270"/>
      <c r="K3236" s="270"/>
    </row>
    <row r="3237" spans="1:11" x14ac:dyDescent="0.35">
      <c r="A3237" s="271" t="s">
        <v>312</v>
      </c>
      <c r="B3237" s="272"/>
      <c r="C3237" s="272"/>
      <c r="D3237" s="272"/>
      <c r="E3237" s="272"/>
      <c r="G3237" s="271" t="s">
        <v>312</v>
      </c>
      <c r="H3237" s="272"/>
      <c r="I3237" s="272"/>
      <c r="J3237" s="272"/>
      <c r="K3237" s="272"/>
    </row>
    <row r="3238" spans="1:11" x14ac:dyDescent="0.35">
      <c r="A3238" s="231" t="s">
        <v>34</v>
      </c>
      <c r="B3238" s="230">
        <f>SUM(B3232:B3237)</f>
        <v>160</v>
      </c>
      <c r="C3238" s="230">
        <f>SUM(C3232:C3237)</f>
        <v>0</v>
      </c>
      <c r="D3238" s="230">
        <f>SUM(D3232:D3237)</f>
        <v>0</v>
      </c>
      <c r="E3238" s="230">
        <f>SUM(E3232:E3237)</f>
        <v>0</v>
      </c>
      <c r="G3238" s="231" t="s">
        <v>34</v>
      </c>
      <c r="H3238" s="230">
        <f>SUM(H3232:H3237)</f>
        <v>800</v>
      </c>
      <c r="I3238" s="230">
        <f>SUM(I3232:I3237)</f>
        <v>0</v>
      </c>
      <c r="J3238" s="230">
        <f>SUM(J3232:J3237)</f>
        <v>0</v>
      </c>
      <c r="K3238" s="230">
        <f>SUM(K3232:K3237)</f>
        <v>0</v>
      </c>
    </row>
    <row r="3239" spans="1:11" ht="15" thickBot="1" x14ac:dyDescent="0.4">
      <c r="A3239" s="231" t="s">
        <v>313</v>
      </c>
      <c r="B3239" s="230">
        <f>+B3238+C3238+D3238+E3238</f>
        <v>160</v>
      </c>
      <c r="C3239" s="230"/>
      <c r="D3239" s="230"/>
      <c r="E3239" s="230"/>
      <c r="G3239" s="231" t="s">
        <v>313</v>
      </c>
      <c r="H3239" s="230">
        <f>+H3238+I3238+J3238+K3238</f>
        <v>800</v>
      </c>
      <c r="I3239" s="230"/>
      <c r="J3239" s="230"/>
      <c r="K3239" s="230"/>
    </row>
    <row r="3240" spans="1:11" ht="15.5" thickTop="1" thickBot="1" x14ac:dyDescent="0.4">
      <c r="A3240" s="335" t="s">
        <v>298</v>
      </c>
      <c r="B3240" s="336"/>
      <c r="C3240" s="336"/>
      <c r="D3240" s="336"/>
      <c r="E3240" s="337"/>
      <c r="G3240" s="335" t="s">
        <v>298</v>
      </c>
      <c r="H3240" s="336"/>
      <c r="I3240" s="336"/>
      <c r="J3240" s="336"/>
      <c r="K3240" s="337"/>
    </row>
    <row r="3241" spans="1:11" ht="15.5" thickTop="1" thickBot="1" x14ac:dyDescent="0.4">
      <c r="A3241" s="338">
        <v>45584</v>
      </c>
      <c r="B3241" s="336"/>
      <c r="C3241" s="336"/>
      <c r="D3241" s="336"/>
      <c r="E3241" s="337"/>
      <c r="G3241" s="338">
        <v>45584</v>
      </c>
      <c r="H3241" s="336"/>
      <c r="I3241" s="336"/>
      <c r="J3241" s="336"/>
      <c r="K3241" s="337"/>
    </row>
    <row r="3242" spans="1:11" ht="15" thickTop="1" x14ac:dyDescent="0.35">
      <c r="A3242" s="267" t="s">
        <v>159</v>
      </c>
      <c r="B3242" s="267" t="s">
        <v>299</v>
      </c>
      <c r="C3242" s="267" t="s">
        <v>307</v>
      </c>
      <c r="D3242" s="267" t="s">
        <v>301</v>
      </c>
      <c r="E3242" s="268" t="s">
        <v>308</v>
      </c>
      <c r="G3242" s="267" t="s">
        <v>159</v>
      </c>
      <c r="H3242" s="267" t="s">
        <v>299</v>
      </c>
      <c r="I3242" s="267" t="s">
        <v>307</v>
      </c>
      <c r="J3242" s="267" t="s">
        <v>301</v>
      </c>
      <c r="K3242" s="268" t="s">
        <v>308</v>
      </c>
    </row>
    <row r="3243" spans="1:11" x14ac:dyDescent="0.35">
      <c r="A3243" s="269" t="s">
        <v>316</v>
      </c>
      <c r="B3243" s="270"/>
      <c r="C3243" s="270"/>
      <c r="D3243" s="270"/>
      <c r="E3243" s="270"/>
      <c r="G3243" s="269" t="s">
        <v>316</v>
      </c>
      <c r="H3243" s="270"/>
      <c r="I3243" s="270"/>
      <c r="J3243" s="270"/>
      <c r="K3243" s="270"/>
    </row>
    <row r="3244" spans="1:11" x14ac:dyDescent="0.35">
      <c r="A3244" s="271" t="s">
        <v>309</v>
      </c>
      <c r="B3244" s="272"/>
      <c r="C3244" s="272"/>
      <c r="D3244" s="272"/>
      <c r="E3244" s="272"/>
      <c r="G3244" s="271" t="s">
        <v>309</v>
      </c>
      <c r="H3244" s="272"/>
      <c r="I3244" s="272"/>
      <c r="J3244" s="272"/>
      <c r="K3244" s="272"/>
    </row>
    <row r="3245" spans="1:11" x14ac:dyDescent="0.35">
      <c r="A3245" s="269" t="s">
        <v>310</v>
      </c>
      <c r="B3245" s="270"/>
      <c r="C3245" s="270"/>
      <c r="D3245" s="270"/>
      <c r="E3245" s="270"/>
      <c r="G3245" s="269" t="s">
        <v>310</v>
      </c>
      <c r="H3245" s="270"/>
      <c r="I3245" s="270"/>
      <c r="J3245" s="270"/>
      <c r="K3245" s="270"/>
    </row>
    <row r="3246" spans="1:11" x14ac:dyDescent="0.35">
      <c r="A3246" s="271" t="s">
        <v>317</v>
      </c>
      <c r="B3246" s="272"/>
      <c r="C3246" s="272"/>
      <c r="D3246" s="272"/>
      <c r="E3246" s="272"/>
      <c r="G3246" s="271" t="s">
        <v>317</v>
      </c>
      <c r="H3246" s="272"/>
      <c r="I3246" s="272"/>
      <c r="J3246" s="272"/>
      <c r="K3246" s="272"/>
    </row>
    <row r="3247" spans="1:11" x14ac:dyDescent="0.35">
      <c r="A3247" s="269" t="s">
        <v>311</v>
      </c>
      <c r="B3247" s="270"/>
      <c r="C3247" s="270"/>
      <c r="D3247" s="270"/>
      <c r="E3247" s="270"/>
      <c r="G3247" s="269" t="s">
        <v>311</v>
      </c>
      <c r="H3247" s="270"/>
      <c r="I3247" s="270"/>
      <c r="J3247" s="270"/>
      <c r="K3247" s="270"/>
    </row>
    <row r="3248" spans="1:11" x14ac:dyDescent="0.35">
      <c r="A3248" s="271" t="s">
        <v>312</v>
      </c>
      <c r="B3248" s="272"/>
      <c r="C3248" s="272"/>
      <c r="D3248" s="272"/>
      <c r="E3248" s="272"/>
      <c r="G3248" s="271" t="s">
        <v>312</v>
      </c>
      <c r="H3248" s="272"/>
      <c r="I3248" s="272"/>
      <c r="J3248" s="272"/>
      <c r="K3248" s="272"/>
    </row>
    <row r="3249" spans="1:11" x14ac:dyDescent="0.35">
      <c r="A3249" s="231" t="s">
        <v>34</v>
      </c>
      <c r="B3249" s="230">
        <f>SUM(B3243:B3248)</f>
        <v>0</v>
      </c>
      <c r="C3249" s="230">
        <f>SUM(C3243:C3248)</f>
        <v>0</v>
      </c>
      <c r="D3249" s="230">
        <f>SUM(D3243:D3248)</f>
        <v>0</v>
      </c>
      <c r="E3249" s="230">
        <f>SUM(E3243:E3248)</f>
        <v>0</v>
      </c>
      <c r="G3249" s="231" t="s">
        <v>34</v>
      </c>
      <c r="H3249" s="230">
        <f>SUM(H3243:H3248)</f>
        <v>0</v>
      </c>
      <c r="I3249" s="230">
        <f>SUM(I3243:I3248)</f>
        <v>0</v>
      </c>
      <c r="J3249" s="230">
        <f>SUM(J3243:J3248)</f>
        <v>0</v>
      </c>
      <c r="K3249" s="230">
        <f>SUM(K3243:K3248)</f>
        <v>0</v>
      </c>
    </row>
    <row r="3250" spans="1:11" ht="15" thickBot="1" x14ac:dyDescent="0.4">
      <c r="A3250" s="231" t="s">
        <v>313</v>
      </c>
      <c r="B3250" s="230">
        <f>+B3249+C3249+D3249+E3249</f>
        <v>0</v>
      </c>
      <c r="C3250" s="230"/>
      <c r="D3250" s="230"/>
      <c r="E3250" s="230"/>
      <c r="G3250" s="231" t="s">
        <v>313</v>
      </c>
      <c r="H3250" s="230">
        <f>+H3249+I3249+J3249+K3249</f>
        <v>0</v>
      </c>
      <c r="I3250" s="230"/>
      <c r="J3250" s="230"/>
      <c r="K3250" s="230"/>
    </row>
    <row r="3251" spans="1:11" ht="15.5" thickTop="1" thickBot="1" x14ac:dyDescent="0.4">
      <c r="A3251" s="335" t="s">
        <v>298</v>
      </c>
      <c r="B3251" s="336"/>
      <c r="C3251" s="336"/>
      <c r="D3251" s="336"/>
      <c r="E3251" s="337"/>
      <c r="G3251" s="335" t="s">
        <v>298</v>
      </c>
      <c r="H3251" s="336"/>
      <c r="I3251" s="336"/>
      <c r="J3251" s="336"/>
      <c r="K3251" s="337"/>
    </row>
    <row r="3252" spans="1:11" ht="15.5" thickTop="1" thickBot="1" x14ac:dyDescent="0.4">
      <c r="A3252" s="338">
        <v>45585</v>
      </c>
      <c r="B3252" s="336"/>
      <c r="C3252" s="336"/>
      <c r="D3252" s="336"/>
      <c r="E3252" s="337"/>
      <c r="G3252" s="338">
        <v>45585</v>
      </c>
      <c r="H3252" s="336"/>
      <c r="I3252" s="336"/>
      <c r="J3252" s="336"/>
      <c r="K3252" s="337"/>
    </row>
    <row r="3253" spans="1:11" ht="15" thickTop="1" x14ac:dyDescent="0.35">
      <c r="A3253" s="267" t="s">
        <v>159</v>
      </c>
      <c r="B3253" s="267" t="s">
        <v>299</v>
      </c>
      <c r="C3253" s="267" t="s">
        <v>307</v>
      </c>
      <c r="D3253" s="267" t="s">
        <v>301</v>
      </c>
      <c r="E3253" s="268" t="s">
        <v>308</v>
      </c>
      <c r="G3253" s="267" t="s">
        <v>159</v>
      </c>
      <c r="H3253" s="267" t="s">
        <v>299</v>
      </c>
      <c r="I3253" s="267" t="s">
        <v>307</v>
      </c>
      <c r="J3253" s="267" t="s">
        <v>301</v>
      </c>
      <c r="K3253" s="268" t="s">
        <v>308</v>
      </c>
    </row>
    <row r="3254" spans="1:11" x14ac:dyDescent="0.35">
      <c r="A3254" s="269" t="s">
        <v>316</v>
      </c>
      <c r="B3254" s="270"/>
      <c r="C3254" s="270"/>
      <c r="D3254" s="270"/>
      <c r="E3254" s="270"/>
      <c r="G3254" s="269" t="s">
        <v>316</v>
      </c>
      <c r="H3254" s="270"/>
      <c r="I3254" s="270"/>
      <c r="J3254" s="270"/>
      <c r="K3254" s="270"/>
    </row>
    <row r="3255" spans="1:11" x14ac:dyDescent="0.35">
      <c r="A3255" s="271" t="s">
        <v>309</v>
      </c>
      <c r="B3255" s="272"/>
      <c r="C3255" s="272"/>
      <c r="D3255" s="272"/>
      <c r="E3255" s="272"/>
      <c r="G3255" s="271" t="s">
        <v>309</v>
      </c>
      <c r="H3255" s="272"/>
      <c r="I3255" s="272"/>
      <c r="J3255" s="272"/>
      <c r="K3255" s="272"/>
    </row>
    <row r="3256" spans="1:11" x14ac:dyDescent="0.35">
      <c r="A3256" s="269" t="s">
        <v>310</v>
      </c>
      <c r="B3256" s="270"/>
      <c r="C3256" s="270"/>
      <c r="D3256" s="270"/>
      <c r="E3256" s="270"/>
      <c r="G3256" s="269" t="s">
        <v>310</v>
      </c>
      <c r="H3256" s="270"/>
      <c r="I3256" s="270"/>
      <c r="J3256" s="270"/>
      <c r="K3256" s="270"/>
    </row>
    <row r="3257" spans="1:11" x14ac:dyDescent="0.35">
      <c r="A3257" s="271" t="s">
        <v>317</v>
      </c>
      <c r="B3257" s="272"/>
      <c r="C3257" s="272"/>
      <c r="D3257" s="272"/>
      <c r="E3257" s="272"/>
      <c r="G3257" s="271" t="s">
        <v>317</v>
      </c>
      <c r="H3257" s="272"/>
      <c r="I3257" s="272"/>
      <c r="J3257" s="272"/>
      <c r="K3257" s="272"/>
    </row>
    <row r="3258" spans="1:11" x14ac:dyDescent="0.35">
      <c r="A3258" s="269" t="s">
        <v>311</v>
      </c>
      <c r="B3258" s="270"/>
      <c r="C3258" s="270"/>
      <c r="D3258" s="270"/>
      <c r="E3258" s="270"/>
      <c r="G3258" s="269" t="s">
        <v>311</v>
      </c>
      <c r="H3258" s="270"/>
      <c r="I3258" s="270"/>
      <c r="J3258" s="270"/>
      <c r="K3258" s="270"/>
    </row>
    <row r="3259" spans="1:11" x14ac:dyDescent="0.35">
      <c r="A3259" s="271" t="s">
        <v>312</v>
      </c>
      <c r="B3259" s="272"/>
      <c r="C3259" s="272"/>
      <c r="D3259" s="272"/>
      <c r="E3259" s="272"/>
      <c r="G3259" s="271" t="s">
        <v>312</v>
      </c>
      <c r="H3259" s="272"/>
      <c r="I3259" s="272"/>
      <c r="J3259" s="272"/>
      <c r="K3259" s="272"/>
    </row>
    <row r="3260" spans="1:11" x14ac:dyDescent="0.35">
      <c r="A3260" s="231" t="s">
        <v>34</v>
      </c>
      <c r="B3260" s="230">
        <f>SUM(B3254:B3259)</f>
        <v>0</v>
      </c>
      <c r="C3260" s="230">
        <f>SUM(C3254:C3259)</f>
        <v>0</v>
      </c>
      <c r="D3260" s="230">
        <f>SUM(D3254:D3259)</f>
        <v>0</v>
      </c>
      <c r="E3260" s="230">
        <f>SUM(E3254:E3259)</f>
        <v>0</v>
      </c>
      <c r="G3260" s="231" t="s">
        <v>34</v>
      </c>
      <c r="H3260" s="230">
        <f>SUM(H3254:H3259)</f>
        <v>0</v>
      </c>
      <c r="I3260" s="230">
        <f>SUM(I3254:I3259)</f>
        <v>0</v>
      </c>
      <c r="J3260" s="230">
        <f>SUM(J3254:J3259)</f>
        <v>0</v>
      </c>
      <c r="K3260" s="230">
        <f>SUM(K3254:K3259)</f>
        <v>0</v>
      </c>
    </row>
    <row r="3261" spans="1:11" ht="15" thickBot="1" x14ac:dyDescent="0.4">
      <c r="A3261" s="231" t="s">
        <v>313</v>
      </c>
      <c r="B3261" s="230">
        <f>+B3260+C3260+D3260+E3260</f>
        <v>0</v>
      </c>
      <c r="C3261" s="230"/>
      <c r="D3261" s="230"/>
      <c r="E3261" s="230"/>
      <c r="G3261" s="231" t="s">
        <v>313</v>
      </c>
      <c r="H3261" s="230">
        <f>+H3260+I3260+J3260+K3260</f>
        <v>0</v>
      </c>
      <c r="I3261" s="230"/>
      <c r="J3261" s="230"/>
      <c r="K3261" s="230"/>
    </row>
    <row r="3262" spans="1:11" ht="15.5" thickTop="1" thickBot="1" x14ac:dyDescent="0.4">
      <c r="A3262" s="335" t="s">
        <v>298</v>
      </c>
      <c r="B3262" s="336"/>
      <c r="C3262" s="336"/>
      <c r="D3262" s="336"/>
      <c r="E3262" s="337"/>
      <c r="G3262" s="335" t="s">
        <v>298</v>
      </c>
      <c r="H3262" s="336"/>
      <c r="I3262" s="336"/>
      <c r="J3262" s="336"/>
      <c r="K3262" s="337"/>
    </row>
    <row r="3263" spans="1:11" ht="15.5" thickTop="1" thickBot="1" x14ac:dyDescent="0.4">
      <c r="A3263" s="338">
        <v>45586</v>
      </c>
      <c r="B3263" s="336"/>
      <c r="C3263" s="336"/>
      <c r="D3263" s="336"/>
      <c r="E3263" s="337"/>
      <c r="G3263" s="338">
        <v>45586</v>
      </c>
      <c r="H3263" s="336"/>
      <c r="I3263" s="336"/>
      <c r="J3263" s="336"/>
      <c r="K3263" s="337"/>
    </row>
    <row r="3264" spans="1:11" ht="15" thickTop="1" x14ac:dyDescent="0.35">
      <c r="A3264" s="267" t="s">
        <v>159</v>
      </c>
      <c r="B3264" s="267" t="s">
        <v>299</v>
      </c>
      <c r="C3264" s="267" t="s">
        <v>307</v>
      </c>
      <c r="D3264" s="267" t="s">
        <v>301</v>
      </c>
      <c r="E3264" s="268" t="s">
        <v>308</v>
      </c>
      <c r="G3264" s="267" t="s">
        <v>159</v>
      </c>
      <c r="H3264" s="267" t="s">
        <v>299</v>
      </c>
      <c r="I3264" s="267" t="s">
        <v>307</v>
      </c>
      <c r="J3264" s="267" t="s">
        <v>301</v>
      </c>
      <c r="K3264" s="268" t="s">
        <v>308</v>
      </c>
    </row>
    <row r="3265" spans="1:11" x14ac:dyDescent="0.35">
      <c r="A3265" s="269" t="s">
        <v>316</v>
      </c>
      <c r="B3265" s="270"/>
      <c r="C3265" s="270"/>
      <c r="D3265" s="270"/>
      <c r="E3265" s="270"/>
      <c r="G3265" s="269" t="s">
        <v>316</v>
      </c>
      <c r="H3265" s="270"/>
      <c r="I3265" s="270"/>
      <c r="J3265" s="270"/>
      <c r="K3265" s="270"/>
    </row>
    <row r="3266" spans="1:11" x14ac:dyDescent="0.35">
      <c r="A3266" s="271" t="s">
        <v>309</v>
      </c>
      <c r="B3266" s="272"/>
      <c r="C3266" s="272"/>
      <c r="D3266" s="272"/>
      <c r="E3266" s="272"/>
      <c r="G3266" s="271" t="s">
        <v>309</v>
      </c>
      <c r="H3266" s="272"/>
      <c r="I3266" s="272"/>
      <c r="J3266" s="272"/>
      <c r="K3266" s="272"/>
    </row>
    <row r="3267" spans="1:11" x14ac:dyDescent="0.35">
      <c r="A3267" s="269" t="s">
        <v>310</v>
      </c>
      <c r="B3267" s="270"/>
      <c r="C3267" s="270"/>
      <c r="D3267" s="270"/>
      <c r="E3267" s="270"/>
      <c r="G3267" s="269" t="s">
        <v>310</v>
      </c>
      <c r="H3267" s="270"/>
      <c r="I3267" s="270"/>
      <c r="J3267" s="270"/>
      <c r="K3267" s="270"/>
    </row>
    <row r="3268" spans="1:11" x14ac:dyDescent="0.35">
      <c r="A3268" s="271" t="s">
        <v>317</v>
      </c>
      <c r="B3268" s="272"/>
      <c r="C3268" s="272"/>
      <c r="D3268" s="272"/>
      <c r="E3268" s="272"/>
      <c r="G3268" s="271" t="s">
        <v>317</v>
      </c>
      <c r="H3268" s="272"/>
      <c r="I3268" s="272"/>
      <c r="J3268" s="272"/>
      <c r="K3268" s="272"/>
    </row>
    <row r="3269" spans="1:11" x14ac:dyDescent="0.35">
      <c r="A3269" s="269" t="s">
        <v>311</v>
      </c>
      <c r="B3269" s="270"/>
      <c r="C3269" s="270"/>
      <c r="D3269" s="270"/>
      <c r="E3269" s="270"/>
      <c r="G3269" s="269" t="s">
        <v>311</v>
      </c>
      <c r="H3269" s="270"/>
      <c r="I3269" s="270"/>
      <c r="J3269" s="270"/>
      <c r="K3269" s="270"/>
    </row>
    <row r="3270" spans="1:11" x14ac:dyDescent="0.35">
      <c r="A3270" s="271" t="s">
        <v>312</v>
      </c>
      <c r="B3270" s="272"/>
      <c r="C3270" s="272"/>
      <c r="D3270" s="272"/>
      <c r="E3270" s="272"/>
      <c r="G3270" s="271" t="s">
        <v>312</v>
      </c>
      <c r="H3270" s="272"/>
      <c r="I3270" s="272"/>
      <c r="J3270" s="272"/>
      <c r="K3270" s="272"/>
    </row>
    <row r="3271" spans="1:11" x14ac:dyDescent="0.35">
      <c r="A3271" s="231" t="s">
        <v>34</v>
      </c>
      <c r="B3271" s="230">
        <f>SUM(B3265:B3270)</f>
        <v>0</v>
      </c>
      <c r="C3271" s="230">
        <f>SUM(C3265:C3270)</f>
        <v>0</v>
      </c>
      <c r="D3271" s="230">
        <f>SUM(D3265:D3270)</f>
        <v>0</v>
      </c>
      <c r="E3271" s="230">
        <f>SUM(E3265:E3270)</f>
        <v>0</v>
      </c>
      <c r="G3271" s="231" t="s">
        <v>34</v>
      </c>
      <c r="H3271" s="230">
        <f>SUM(H3265:H3270)</f>
        <v>0</v>
      </c>
      <c r="I3271" s="230">
        <f>SUM(I3265:I3270)</f>
        <v>0</v>
      </c>
      <c r="J3271" s="230">
        <f>SUM(J3265:J3270)</f>
        <v>0</v>
      </c>
      <c r="K3271" s="230">
        <f>SUM(K3265:K3270)</f>
        <v>0</v>
      </c>
    </row>
    <row r="3272" spans="1:11" ht="15" thickBot="1" x14ac:dyDescent="0.4">
      <c r="A3272" s="231" t="s">
        <v>313</v>
      </c>
      <c r="B3272" s="230">
        <f>+B3271+C3271+D3271+E3271</f>
        <v>0</v>
      </c>
      <c r="C3272" s="230"/>
      <c r="D3272" s="230"/>
      <c r="E3272" s="230"/>
      <c r="G3272" s="231" t="s">
        <v>313</v>
      </c>
      <c r="H3272" s="230">
        <f>+H3271+I3271+J3271+K3271</f>
        <v>0</v>
      </c>
      <c r="I3272" s="230"/>
      <c r="J3272" s="230"/>
      <c r="K3272" s="230"/>
    </row>
    <row r="3273" spans="1:11" ht="15.5" thickTop="1" thickBot="1" x14ac:dyDescent="0.4">
      <c r="A3273" s="335" t="s">
        <v>298</v>
      </c>
      <c r="B3273" s="336"/>
      <c r="C3273" s="336"/>
      <c r="D3273" s="336"/>
      <c r="E3273" s="337"/>
      <c r="G3273" s="335" t="s">
        <v>298</v>
      </c>
      <c r="H3273" s="336"/>
      <c r="I3273" s="336"/>
      <c r="J3273" s="336"/>
      <c r="K3273" s="337"/>
    </row>
    <row r="3274" spans="1:11" ht="15.5" thickTop="1" thickBot="1" x14ac:dyDescent="0.4">
      <c r="A3274" s="338">
        <v>45587</v>
      </c>
      <c r="B3274" s="336"/>
      <c r="C3274" s="336"/>
      <c r="D3274" s="336"/>
      <c r="E3274" s="337"/>
      <c r="G3274" s="338">
        <v>45587</v>
      </c>
      <c r="H3274" s="336"/>
      <c r="I3274" s="336"/>
      <c r="J3274" s="336"/>
      <c r="K3274" s="337"/>
    </row>
    <row r="3275" spans="1:11" ht="15" thickTop="1" x14ac:dyDescent="0.35">
      <c r="A3275" s="267" t="s">
        <v>159</v>
      </c>
      <c r="B3275" s="267" t="s">
        <v>299</v>
      </c>
      <c r="C3275" s="267" t="s">
        <v>307</v>
      </c>
      <c r="D3275" s="267" t="s">
        <v>301</v>
      </c>
      <c r="E3275" s="268" t="s">
        <v>308</v>
      </c>
      <c r="G3275" s="267" t="s">
        <v>159</v>
      </c>
      <c r="H3275" s="267" t="s">
        <v>299</v>
      </c>
      <c r="I3275" s="267" t="s">
        <v>307</v>
      </c>
      <c r="J3275" s="267" t="s">
        <v>301</v>
      </c>
      <c r="K3275" s="268" t="s">
        <v>308</v>
      </c>
    </row>
    <row r="3276" spans="1:11" x14ac:dyDescent="0.35">
      <c r="A3276" s="269" t="s">
        <v>316</v>
      </c>
      <c r="B3276" s="270"/>
      <c r="C3276" s="270"/>
      <c r="D3276" s="270"/>
      <c r="E3276" s="270"/>
      <c r="G3276" s="269" t="s">
        <v>316</v>
      </c>
      <c r="H3276" s="270"/>
      <c r="I3276" s="270"/>
      <c r="J3276" s="270"/>
      <c r="K3276" s="270"/>
    </row>
    <row r="3277" spans="1:11" x14ac:dyDescent="0.35">
      <c r="A3277" s="271" t="s">
        <v>309</v>
      </c>
      <c r="B3277" s="272"/>
      <c r="C3277" s="272"/>
      <c r="D3277" s="272"/>
      <c r="E3277" s="272"/>
      <c r="G3277" s="271" t="s">
        <v>309</v>
      </c>
      <c r="H3277" s="272"/>
      <c r="I3277" s="272"/>
      <c r="J3277" s="272"/>
      <c r="K3277" s="272"/>
    </row>
    <row r="3278" spans="1:11" x14ac:dyDescent="0.35">
      <c r="A3278" s="269" t="s">
        <v>310</v>
      </c>
      <c r="B3278" s="270"/>
      <c r="C3278" s="270"/>
      <c r="D3278" s="270"/>
      <c r="E3278" s="270"/>
      <c r="G3278" s="269" t="s">
        <v>310</v>
      </c>
      <c r="H3278" s="270"/>
      <c r="I3278" s="270"/>
      <c r="J3278" s="270"/>
      <c r="K3278" s="270"/>
    </row>
    <row r="3279" spans="1:11" x14ac:dyDescent="0.35">
      <c r="A3279" s="271" t="s">
        <v>317</v>
      </c>
      <c r="B3279" s="272"/>
      <c r="C3279" s="272"/>
      <c r="D3279" s="272"/>
      <c r="E3279" s="272"/>
      <c r="G3279" s="271" t="s">
        <v>317</v>
      </c>
      <c r="H3279" s="272"/>
      <c r="I3279" s="272"/>
      <c r="J3279" s="272"/>
      <c r="K3279" s="272"/>
    </row>
    <row r="3280" spans="1:11" x14ac:dyDescent="0.35">
      <c r="A3280" s="269" t="s">
        <v>311</v>
      </c>
      <c r="B3280" s="270"/>
      <c r="C3280" s="270"/>
      <c r="D3280" s="270"/>
      <c r="E3280" s="270"/>
      <c r="G3280" s="269" t="s">
        <v>311</v>
      </c>
      <c r="H3280" s="270"/>
      <c r="I3280" s="270"/>
      <c r="J3280" s="270"/>
      <c r="K3280" s="270"/>
    </row>
    <row r="3281" spans="1:11" x14ac:dyDescent="0.35">
      <c r="A3281" s="271" t="s">
        <v>312</v>
      </c>
      <c r="B3281" s="272"/>
      <c r="C3281" s="272"/>
      <c r="D3281" s="272"/>
      <c r="E3281" s="272"/>
      <c r="G3281" s="271" t="s">
        <v>312</v>
      </c>
      <c r="H3281" s="272"/>
      <c r="I3281" s="272"/>
      <c r="J3281" s="272"/>
      <c r="K3281" s="272"/>
    </row>
    <row r="3282" spans="1:11" x14ac:dyDescent="0.35">
      <c r="A3282" s="231" t="s">
        <v>34</v>
      </c>
      <c r="B3282" s="230">
        <f>SUM(B3276:B3281)</f>
        <v>0</v>
      </c>
      <c r="C3282" s="230">
        <f>SUM(C3276:C3281)</f>
        <v>0</v>
      </c>
      <c r="D3282" s="230">
        <f>SUM(D3276:D3281)</f>
        <v>0</v>
      </c>
      <c r="E3282" s="230">
        <f>SUM(E3276:E3281)</f>
        <v>0</v>
      </c>
      <c r="G3282" s="231" t="s">
        <v>34</v>
      </c>
      <c r="H3282" s="230">
        <f>SUM(H3276:H3281)</f>
        <v>0</v>
      </c>
      <c r="I3282" s="230">
        <f>SUM(I3276:I3281)</f>
        <v>0</v>
      </c>
      <c r="J3282" s="230">
        <f>SUM(J3276:J3281)</f>
        <v>0</v>
      </c>
      <c r="K3282" s="230">
        <f>SUM(K3276:K3281)</f>
        <v>0</v>
      </c>
    </row>
    <row r="3283" spans="1:11" ht="15" thickBot="1" x14ac:dyDescent="0.4">
      <c r="A3283" s="231" t="s">
        <v>313</v>
      </c>
      <c r="B3283" s="230">
        <f>+B3282+C3282+D3282+E3282</f>
        <v>0</v>
      </c>
      <c r="C3283" s="230"/>
      <c r="D3283" s="230"/>
      <c r="E3283" s="230"/>
      <c r="G3283" s="231" t="s">
        <v>313</v>
      </c>
      <c r="H3283" s="230">
        <f>+H3282+I3282+J3282+K3282</f>
        <v>0</v>
      </c>
      <c r="I3283" s="230"/>
      <c r="J3283" s="230"/>
      <c r="K3283" s="230"/>
    </row>
    <row r="3284" spans="1:11" ht="15.5" thickTop="1" thickBot="1" x14ac:dyDescent="0.4">
      <c r="A3284" s="335" t="s">
        <v>298</v>
      </c>
      <c r="B3284" s="336"/>
      <c r="C3284" s="336"/>
      <c r="D3284" s="336"/>
      <c r="E3284" s="337"/>
      <c r="G3284" s="335" t="s">
        <v>298</v>
      </c>
      <c r="H3284" s="336"/>
      <c r="I3284" s="336"/>
      <c r="J3284" s="336"/>
      <c r="K3284" s="337"/>
    </row>
    <row r="3285" spans="1:11" ht="15.5" thickTop="1" thickBot="1" x14ac:dyDescent="0.4">
      <c r="A3285" s="338">
        <v>45588</v>
      </c>
      <c r="B3285" s="336"/>
      <c r="C3285" s="336"/>
      <c r="D3285" s="336"/>
      <c r="E3285" s="337"/>
      <c r="G3285" s="338">
        <v>45588</v>
      </c>
      <c r="H3285" s="336"/>
      <c r="I3285" s="336"/>
      <c r="J3285" s="336"/>
      <c r="K3285" s="337"/>
    </row>
    <row r="3286" spans="1:11" ht="15" thickTop="1" x14ac:dyDescent="0.35">
      <c r="A3286" s="267" t="s">
        <v>159</v>
      </c>
      <c r="B3286" s="267" t="s">
        <v>299</v>
      </c>
      <c r="C3286" s="267" t="s">
        <v>307</v>
      </c>
      <c r="D3286" s="267" t="s">
        <v>301</v>
      </c>
      <c r="E3286" s="268" t="s">
        <v>308</v>
      </c>
      <c r="G3286" s="267" t="s">
        <v>159</v>
      </c>
      <c r="H3286" s="267" t="s">
        <v>299</v>
      </c>
      <c r="I3286" s="267" t="s">
        <v>307</v>
      </c>
      <c r="J3286" s="267" t="s">
        <v>301</v>
      </c>
      <c r="K3286" s="268" t="s">
        <v>308</v>
      </c>
    </row>
    <row r="3287" spans="1:11" x14ac:dyDescent="0.35">
      <c r="A3287" s="269" t="s">
        <v>316</v>
      </c>
      <c r="B3287" s="270"/>
      <c r="C3287" s="270"/>
      <c r="D3287" s="270"/>
      <c r="E3287" s="270"/>
      <c r="G3287" s="269" t="s">
        <v>316</v>
      </c>
      <c r="H3287" s="270"/>
      <c r="I3287" s="270"/>
      <c r="J3287" s="270"/>
      <c r="K3287" s="270"/>
    </row>
    <row r="3288" spans="1:11" x14ac:dyDescent="0.35">
      <c r="A3288" s="271" t="s">
        <v>309</v>
      </c>
      <c r="B3288" s="272"/>
      <c r="C3288" s="272"/>
      <c r="D3288" s="272"/>
      <c r="E3288" s="272"/>
      <c r="G3288" s="271" t="s">
        <v>309</v>
      </c>
      <c r="H3288" s="272"/>
      <c r="I3288" s="272"/>
      <c r="J3288" s="272"/>
      <c r="K3288" s="272"/>
    </row>
    <row r="3289" spans="1:11" x14ac:dyDescent="0.35">
      <c r="A3289" s="269" t="s">
        <v>310</v>
      </c>
      <c r="B3289" s="270"/>
      <c r="C3289" s="270"/>
      <c r="D3289" s="270"/>
      <c r="E3289" s="270"/>
      <c r="G3289" s="269" t="s">
        <v>310</v>
      </c>
      <c r="H3289" s="270"/>
      <c r="I3289" s="270"/>
      <c r="J3289" s="270"/>
      <c r="K3289" s="270"/>
    </row>
    <row r="3290" spans="1:11" x14ac:dyDescent="0.35">
      <c r="A3290" s="271" t="s">
        <v>317</v>
      </c>
      <c r="B3290" s="272"/>
      <c r="C3290" s="272"/>
      <c r="D3290" s="272"/>
      <c r="E3290" s="272"/>
      <c r="G3290" s="271" t="s">
        <v>317</v>
      </c>
      <c r="H3290" s="272"/>
      <c r="I3290" s="272"/>
      <c r="J3290" s="272"/>
      <c r="K3290" s="272"/>
    </row>
    <row r="3291" spans="1:11" x14ac:dyDescent="0.35">
      <c r="A3291" s="269" t="s">
        <v>311</v>
      </c>
      <c r="B3291" s="270"/>
      <c r="C3291" s="270"/>
      <c r="D3291" s="270"/>
      <c r="E3291" s="270"/>
      <c r="G3291" s="269" t="s">
        <v>311</v>
      </c>
      <c r="H3291" s="270"/>
      <c r="I3291" s="270"/>
      <c r="J3291" s="270"/>
      <c r="K3291" s="270"/>
    </row>
    <row r="3292" spans="1:11" x14ac:dyDescent="0.35">
      <c r="A3292" s="271" t="s">
        <v>312</v>
      </c>
      <c r="B3292" s="272"/>
      <c r="C3292" s="272"/>
      <c r="D3292" s="272"/>
      <c r="E3292" s="272"/>
      <c r="G3292" s="271" t="s">
        <v>312</v>
      </c>
      <c r="H3292" s="272"/>
      <c r="I3292" s="272"/>
      <c r="J3292" s="272"/>
      <c r="K3292" s="272"/>
    </row>
    <row r="3293" spans="1:11" x14ac:dyDescent="0.35">
      <c r="A3293" s="231" t="s">
        <v>34</v>
      </c>
      <c r="B3293" s="230">
        <f>SUM(B3287:B3292)</f>
        <v>0</v>
      </c>
      <c r="C3293" s="230">
        <f>SUM(C3287:C3292)</f>
        <v>0</v>
      </c>
      <c r="D3293" s="230">
        <f>SUM(D3287:D3292)</f>
        <v>0</v>
      </c>
      <c r="E3293" s="230">
        <f>SUM(E3287:E3292)</f>
        <v>0</v>
      </c>
      <c r="G3293" s="231" t="s">
        <v>34</v>
      </c>
      <c r="H3293" s="230">
        <f>SUM(H3287:H3292)</f>
        <v>0</v>
      </c>
      <c r="I3293" s="230">
        <f>SUM(I3287:I3292)</f>
        <v>0</v>
      </c>
      <c r="J3293" s="230">
        <f>SUM(J3287:J3292)</f>
        <v>0</v>
      </c>
      <c r="K3293" s="230">
        <f>SUM(K3287:K3292)</f>
        <v>0</v>
      </c>
    </row>
    <row r="3294" spans="1:11" ht="15" thickBot="1" x14ac:dyDescent="0.4">
      <c r="A3294" s="231" t="s">
        <v>313</v>
      </c>
      <c r="B3294" s="230">
        <f>+B3293+C3293+D3293+E3293</f>
        <v>0</v>
      </c>
      <c r="C3294" s="230"/>
      <c r="D3294" s="230"/>
      <c r="E3294" s="230"/>
      <c r="G3294" s="231" t="s">
        <v>313</v>
      </c>
      <c r="H3294" s="230">
        <f>+H3293+I3293+J3293+K3293</f>
        <v>0</v>
      </c>
      <c r="I3294" s="230"/>
      <c r="J3294" s="230"/>
      <c r="K3294" s="230"/>
    </row>
    <row r="3295" spans="1:11" ht="15.5" thickTop="1" thickBot="1" x14ac:dyDescent="0.4">
      <c r="A3295" s="335" t="s">
        <v>298</v>
      </c>
      <c r="B3295" s="336"/>
      <c r="C3295" s="336"/>
      <c r="D3295" s="336"/>
      <c r="E3295" s="337"/>
      <c r="G3295" s="335" t="s">
        <v>298</v>
      </c>
      <c r="H3295" s="336"/>
      <c r="I3295" s="336"/>
      <c r="J3295" s="336"/>
      <c r="K3295" s="337"/>
    </row>
    <row r="3296" spans="1:11" ht="15.5" thickTop="1" thickBot="1" x14ac:dyDescent="0.4">
      <c r="A3296" s="338">
        <v>45589</v>
      </c>
      <c r="B3296" s="336"/>
      <c r="C3296" s="336"/>
      <c r="D3296" s="336"/>
      <c r="E3296" s="337"/>
      <c r="G3296" s="338">
        <v>45589</v>
      </c>
      <c r="H3296" s="336"/>
      <c r="I3296" s="336"/>
      <c r="J3296" s="336"/>
      <c r="K3296" s="337"/>
    </row>
    <row r="3297" spans="1:11" ht="15" thickTop="1" x14ac:dyDescent="0.35">
      <c r="A3297" s="267" t="s">
        <v>159</v>
      </c>
      <c r="B3297" s="267" t="s">
        <v>299</v>
      </c>
      <c r="C3297" s="267" t="s">
        <v>307</v>
      </c>
      <c r="D3297" s="267" t="s">
        <v>301</v>
      </c>
      <c r="E3297" s="268" t="s">
        <v>308</v>
      </c>
      <c r="G3297" s="267" t="s">
        <v>159</v>
      </c>
      <c r="H3297" s="267" t="s">
        <v>299</v>
      </c>
      <c r="I3297" s="267" t="s">
        <v>307</v>
      </c>
      <c r="J3297" s="267" t="s">
        <v>301</v>
      </c>
      <c r="K3297" s="268" t="s">
        <v>308</v>
      </c>
    </row>
    <row r="3298" spans="1:11" x14ac:dyDescent="0.35">
      <c r="A3298" s="269" t="s">
        <v>316</v>
      </c>
      <c r="B3298" s="270"/>
      <c r="C3298" s="270"/>
      <c r="D3298" s="270"/>
      <c r="E3298" s="270"/>
      <c r="G3298" s="269" t="s">
        <v>316</v>
      </c>
      <c r="H3298" s="270"/>
      <c r="I3298" s="270"/>
      <c r="J3298" s="270"/>
      <c r="K3298" s="270"/>
    </row>
    <row r="3299" spans="1:11" x14ac:dyDescent="0.35">
      <c r="A3299" s="271" t="s">
        <v>309</v>
      </c>
      <c r="B3299" s="272"/>
      <c r="C3299" s="272"/>
      <c r="D3299" s="272"/>
      <c r="E3299" s="272"/>
      <c r="G3299" s="271" t="s">
        <v>309</v>
      </c>
      <c r="H3299" s="272"/>
      <c r="I3299" s="272"/>
      <c r="J3299" s="272"/>
      <c r="K3299" s="272"/>
    </row>
    <row r="3300" spans="1:11" x14ac:dyDescent="0.35">
      <c r="A3300" s="269" t="s">
        <v>310</v>
      </c>
      <c r="B3300" s="270"/>
      <c r="C3300" s="270"/>
      <c r="D3300" s="270"/>
      <c r="E3300" s="270"/>
      <c r="G3300" s="269" t="s">
        <v>310</v>
      </c>
      <c r="H3300" s="270"/>
      <c r="I3300" s="270"/>
      <c r="J3300" s="270"/>
      <c r="K3300" s="270"/>
    </row>
    <row r="3301" spans="1:11" x14ac:dyDescent="0.35">
      <c r="A3301" s="271" t="s">
        <v>317</v>
      </c>
      <c r="B3301" s="272"/>
      <c r="C3301" s="272"/>
      <c r="D3301" s="272"/>
      <c r="E3301" s="272"/>
      <c r="G3301" s="271" t="s">
        <v>317</v>
      </c>
      <c r="H3301" s="272"/>
      <c r="I3301" s="272"/>
      <c r="J3301" s="272"/>
      <c r="K3301" s="272"/>
    </row>
    <row r="3302" spans="1:11" x14ac:dyDescent="0.35">
      <c r="A3302" s="269" t="s">
        <v>311</v>
      </c>
      <c r="B3302" s="270"/>
      <c r="C3302" s="270"/>
      <c r="D3302" s="270"/>
      <c r="E3302" s="270"/>
      <c r="G3302" s="269" t="s">
        <v>311</v>
      </c>
      <c r="H3302" s="270"/>
      <c r="I3302" s="270"/>
      <c r="J3302" s="270"/>
      <c r="K3302" s="270"/>
    </row>
    <row r="3303" spans="1:11" x14ac:dyDescent="0.35">
      <c r="A3303" s="271" t="s">
        <v>312</v>
      </c>
      <c r="B3303" s="272"/>
      <c r="C3303" s="272"/>
      <c r="D3303" s="272"/>
      <c r="E3303" s="272"/>
      <c r="G3303" s="271" t="s">
        <v>312</v>
      </c>
      <c r="H3303" s="272"/>
      <c r="I3303" s="272"/>
      <c r="J3303" s="272"/>
      <c r="K3303" s="272"/>
    </row>
    <row r="3304" spans="1:11" x14ac:dyDescent="0.35">
      <c r="A3304" s="231" t="s">
        <v>34</v>
      </c>
      <c r="B3304" s="230">
        <f>SUM(B3298:B3303)</f>
        <v>0</v>
      </c>
      <c r="C3304" s="230">
        <f>SUM(C3298:C3303)</f>
        <v>0</v>
      </c>
      <c r="D3304" s="230">
        <f>SUM(D3298:D3303)</f>
        <v>0</v>
      </c>
      <c r="E3304" s="230">
        <f>SUM(E3298:E3303)</f>
        <v>0</v>
      </c>
      <c r="G3304" s="231" t="s">
        <v>34</v>
      </c>
      <c r="H3304" s="230">
        <f>SUM(H3298:H3303)</f>
        <v>0</v>
      </c>
      <c r="I3304" s="230">
        <f>SUM(I3298:I3303)</f>
        <v>0</v>
      </c>
      <c r="J3304" s="230">
        <f>SUM(J3298:J3303)</f>
        <v>0</v>
      </c>
      <c r="K3304" s="230">
        <f>SUM(K3298:K3303)</f>
        <v>0</v>
      </c>
    </row>
    <row r="3305" spans="1:11" ht="15" thickBot="1" x14ac:dyDescent="0.4">
      <c r="A3305" s="231" t="s">
        <v>313</v>
      </c>
      <c r="B3305" s="230">
        <f>+B3304+C3304+D3304+E3304</f>
        <v>0</v>
      </c>
      <c r="C3305" s="230"/>
      <c r="D3305" s="230"/>
      <c r="E3305" s="230"/>
      <c r="G3305" s="231" t="s">
        <v>313</v>
      </c>
      <c r="H3305" s="230">
        <f>+H3304+I3304+J3304+K3304</f>
        <v>0</v>
      </c>
      <c r="I3305" s="230"/>
      <c r="J3305" s="230"/>
      <c r="K3305" s="230"/>
    </row>
    <row r="3306" spans="1:11" ht="15.5" thickTop="1" thickBot="1" x14ac:dyDescent="0.4">
      <c r="A3306" s="335" t="s">
        <v>298</v>
      </c>
      <c r="B3306" s="336"/>
      <c r="C3306" s="336"/>
      <c r="D3306" s="336"/>
      <c r="E3306" s="337"/>
      <c r="G3306" s="335" t="s">
        <v>298</v>
      </c>
      <c r="H3306" s="336"/>
      <c r="I3306" s="336"/>
      <c r="J3306" s="336"/>
      <c r="K3306" s="337"/>
    </row>
    <row r="3307" spans="1:11" ht="15.5" thickTop="1" thickBot="1" x14ac:dyDescent="0.4">
      <c r="A3307" s="338">
        <v>45590</v>
      </c>
      <c r="B3307" s="336"/>
      <c r="C3307" s="336"/>
      <c r="D3307" s="336"/>
      <c r="E3307" s="337"/>
      <c r="G3307" s="338">
        <v>45590</v>
      </c>
      <c r="H3307" s="336"/>
      <c r="I3307" s="336"/>
      <c r="J3307" s="336"/>
      <c r="K3307" s="337"/>
    </row>
    <row r="3308" spans="1:11" ht="15" thickTop="1" x14ac:dyDescent="0.35">
      <c r="A3308" s="267" t="s">
        <v>159</v>
      </c>
      <c r="B3308" s="267" t="s">
        <v>299</v>
      </c>
      <c r="C3308" s="267" t="s">
        <v>307</v>
      </c>
      <c r="D3308" s="267" t="s">
        <v>301</v>
      </c>
      <c r="E3308" s="268" t="s">
        <v>308</v>
      </c>
      <c r="G3308" s="267" t="s">
        <v>159</v>
      </c>
      <c r="H3308" s="267" t="s">
        <v>299</v>
      </c>
      <c r="I3308" s="267" t="s">
        <v>307</v>
      </c>
      <c r="J3308" s="267" t="s">
        <v>301</v>
      </c>
      <c r="K3308" s="268" t="s">
        <v>308</v>
      </c>
    </row>
    <row r="3309" spans="1:11" x14ac:dyDescent="0.35">
      <c r="A3309" s="269" t="s">
        <v>316</v>
      </c>
      <c r="B3309" s="270"/>
      <c r="C3309" s="270"/>
      <c r="D3309" s="270"/>
      <c r="E3309" s="270"/>
      <c r="G3309" s="269" t="s">
        <v>316</v>
      </c>
      <c r="H3309" s="270"/>
      <c r="I3309" s="270"/>
      <c r="J3309" s="270"/>
      <c r="K3309" s="270"/>
    </row>
    <row r="3310" spans="1:11" x14ac:dyDescent="0.35">
      <c r="A3310" s="271" t="s">
        <v>309</v>
      </c>
      <c r="B3310" s="272"/>
      <c r="C3310" s="272"/>
      <c r="D3310" s="272"/>
      <c r="E3310" s="272"/>
      <c r="G3310" s="271" t="s">
        <v>309</v>
      </c>
      <c r="H3310" s="272"/>
      <c r="I3310" s="272"/>
      <c r="J3310" s="272"/>
      <c r="K3310" s="272"/>
    </row>
    <row r="3311" spans="1:11" x14ac:dyDescent="0.35">
      <c r="A3311" s="269" t="s">
        <v>310</v>
      </c>
      <c r="B3311" s="270"/>
      <c r="C3311" s="270"/>
      <c r="D3311" s="270"/>
      <c r="E3311" s="270"/>
      <c r="G3311" s="269" t="s">
        <v>310</v>
      </c>
      <c r="H3311" s="270"/>
      <c r="I3311" s="270"/>
      <c r="J3311" s="270"/>
      <c r="K3311" s="270"/>
    </row>
    <row r="3312" spans="1:11" x14ac:dyDescent="0.35">
      <c r="A3312" s="271" t="s">
        <v>317</v>
      </c>
      <c r="B3312" s="272"/>
      <c r="C3312" s="272"/>
      <c r="D3312" s="272"/>
      <c r="E3312" s="272"/>
      <c r="G3312" s="271" t="s">
        <v>317</v>
      </c>
      <c r="H3312" s="272"/>
      <c r="I3312" s="272"/>
      <c r="J3312" s="272"/>
      <c r="K3312" s="272"/>
    </row>
    <row r="3313" spans="1:11" x14ac:dyDescent="0.35">
      <c r="A3313" s="269" t="s">
        <v>311</v>
      </c>
      <c r="B3313" s="270"/>
      <c r="C3313" s="270"/>
      <c r="D3313" s="270"/>
      <c r="E3313" s="270"/>
      <c r="G3313" s="269" t="s">
        <v>311</v>
      </c>
      <c r="H3313" s="270"/>
      <c r="I3313" s="270"/>
      <c r="J3313" s="270"/>
      <c r="K3313" s="270"/>
    </row>
    <row r="3314" spans="1:11" x14ac:dyDescent="0.35">
      <c r="A3314" s="271" t="s">
        <v>312</v>
      </c>
      <c r="B3314" s="272"/>
      <c r="C3314" s="272"/>
      <c r="D3314" s="272"/>
      <c r="E3314" s="272"/>
      <c r="G3314" s="271" t="s">
        <v>312</v>
      </c>
      <c r="H3314" s="272"/>
      <c r="I3314" s="272"/>
      <c r="J3314" s="272"/>
      <c r="K3314" s="272"/>
    </row>
    <row r="3315" spans="1:11" x14ac:dyDescent="0.35">
      <c r="A3315" s="231" t="s">
        <v>34</v>
      </c>
      <c r="B3315" s="230">
        <f>SUM(B3309:B3314)</f>
        <v>0</v>
      </c>
      <c r="C3315" s="230">
        <f>SUM(C3309:C3314)</f>
        <v>0</v>
      </c>
      <c r="D3315" s="230">
        <f>SUM(D3309:D3314)</f>
        <v>0</v>
      </c>
      <c r="E3315" s="230">
        <f>SUM(E3309:E3314)</f>
        <v>0</v>
      </c>
      <c r="G3315" s="231" t="s">
        <v>34</v>
      </c>
      <c r="H3315" s="230">
        <f>SUM(H3309:H3314)</f>
        <v>0</v>
      </c>
      <c r="I3315" s="230">
        <f>SUM(I3309:I3314)</f>
        <v>0</v>
      </c>
      <c r="J3315" s="230">
        <f>SUM(J3309:J3314)</f>
        <v>0</v>
      </c>
      <c r="K3315" s="230">
        <f>SUM(K3309:K3314)</f>
        <v>0</v>
      </c>
    </row>
    <row r="3316" spans="1:11" ht="15" thickBot="1" x14ac:dyDescent="0.4">
      <c r="A3316" s="231" t="s">
        <v>313</v>
      </c>
      <c r="B3316" s="230">
        <f>+B3315+C3315+D3315+E3315</f>
        <v>0</v>
      </c>
      <c r="C3316" s="230"/>
      <c r="D3316" s="230"/>
      <c r="E3316" s="230"/>
      <c r="G3316" s="231" t="s">
        <v>313</v>
      </c>
      <c r="H3316" s="230">
        <f>+H3315+I3315+J3315+K3315</f>
        <v>0</v>
      </c>
      <c r="I3316" s="230"/>
      <c r="J3316" s="230"/>
      <c r="K3316" s="230"/>
    </row>
    <row r="3317" spans="1:11" ht="15.5" thickTop="1" thickBot="1" x14ac:dyDescent="0.4">
      <c r="A3317" s="335" t="s">
        <v>298</v>
      </c>
      <c r="B3317" s="336"/>
      <c r="C3317" s="336"/>
      <c r="D3317" s="336"/>
      <c r="E3317" s="337"/>
      <c r="G3317" s="335" t="s">
        <v>298</v>
      </c>
      <c r="H3317" s="336"/>
      <c r="I3317" s="336"/>
      <c r="J3317" s="336"/>
      <c r="K3317" s="337"/>
    </row>
    <row r="3318" spans="1:11" ht="15.5" thickTop="1" thickBot="1" x14ac:dyDescent="0.4">
      <c r="A3318" s="338">
        <v>45591</v>
      </c>
      <c r="B3318" s="336"/>
      <c r="C3318" s="336"/>
      <c r="D3318" s="336"/>
      <c r="E3318" s="337"/>
      <c r="G3318" s="338">
        <v>45591</v>
      </c>
      <c r="H3318" s="336"/>
      <c r="I3318" s="336"/>
      <c r="J3318" s="336"/>
      <c r="K3318" s="337"/>
    </row>
    <row r="3319" spans="1:11" ht="15" thickTop="1" x14ac:dyDescent="0.35">
      <c r="A3319" s="267" t="s">
        <v>159</v>
      </c>
      <c r="B3319" s="267" t="s">
        <v>299</v>
      </c>
      <c r="C3319" s="267" t="s">
        <v>307</v>
      </c>
      <c r="D3319" s="267" t="s">
        <v>301</v>
      </c>
      <c r="E3319" s="268" t="s">
        <v>308</v>
      </c>
      <c r="G3319" s="267" t="s">
        <v>159</v>
      </c>
      <c r="H3319" s="267" t="s">
        <v>299</v>
      </c>
      <c r="I3319" s="267" t="s">
        <v>307</v>
      </c>
      <c r="J3319" s="267" t="s">
        <v>301</v>
      </c>
      <c r="K3319" s="268" t="s">
        <v>308</v>
      </c>
    </row>
    <row r="3320" spans="1:11" x14ac:dyDescent="0.35">
      <c r="A3320" s="269" t="s">
        <v>316</v>
      </c>
      <c r="B3320" s="270"/>
      <c r="C3320" s="270"/>
      <c r="D3320" s="270"/>
      <c r="E3320" s="270"/>
      <c r="G3320" s="269" t="s">
        <v>316</v>
      </c>
      <c r="H3320" s="270"/>
      <c r="I3320" s="270"/>
      <c r="J3320" s="270"/>
      <c r="K3320" s="270"/>
    </row>
    <row r="3321" spans="1:11" x14ac:dyDescent="0.35">
      <c r="A3321" s="271" t="s">
        <v>309</v>
      </c>
      <c r="B3321" s="272"/>
      <c r="C3321" s="272"/>
      <c r="D3321" s="272"/>
      <c r="E3321" s="272"/>
      <c r="G3321" s="271" t="s">
        <v>309</v>
      </c>
      <c r="H3321" s="272"/>
      <c r="I3321" s="272"/>
      <c r="J3321" s="272"/>
      <c r="K3321" s="272"/>
    </row>
    <row r="3322" spans="1:11" x14ac:dyDescent="0.35">
      <c r="A3322" s="269" t="s">
        <v>310</v>
      </c>
      <c r="B3322" s="270"/>
      <c r="C3322" s="270"/>
      <c r="D3322" s="270"/>
      <c r="E3322" s="270"/>
      <c r="G3322" s="269" t="s">
        <v>310</v>
      </c>
      <c r="H3322" s="270"/>
      <c r="I3322" s="270"/>
      <c r="J3322" s="270"/>
      <c r="K3322" s="270"/>
    </row>
    <row r="3323" spans="1:11" x14ac:dyDescent="0.35">
      <c r="A3323" s="271" t="s">
        <v>317</v>
      </c>
      <c r="B3323" s="272"/>
      <c r="C3323" s="272"/>
      <c r="D3323" s="272"/>
      <c r="E3323" s="272"/>
      <c r="G3323" s="271" t="s">
        <v>317</v>
      </c>
      <c r="H3323" s="272"/>
      <c r="I3323" s="272"/>
      <c r="J3323" s="272"/>
      <c r="K3323" s="272"/>
    </row>
    <row r="3324" spans="1:11" x14ac:dyDescent="0.35">
      <c r="A3324" s="269" t="s">
        <v>311</v>
      </c>
      <c r="B3324" s="270"/>
      <c r="C3324" s="270"/>
      <c r="D3324" s="270"/>
      <c r="E3324" s="270"/>
      <c r="G3324" s="269" t="s">
        <v>311</v>
      </c>
      <c r="H3324" s="270"/>
      <c r="I3324" s="270"/>
      <c r="J3324" s="270"/>
      <c r="K3324" s="270"/>
    </row>
    <row r="3325" spans="1:11" x14ac:dyDescent="0.35">
      <c r="A3325" s="271" t="s">
        <v>312</v>
      </c>
      <c r="B3325" s="272"/>
      <c r="C3325" s="272"/>
      <c r="D3325" s="272"/>
      <c r="E3325" s="272"/>
      <c r="G3325" s="271" t="s">
        <v>312</v>
      </c>
      <c r="H3325" s="272"/>
      <c r="I3325" s="272"/>
      <c r="J3325" s="272"/>
      <c r="K3325" s="272"/>
    </row>
    <row r="3326" spans="1:11" x14ac:dyDescent="0.35">
      <c r="A3326" s="231" t="s">
        <v>34</v>
      </c>
      <c r="B3326" s="230">
        <f>SUM(B3320:B3325)</f>
        <v>0</v>
      </c>
      <c r="C3326" s="230">
        <f>SUM(C3320:C3325)</f>
        <v>0</v>
      </c>
      <c r="D3326" s="230">
        <f>SUM(D3320:D3325)</f>
        <v>0</v>
      </c>
      <c r="E3326" s="230">
        <f>SUM(E3320:E3325)</f>
        <v>0</v>
      </c>
      <c r="G3326" s="231" t="s">
        <v>34</v>
      </c>
      <c r="H3326" s="230">
        <f>SUM(H3320:H3325)</f>
        <v>0</v>
      </c>
      <c r="I3326" s="230">
        <f>SUM(I3320:I3325)</f>
        <v>0</v>
      </c>
      <c r="J3326" s="230">
        <f>SUM(J3320:J3325)</f>
        <v>0</v>
      </c>
      <c r="K3326" s="230">
        <f>SUM(K3320:K3325)</f>
        <v>0</v>
      </c>
    </row>
    <row r="3327" spans="1:11" ht="15" thickBot="1" x14ac:dyDescent="0.4">
      <c r="A3327" s="231" t="s">
        <v>313</v>
      </c>
      <c r="B3327" s="230">
        <f>+B3326+C3326+D3326+E3326</f>
        <v>0</v>
      </c>
      <c r="C3327" s="230"/>
      <c r="D3327" s="230"/>
      <c r="E3327" s="230"/>
      <c r="G3327" s="231" t="s">
        <v>313</v>
      </c>
      <c r="H3327" s="230">
        <f>+H3326+I3326+J3326+K3326</f>
        <v>0</v>
      </c>
      <c r="I3327" s="230"/>
      <c r="J3327" s="230"/>
      <c r="K3327" s="230"/>
    </row>
    <row r="3328" spans="1:11" ht="15.5" thickTop="1" thickBot="1" x14ac:dyDescent="0.4">
      <c r="A3328" s="335" t="s">
        <v>298</v>
      </c>
      <c r="B3328" s="336"/>
      <c r="C3328" s="336"/>
      <c r="D3328" s="336"/>
      <c r="E3328" s="337"/>
      <c r="G3328" s="335" t="s">
        <v>298</v>
      </c>
      <c r="H3328" s="336"/>
      <c r="I3328" s="336"/>
      <c r="J3328" s="336"/>
      <c r="K3328" s="337"/>
    </row>
    <row r="3329" spans="1:11" ht="15.5" thickTop="1" thickBot="1" x14ac:dyDescent="0.4">
      <c r="A3329" s="338">
        <v>45592</v>
      </c>
      <c r="B3329" s="336"/>
      <c r="C3329" s="336"/>
      <c r="D3329" s="336"/>
      <c r="E3329" s="337"/>
      <c r="G3329" s="338">
        <v>45592</v>
      </c>
      <c r="H3329" s="336"/>
      <c r="I3329" s="336"/>
      <c r="J3329" s="336"/>
      <c r="K3329" s="337"/>
    </row>
    <row r="3330" spans="1:11" ht="15" thickTop="1" x14ac:dyDescent="0.35">
      <c r="A3330" s="267" t="s">
        <v>159</v>
      </c>
      <c r="B3330" s="267" t="s">
        <v>299</v>
      </c>
      <c r="C3330" s="267" t="s">
        <v>307</v>
      </c>
      <c r="D3330" s="267" t="s">
        <v>301</v>
      </c>
      <c r="E3330" s="268" t="s">
        <v>308</v>
      </c>
      <c r="G3330" s="267" t="s">
        <v>159</v>
      </c>
      <c r="H3330" s="267" t="s">
        <v>299</v>
      </c>
      <c r="I3330" s="267" t="s">
        <v>307</v>
      </c>
      <c r="J3330" s="267" t="s">
        <v>301</v>
      </c>
      <c r="K3330" s="268" t="s">
        <v>308</v>
      </c>
    </row>
    <row r="3331" spans="1:11" x14ac:dyDescent="0.35">
      <c r="A3331" s="269" t="s">
        <v>316</v>
      </c>
      <c r="B3331" s="270"/>
      <c r="C3331" s="270"/>
      <c r="D3331" s="270"/>
      <c r="E3331" s="270"/>
      <c r="G3331" s="269" t="s">
        <v>316</v>
      </c>
      <c r="H3331" s="270"/>
      <c r="I3331" s="270"/>
      <c r="J3331" s="270"/>
      <c r="K3331" s="270"/>
    </row>
    <row r="3332" spans="1:11" x14ac:dyDescent="0.35">
      <c r="A3332" s="271" t="s">
        <v>309</v>
      </c>
      <c r="B3332" s="272"/>
      <c r="C3332" s="272"/>
      <c r="D3332" s="272"/>
      <c r="E3332" s="272"/>
      <c r="G3332" s="271" t="s">
        <v>309</v>
      </c>
      <c r="H3332" s="272"/>
      <c r="I3332" s="272"/>
      <c r="J3332" s="272"/>
      <c r="K3332" s="272"/>
    </row>
    <row r="3333" spans="1:11" x14ac:dyDescent="0.35">
      <c r="A3333" s="269" t="s">
        <v>310</v>
      </c>
      <c r="B3333" s="270"/>
      <c r="C3333" s="270"/>
      <c r="D3333" s="270"/>
      <c r="E3333" s="270"/>
      <c r="G3333" s="269" t="s">
        <v>310</v>
      </c>
      <c r="H3333" s="270"/>
      <c r="I3333" s="270"/>
      <c r="J3333" s="270"/>
      <c r="K3333" s="270"/>
    </row>
    <row r="3334" spans="1:11" x14ac:dyDescent="0.35">
      <c r="A3334" s="271" t="s">
        <v>317</v>
      </c>
      <c r="B3334" s="272"/>
      <c r="C3334" s="272"/>
      <c r="D3334" s="272"/>
      <c r="E3334" s="272"/>
      <c r="G3334" s="271" t="s">
        <v>317</v>
      </c>
      <c r="H3334" s="272"/>
      <c r="I3334" s="272"/>
      <c r="J3334" s="272"/>
      <c r="K3334" s="272"/>
    </row>
    <row r="3335" spans="1:11" x14ac:dyDescent="0.35">
      <c r="A3335" s="269" t="s">
        <v>311</v>
      </c>
      <c r="B3335" s="270"/>
      <c r="C3335" s="270"/>
      <c r="D3335" s="270"/>
      <c r="E3335" s="270"/>
      <c r="G3335" s="269" t="s">
        <v>311</v>
      </c>
      <c r="H3335" s="270"/>
      <c r="I3335" s="270"/>
      <c r="J3335" s="270"/>
      <c r="K3335" s="270"/>
    </row>
    <row r="3336" spans="1:11" x14ac:dyDescent="0.35">
      <c r="A3336" s="271" t="s">
        <v>312</v>
      </c>
      <c r="B3336" s="272"/>
      <c r="C3336" s="272"/>
      <c r="D3336" s="272"/>
      <c r="E3336" s="272"/>
      <c r="G3336" s="271" t="s">
        <v>312</v>
      </c>
      <c r="H3336" s="272"/>
      <c r="I3336" s="272"/>
      <c r="J3336" s="272"/>
      <c r="K3336" s="272"/>
    </row>
    <row r="3337" spans="1:11" x14ac:dyDescent="0.35">
      <c r="A3337" s="231" t="s">
        <v>34</v>
      </c>
      <c r="B3337" s="230">
        <f>SUM(B3331:B3336)</f>
        <v>0</v>
      </c>
      <c r="C3337" s="230">
        <f>SUM(C3331:C3336)</f>
        <v>0</v>
      </c>
      <c r="D3337" s="230">
        <f>SUM(D3331:D3336)</f>
        <v>0</v>
      </c>
      <c r="E3337" s="230">
        <f>SUM(E3331:E3336)</f>
        <v>0</v>
      </c>
      <c r="G3337" s="231" t="s">
        <v>34</v>
      </c>
      <c r="H3337" s="230">
        <f>SUM(H3331:H3336)</f>
        <v>0</v>
      </c>
      <c r="I3337" s="230">
        <f>SUM(I3331:I3336)</f>
        <v>0</v>
      </c>
      <c r="J3337" s="230">
        <f>SUM(J3331:J3336)</f>
        <v>0</v>
      </c>
      <c r="K3337" s="230">
        <f>SUM(K3331:K3336)</f>
        <v>0</v>
      </c>
    </row>
    <row r="3338" spans="1:11" ht="15" thickBot="1" x14ac:dyDescent="0.4">
      <c r="A3338" s="231" t="s">
        <v>313</v>
      </c>
      <c r="B3338" s="230">
        <f>+B3337+C3337+D3337+E3337</f>
        <v>0</v>
      </c>
      <c r="C3338" s="230"/>
      <c r="D3338" s="230"/>
      <c r="E3338" s="230"/>
      <c r="G3338" s="231" t="s">
        <v>313</v>
      </c>
      <c r="H3338" s="230">
        <f>+H3337+I3337+J3337+K3337</f>
        <v>0</v>
      </c>
      <c r="I3338" s="230"/>
      <c r="J3338" s="230"/>
      <c r="K3338" s="230"/>
    </row>
    <row r="3339" spans="1:11" ht="15.5" thickTop="1" thickBot="1" x14ac:dyDescent="0.4">
      <c r="A3339" s="335" t="s">
        <v>298</v>
      </c>
      <c r="B3339" s="336"/>
      <c r="C3339" s="336"/>
      <c r="D3339" s="336"/>
      <c r="E3339" s="337"/>
      <c r="G3339" s="335" t="s">
        <v>298</v>
      </c>
      <c r="H3339" s="336"/>
      <c r="I3339" s="336"/>
      <c r="J3339" s="336"/>
      <c r="K3339" s="337"/>
    </row>
    <row r="3340" spans="1:11" ht="15.5" thickTop="1" thickBot="1" x14ac:dyDescent="0.4">
      <c r="A3340" s="338">
        <v>45593</v>
      </c>
      <c r="B3340" s="336"/>
      <c r="C3340" s="336"/>
      <c r="D3340" s="336"/>
      <c r="E3340" s="337"/>
      <c r="G3340" s="338">
        <v>45593</v>
      </c>
      <c r="H3340" s="336"/>
      <c r="I3340" s="336"/>
      <c r="J3340" s="336"/>
      <c r="K3340" s="337"/>
    </row>
    <row r="3341" spans="1:11" ht="15" thickTop="1" x14ac:dyDescent="0.35">
      <c r="A3341" s="267" t="s">
        <v>159</v>
      </c>
      <c r="B3341" s="267" t="s">
        <v>299</v>
      </c>
      <c r="C3341" s="267" t="s">
        <v>307</v>
      </c>
      <c r="D3341" s="267" t="s">
        <v>301</v>
      </c>
      <c r="E3341" s="268" t="s">
        <v>308</v>
      </c>
      <c r="G3341" s="267" t="s">
        <v>159</v>
      </c>
      <c r="H3341" s="267" t="s">
        <v>299</v>
      </c>
      <c r="I3341" s="267" t="s">
        <v>307</v>
      </c>
      <c r="J3341" s="267" t="s">
        <v>301</v>
      </c>
      <c r="K3341" s="268" t="s">
        <v>308</v>
      </c>
    </row>
    <row r="3342" spans="1:11" x14ac:dyDescent="0.35">
      <c r="A3342" s="269" t="s">
        <v>316</v>
      </c>
      <c r="B3342" s="270"/>
      <c r="C3342" s="270"/>
      <c r="D3342" s="270"/>
      <c r="E3342" s="270"/>
      <c r="G3342" s="269" t="s">
        <v>316</v>
      </c>
      <c r="H3342" s="270"/>
      <c r="I3342" s="270"/>
      <c r="J3342" s="270"/>
      <c r="K3342" s="270"/>
    </row>
    <row r="3343" spans="1:11" x14ac:dyDescent="0.35">
      <c r="A3343" s="271" t="s">
        <v>309</v>
      </c>
      <c r="B3343" s="272"/>
      <c r="C3343" s="272"/>
      <c r="D3343" s="272"/>
      <c r="E3343" s="272"/>
      <c r="G3343" s="271" t="s">
        <v>309</v>
      </c>
      <c r="H3343" s="272"/>
      <c r="I3343" s="272"/>
      <c r="J3343" s="272"/>
      <c r="K3343" s="272"/>
    </row>
    <row r="3344" spans="1:11" x14ac:dyDescent="0.35">
      <c r="A3344" s="269" t="s">
        <v>310</v>
      </c>
      <c r="B3344" s="270"/>
      <c r="C3344" s="270"/>
      <c r="D3344" s="270"/>
      <c r="E3344" s="270"/>
      <c r="G3344" s="269" t="s">
        <v>310</v>
      </c>
      <c r="H3344" s="270"/>
      <c r="I3344" s="270"/>
      <c r="J3344" s="270"/>
      <c r="K3344" s="270"/>
    </row>
    <row r="3345" spans="1:11" x14ac:dyDescent="0.35">
      <c r="A3345" s="271" t="s">
        <v>317</v>
      </c>
      <c r="B3345" s="272"/>
      <c r="C3345" s="272"/>
      <c r="D3345" s="272"/>
      <c r="E3345" s="272"/>
      <c r="G3345" s="271" t="s">
        <v>317</v>
      </c>
      <c r="H3345" s="272"/>
      <c r="I3345" s="272"/>
      <c r="J3345" s="272"/>
      <c r="K3345" s="272"/>
    </row>
    <row r="3346" spans="1:11" x14ac:dyDescent="0.35">
      <c r="A3346" s="269" t="s">
        <v>311</v>
      </c>
      <c r="B3346" s="270"/>
      <c r="C3346" s="270"/>
      <c r="D3346" s="270"/>
      <c r="E3346" s="270"/>
      <c r="G3346" s="269" t="s">
        <v>311</v>
      </c>
      <c r="H3346" s="270"/>
      <c r="I3346" s="270"/>
      <c r="J3346" s="270"/>
      <c r="K3346" s="270"/>
    </row>
    <row r="3347" spans="1:11" x14ac:dyDescent="0.35">
      <c r="A3347" s="271" t="s">
        <v>312</v>
      </c>
      <c r="B3347" s="272"/>
      <c r="C3347" s="272"/>
      <c r="D3347" s="272"/>
      <c r="E3347" s="272"/>
      <c r="G3347" s="271" t="s">
        <v>312</v>
      </c>
      <c r="H3347" s="272"/>
      <c r="I3347" s="272"/>
      <c r="J3347" s="272"/>
      <c r="K3347" s="272"/>
    </row>
    <row r="3348" spans="1:11" x14ac:dyDescent="0.35">
      <c r="A3348" s="231" t="s">
        <v>34</v>
      </c>
      <c r="B3348" s="230">
        <f>SUM(B3342:B3347)</f>
        <v>0</v>
      </c>
      <c r="C3348" s="230">
        <f>SUM(C3342:C3347)</f>
        <v>0</v>
      </c>
      <c r="D3348" s="230">
        <f>SUM(D3342:D3347)</f>
        <v>0</v>
      </c>
      <c r="E3348" s="230">
        <f>SUM(E3342:E3347)</f>
        <v>0</v>
      </c>
      <c r="G3348" s="231" t="s">
        <v>34</v>
      </c>
      <c r="H3348" s="230">
        <f>SUM(H3342:H3347)</f>
        <v>0</v>
      </c>
      <c r="I3348" s="230">
        <f>SUM(I3342:I3347)</f>
        <v>0</v>
      </c>
      <c r="J3348" s="230">
        <f>SUM(J3342:J3347)</f>
        <v>0</v>
      </c>
      <c r="K3348" s="230">
        <f>SUM(K3342:K3347)</f>
        <v>0</v>
      </c>
    </row>
    <row r="3349" spans="1:11" ht="15" thickBot="1" x14ac:dyDescent="0.4">
      <c r="A3349" s="231" t="s">
        <v>313</v>
      </c>
      <c r="B3349" s="230">
        <f>+B3348+C3348+D3348+E3348</f>
        <v>0</v>
      </c>
      <c r="C3349" s="230"/>
      <c r="D3349" s="230"/>
      <c r="E3349" s="230"/>
      <c r="G3349" s="231" t="s">
        <v>313</v>
      </c>
      <c r="H3349" s="230">
        <f>+H3348+I3348+J3348+K3348</f>
        <v>0</v>
      </c>
      <c r="I3349" s="230"/>
      <c r="J3349" s="230"/>
      <c r="K3349" s="230"/>
    </row>
    <row r="3350" spans="1:11" ht="15.5" thickTop="1" thickBot="1" x14ac:dyDescent="0.4">
      <c r="A3350" s="335" t="s">
        <v>298</v>
      </c>
      <c r="B3350" s="336"/>
      <c r="C3350" s="336"/>
      <c r="D3350" s="336"/>
      <c r="E3350" s="337"/>
      <c r="G3350" s="335" t="s">
        <v>298</v>
      </c>
      <c r="H3350" s="336"/>
      <c r="I3350" s="336"/>
      <c r="J3350" s="336"/>
      <c r="K3350" s="337"/>
    </row>
    <row r="3351" spans="1:11" ht="15.5" thickTop="1" thickBot="1" x14ac:dyDescent="0.4">
      <c r="A3351" s="338">
        <v>45594</v>
      </c>
      <c r="B3351" s="336"/>
      <c r="C3351" s="336"/>
      <c r="D3351" s="336"/>
      <c r="E3351" s="337"/>
      <c r="G3351" s="338">
        <v>45594</v>
      </c>
      <c r="H3351" s="336"/>
      <c r="I3351" s="336"/>
      <c r="J3351" s="336"/>
      <c r="K3351" s="337"/>
    </row>
    <row r="3352" spans="1:11" ht="15" thickTop="1" x14ac:dyDescent="0.35">
      <c r="A3352" s="267" t="s">
        <v>159</v>
      </c>
      <c r="B3352" s="267" t="s">
        <v>299</v>
      </c>
      <c r="C3352" s="267" t="s">
        <v>307</v>
      </c>
      <c r="D3352" s="267" t="s">
        <v>301</v>
      </c>
      <c r="E3352" s="268" t="s">
        <v>308</v>
      </c>
      <c r="G3352" s="267" t="s">
        <v>159</v>
      </c>
      <c r="H3352" s="267" t="s">
        <v>299</v>
      </c>
      <c r="I3352" s="267" t="s">
        <v>307</v>
      </c>
      <c r="J3352" s="267" t="s">
        <v>301</v>
      </c>
      <c r="K3352" s="268" t="s">
        <v>308</v>
      </c>
    </row>
    <row r="3353" spans="1:11" x14ac:dyDescent="0.35">
      <c r="A3353" s="269" t="s">
        <v>316</v>
      </c>
      <c r="B3353" s="270"/>
      <c r="C3353" s="270"/>
      <c r="D3353" s="270"/>
      <c r="E3353" s="270"/>
      <c r="G3353" s="269" t="s">
        <v>316</v>
      </c>
      <c r="H3353" s="270"/>
      <c r="I3353" s="270"/>
      <c r="J3353" s="270"/>
      <c r="K3353" s="270"/>
    </row>
    <row r="3354" spans="1:11" x14ac:dyDescent="0.35">
      <c r="A3354" s="271" t="s">
        <v>309</v>
      </c>
      <c r="B3354" s="272"/>
      <c r="C3354" s="272"/>
      <c r="D3354" s="272"/>
      <c r="E3354" s="272"/>
      <c r="G3354" s="271" t="s">
        <v>309</v>
      </c>
      <c r="H3354" s="272"/>
      <c r="I3354" s="272"/>
      <c r="J3354" s="272"/>
      <c r="K3354" s="272"/>
    </row>
    <row r="3355" spans="1:11" x14ac:dyDescent="0.35">
      <c r="A3355" s="269" t="s">
        <v>310</v>
      </c>
      <c r="B3355" s="270"/>
      <c r="C3355" s="270"/>
      <c r="D3355" s="270"/>
      <c r="E3355" s="270"/>
      <c r="G3355" s="269" t="s">
        <v>310</v>
      </c>
      <c r="H3355" s="270"/>
      <c r="I3355" s="270"/>
      <c r="J3355" s="270"/>
      <c r="K3355" s="270"/>
    </row>
    <row r="3356" spans="1:11" x14ac:dyDescent="0.35">
      <c r="A3356" s="271" t="s">
        <v>317</v>
      </c>
      <c r="B3356" s="272"/>
      <c r="C3356" s="272"/>
      <c r="D3356" s="272"/>
      <c r="E3356" s="272"/>
      <c r="G3356" s="271" t="s">
        <v>317</v>
      </c>
      <c r="H3356" s="272"/>
      <c r="I3356" s="272"/>
      <c r="J3356" s="272"/>
      <c r="K3356" s="272"/>
    </row>
    <row r="3357" spans="1:11" x14ac:dyDescent="0.35">
      <c r="A3357" s="269" t="s">
        <v>311</v>
      </c>
      <c r="B3357" s="270"/>
      <c r="C3357" s="270"/>
      <c r="D3357" s="270"/>
      <c r="E3357" s="270"/>
      <c r="G3357" s="269" t="s">
        <v>311</v>
      </c>
      <c r="H3357" s="270"/>
      <c r="I3357" s="270"/>
      <c r="J3357" s="270"/>
      <c r="K3357" s="270"/>
    </row>
    <row r="3358" spans="1:11" x14ac:dyDescent="0.35">
      <c r="A3358" s="271" t="s">
        <v>312</v>
      </c>
      <c r="B3358" s="272"/>
      <c r="C3358" s="272"/>
      <c r="D3358" s="272"/>
      <c r="E3358" s="272"/>
      <c r="G3358" s="271" t="s">
        <v>312</v>
      </c>
      <c r="H3358" s="272"/>
      <c r="I3358" s="272"/>
      <c r="J3358" s="272"/>
      <c r="K3358" s="272"/>
    </row>
    <row r="3359" spans="1:11" x14ac:dyDescent="0.35">
      <c r="A3359" s="231" t="s">
        <v>34</v>
      </c>
      <c r="B3359" s="230">
        <f>SUM(B3353:B3358)</f>
        <v>0</v>
      </c>
      <c r="C3359" s="230">
        <f>SUM(C3353:C3358)</f>
        <v>0</v>
      </c>
      <c r="D3359" s="230">
        <f>SUM(D3353:D3358)</f>
        <v>0</v>
      </c>
      <c r="E3359" s="230">
        <f>SUM(E3353:E3358)</f>
        <v>0</v>
      </c>
      <c r="G3359" s="231" t="s">
        <v>34</v>
      </c>
      <c r="H3359" s="230">
        <f>SUM(H3353:H3358)</f>
        <v>0</v>
      </c>
      <c r="I3359" s="230">
        <f>SUM(I3353:I3358)</f>
        <v>0</v>
      </c>
      <c r="J3359" s="230">
        <f>SUM(J3353:J3358)</f>
        <v>0</v>
      </c>
      <c r="K3359" s="230">
        <f>SUM(K3353:K3358)</f>
        <v>0</v>
      </c>
    </row>
    <row r="3360" spans="1:11" ht="15" thickBot="1" x14ac:dyDescent="0.4">
      <c r="A3360" s="231" t="s">
        <v>313</v>
      </c>
      <c r="B3360" s="230">
        <f>+B3359+C3359+D3359+E3359</f>
        <v>0</v>
      </c>
      <c r="C3360" s="230"/>
      <c r="D3360" s="230"/>
      <c r="E3360" s="230"/>
      <c r="G3360" s="231" t="s">
        <v>313</v>
      </c>
      <c r="H3360" s="230">
        <f>+H3359+I3359+J3359+K3359</f>
        <v>0</v>
      </c>
      <c r="I3360" s="230"/>
      <c r="J3360" s="230"/>
      <c r="K3360" s="230"/>
    </row>
    <row r="3361" spans="1:11" ht="15.5" thickTop="1" thickBot="1" x14ac:dyDescent="0.4">
      <c r="A3361" s="335" t="s">
        <v>298</v>
      </c>
      <c r="B3361" s="336"/>
      <c r="C3361" s="336"/>
      <c r="D3361" s="336"/>
      <c r="E3361" s="337"/>
      <c r="G3361" s="335" t="s">
        <v>298</v>
      </c>
      <c r="H3361" s="336"/>
      <c r="I3361" s="336"/>
      <c r="J3361" s="336"/>
      <c r="K3361" s="337"/>
    </row>
    <row r="3362" spans="1:11" ht="15.5" thickTop="1" thickBot="1" x14ac:dyDescent="0.4">
      <c r="A3362" s="338">
        <v>45595</v>
      </c>
      <c r="B3362" s="336"/>
      <c r="C3362" s="336"/>
      <c r="D3362" s="336"/>
      <c r="E3362" s="337"/>
      <c r="G3362" s="338">
        <v>45595</v>
      </c>
      <c r="H3362" s="336"/>
      <c r="I3362" s="336"/>
      <c r="J3362" s="336"/>
      <c r="K3362" s="337"/>
    </row>
    <row r="3363" spans="1:11" ht="15" thickTop="1" x14ac:dyDescent="0.35">
      <c r="A3363" s="267" t="s">
        <v>159</v>
      </c>
      <c r="B3363" s="267" t="s">
        <v>299</v>
      </c>
      <c r="C3363" s="267" t="s">
        <v>307</v>
      </c>
      <c r="D3363" s="267" t="s">
        <v>301</v>
      </c>
      <c r="E3363" s="268" t="s">
        <v>308</v>
      </c>
      <c r="G3363" s="267" t="s">
        <v>159</v>
      </c>
      <c r="H3363" s="267" t="s">
        <v>299</v>
      </c>
      <c r="I3363" s="267" t="s">
        <v>307</v>
      </c>
      <c r="J3363" s="267" t="s">
        <v>301</v>
      </c>
      <c r="K3363" s="268" t="s">
        <v>308</v>
      </c>
    </row>
    <row r="3364" spans="1:11" x14ac:dyDescent="0.35">
      <c r="A3364" s="269" t="s">
        <v>316</v>
      </c>
      <c r="B3364" s="270"/>
      <c r="C3364" s="270"/>
      <c r="D3364" s="270"/>
      <c r="E3364" s="270"/>
      <c r="G3364" s="269" t="s">
        <v>316</v>
      </c>
      <c r="H3364" s="270"/>
      <c r="I3364" s="270"/>
      <c r="J3364" s="270"/>
      <c r="K3364" s="270"/>
    </row>
    <row r="3365" spans="1:11" x14ac:dyDescent="0.35">
      <c r="A3365" s="271" t="s">
        <v>309</v>
      </c>
      <c r="B3365" s="272"/>
      <c r="C3365" s="272"/>
      <c r="D3365" s="272"/>
      <c r="E3365" s="272"/>
      <c r="G3365" s="271" t="s">
        <v>309</v>
      </c>
      <c r="H3365" s="272"/>
      <c r="I3365" s="272"/>
      <c r="J3365" s="272"/>
      <c r="K3365" s="272"/>
    </row>
    <row r="3366" spans="1:11" x14ac:dyDescent="0.35">
      <c r="A3366" s="269" t="s">
        <v>310</v>
      </c>
      <c r="B3366" s="270"/>
      <c r="C3366" s="270"/>
      <c r="D3366" s="270"/>
      <c r="E3366" s="270"/>
      <c r="G3366" s="269" t="s">
        <v>310</v>
      </c>
      <c r="H3366" s="270"/>
      <c r="I3366" s="270"/>
      <c r="J3366" s="270"/>
      <c r="K3366" s="270"/>
    </row>
    <row r="3367" spans="1:11" x14ac:dyDescent="0.35">
      <c r="A3367" s="271" t="s">
        <v>317</v>
      </c>
      <c r="B3367" s="272"/>
      <c r="C3367" s="272"/>
      <c r="D3367" s="272"/>
      <c r="E3367" s="272"/>
      <c r="G3367" s="271" t="s">
        <v>317</v>
      </c>
      <c r="H3367" s="272"/>
      <c r="I3367" s="272"/>
      <c r="J3367" s="272"/>
      <c r="K3367" s="272"/>
    </row>
    <row r="3368" spans="1:11" x14ac:dyDescent="0.35">
      <c r="A3368" s="269" t="s">
        <v>311</v>
      </c>
      <c r="B3368" s="270"/>
      <c r="C3368" s="270"/>
      <c r="D3368" s="270"/>
      <c r="E3368" s="270"/>
      <c r="G3368" s="269" t="s">
        <v>311</v>
      </c>
      <c r="H3368" s="270"/>
      <c r="I3368" s="270"/>
      <c r="J3368" s="270"/>
      <c r="K3368" s="270"/>
    </row>
    <row r="3369" spans="1:11" x14ac:dyDescent="0.35">
      <c r="A3369" s="271" t="s">
        <v>312</v>
      </c>
      <c r="B3369" s="272"/>
      <c r="C3369" s="272"/>
      <c r="D3369" s="272"/>
      <c r="E3369" s="272"/>
      <c r="G3369" s="271" t="s">
        <v>312</v>
      </c>
      <c r="H3369" s="272"/>
      <c r="I3369" s="272"/>
      <c r="J3369" s="272"/>
      <c r="K3369" s="272"/>
    </row>
    <row r="3370" spans="1:11" x14ac:dyDescent="0.35">
      <c r="A3370" s="231" t="s">
        <v>34</v>
      </c>
      <c r="B3370" s="230">
        <f>SUM(B3364:B3369)</f>
        <v>0</v>
      </c>
      <c r="C3370" s="230">
        <f>SUM(C3364:C3369)</f>
        <v>0</v>
      </c>
      <c r="D3370" s="230">
        <f>SUM(D3364:D3369)</f>
        <v>0</v>
      </c>
      <c r="E3370" s="230">
        <f>SUM(E3364:E3369)</f>
        <v>0</v>
      </c>
      <c r="G3370" s="231" t="s">
        <v>34</v>
      </c>
      <c r="H3370" s="230">
        <f>SUM(H3364:H3369)</f>
        <v>0</v>
      </c>
      <c r="I3370" s="230">
        <f>SUM(I3364:I3369)</f>
        <v>0</v>
      </c>
      <c r="J3370" s="230">
        <f>SUM(J3364:J3369)</f>
        <v>0</v>
      </c>
      <c r="K3370" s="230">
        <f>SUM(K3364:K3369)</f>
        <v>0</v>
      </c>
    </row>
    <row r="3371" spans="1:11" ht="15" thickBot="1" x14ac:dyDescent="0.4">
      <c r="A3371" s="231" t="s">
        <v>313</v>
      </c>
      <c r="B3371" s="230">
        <f>+B3370+C3370+D3370+E3370</f>
        <v>0</v>
      </c>
      <c r="C3371" s="230"/>
      <c r="D3371" s="230"/>
      <c r="E3371" s="230"/>
      <c r="G3371" s="231" t="s">
        <v>313</v>
      </c>
      <c r="H3371" s="230">
        <f>+H3370+I3370+J3370+K3370</f>
        <v>0</v>
      </c>
      <c r="I3371" s="230"/>
      <c r="J3371" s="230"/>
      <c r="K3371" s="230"/>
    </row>
    <row r="3372" spans="1:11" ht="15.5" thickTop="1" thickBot="1" x14ac:dyDescent="0.4">
      <c r="A3372" s="335" t="s">
        <v>298</v>
      </c>
      <c r="B3372" s="336"/>
      <c r="C3372" s="336"/>
      <c r="D3372" s="336"/>
      <c r="E3372" s="337"/>
      <c r="G3372" s="335" t="s">
        <v>298</v>
      </c>
      <c r="H3372" s="336"/>
      <c r="I3372" s="336"/>
      <c r="J3372" s="336"/>
      <c r="K3372" s="337"/>
    </row>
    <row r="3373" spans="1:11" ht="15.5" thickTop="1" thickBot="1" x14ac:dyDescent="0.4">
      <c r="A3373" s="338">
        <v>45596</v>
      </c>
      <c r="B3373" s="336"/>
      <c r="C3373" s="336"/>
      <c r="D3373" s="336"/>
      <c r="E3373" s="337"/>
      <c r="G3373" s="338">
        <v>45596</v>
      </c>
      <c r="H3373" s="336"/>
      <c r="I3373" s="336"/>
      <c r="J3373" s="336"/>
      <c r="K3373" s="337"/>
    </row>
    <row r="3374" spans="1:11" ht="15" thickTop="1" x14ac:dyDescent="0.35">
      <c r="A3374" s="267" t="s">
        <v>159</v>
      </c>
      <c r="B3374" s="267" t="s">
        <v>299</v>
      </c>
      <c r="C3374" s="267" t="s">
        <v>307</v>
      </c>
      <c r="D3374" s="267" t="s">
        <v>301</v>
      </c>
      <c r="E3374" s="268" t="s">
        <v>308</v>
      </c>
      <c r="G3374" s="267" t="s">
        <v>159</v>
      </c>
      <c r="H3374" s="267" t="s">
        <v>299</v>
      </c>
      <c r="I3374" s="267" t="s">
        <v>307</v>
      </c>
      <c r="J3374" s="267" t="s">
        <v>301</v>
      </c>
      <c r="K3374" s="268" t="s">
        <v>308</v>
      </c>
    </row>
    <row r="3375" spans="1:11" x14ac:dyDescent="0.35">
      <c r="A3375" s="269" t="s">
        <v>316</v>
      </c>
      <c r="B3375" s="270"/>
      <c r="C3375" s="270"/>
      <c r="D3375" s="270"/>
      <c r="E3375" s="270"/>
      <c r="G3375" s="269" t="s">
        <v>316</v>
      </c>
      <c r="H3375" s="270"/>
      <c r="I3375" s="270"/>
      <c r="J3375" s="270"/>
      <c r="K3375" s="270"/>
    </row>
    <row r="3376" spans="1:11" x14ac:dyDescent="0.35">
      <c r="A3376" s="271" t="s">
        <v>309</v>
      </c>
      <c r="B3376" s="272"/>
      <c r="C3376" s="272"/>
      <c r="D3376" s="272"/>
      <c r="E3376" s="272"/>
      <c r="G3376" s="271" t="s">
        <v>309</v>
      </c>
      <c r="H3376" s="272"/>
      <c r="I3376" s="272"/>
      <c r="J3376" s="272"/>
      <c r="K3376" s="272"/>
    </row>
    <row r="3377" spans="1:13" x14ac:dyDescent="0.35">
      <c r="A3377" s="269" t="s">
        <v>310</v>
      </c>
      <c r="B3377" s="270"/>
      <c r="C3377" s="270"/>
      <c r="D3377" s="270"/>
      <c r="E3377" s="270"/>
      <c r="G3377" s="269" t="s">
        <v>310</v>
      </c>
      <c r="H3377" s="270"/>
      <c r="I3377" s="270"/>
      <c r="J3377" s="270"/>
      <c r="K3377" s="270"/>
    </row>
    <row r="3378" spans="1:13" x14ac:dyDescent="0.35">
      <c r="A3378" s="271" t="s">
        <v>317</v>
      </c>
      <c r="B3378" s="272"/>
      <c r="C3378" s="272"/>
      <c r="D3378" s="272"/>
      <c r="E3378" s="272"/>
      <c r="G3378" s="271" t="s">
        <v>317</v>
      </c>
      <c r="H3378" s="272"/>
      <c r="I3378" s="272"/>
      <c r="J3378" s="272"/>
      <c r="K3378" s="272"/>
    </row>
    <row r="3379" spans="1:13" x14ac:dyDescent="0.35">
      <c r="A3379" s="269" t="s">
        <v>311</v>
      </c>
      <c r="B3379" s="270"/>
      <c r="C3379" s="270"/>
      <c r="D3379" s="270"/>
      <c r="E3379" s="270"/>
      <c r="G3379" s="269" t="s">
        <v>311</v>
      </c>
      <c r="H3379" s="270"/>
      <c r="I3379" s="270"/>
      <c r="J3379" s="270"/>
      <c r="K3379" s="270"/>
    </row>
    <row r="3380" spans="1:13" x14ac:dyDescent="0.35">
      <c r="A3380" s="271" t="s">
        <v>312</v>
      </c>
      <c r="B3380" s="272"/>
      <c r="C3380" s="272"/>
      <c r="D3380" s="272"/>
      <c r="E3380" s="272"/>
      <c r="G3380" s="271" t="s">
        <v>312</v>
      </c>
      <c r="H3380" s="272"/>
      <c r="I3380" s="272"/>
      <c r="J3380" s="272"/>
      <c r="K3380" s="272"/>
    </row>
    <row r="3381" spans="1:13" x14ac:dyDescent="0.35">
      <c r="A3381" s="231" t="s">
        <v>34</v>
      </c>
      <c r="B3381" s="230">
        <f>SUM(B3375:B3380)</f>
        <v>0</v>
      </c>
      <c r="C3381" s="230">
        <f>SUM(C3375:C3380)</f>
        <v>0</v>
      </c>
      <c r="D3381" s="230">
        <f>SUM(D3375:D3380)</f>
        <v>0</v>
      </c>
      <c r="E3381" s="230">
        <f>SUM(E3375:E3380)</f>
        <v>0</v>
      </c>
      <c r="G3381" s="231" t="s">
        <v>34</v>
      </c>
      <c r="H3381" s="230">
        <f>SUM(H3375:H3380)</f>
        <v>0</v>
      </c>
      <c r="I3381" s="230">
        <f>SUM(I3375:I3380)</f>
        <v>0</v>
      </c>
      <c r="J3381" s="230">
        <f>SUM(J3375:J3380)</f>
        <v>0</v>
      </c>
      <c r="K3381" s="230">
        <f>SUM(K3375:K3380)</f>
        <v>0</v>
      </c>
    </row>
    <row r="3382" spans="1:13" x14ac:dyDescent="0.35">
      <c r="A3382" s="231" t="s">
        <v>313</v>
      </c>
      <c r="B3382" s="230">
        <f>+B3381+C3381+D3381+E3381</f>
        <v>0</v>
      </c>
      <c r="C3382" s="230"/>
      <c r="D3382" s="230"/>
      <c r="E3382" s="230"/>
      <c r="G3382" s="231" t="s">
        <v>313</v>
      </c>
      <c r="H3382" s="230">
        <f>+H3381+I3381+J3381+K3381</f>
        <v>0</v>
      </c>
      <c r="I3382" s="230"/>
      <c r="J3382" s="230"/>
      <c r="K3382" s="230"/>
    </row>
    <row r="3383" spans="1:13" ht="15" thickBot="1" x14ac:dyDescent="0.4">
      <c r="A3383" s="47"/>
      <c r="B3383" s="47"/>
      <c r="C3383" s="47"/>
      <c r="D3383" s="47"/>
      <c r="E3383" s="47"/>
      <c r="F3383" s="47"/>
      <c r="G3383" s="47"/>
      <c r="H3383" s="47"/>
      <c r="I3383" s="47"/>
      <c r="J3383" s="47"/>
      <c r="K3383" s="47"/>
    </row>
    <row r="3384" spans="1:13" ht="34" customHeight="1" thickBot="1" x14ac:dyDescent="0.4">
      <c r="A3384" s="327" t="s">
        <v>330</v>
      </c>
      <c r="B3384" s="328"/>
      <c r="C3384" s="328"/>
      <c r="D3384" s="328"/>
      <c r="E3384" s="328"/>
      <c r="F3384" s="329"/>
      <c r="G3384" s="330">
        <f>SUMIF($A$3042:M3382,"*"&amp;K3384&amp;"*",$B$3042:N3382)</f>
        <v>80391</v>
      </c>
      <c r="H3384" s="331"/>
      <c r="I3384" s="331"/>
      <c r="J3384" s="332"/>
      <c r="K3384" s="333" t="s">
        <v>313</v>
      </c>
      <c r="L3384" s="334"/>
      <c r="M3384" s="233">
        <f>+G3384</f>
        <v>80391</v>
      </c>
    </row>
    <row r="3385" spans="1:13" x14ac:dyDescent="0.35">
      <c r="A3385" s="47"/>
      <c r="B3385" s="47"/>
      <c r="C3385" s="47"/>
      <c r="D3385" s="47"/>
      <c r="E3385" s="47"/>
      <c r="F3385" s="47"/>
      <c r="G3385" s="47"/>
      <c r="H3385" s="47"/>
      <c r="I3385" s="47"/>
      <c r="J3385" s="47"/>
      <c r="K3385" s="47"/>
    </row>
    <row r="3386" spans="1:13" ht="15" thickBot="1" x14ac:dyDescent="0.4">
      <c r="A3386" s="47"/>
      <c r="B3386" s="47"/>
      <c r="C3386" s="47"/>
      <c r="D3386" s="47"/>
      <c r="E3386" s="47"/>
      <c r="F3386" s="47"/>
      <c r="G3386" s="47"/>
      <c r="H3386" s="47"/>
      <c r="I3386" s="47"/>
      <c r="J3386" s="47"/>
      <c r="K3386" s="47"/>
    </row>
    <row r="3387" spans="1:13" ht="15.5" thickTop="1" thickBot="1" x14ac:dyDescent="0.4">
      <c r="A3387" s="335" t="s">
        <v>298</v>
      </c>
      <c r="B3387" s="336"/>
      <c r="C3387" s="336"/>
      <c r="D3387" s="336"/>
      <c r="E3387" s="337"/>
      <c r="G3387" s="335" t="s">
        <v>298</v>
      </c>
      <c r="H3387" s="336"/>
      <c r="I3387" s="336"/>
      <c r="J3387" s="336"/>
      <c r="K3387" s="337"/>
    </row>
    <row r="3388" spans="1:13" ht="15.5" thickTop="1" thickBot="1" x14ac:dyDescent="0.4">
      <c r="A3388" s="338">
        <v>45597</v>
      </c>
      <c r="B3388" s="336"/>
      <c r="C3388" s="336"/>
      <c r="D3388" s="336"/>
      <c r="E3388" s="337"/>
      <c r="G3388" s="338">
        <v>45597</v>
      </c>
      <c r="H3388" s="336"/>
      <c r="I3388" s="336"/>
      <c r="J3388" s="336"/>
      <c r="K3388" s="337"/>
    </row>
    <row r="3389" spans="1:13" ht="15" thickTop="1" x14ac:dyDescent="0.35">
      <c r="A3389" s="267" t="s">
        <v>159</v>
      </c>
      <c r="B3389" s="267" t="s">
        <v>299</v>
      </c>
      <c r="C3389" s="267" t="s">
        <v>307</v>
      </c>
      <c r="D3389" s="267" t="s">
        <v>301</v>
      </c>
      <c r="E3389" s="268" t="s">
        <v>308</v>
      </c>
      <c r="G3389" s="267" t="s">
        <v>159</v>
      </c>
      <c r="H3389" s="267" t="s">
        <v>299</v>
      </c>
      <c r="I3389" s="267" t="s">
        <v>307</v>
      </c>
      <c r="J3389" s="267" t="s">
        <v>301</v>
      </c>
      <c r="K3389" s="268" t="s">
        <v>308</v>
      </c>
    </row>
    <row r="3390" spans="1:13" x14ac:dyDescent="0.35">
      <c r="A3390" s="269" t="s">
        <v>316</v>
      </c>
      <c r="B3390" s="270"/>
      <c r="C3390" s="270"/>
      <c r="D3390" s="270"/>
      <c r="E3390" s="270"/>
      <c r="G3390" s="269" t="s">
        <v>316</v>
      </c>
      <c r="H3390" s="270"/>
      <c r="I3390" s="270"/>
      <c r="J3390" s="270"/>
      <c r="K3390" s="270"/>
    </row>
    <row r="3391" spans="1:13" x14ac:dyDescent="0.35">
      <c r="A3391" s="271" t="s">
        <v>309</v>
      </c>
      <c r="B3391" s="272"/>
      <c r="C3391" s="272"/>
      <c r="D3391" s="272"/>
      <c r="E3391" s="272"/>
      <c r="G3391" s="271" t="s">
        <v>309</v>
      </c>
      <c r="H3391" s="272"/>
      <c r="I3391" s="272"/>
      <c r="J3391" s="272"/>
      <c r="K3391" s="272"/>
    </row>
    <row r="3392" spans="1:13" x14ac:dyDescent="0.35">
      <c r="A3392" s="269" t="s">
        <v>310</v>
      </c>
      <c r="B3392" s="270"/>
      <c r="C3392" s="270"/>
      <c r="D3392" s="270"/>
      <c r="E3392" s="270"/>
      <c r="G3392" s="269" t="s">
        <v>310</v>
      </c>
      <c r="H3392" s="270"/>
      <c r="I3392" s="270"/>
      <c r="J3392" s="270"/>
      <c r="K3392" s="270"/>
    </row>
    <row r="3393" spans="1:11" x14ac:dyDescent="0.35">
      <c r="A3393" s="271" t="s">
        <v>317</v>
      </c>
      <c r="B3393" s="272"/>
      <c r="C3393" s="272"/>
      <c r="D3393" s="272"/>
      <c r="E3393" s="272"/>
      <c r="G3393" s="271" t="s">
        <v>317</v>
      </c>
      <c r="H3393" s="272"/>
      <c r="I3393" s="272"/>
      <c r="J3393" s="272"/>
      <c r="K3393" s="272"/>
    </row>
    <row r="3394" spans="1:11" x14ac:dyDescent="0.35">
      <c r="A3394" s="269" t="s">
        <v>311</v>
      </c>
      <c r="B3394" s="270"/>
      <c r="C3394" s="270"/>
      <c r="D3394" s="270"/>
      <c r="E3394" s="270"/>
      <c r="G3394" s="269" t="s">
        <v>311</v>
      </c>
      <c r="H3394" s="270"/>
      <c r="I3394" s="270"/>
      <c r="J3394" s="270"/>
      <c r="K3394" s="270"/>
    </row>
    <row r="3395" spans="1:11" x14ac:dyDescent="0.35">
      <c r="A3395" s="271" t="s">
        <v>312</v>
      </c>
      <c r="B3395" s="272"/>
      <c r="C3395" s="272"/>
      <c r="D3395" s="272"/>
      <c r="E3395" s="272"/>
      <c r="G3395" s="271" t="s">
        <v>312</v>
      </c>
      <c r="H3395" s="272"/>
      <c r="I3395" s="272"/>
      <c r="J3395" s="272"/>
      <c r="K3395" s="272"/>
    </row>
    <row r="3396" spans="1:11" x14ac:dyDescent="0.35">
      <c r="A3396" s="231" t="s">
        <v>34</v>
      </c>
      <c r="B3396" s="230">
        <f>SUM(B3390:B3395)</f>
        <v>0</v>
      </c>
      <c r="C3396" s="230">
        <f>SUM(C3390:C3395)</f>
        <v>0</v>
      </c>
      <c r="D3396" s="230">
        <f>SUM(D3390:D3395)</f>
        <v>0</v>
      </c>
      <c r="E3396" s="230">
        <f>SUM(E3390:E3395)</f>
        <v>0</v>
      </c>
      <c r="G3396" s="231" t="s">
        <v>34</v>
      </c>
      <c r="H3396" s="230">
        <f>SUM(H3390:H3395)</f>
        <v>0</v>
      </c>
      <c r="I3396" s="230">
        <f>SUM(I3390:I3395)</f>
        <v>0</v>
      </c>
      <c r="J3396" s="230">
        <f>SUM(J3390:J3395)</f>
        <v>0</v>
      </c>
      <c r="K3396" s="230">
        <f>SUM(K3390:K3395)</f>
        <v>0</v>
      </c>
    </row>
    <row r="3397" spans="1:11" ht="15" thickBot="1" x14ac:dyDescent="0.4">
      <c r="A3397" s="231" t="s">
        <v>313</v>
      </c>
      <c r="B3397" s="230">
        <f>+B3396+C3396+D3396+E3396</f>
        <v>0</v>
      </c>
      <c r="C3397" s="230"/>
      <c r="D3397" s="230"/>
      <c r="E3397" s="230"/>
      <c r="G3397" s="231" t="s">
        <v>313</v>
      </c>
      <c r="H3397" s="230">
        <f>+H3396+I3396+J3396+K3396</f>
        <v>0</v>
      </c>
      <c r="I3397" s="230"/>
      <c r="J3397" s="230"/>
      <c r="K3397" s="230"/>
    </row>
    <row r="3398" spans="1:11" ht="15.5" thickTop="1" thickBot="1" x14ac:dyDescent="0.4">
      <c r="A3398" s="335" t="s">
        <v>298</v>
      </c>
      <c r="B3398" s="336"/>
      <c r="C3398" s="336"/>
      <c r="D3398" s="336"/>
      <c r="E3398" s="337"/>
      <c r="G3398" s="335" t="s">
        <v>298</v>
      </c>
      <c r="H3398" s="336"/>
      <c r="I3398" s="336"/>
      <c r="J3398" s="336"/>
      <c r="K3398" s="337"/>
    </row>
    <row r="3399" spans="1:11" ht="15.5" thickTop="1" thickBot="1" x14ac:dyDescent="0.4">
      <c r="A3399" s="338">
        <v>45598</v>
      </c>
      <c r="B3399" s="336"/>
      <c r="C3399" s="336"/>
      <c r="D3399" s="336"/>
      <c r="E3399" s="337"/>
      <c r="G3399" s="338">
        <v>45598</v>
      </c>
      <c r="H3399" s="336"/>
      <c r="I3399" s="336"/>
      <c r="J3399" s="336"/>
      <c r="K3399" s="337"/>
    </row>
    <row r="3400" spans="1:11" ht="15" thickTop="1" x14ac:dyDescent="0.35">
      <c r="A3400" s="267" t="s">
        <v>159</v>
      </c>
      <c r="B3400" s="267" t="s">
        <v>299</v>
      </c>
      <c r="C3400" s="267" t="s">
        <v>307</v>
      </c>
      <c r="D3400" s="267" t="s">
        <v>301</v>
      </c>
      <c r="E3400" s="268" t="s">
        <v>308</v>
      </c>
      <c r="G3400" s="267" t="s">
        <v>159</v>
      </c>
      <c r="H3400" s="267" t="s">
        <v>299</v>
      </c>
      <c r="I3400" s="267" t="s">
        <v>307</v>
      </c>
      <c r="J3400" s="267" t="s">
        <v>301</v>
      </c>
      <c r="K3400" s="268" t="s">
        <v>308</v>
      </c>
    </row>
    <row r="3401" spans="1:11" x14ac:dyDescent="0.35">
      <c r="A3401" s="269" t="s">
        <v>316</v>
      </c>
      <c r="B3401" s="270"/>
      <c r="C3401" s="270"/>
      <c r="D3401" s="270"/>
      <c r="E3401" s="270"/>
      <c r="G3401" s="269" t="s">
        <v>316</v>
      </c>
      <c r="H3401" s="270"/>
      <c r="I3401" s="270"/>
      <c r="J3401" s="270"/>
      <c r="K3401" s="270"/>
    </row>
    <row r="3402" spans="1:11" x14ac:dyDescent="0.35">
      <c r="A3402" s="271" t="s">
        <v>309</v>
      </c>
      <c r="B3402" s="272"/>
      <c r="C3402" s="272"/>
      <c r="D3402" s="272"/>
      <c r="E3402" s="272"/>
      <c r="G3402" s="271" t="s">
        <v>309</v>
      </c>
      <c r="H3402" s="272"/>
      <c r="I3402" s="272"/>
      <c r="J3402" s="272"/>
      <c r="K3402" s="272"/>
    </row>
    <row r="3403" spans="1:11" x14ac:dyDescent="0.35">
      <c r="A3403" s="269" t="s">
        <v>310</v>
      </c>
      <c r="B3403" s="270"/>
      <c r="C3403" s="270"/>
      <c r="D3403" s="270"/>
      <c r="E3403" s="270"/>
      <c r="G3403" s="269" t="s">
        <v>310</v>
      </c>
      <c r="H3403" s="270"/>
      <c r="I3403" s="270"/>
      <c r="J3403" s="270"/>
      <c r="K3403" s="270"/>
    </row>
    <row r="3404" spans="1:11" x14ac:dyDescent="0.35">
      <c r="A3404" s="271" t="s">
        <v>317</v>
      </c>
      <c r="B3404" s="272"/>
      <c r="C3404" s="272"/>
      <c r="D3404" s="272"/>
      <c r="E3404" s="272"/>
      <c r="G3404" s="271" t="s">
        <v>317</v>
      </c>
      <c r="H3404" s="272"/>
      <c r="I3404" s="272"/>
      <c r="J3404" s="272"/>
      <c r="K3404" s="272"/>
    </row>
    <row r="3405" spans="1:11" x14ac:dyDescent="0.35">
      <c r="A3405" s="269" t="s">
        <v>311</v>
      </c>
      <c r="B3405" s="270"/>
      <c r="C3405" s="270"/>
      <c r="D3405" s="270"/>
      <c r="E3405" s="270"/>
      <c r="G3405" s="269" t="s">
        <v>311</v>
      </c>
      <c r="H3405" s="270"/>
      <c r="I3405" s="270"/>
      <c r="J3405" s="270"/>
      <c r="K3405" s="270"/>
    </row>
    <row r="3406" spans="1:11" x14ac:dyDescent="0.35">
      <c r="A3406" s="271" t="s">
        <v>312</v>
      </c>
      <c r="B3406" s="272"/>
      <c r="C3406" s="272"/>
      <c r="D3406" s="272"/>
      <c r="E3406" s="272"/>
      <c r="G3406" s="271" t="s">
        <v>312</v>
      </c>
      <c r="H3406" s="272"/>
      <c r="I3406" s="272"/>
      <c r="J3406" s="272"/>
      <c r="K3406" s="272"/>
    </row>
    <row r="3407" spans="1:11" x14ac:dyDescent="0.35">
      <c r="A3407" s="231" t="s">
        <v>34</v>
      </c>
      <c r="B3407" s="230">
        <f>SUM(B3401:B3406)</f>
        <v>0</v>
      </c>
      <c r="C3407" s="230">
        <f>SUM(C3401:C3406)</f>
        <v>0</v>
      </c>
      <c r="D3407" s="230">
        <f>SUM(D3401:D3406)</f>
        <v>0</v>
      </c>
      <c r="E3407" s="230">
        <f>SUM(E3401:E3406)</f>
        <v>0</v>
      </c>
      <c r="G3407" s="231" t="s">
        <v>34</v>
      </c>
      <c r="H3407" s="230">
        <f>SUM(H3401:H3406)</f>
        <v>0</v>
      </c>
      <c r="I3407" s="230">
        <f>SUM(I3401:I3406)</f>
        <v>0</v>
      </c>
      <c r="J3407" s="230">
        <f>SUM(J3401:J3406)</f>
        <v>0</v>
      </c>
      <c r="K3407" s="230">
        <f>SUM(K3401:K3406)</f>
        <v>0</v>
      </c>
    </row>
    <row r="3408" spans="1:11" ht="15" thickBot="1" x14ac:dyDescent="0.4">
      <c r="A3408" s="231" t="s">
        <v>313</v>
      </c>
      <c r="B3408" s="230">
        <f>+B3407+C3407+D3407+E3407</f>
        <v>0</v>
      </c>
      <c r="C3408" s="230"/>
      <c r="D3408" s="230"/>
      <c r="E3408" s="230"/>
      <c r="G3408" s="231" t="s">
        <v>313</v>
      </c>
      <c r="H3408" s="230">
        <f>+H3407+I3407+J3407+K3407</f>
        <v>0</v>
      </c>
      <c r="I3408" s="230"/>
      <c r="J3408" s="230"/>
      <c r="K3408" s="230"/>
    </row>
    <row r="3409" spans="1:11" ht="15.5" thickTop="1" thickBot="1" x14ac:dyDescent="0.4">
      <c r="A3409" s="335" t="s">
        <v>298</v>
      </c>
      <c r="B3409" s="336"/>
      <c r="C3409" s="336"/>
      <c r="D3409" s="336"/>
      <c r="E3409" s="337"/>
      <c r="G3409" s="335" t="s">
        <v>298</v>
      </c>
      <c r="H3409" s="336"/>
      <c r="I3409" s="336"/>
      <c r="J3409" s="336"/>
      <c r="K3409" s="337"/>
    </row>
    <row r="3410" spans="1:11" ht="15.5" thickTop="1" thickBot="1" x14ac:dyDescent="0.4">
      <c r="A3410" s="338">
        <v>45599</v>
      </c>
      <c r="B3410" s="336"/>
      <c r="C3410" s="336"/>
      <c r="D3410" s="336"/>
      <c r="E3410" s="337"/>
      <c r="G3410" s="338">
        <v>45599</v>
      </c>
      <c r="H3410" s="336"/>
      <c r="I3410" s="336"/>
      <c r="J3410" s="336"/>
      <c r="K3410" s="337"/>
    </row>
    <row r="3411" spans="1:11" ht="15" thickTop="1" x14ac:dyDescent="0.35">
      <c r="A3411" s="267" t="s">
        <v>159</v>
      </c>
      <c r="B3411" s="267" t="s">
        <v>299</v>
      </c>
      <c r="C3411" s="267" t="s">
        <v>307</v>
      </c>
      <c r="D3411" s="267" t="s">
        <v>301</v>
      </c>
      <c r="E3411" s="268" t="s">
        <v>308</v>
      </c>
      <c r="G3411" s="267" t="s">
        <v>159</v>
      </c>
      <c r="H3411" s="267" t="s">
        <v>299</v>
      </c>
      <c r="I3411" s="267" t="s">
        <v>307</v>
      </c>
      <c r="J3411" s="267" t="s">
        <v>301</v>
      </c>
      <c r="K3411" s="268" t="s">
        <v>308</v>
      </c>
    </row>
    <row r="3412" spans="1:11" x14ac:dyDescent="0.35">
      <c r="A3412" s="269" t="s">
        <v>316</v>
      </c>
      <c r="B3412" s="270"/>
      <c r="C3412" s="270"/>
      <c r="D3412" s="270"/>
      <c r="E3412" s="270"/>
      <c r="G3412" s="269" t="s">
        <v>316</v>
      </c>
      <c r="H3412" s="270"/>
      <c r="I3412" s="270"/>
      <c r="J3412" s="270"/>
      <c r="K3412" s="270"/>
    </row>
    <row r="3413" spans="1:11" x14ac:dyDescent="0.35">
      <c r="A3413" s="271" t="s">
        <v>309</v>
      </c>
      <c r="B3413" s="272"/>
      <c r="C3413" s="272"/>
      <c r="D3413" s="272"/>
      <c r="E3413" s="272"/>
      <c r="G3413" s="271" t="s">
        <v>309</v>
      </c>
      <c r="H3413" s="272"/>
      <c r="I3413" s="272"/>
      <c r="J3413" s="272"/>
      <c r="K3413" s="272"/>
    </row>
    <row r="3414" spans="1:11" x14ac:dyDescent="0.35">
      <c r="A3414" s="269" t="s">
        <v>310</v>
      </c>
      <c r="B3414" s="270"/>
      <c r="C3414" s="270"/>
      <c r="D3414" s="270"/>
      <c r="E3414" s="270"/>
      <c r="G3414" s="269" t="s">
        <v>310</v>
      </c>
      <c r="H3414" s="270"/>
      <c r="I3414" s="270"/>
      <c r="J3414" s="270"/>
      <c r="K3414" s="270"/>
    </row>
    <row r="3415" spans="1:11" x14ac:dyDescent="0.35">
      <c r="A3415" s="271" t="s">
        <v>317</v>
      </c>
      <c r="B3415" s="272"/>
      <c r="C3415" s="272"/>
      <c r="D3415" s="272"/>
      <c r="E3415" s="272"/>
      <c r="G3415" s="271" t="s">
        <v>317</v>
      </c>
      <c r="H3415" s="272"/>
      <c r="I3415" s="272"/>
      <c r="J3415" s="272"/>
      <c r="K3415" s="272"/>
    </row>
    <row r="3416" spans="1:11" x14ac:dyDescent="0.35">
      <c r="A3416" s="269" t="s">
        <v>311</v>
      </c>
      <c r="B3416" s="270"/>
      <c r="C3416" s="270"/>
      <c r="D3416" s="270"/>
      <c r="E3416" s="270"/>
      <c r="G3416" s="269" t="s">
        <v>311</v>
      </c>
      <c r="H3416" s="270"/>
      <c r="I3416" s="270"/>
      <c r="J3416" s="270"/>
      <c r="K3416" s="270"/>
    </row>
    <row r="3417" spans="1:11" x14ac:dyDescent="0.35">
      <c r="A3417" s="271" t="s">
        <v>312</v>
      </c>
      <c r="B3417" s="272"/>
      <c r="C3417" s="272"/>
      <c r="D3417" s="272"/>
      <c r="E3417" s="272"/>
      <c r="G3417" s="271" t="s">
        <v>312</v>
      </c>
      <c r="H3417" s="272"/>
      <c r="I3417" s="272"/>
      <c r="J3417" s="272"/>
      <c r="K3417" s="272"/>
    </row>
    <row r="3418" spans="1:11" x14ac:dyDescent="0.35">
      <c r="A3418" s="231" t="s">
        <v>34</v>
      </c>
      <c r="B3418" s="230">
        <f>SUM(B3412:B3417)</f>
        <v>0</v>
      </c>
      <c r="C3418" s="230">
        <f>SUM(C3412:C3417)</f>
        <v>0</v>
      </c>
      <c r="D3418" s="230">
        <f>SUM(D3412:D3417)</f>
        <v>0</v>
      </c>
      <c r="E3418" s="230">
        <f>SUM(E3412:E3417)</f>
        <v>0</v>
      </c>
      <c r="G3418" s="231" t="s">
        <v>34</v>
      </c>
      <c r="H3418" s="230">
        <f>SUM(H3412:H3417)</f>
        <v>0</v>
      </c>
      <c r="I3418" s="230">
        <f>SUM(I3412:I3417)</f>
        <v>0</v>
      </c>
      <c r="J3418" s="230">
        <f>SUM(J3412:J3417)</f>
        <v>0</v>
      </c>
      <c r="K3418" s="230">
        <f>SUM(K3412:K3417)</f>
        <v>0</v>
      </c>
    </row>
    <row r="3419" spans="1:11" ht="15" thickBot="1" x14ac:dyDescent="0.4">
      <c r="A3419" s="231" t="s">
        <v>313</v>
      </c>
      <c r="B3419" s="230">
        <f>+B3418+C3418+D3418+E3418</f>
        <v>0</v>
      </c>
      <c r="C3419" s="230"/>
      <c r="D3419" s="230"/>
      <c r="E3419" s="230"/>
      <c r="G3419" s="231" t="s">
        <v>313</v>
      </c>
      <c r="H3419" s="230">
        <f>+H3418+I3418+J3418+K3418</f>
        <v>0</v>
      </c>
      <c r="I3419" s="230"/>
      <c r="J3419" s="230"/>
      <c r="K3419" s="230"/>
    </row>
    <row r="3420" spans="1:11" ht="15.5" thickTop="1" thickBot="1" x14ac:dyDescent="0.4">
      <c r="A3420" s="335" t="s">
        <v>298</v>
      </c>
      <c r="B3420" s="336"/>
      <c r="C3420" s="336"/>
      <c r="D3420" s="336"/>
      <c r="E3420" s="337"/>
      <c r="G3420" s="335" t="s">
        <v>298</v>
      </c>
      <c r="H3420" s="336"/>
      <c r="I3420" s="336"/>
      <c r="J3420" s="336"/>
      <c r="K3420" s="337"/>
    </row>
    <row r="3421" spans="1:11" ht="15.5" thickTop="1" thickBot="1" x14ac:dyDescent="0.4">
      <c r="A3421" s="338">
        <v>45600</v>
      </c>
      <c r="B3421" s="336"/>
      <c r="C3421" s="336"/>
      <c r="D3421" s="336"/>
      <c r="E3421" s="337"/>
      <c r="G3421" s="338">
        <v>45600</v>
      </c>
      <c r="H3421" s="336"/>
      <c r="I3421" s="336"/>
      <c r="J3421" s="336"/>
      <c r="K3421" s="337"/>
    </row>
    <row r="3422" spans="1:11" ht="15" thickTop="1" x14ac:dyDescent="0.35">
      <c r="A3422" s="267" t="s">
        <v>159</v>
      </c>
      <c r="B3422" s="267" t="s">
        <v>299</v>
      </c>
      <c r="C3422" s="267" t="s">
        <v>307</v>
      </c>
      <c r="D3422" s="267" t="s">
        <v>301</v>
      </c>
      <c r="E3422" s="268" t="s">
        <v>308</v>
      </c>
      <c r="G3422" s="267" t="s">
        <v>159</v>
      </c>
      <c r="H3422" s="267" t="s">
        <v>299</v>
      </c>
      <c r="I3422" s="267" t="s">
        <v>307</v>
      </c>
      <c r="J3422" s="267" t="s">
        <v>301</v>
      </c>
      <c r="K3422" s="268" t="s">
        <v>308</v>
      </c>
    </row>
    <row r="3423" spans="1:11" x14ac:dyDescent="0.35">
      <c r="A3423" s="269" t="s">
        <v>316</v>
      </c>
      <c r="B3423" s="270"/>
      <c r="C3423" s="270"/>
      <c r="D3423" s="270"/>
      <c r="E3423" s="270"/>
      <c r="G3423" s="269" t="s">
        <v>316</v>
      </c>
      <c r="H3423" s="270"/>
      <c r="I3423" s="270"/>
      <c r="J3423" s="270"/>
      <c r="K3423" s="270"/>
    </row>
    <row r="3424" spans="1:11" x14ac:dyDescent="0.35">
      <c r="A3424" s="271" t="s">
        <v>309</v>
      </c>
      <c r="B3424" s="272"/>
      <c r="C3424" s="272"/>
      <c r="D3424" s="272"/>
      <c r="E3424" s="272"/>
      <c r="G3424" s="271" t="s">
        <v>309</v>
      </c>
      <c r="H3424" s="272"/>
      <c r="I3424" s="272"/>
      <c r="J3424" s="272"/>
      <c r="K3424" s="272"/>
    </row>
    <row r="3425" spans="1:11" x14ac:dyDescent="0.35">
      <c r="A3425" s="269" t="s">
        <v>310</v>
      </c>
      <c r="B3425" s="270"/>
      <c r="C3425" s="270"/>
      <c r="D3425" s="270"/>
      <c r="E3425" s="270"/>
      <c r="G3425" s="269" t="s">
        <v>310</v>
      </c>
      <c r="H3425" s="270"/>
      <c r="I3425" s="270"/>
      <c r="J3425" s="270"/>
      <c r="K3425" s="270"/>
    </row>
    <row r="3426" spans="1:11" x14ac:dyDescent="0.35">
      <c r="A3426" s="271" t="s">
        <v>317</v>
      </c>
      <c r="B3426" s="272"/>
      <c r="C3426" s="272"/>
      <c r="D3426" s="272"/>
      <c r="E3426" s="272"/>
      <c r="G3426" s="271" t="s">
        <v>317</v>
      </c>
      <c r="H3426" s="272"/>
      <c r="I3426" s="272"/>
      <c r="J3426" s="272"/>
      <c r="K3426" s="272"/>
    </row>
    <row r="3427" spans="1:11" x14ac:dyDescent="0.35">
      <c r="A3427" s="269" t="s">
        <v>311</v>
      </c>
      <c r="B3427" s="270"/>
      <c r="C3427" s="270"/>
      <c r="D3427" s="270"/>
      <c r="E3427" s="270"/>
      <c r="G3427" s="269" t="s">
        <v>311</v>
      </c>
      <c r="H3427" s="270"/>
      <c r="I3427" s="270"/>
      <c r="J3427" s="270"/>
      <c r="K3427" s="270"/>
    </row>
    <row r="3428" spans="1:11" x14ac:dyDescent="0.35">
      <c r="A3428" s="271" t="s">
        <v>312</v>
      </c>
      <c r="B3428" s="272"/>
      <c r="C3428" s="272"/>
      <c r="D3428" s="272"/>
      <c r="E3428" s="272"/>
      <c r="G3428" s="271" t="s">
        <v>312</v>
      </c>
      <c r="H3428" s="272"/>
      <c r="I3428" s="272"/>
      <c r="J3428" s="272"/>
      <c r="K3428" s="272"/>
    </row>
    <row r="3429" spans="1:11" x14ac:dyDescent="0.35">
      <c r="A3429" s="231" t="s">
        <v>34</v>
      </c>
      <c r="B3429" s="230">
        <f>SUM(B3423:B3428)</f>
        <v>0</v>
      </c>
      <c r="C3429" s="230">
        <f>SUM(C3423:C3428)</f>
        <v>0</v>
      </c>
      <c r="D3429" s="230">
        <f>SUM(D3423:D3428)</f>
        <v>0</v>
      </c>
      <c r="E3429" s="230">
        <f>SUM(E3423:E3428)</f>
        <v>0</v>
      </c>
      <c r="G3429" s="231" t="s">
        <v>34</v>
      </c>
      <c r="H3429" s="230">
        <f>SUM(H3423:H3428)</f>
        <v>0</v>
      </c>
      <c r="I3429" s="230">
        <f>SUM(I3423:I3428)</f>
        <v>0</v>
      </c>
      <c r="J3429" s="230">
        <f>SUM(J3423:J3428)</f>
        <v>0</v>
      </c>
      <c r="K3429" s="230">
        <f>SUM(K3423:K3428)</f>
        <v>0</v>
      </c>
    </row>
    <row r="3430" spans="1:11" ht="15" thickBot="1" x14ac:dyDescent="0.4">
      <c r="A3430" s="231" t="s">
        <v>313</v>
      </c>
      <c r="B3430" s="230">
        <f>+B3429+C3429+D3429+E3429</f>
        <v>0</v>
      </c>
      <c r="C3430" s="230"/>
      <c r="D3430" s="230"/>
      <c r="E3430" s="230"/>
      <c r="G3430" s="231" t="s">
        <v>313</v>
      </c>
      <c r="H3430" s="230">
        <f>+H3429+I3429+J3429+K3429</f>
        <v>0</v>
      </c>
      <c r="I3430" s="230"/>
      <c r="J3430" s="230"/>
      <c r="K3430" s="230"/>
    </row>
    <row r="3431" spans="1:11" ht="15.5" thickTop="1" thickBot="1" x14ac:dyDescent="0.4">
      <c r="A3431" s="335" t="s">
        <v>298</v>
      </c>
      <c r="B3431" s="336"/>
      <c r="C3431" s="336"/>
      <c r="D3431" s="336"/>
      <c r="E3431" s="337"/>
      <c r="G3431" s="335" t="s">
        <v>298</v>
      </c>
      <c r="H3431" s="336"/>
      <c r="I3431" s="336"/>
      <c r="J3431" s="336"/>
      <c r="K3431" s="337"/>
    </row>
    <row r="3432" spans="1:11" ht="15.5" thickTop="1" thickBot="1" x14ac:dyDescent="0.4">
      <c r="A3432" s="338">
        <v>45601</v>
      </c>
      <c r="B3432" s="336"/>
      <c r="C3432" s="336"/>
      <c r="D3432" s="336"/>
      <c r="E3432" s="337"/>
      <c r="G3432" s="338">
        <v>45601</v>
      </c>
      <c r="H3432" s="336"/>
      <c r="I3432" s="336"/>
      <c r="J3432" s="336"/>
      <c r="K3432" s="337"/>
    </row>
    <row r="3433" spans="1:11" ht="15" thickTop="1" x14ac:dyDescent="0.35">
      <c r="A3433" s="267" t="s">
        <v>159</v>
      </c>
      <c r="B3433" s="267" t="s">
        <v>299</v>
      </c>
      <c r="C3433" s="267" t="s">
        <v>307</v>
      </c>
      <c r="D3433" s="267" t="s">
        <v>301</v>
      </c>
      <c r="E3433" s="268" t="s">
        <v>308</v>
      </c>
      <c r="G3433" s="267" t="s">
        <v>159</v>
      </c>
      <c r="H3433" s="267" t="s">
        <v>299</v>
      </c>
      <c r="I3433" s="267" t="s">
        <v>307</v>
      </c>
      <c r="J3433" s="267" t="s">
        <v>301</v>
      </c>
      <c r="K3433" s="268" t="s">
        <v>308</v>
      </c>
    </row>
    <row r="3434" spans="1:11" x14ac:dyDescent="0.35">
      <c r="A3434" s="269" t="s">
        <v>316</v>
      </c>
      <c r="B3434" s="270"/>
      <c r="C3434" s="270"/>
      <c r="D3434" s="270"/>
      <c r="E3434" s="270"/>
      <c r="G3434" s="269" t="s">
        <v>316</v>
      </c>
      <c r="H3434" s="270"/>
      <c r="I3434" s="270"/>
      <c r="J3434" s="270"/>
      <c r="K3434" s="270"/>
    </row>
    <row r="3435" spans="1:11" x14ac:dyDescent="0.35">
      <c r="A3435" s="271" t="s">
        <v>309</v>
      </c>
      <c r="B3435" s="272"/>
      <c r="C3435" s="272"/>
      <c r="D3435" s="272"/>
      <c r="E3435" s="272"/>
      <c r="G3435" s="271" t="s">
        <v>309</v>
      </c>
      <c r="H3435" s="272"/>
      <c r="I3435" s="272"/>
      <c r="J3435" s="272"/>
      <c r="K3435" s="272"/>
    </row>
    <row r="3436" spans="1:11" x14ac:dyDescent="0.35">
      <c r="A3436" s="269" t="s">
        <v>310</v>
      </c>
      <c r="B3436" s="270"/>
      <c r="C3436" s="270"/>
      <c r="D3436" s="270"/>
      <c r="E3436" s="270"/>
      <c r="G3436" s="269" t="s">
        <v>310</v>
      </c>
      <c r="H3436" s="270"/>
      <c r="I3436" s="270"/>
      <c r="J3436" s="270"/>
      <c r="K3436" s="270"/>
    </row>
    <row r="3437" spans="1:11" x14ac:dyDescent="0.35">
      <c r="A3437" s="271" t="s">
        <v>317</v>
      </c>
      <c r="B3437" s="272"/>
      <c r="C3437" s="272"/>
      <c r="D3437" s="272"/>
      <c r="E3437" s="272"/>
      <c r="G3437" s="271" t="s">
        <v>317</v>
      </c>
      <c r="H3437" s="272"/>
      <c r="I3437" s="272"/>
      <c r="J3437" s="272"/>
      <c r="K3437" s="272"/>
    </row>
    <row r="3438" spans="1:11" x14ac:dyDescent="0.35">
      <c r="A3438" s="269" t="s">
        <v>311</v>
      </c>
      <c r="B3438" s="270"/>
      <c r="C3438" s="270"/>
      <c r="D3438" s="270"/>
      <c r="E3438" s="270"/>
      <c r="G3438" s="269" t="s">
        <v>311</v>
      </c>
      <c r="H3438" s="270"/>
      <c r="I3438" s="270"/>
      <c r="J3438" s="270"/>
      <c r="K3438" s="270"/>
    </row>
    <row r="3439" spans="1:11" x14ac:dyDescent="0.35">
      <c r="A3439" s="271" t="s">
        <v>312</v>
      </c>
      <c r="B3439" s="272"/>
      <c r="C3439" s="272"/>
      <c r="D3439" s="272"/>
      <c r="E3439" s="272"/>
      <c r="G3439" s="271" t="s">
        <v>312</v>
      </c>
      <c r="H3439" s="272"/>
      <c r="I3439" s="272"/>
      <c r="J3439" s="272"/>
      <c r="K3439" s="272"/>
    </row>
    <row r="3440" spans="1:11" x14ac:dyDescent="0.35">
      <c r="A3440" s="231" t="s">
        <v>34</v>
      </c>
      <c r="B3440" s="230">
        <f>SUM(B3434:B3439)</f>
        <v>0</v>
      </c>
      <c r="C3440" s="230">
        <f>SUM(C3434:C3439)</f>
        <v>0</v>
      </c>
      <c r="D3440" s="230">
        <f>SUM(D3434:D3439)</f>
        <v>0</v>
      </c>
      <c r="E3440" s="230">
        <f>SUM(E3434:E3439)</f>
        <v>0</v>
      </c>
      <c r="G3440" s="231" t="s">
        <v>34</v>
      </c>
      <c r="H3440" s="230">
        <f>SUM(H3434:H3439)</f>
        <v>0</v>
      </c>
      <c r="I3440" s="230">
        <f>SUM(I3434:I3439)</f>
        <v>0</v>
      </c>
      <c r="J3440" s="230">
        <f>SUM(J3434:J3439)</f>
        <v>0</v>
      </c>
      <c r="K3440" s="230">
        <f>SUM(K3434:K3439)</f>
        <v>0</v>
      </c>
    </row>
    <row r="3441" spans="1:11" ht="15" thickBot="1" x14ac:dyDescent="0.4">
      <c r="A3441" s="231" t="s">
        <v>313</v>
      </c>
      <c r="B3441" s="230">
        <f>+B3440+C3440+D3440+E3440</f>
        <v>0</v>
      </c>
      <c r="C3441" s="230"/>
      <c r="D3441" s="230"/>
      <c r="E3441" s="230"/>
      <c r="G3441" s="231" t="s">
        <v>313</v>
      </c>
      <c r="H3441" s="230">
        <f>+H3440+I3440+J3440+K3440</f>
        <v>0</v>
      </c>
      <c r="I3441" s="230"/>
      <c r="J3441" s="230"/>
      <c r="K3441" s="230"/>
    </row>
    <row r="3442" spans="1:11" ht="15.5" thickTop="1" thickBot="1" x14ac:dyDescent="0.4">
      <c r="A3442" s="335" t="s">
        <v>298</v>
      </c>
      <c r="B3442" s="336"/>
      <c r="C3442" s="336"/>
      <c r="D3442" s="336"/>
      <c r="E3442" s="337"/>
      <c r="G3442" s="335" t="s">
        <v>298</v>
      </c>
      <c r="H3442" s="336"/>
      <c r="I3442" s="336"/>
      <c r="J3442" s="336"/>
      <c r="K3442" s="337"/>
    </row>
    <row r="3443" spans="1:11" ht="15.5" thickTop="1" thickBot="1" x14ac:dyDescent="0.4">
      <c r="A3443" s="338">
        <v>45602</v>
      </c>
      <c r="B3443" s="336"/>
      <c r="C3443" s="336"/>
      <c r="D3443" s="336"/>
      <c r="E3443" s="337"/>
      <c r="G3443" s="338">
        <v>45602</v>
      </c>
      <c r="H3443" s="336"/>
      <c r="I3443" s="336"/>
      <c r="J3443" s="336"/>
      <c r="K3443" s="337"/>
    </row>
    <row r="3444" spans="1:11" ht="15" thickTop="1" x14ac:dyDescent="0.35">
      <c r="A3444" s="267" t="s">
        <v>159</v>
      </c>
      <c r="B3444" s="267" t="s">
        <v>299</v>
      </c>
      <c r="C3444" s="267" t="s">
        <v>307</v>
      </c>
      <c r="D3444" s="267" t="s">
        <v>301</v>
      </c>
      <c r="E3444" s="268" t="s">
        <v>308</v>
      </c>
      <c r="G3444" s="267" t="s">
        <v>159</v>
      </c>
      <c r="H3444" s="267" t="s">
        <v>299</v>
      </c>
      <c r="I3444" s="267" t="s">
        <v>307</v>
      </c>
      <c r="J3444" s="267" t="s">
        <v>301</v>
      </c>
      <c r="K3444" s="268" t="s">
        <v>308</v>
      </c>
    </row>
    <row r="3445" spans="1:11" x14ac:dyDescent="0.35">
      <c r="A3445" s="269" t="s">
        <v>316</v>
      </c>
      <c r="B3445" s="270"/>
      <c r="C3445" s="270"/>
      <c r="D3445" s="270"/>
      <c r="E3445" s="270"/>
      <c r="G3445" s="269" t="s">
        <v>316</v>
      </c>
      <c r="H3445" s="270"/>
      <c r="I3445" s="270"/>
      <c r="J3445" s="270"/>
      <c r="K3445" s="270"/>
    </row>
    <row r="3446" spans="1:11" x14ac:dyDescent="0.35">
      <c r="A3446" s="271" t="s">
        <v>309</v>
      </c>
      <c r="B3446" s="272"/>
      <c r="C3446" s="272"/>
      <c r="D3446" s="272"/>
      <c r="E3446" s="272"/>
      <c r="G3446" s="271" t="s">
        <v>309</v>
      </c>
      <c r="H3446" s="272"/>
      <c r="I3446" s="272"/>
      <c r="J3446" s="272"/>
      <c r="K3446" s="272"/>
    </row>
    <row r="3447" spans="1:11" x14ac:dyDescent="0.35">
      <c r="A3447" s="269" t="s">
        <v>310</v>
      </c>
      <c r="B3447" s="270"/>
      <c r="C3447" s="270"/>
      <c r="D3447" s="270"/>
      <c r="E3447" s="270"/>
      <c r="G3447" s="269" t="s">
        <v>310</v>
      </c>
      <c r="H3447" s="270"/>
      <c r="I3447" s="270"/>
      <c r="J3447" s="270"/>
      <c r="K3447" s="270"/>
    </row>
    <row r="3448" spans="1:11" x14ac:dyDescent="0.35">
      <c r="A3448" s="271" t="s">
        <v>317</v>
      </c>
      <c r="B3448" s="272"/>
      <c r="C3448" s="272"/>
      <c r="D3448" s="272"/>
      <c r="E3448" s="272"/>
      <c r="G3448" s="271" t="s">
        <v>317</v>
      </c>
      <c r="H3448" s="272"/>
      <c r="I3448" s="272"/>
      <c r="J3448" s="272"/>
      <c r="K3448" s="272"/>
    </row>
    <row r="3449" spans="1:11" x14ac:dyDescent="0.35">
      <c r="A3449" s="269" t="s">
        <v>311</v>
      </c>
      <c r="B3449" s="270"/>
      <c r="C3449" s="270"/>
      <c r="D3449" s="270"/>
      <c r="E3449" s="270"/>
      <c r="G3449" s="269" t="s">
        <v>311</v>
      </c>
      <c r="H3449" s="270"/>
      <c r="I3449" s="270"/>
      <c r="J3449" s="270"/>
      <c r="K3449" s="270"/>
    </row>
    <row r="3450" spans="1:11" x14ac:dyDescent="0.35">
      <c r="A3450" s="271" t="s">
        <v>312</v>
      </c>
      <c r="B3450" s="272"/>
      <c r="C3450" s="272"/>
      <c r="D3450" s="272"/>
      <c r="E3450" s="272"/>
      <c r="G3450" s="271" t="s">
        <v>312</v>
      </c>
      <c r="H3450" s="272"/>
      <c r="I3450" s="272"/>
      <c r="J3450" s="272"/>
      <c r="K3450" s="272"/>
    </row>
    <row r="3451" spans="1:11" x14ac:dyDescent="0.35">
      <c r="A3451" s="231" t="s">
        <v>34</v>
      </c>
      <c r="B3451" s="230">
        <f>SUM(B3445:B3450)</f>
        <v>0</v>
      </c>
      <c r="C3451" s="230">
        <f>SUM(C3445:C3450)</f>
        <v>0</v>
      </c>
      <c r="D3451" s="230">
        <f>SUM(D3445:D3450)</f>
        <v>0</v>
      </c>
      <c r="E3451" s="230">
        <f>SUM(E3445:E3450)</f>
        <v>0</v>
      </c>
      <c r="G3451" s="231" t="s">
        <v>34</v>
      </c>
      <c r="H3451" s="230">
        <f>SUM(H3445:H3450)</f>
        <v>0</v>
      </c>
      <c r="I3451" s="230">
        <f>SUM(I3445:I3450)</f>
        <v>0</v>
      </c>
      <c r="J3451" s="230">
        <f>SUM(J3445:J3450)</f>
        <v>0</v>
      </c>
      <c r="K3451" s="230">
        <f>SUM(K3445:K3450)</f>
        <v>0</v>
      </c>
    </row>
    <row r="3452" spans="1:11" ht="15" thickBot="1" x14ac:dyDescent="0.4">
      <c r="A3452" s="231" t="s">
        <v>313</v>
      </c>
      <c r="B3452" s="230">
        <f>+B3451+C3451+D3451+E3451</f>
        <v>0</v>
      </c>
      <c r="C3452" s="230"/>
      <c r="D3452" s="230"/>
      <c r="E3452" s="230"/>
      <c r="G3452" s="231" t="s">
        <v>313</v>
      </c>
      <c r="H3452" s="230">
        <f>+H3451+I3451+J3451+K3451</f>
        <v>0</v>
      </c>
      <c r="I3452" s="230"/>
      <c r="J3452" s="230"/>
      <c r="K3452" s="230"/>
    </row>
    <row r="3453" spans="1:11" ht="15.5" thickTop="1" thickBot="1" x14ac:dyDescent="0.4">
      <c r="A3453" s="335" t="s">
        <v>298</v>
      </c>
      <c r="B3453" s="336"/>
      <c r="C3453" s="336"/>
      <c r="D3453" s="336"/>
      <c r="E3453" s="337"/>
      <c r="G3453" s="335" t="s">
        <v>298</v>
      </c>
      <c r="H3453" s="336"/>
      <c r="I3453" s="336"/>
      <c r="J3453" s="336"/>
      <c r="K3453" s="337"/>
    </row>
    <row r="3454" spans="1:11" ht="15.5" thickTop="1" thickBot="1" x14ac:dyDescent="0.4">
      <c r="A3454" s="338">
        <v>45603</v>
      </c>
      <c r="B3454" s="336"/>
      <c r="C3454" s="336"/>
      <c r="D3454" s="336"/>
      <c r="E3454" s="337"/>
      <c r="G3454" s="338">
        <v>45603</v>
      </c>
      <c r="H3454" s="336"/>
      <c r="I3454" s="336"/>
      <c r="J3454" s="336"/>
      <c r="K3454" s="337"/>
    </row>
    <row r="3455" spans="1:11" ht="15" thickTop="1" x14ac:dyDescent="0.35">
      <c r="A3455" s="267" t="s">
        <v>159</v>
      </c>
      <c r="B3455" s="267" t="s">
        <v>299</v>
      </c>
      <c r="C3455" s="267" t="s">
        <v>307</v>
      </c>
      <c r="D3455" s="267" t="s">
        <v>301</v>
      </c>
      <c r="E3455" s="268" t="s">
        <v>308</v>
      </c>
      <c r="G3455" s="267" t="s">
        <v>159</v>
      </c>
      <c r="H3455" s="267" t="s">
        <v>299</v>
      </c>
      <c r="I3455" s="267" t="s">
        <v>307</v>
      </c>
      <c r="J3455" s="267" t="s">
        <v>301</v>
      </c>
      <c r="K3455" s="268" t="s">
        <v>308</v>
      </c>
    </row>
    <row r="3456" spans="1:11" x14ac:dyDescent="0.35">
      <c r="A3456" s="269" t="s">
        <v>316</v>
      </c>
      <c r="B3456" s="270"/>
      <c r="C3456" s="270"/>
      <c r="D3456" s="270"/>
      <c r="E3456" s="270"/>
      <c r="G3456" s="269" t="s">
        <v>316</v>
      </c>
      <c r="H3456" s="270"/>
      <c r="I3456" s="270"/>
      <c r="J3456" s="270"/>
      <c r="K3456" s="270"/>
    </row>
    <row r="3457" spans="1:11" x14ac:dyDescent="0.35">
      <c r="A3457" s="271" t="s">
        <v>309</v>
      </c>
      <c r="B3457" s="272"/>
      <c r="C3457" s="272"/>
      <c r="D3457" s="272"/>
      <c r="E3457" s="272"/>
      <c r="G3457" s="271" t="s">
        <v>309</v>
      </c>
      <c r="H3457" s="272"/>
      <c r="I3457" s="272"/>
      <c r="J3457" s="272"/>
      <c r="K3457" s="272"/>
    </row>
    <row r="3458" spans="1:11" x14ac:dyDescent="0.35">
      <c r="A3458" s="269" t="s">
        <v>310</v>
      </c>
      <c r="B3458" s="270"/>
      <c r="C3458" s="270"/>
      <c r="D3458" s="270"/>
      <c r="E3458" s="270"/>
      <c r="G3458" s="269" t="s">
        <v>310</v>
      </c>
      <c r="H3458" s="270"/>
      <c r="I3458" s="270"/>
      <c r="J3458" s="270"/>
      <c r="K3458" s="270"/>
    </row>
    <row r="3459" spans="1:11" x14ac:dyDescent="0.35">
      <c r="A3459" s="271" t="s">
        <v>317</v>
      </c>
      <c r="B3459" s="272"/>
      <c r="C3459" s="272"/>
      <c r="D3459" s="272"/>
      <c r="E3459" s="272"/>
      <c r="G3459" s="271" t="s">
        <v>317</v>
      </c>
      <c r="H3459" s="272"/>
      <c r="I3459" s="272"/>
      <c r="J3459" s="272"/>
      <c r="K3459" s="272"/>
    </row>
    <row r="3460" spans="1:11" x14ac:dyDescent="0.35">
      <c r="A3460" s="269" t="s">
        <v>311</v>
      </c>
      <c r="B3460" s="270"/>
      <c r="C3460" s="270"/>
      <c r="D3460" s="270"/>
      <c r="E3460" s="270"/>
      <c r="G3460" s="269" t="s">
        <v>311</v>
      </c>
      <c r="H3460" s="270"/>
      <c r="I3460" s="270"/>
      <c r="J3460" s="270"/>
      <c r="K3460" s="270"/>
    </row>
    <row r="3461" spans="1:11" x14ac:dyDescent="0.35">
      <c r="A3461" s="271" t="s">
        <v>312</v>
      </c>
      <c r="B3461" s="272"/>
      <c r="C3461" s="272"/>
      <c r="D3461" s="272"/>
      <c r="E3461" s="272"/>
      <c r="G3461" s="271" t="s">
        <v>312</v>
      </c>
      <c r="H3461" s="272"/>
      <c r="I3461" s="272"/>
      <c r="J3461" s="272"/>
      <c r="K3461" s="272"/>
    </row>
    <row r="3462" spans="1:11" x14ac:dyDescent="0.35">
      <c r="A3462" s="231" t="s">
        <v>34</v>
      </c>
      <c r="B3462" s="230">
        <f>SUM(B3456:B3461)</f>
        <v>0</v>
      </c>
      <c r="C3462" s="230">
        <f>SUM(C3456:C3461)</f>
        <v>0</v>
      </c>
      <c r="D3462" s="230">
        <f>SUM(D3456:D3461)</f>
        <v>0</v>
      </c>
      <c r="E3462" s="230">
        <f>SUM(E3456:E3461)</f>
        <v>0</v>
      </c>
      <c r="G3462" s="231" t="s">
        <v>34</v>
      </c>
      <c r="H3462" s="230">
        <f>SUM(H3456:H3461)</f>
        <v>0</v>
      </c>
      <c r="I3462" s="230">
        <f>SUM(I3456:I3461)</f>
        <v>0</v>
      </c>
      <c r="J3462" s="230">
        <f>SUM(J3456:J3461)</f>
        <v>0</v>
      </c>
      <c r="K3462" s="230">
        <f>SUM(K3456:K3461)</f>
        <v>0</v>
      </c>
    </row>
    <row r="3463" spans="1:11" ht="15" thickBot="1" x14ac:dyDescent="0.4">
      <c r="A3463" s="231" t="s">
        <v>313</v>
      </c>
      <c r="B3463" s="230">
        <f>+B3462+C3462+D3462+E3462</f>
        <v>0</v>
      </c>
      <c r="C3463" s="230"/>
      <c r="D3463" s="230"/>
      <c r="E3463" s="230"/>
      <c r="G3463" s="231" t="s">
        <v>313</v>
      </c>
      <c r="H3463" s="230">
        <f>+H3462+I3462+J3462+K3462</f>
        <v>0</v>
      </c>
      <c r="I3463" s="230"/>
      <c r="J3463" s="230"/>
      <c r="K3463" s="230"/>
    </row>
    <row r="3464" spans="1:11" ht="15.5" thickTop="1" thickBot="1" x14ac:dyDescent="0.4">
      <c r="A3464" s="335" t="s">
        <v>298</v>
      </c>
      <c r="B3464" s="336"/>
      <c r="C3464" s="336"/>
      <c r="D3464" s="336"/>
      <c r="E3464" s="337"/>
      <c r="G3464" s="335" t="s">
        <v>298</v>
      </c>
      <c r="H3464" s="336"/>
      <c r="I3464" s="336"/>
      <c r="J3464" s="336"/>
      <c r="K3464" s="337"/>
    </row>
    <row r="3465" spans="1:11" ht="15.5" thickTop="1" thickBot="1" x14ac:dyDescent="0.4">
      <c r="A3465" s="338">
        <v>45604</v>
      </c>
      <c r="B3465" s="336"/>
      <c r="C3465" s="336"/>
      <c r="D3465" s="336"/>
      <c r="E3465" s="337"/>
      <c r="G3465" s="338">
        <v>45604</v>
      </c>
      <c r="H3465" s="336"/>
      <c r="I3465" s="336"/>
      <c r="J3465" s="336"/>
      <c r="K3465" s="337"/>
    </row>
    <row r="3466" spans="1:11" ht="15" thickTop="1" x14ac:dyDescent="0.35">
      <c r="A3466" s="267" t="s">
        <v>159</v>
      </c>
      <c r="B3466" s="267" t="s">
        <v>299</v>
      </c>
      <c r="C3466" s="267" t="s">
        <v>307</v>
      </c>
      <c r="D3466" s="267" t="s">
        <v>301</v>
      </c>
      <c r="E3466" s="268" t="s">
        <v>308</v>
      </c>
      <c r="G3466" s="267" t="s">
        <v>159</v>
      </c>
      <c r="H3466" s="267" t="s">
        <v>299</v>
      </c>
      <c r="I3466" s="267" t="s">
        <v>307</v>
      </c>
      <c r="J3466" s="267" t="s">
        <v>301</v>
      </c>
      <c r="K3466" s="268" t="s">
        <v>308</v>
      </c>
    </row>
    <row r="3467" spans="1:11" x14ac:dyDescent="0.35">
      <c r="A3467" s="269" t="s">
        <v>316</v>
      </c>
      <c r="B3467" s="270"/>
      <c r="C3467" s="270"/>
      <c r="D3467" s="270"/>
      <c r="E3467" s="270"/>
      <c r="G3467" s="269" t="s">
        <v>316</v>
      </c>
      <c r="H3467" s="270"/>
      <c r="I3467" s="270"/>
      <c r="J3467" s="270"/>
      <c r="K3467" s="270"/>
    </row>
    <row r="3468" spans="1:11" x14ac:dyDescent="0.35">
      <c r="A3468" s="271" t="s">
        <v>309</v>
      </c>
      <c r="B3468" s="272"/>
      <c r="C3468" s="272"/>
      <c r="D3468" s="272"/>
      <c r="E3468" s="272"/>
      <c r="G3468" s="271" t="s">
        <v>309</v>
      </c>
      <c r="H3468" s="272"/>
      <c r="I3468" s="272"/>
      <c r="J3468" s="272"/>
      <c r="K3468" s="272"/>
    </row>
    <row r="3469" spans="1:11" x14ac:dyDescent="0.35">
      <c r="A3469" s="269" t="s">
        <v>310</v>
      </c>
      <c r="B3469" s="270"/>
      <c r="C3469" s="270"/>
      <c r="D3469" s="270"/>
      <c r="E3469" s="270"/>
      <c r="G3469" s="269" t="s">
        <v>310</v>
      </c>
      <c r="H3469" s="270"/>
      <c r="I3469" s="270"/>
      <c r="J3469" s="270"/>
      <c r="K3469" s="270"/>
    </row>
    <row r="3470" spans="1:11" x14ac:dyDescent="0.35">
      <c r="A3470" s="271" t="s">
        <v>317</v>
      </c>
      <c r="B3470" s="272"/>
      <c r="C3470" s="272"/>
      <c r="D3470" s="272"/>
      <c r="E3470" s="272"/>
      <c r="G3470" s="271" t="s">
        <v>317</v>
      </c>
      <c r="H3470" s="272"/>
      <c r="I3470" s="272"/>
      <c r="J3470" s="272"/>
      <c r="K3470" s="272"/>
    </row>
    <row r="3471" spans="1:11" x14ac:dyDescent="0.35">
      <c r="A3471" s="269" t="s">
        <v>311</v>
      </c>
      <c r="B3471" s="270"/>
      <c r="C3471" s="270"/>
      <c r="D3471" s="270"/>
      <c r="E3471" s="270"/>
      <c r="G3471" s="269" t="s">
        <v>311</v>
      </c>
      <c r="H3471" s="270"/>
      <c r="I3471" s="270"/>
      <c r="J3471" s="270"/>
      <c r="K3471" s="270"/>
    </row>
    <row r="3472" spans="1:11" x14ac:dyDescent="0.35">
      <c r="A3472" s="271" t="s">
        <v>312</v>
      </c>
      <c r="B3472" s="272"/>
      <c r="C3472" s="272"/>
      <c r="D3472" s="272"/>
      <c r="E3472" s="272"/>
      <c r="G3472" s="271" t="s">
        <v>312</v>
      </c>
      <c r="H3472" s="272"/>
      <c r="I3472" s="272"/>
      <c r="J3472" s="272"/>
      <c r="K3472" s="272"/>
    </row>
    <row r="3473" spans="1:11" x14ac:dyDescent="0.35">
      <c r="A3473" s="231" t="s">
        <v>34</v>
      </c>
      <c r="B3473" s="230">
        <f>SUM(B3467:B3472)</f>
        <v>0</v>
      </c>
      <c r="C3473" s="230">
        <f>SUM(C3467:C3472)</f>
        <v>0</v>
      </c>
      <c r="D3473" s="230">
        <f>SUM(D3467:D3472)</f>
        <v>0</v>
      </c>
      <c r="E3473" s="230">
        <f>SUM(E3467:E3472)</f>
        <v>0</v>
      </c>
      <c r="G3473" s="231" t="s">
        <v>34</v>
      </c>
      <c r="H3473" s="230">
        <f>SUM(H3467:H3472)</f>
        <v>0</v>
      </c>
      <c r="I3473" s="230">
        <f>SUM(I3467:I3472)</f>
        <v>0</v>
      </c>
      <c r="J3473" s="230">
        <f>SUM(J3467:J3472)</f>
        <v>0</v>
      </c>
      <c r="K3473" s="230">
        <f>SUM(K3467:K3472)</f>
        <v>0</v>
      </c>
    </row>
    <row r="3474" spans="1:11" ht="15" thickBot="1" x14ac:dyDescent="0.4">
      <c r="A3474" s="231" t="s">
        <v>313</v>
      </c>
      <c r="B3474" s="230">
        <f>+B3473+C3473+D3473+E3473</f>
        <v>0</v>
      </c>
      <c r="C3474" s="230"/>
      <c r="D3474" s="230"/>
      <c r="E3474" s="230"/>
      <c r="G3474" s="231" t="s">
        <v>313</v>
      </c>
      <c r="H3474" s="230">
        <f>+H3473+I3473+J3473+K3473</f>
        <v>0</v>
      </c>
      <c r="I3474" s="230"/>
      <c r="J3474" s="230"/>
      <c r="K3474" s="230"/>
    </row>
    <row r="3475" spans="1:11" ht="15.5" thickTop="1" thickBot="1" x14ac:dyDescent="0.4">
      <c r="A3475" s="335" t="s">
        <v>298</v>
      </c>
      <c r="B3475" s="336"/>
      <c r="C3475" s="336"/>
      <c r="D3475" s="336"/>
      <c r="E3475" s="337"/>
      <c r="G3475" s="335" t="s">
        <v>298</v>
      </c>
      <c r="H3475" s="336"/>
      <c r="I3475" s="336"/>
      <c r="J3475" s="336"/>
      <c r="K3475" s="337"/>
    </row>
    <row r="3476" spans="1:11" ht="15.5" thickTop="1" thickBot="1" x14ac:dyDescent="0.4">
      <c r="A3476" s="338">
        <v>45605</v>
      </c>
      <c r="B3476" s="336"/>
      <c r="C3476" s="336"/>
      <c r="D3476" s="336"/>
      <c r="E3476" s="337"/>
      <c r="G3476" s="338">
        <v>45605</v>
      </c>
      <c r="H3476" s="336"/>
      <c r="I3476" s="336"/>
      <c r="J3476" s="336"/>
      <c r="K3476" s="337"/>
    </row>
    <row r="3477" spans="1:11" ht="15" thickTop="1" x14ac:dyDescent="0.35">
      <c r="A3477" s="267" t="s">
        <v>159</v>
      </c>
      <c r="B3477" s="267" t="s">
        <v>299</v>
      </c>
      <c r="C3477" s="267" t="s">
        <v>307</v>
      </c>
      <c r="D3477" s="267" t="s">
        <v>301</v>
      </c>
      <c r="E3477" s="268" t="s">
        <v>308</v>
      </c>
      <c r="G3477" s="267" t="s">
        <v>159</v>
      </c>
      <c r="H3477" s="267" t="s">
        <v>299</v>
      </c>
      <c r="I3477" s="267" t="s">
        <v>307</v>
      </c>
      <c r="J3477" s="267" t="s">
        <v>301</v>
      </c>
      <c r="K3477" s="268" t="s">
        <v>308</v>
      </c>
    </row>
    <row r="3478" spans="1:11" x14ac:dyDescent="0.35">
      <c r="A3478" s="269" t="s">
        <v>316</v>
      </c>
      <c r="B3478" s="270"/>
      <c r="C3478" s="270"/>
      <c r="D3478" s="270"/>
      <c r="E3478" s="270"/>
      <c r="G3478" s="269" t="s">
        <v>316</v>
      </c>
      <c r="H3478" s="270"/>
      <c r="I3478" s="270"/>
      <c r="J3478" s="270"/>
      <c r="K3478" s="270"/>
    </row>
    <row r="3479" spans="1:11" x14ac:dyDescent="0.35">
      <c r="A3479" s="271" t="s">
        <v>309</v>
      </c>
      <c r="B3479" s="272"/>
      <c r="C3479" s="272"/>
      <c r="D3479" s="272"/>
      <c r="E3479" s="272"/>
      <c r="G3479" s="271" t="s">
        <v>309</v>
      </c>
      <c r="H3479" s="272"/>
      <c r="I3479" s="272"/>
      <c r="J3479" s="272"/>
      <c r="K3479" s="272"/>
    </row>
    <row r="3480" spans="1:11" x14ac:dyDescent="0.35">
      <c r="A3480" s="269" t="s">
        <v>310</v>
      </c>
      <c r="B3480" s="270"/>
      <c r="C3480" s="270"/>
      <c r="D3480" s="270"/>
      <c r="E3480" s="270"/>
      <c r="G3480" s="269" t="s">
        <v>310</v>
      </c>
      <c r="H3480" s="270"/>
      <c r="I3480" s="270"/>
      <c r="J3480" s="270"/>
      <c r="K3480" s="270"/>
    </row>
    <row r="3481" spans="1:11" x14ac:dyDescent="0.35">
      <c r="A3481" s="271" t="s">
        <v>317</v>
      </c>
      <c r="B3481" s="272"/>
      <c r="C3481" s="272"/>
      <c r="D3481" s="272"/>
      <c r="E3481" s="272"/>
      <c r="G3481" s="271" t="s">
        <v>317</v>
      </c>
      <c r="H3481" s="272"/>
      <c r="I3481" s="272"/>
      <c r="J3481" s="272"/>
      <c r="K3481" s="272"/>
    </row>
    <row r="3482" spans="1:11" x14ac:dyDescent="0.35">
      <c r="A3482" s="269" t="s">
        <v>311</v>
      </c>
      <c r="B3482" s="270"/>
      <c r="C3482" s="270"/>
      <c r="D3482" s="270"/>
      <c r="E3482" s="270"/>
      <c r="G3482" s="269" t="s">
        <v>311</v>
      </c>
      <c r="H3482" s="270"/>
      <c r="I3482" s="270"/>
      <c r="J3482" s="270"/>
      <c r="K3482" s="270"/>
    </row>
    <row r="3483" spans="1:11" x14ac:dyDescent="0.35">
      <c r="A3483" s="271" t="s">
        <v>312</v>
      </c>
      <c r="B3483" s="272"/>
      <c r="C3483" s="272"/>
      <c r="D3483" s="272"/>
      <c r="E3483" s="272"/>
      <c r="G3483" s="271" t="s">
        <v>312</v>
      </c>
      <c r="H3483" s="272"/>
      <c r="I3483" s="272"/>
      <c r="J3483" s="272"/>
      <c r="K3483" s="272"/>
    </row>
    <row r="3484" spans="1:11" x14ac:dyDescent="0.35">
      <c r="A3484" s="231" t="s">
        <v>34</v>
      </c>
      <c r="B3484" s="230">
        <f>SUM(B3478:B3483)</f>
        <v>0</v>
      </c>
      <c r="C3484" s="230">
        <f>SUM(C3478:C3483)</f>
        <v>0</v>
      </c>
      <c r="D3484" s="230">
        <f>SUM(D3478:D3483)</f>
        <v>0</v>
      </c>
      <c r="E3484" s="230">
        <f>SUM(E3478:E3483)</f>
        <v>0</v>
      </c>
      <c r="G3484" s="231" t="s">
        <v>34</v>
      </c>
      <c r="H3484" s="230">
        <f>SUM(H3478:H3483)</f>
        <v>0</v>
      </c>
      <c r="I3484" s="230">
        <f>SUM(I3478:I3483)</f>
        <v>0</v>
      </c>
      <c r="J3484" s="230">
        <f>SUM(J3478:J3483)</f>
        <v>0</v>
      </c>
      <c r="K3484" s="230">
        <f>SUM(K3478:K3483)</f>
        <v>0</v>
      </c>
    </row>
    <row r="3485" spans="1:11" ht="15" thickBot="1" x14ac:dyDescent="0.4">
      <c r="A3485" s="231" t="s">
        <v>313</v>
      </c>
      <c r="B3485" s="230">
        <f>+B3484+C3484+D3484+E3484</f>
        <v>0</v>
      </c>
      <c r="C3485" s="230"/>
      <c r="D3485" s="230"/>
      <c r="E3485" s="230"/>
      <c r="G3485" s="231" t="s">
        <v>313</v>
      </c>
      <c r="H3485" s="230">
        <f>+H3484+I3484+J3484+K3484</f>
        <v>0</v>
      </c>
      <c r="I3485" s="230"/>
      <c r="J3485" s="230"/>
      <c r="K3485" s="230"/>
    </row>
    <row r="3486" spans="1:11" ht="15.5" thickTop="1" thickBot="1" x14ac:dyDescent="0.4">
      <c r="A3486" s="335" t="s">
        <v>298</v>
      </c>
      <c r="B3486" s="336"/>
      <c r="C3486" s="336"/>
      <c r="D3486" s="336"/>
      <c r="E3486" s="337"/>
      <c r="G3486" s="335" t="s">
        <v>298</v>
      </c>
      <c r="H3486" s="336"/>
      <c r="I3486" s="336"/>
      <c r="J3486" s="336"/>
      <c r="K3486" s="337"/>
    </row>
    <row r="3487" spans="1:11" ht="15.5" thickTop="1" thickBot="1" x14ac:dyDescent="0.4">
      <c r="A3487" s="338">
        <v>45606</v>
      </c>
      <c r="B3487" s="336"/>
      <c r="C3487" s="336"/>
      <c r="D3487" s="336"/>
      <c r="E3487" s="337"/>
      <c r="G3487" s="338">
        <v>45606</v>
      </c>
      <c r="H3487" s="336"/>
      <c r="I3487" s="336"/>
      <c r="J3487" s="336"/>
      <c r="K3487" s="337"/>
    </row>
    <row r="3488" spans="1:11" ht="15" thickTop="1" x14ac:dyDescent="0.35">
      <c r="A3488" s="267" t="s">
        <v>159</v>
      </c>
      <c r="B3488" s="267" t="s">
        <v>299</v>
      </c>
      <c r="C3488" s="267" t="s">
        <v>307</v>
      </c>
      <c r="D3488" s="267" t="s">
        <v>301</v>
      </c>
      <c r="E3488" s="268" t="s">
        <v>308</v>
      </c>
      <c r="G3488" s="267" t="s">
        <v>159</v>
      </c>
      <c r="H3488" s="267" t="s">
        <v>299</v>
      </c>
      <c r="I3488" s="267" t="s">
        <v>307</v>
      </c>
      <c r="J3488" s="267" t="s">
        <v>301</v>
      </c>
      <c r="K3488" s="268" t="s">
        <v>308</v>
      </c>
    </row>
    <row r="3489" spans="1:11" x14ac:dyDescent="0.35">
      <c r="A3489" s="269" t="s">
        <v>316</v>
      </c>
      <c r="B3489" s="270"/>
      <c r="C3489" s="270"/>
      <c r="D3489" s="270"/>
      <c r="E3489" s="270"/>
      <c r="G3489" s="269" t="s">
        <v>316</v>
      </c>
      <c r="H3489" s="270"/>
      <c r="I3489" s="270"/>
      <c r="J3489" s="270"/>
      <c r="K3489" s="270"/>
    </row>
    <row r="3490" spans="1:11" x14ac:dyDescent="0.35">
      <c r="A3490" s="271" t="s">
        <v>309</v>
      </c>
      <c r="B3490" s="272"/>
      <c r="C3490" s="272"/>
      <c r="D3490" s="272"/>
      <c r="E3490" s="272"/>
      <c r="G3490" s="271" t="s">
        <v>309</v>
      </c>
      <c r="H3490" s="272"/>
      <c r="I3490" s="272"/>
      <c r="J3490" s="272"/>
      <c r="K3490" s="272"/>
    </row>
    <row r="3491" spans="1:11" x14ac:dyDescent="0.35">
      <c r="A3491" s="269" t="s">
        <v>310</v>
      </c>
      <c r="B3491" s="270"/>
      <c r="C3491" s="270"/>
      <c r="D3491" s="270"/>
      <c r="E3491" s="270"/>
      <c r="G3491" s="269" t="s">
        <v>310</v>
      </c>
      <c r="H3491" s="270"/>
      <c r="I3491" s="270"/>
      <c r="J3491" s="270"/>
      <c r="K3491" s="270"/>
    </row>
    <row r="3492" spans="1:11" x14ac:dyDescent="0.35">
      <c r="A3492" s="271" t="s">
        <v>317</v>
      </c>
      <c r="B3492" s="272"/>
      <c r="C3492" s="272"/>
      <c r="D3492" s="272"/>
      <c r="E3492" s="272"/>
      <c r="G3492" s="271" t="s">
        <v>317</v>
      </c>
      <c r="H3492" s="272"/>
      <c r="I3492" s="272"/>
      <c r="J3492" s="272"/>
      <c r="K3492" s="272"/>
    </row>
    <row r="3493" spans="1:11" x14ac:dyDescent="0.35">
      <c r="A3493" s="269" t="s">
        <v>311</v>
      </c>
      <c r="B3493" s="270"/>
      <c r="C3493" s="270"/>
      <c r="D3493" s="270"/>
      <c r="E3493" s="270"/>
      <c r="G3493" s="269" t="s">
        <v>311</v>
      </c>
      <c r="H3493" s="270"/>
      <c r="I3493" s="270"/>
      <c r="J3493" s="270"/>
      <c r="K3493" s="270"/>
    </row>
    <row r="3494" spans="1:11" x14ac:dyDescent="0.35">
      <c r="A3494" s="271" t="s">
        <v>312</v>
      </c>
      <c r="B3494" s="272"/>
      <c r="C3494" s="272"/>
      <c r="D3494" s="272"/>
      <c r="E3494" s="272"/>
      <c r="G3494" s="271" t="s">
        <v>312</v>
      </c>
      <c r="H3494" s="272"/>
      <c r="I3494" s="272"/>
      <c r="J3494" s="272"/>
      <c r="K3494" s="272"/>
    </row>
    <row r="3495" spans="1:11" x14ac:dyDescent="0.35">
      <c r="A3495" s="231" t="s">
        <v>34</v>
      </c>
      <c r="B3495" s="230">
        <f>SUM(B3489:B3494)</f>
        <v>0</v>
      </c>
      <c r="C3495" s="230">
        <f>SUM(C3489:C3494)</f>
        <v>0</v>
      </c>
      <c r="D3495" s="230">
        <f>SUM(D3489:D3494)</f>
        <v>0</v>
      </c>
      <c r="E3495" s="230">
        <f>SUM(E3489:E3494)</f>
        <v>0</v>
      </c>
      <c r="G3495" s="231" t="s">
        <v>34</v>
      </c>
      <c r="H3495" s="230">
        <f>SUM(H3489:H3494)</f>
        <v>0</v>
      </c>
      <c r="I3495" s="230">
        <f>SUM(I3489:I3494)</f>
        <v>0</v>
      </c>
      <c r="J3495" s="230">
        <f>SUM(J3489:J3494)</f>
        <v>0</v>
      </c>
      <c r="K3495" s="230">
        <f>SUM(K3489:K3494)</f>
        <v>0</v>
      </c>
    </row>
    <row r="3496" spans="1:11" ht="15" thickBot="1" x14ac:dyDescent="0.4">
      <c r="A3496" s="231" t="s">
        <v>313</v>
      </c>
      <c r="B3496" s="230">
        <f>+B3495+C3495+D3495+E3495</f>
        <v>0</v>
      </c>
      <c r="C3496" s="230"/>
      <c r="D3496" s="230"/>
      <c r="E3496" s="230"/>
      <c r="G3496" s="231" t="s">
        <v>313</v>
      </c>
      <c r="H3496" s="230">
        <f>+H3495+I3495+J3495+K3495</f>
        <v>0</v>
      </c>
      <c r="I3496" s="230"/>
      <c r="J3496" s="230"/>
      <c r="K3496" s="230"/>
    </row>
    <row r="3497" spans="1:11" ht="15.5" thickTop="1" thickBot="1" x14ac:dyDescent="0.4">
      <c r="A3497" s="335" t="s">
        <v>298</v>
      </c>
      <c r="B3497" s="336"/>
      <c r="C3497" s="336"/>
      <c r="D3497" s="336"/>
      <c r="E3497" s="337"/>
      <c r="G3497" s="335" t="s">
        <v>298</v>
      </c>
      <c r="H3497" s="336"/>
      <c r="I3497" s="336"/>
      <c r="J3497" s="336"/>
      <c r="K3497" s="337"/>
    </row>
    <row r="3498" spans="1:11" ht="15.5" thickTop="1" thickBot="1" x14ac:dyDescent="0.4">
      <c r="A3498" s="338">
        <v>45607</v>
      </c>
      <c r="B3498" s="336"/>
      <c r="C3498" s="336"/>
      <c r="D3498" s="336"/>
      <c r="E3498" s="337"/>
      <c r="G3498" s="338">
        <v>45607</v>
      </c>
      <c r="H3498" s="336"/>
      <c r="I3498" s="336"/>
      <c r="J3498" s="336"/>
      <c r="K3498" s="337"/>
    </row>
    <row r="3499" spans="1:11" ht="15" thickTop="1" x14ac:dyDescent="0.35">
      <c r="A3499" s="267" t="s">
        <v>159</v>
      </c>
      <c r="B3499" s="267" t="s">
        <v>299</v>
      </c>
      <c r="C3499" s="267" t="s">
        <v>307</v>
      </c>
      <c r="D3499" s="267" t="s">
        <v>301</v>
      </c>
      <c r="E3499" s="268" t="s">
        <v>308</v>
      </c>
      <c r="G3499" s="267" t="s">
        <v>159</v>
      </c>
      <c r="H3499" s="267" t="s">
        <v>299</v>
      </c>
      <c r="I3499" s="267" t="s">
        <v>307</v>
      </c>
      <c r="J3499" s="267" t="s">
        <v>301</v>
      </c>
      <c r="K3499" s="268" t="s">
        <v>308</v>
      </c>
    </row>
    <row r="3500" spans="1:11" x14ac:dyDescent="0.35">
      <c r="A3500" s="269" t="s">
        <v>316</v>
      </c>
      <c r="B3500" s="270"/>
      <c r="C3500" s="270"/>
      <c r="D3500" s="270"/>
      <c r="E3500" s="270"/>
      <c r="G3500" s="269" t="s">
        <v>316</v>
      </c>
      <c r="H3500" s="270"/>
      <c r="I3500" s="270"/>
      <c r="J3500" s="270"/>
      <c r="K3500" s="270"/>
    </row>
    <row r="3501" spans="1:11" x14ac:dyDescent="0.35">
      <c r="A3501" s="271" t="s">
        <v>309</v>
      </c>
      <c r="B3501" s="272"/>
      <c r="C3501" s="272"/>
      <c r="D3501" s="272"/>
      <c r="E3501" s="272"/>
      <c r="G3501" s="271" t="s">
        <v>309</v>
      </c>
      <c r="H3501" s="272"/>
      <c r="I3501" s="272"/>
      <c r="J3501" s="272"/>
      <c r="K3501" s="272"/>
    </row>
    <row r="3502" spans="1:11" x14ac:dyDescent="0.35">
      <c r="A3502" s="269" t="s">
        <v>310</v>
      </c>
      <c r="B3502" s="270"/>
      <c r="C3502" s="270"/>
      <c r="D3502" s="270"/>
      <c r="E3502" s="270"/>
      <c r="G3502" s="269" t="s">
        <v>310</v>
      </c>
      <c r="H3502" s="270"/>
      <c r="I3502" s="270"/>
      <c r="J3502" s="270"/>
      <c r="K3502" s="270"/>
    </row>
    <row r="3503" spans="1:11" x14ac:dyDescent="0.35">
      <c r="A3503" s="271" t="s">
        <v>317</v>
      </c>
      <c r="B3503" s="272"/>
      <c r="C3503" s="272"/>
      <c r="D3503" s="272"/>
      <c r="E3503" s="272"/>
      <c r="G3503" s="271" t="s">
        <v>317</v>
      </c>
      <c r="H3503" s="272"/>
      <c r="I3503" s="272"/>
      <c r="J3503" s="272"/>
      <c r="K3503" s="272"/>
    </row>
    <row r="3504" spans="1:11" x14ac:dyDescent="0.35">
      <c r="A3504" s="269" t="s">
        <v>311</v>
      </c>
      <c r="B3504" s="270"/>
      <c r="C3504" s="270"/>
      <c r="D3504" s="270"/>
      <c r="E3504" s="270"/>
      <c r="G3504" s="269" t="s">
        <v>311</v>
      </c>
      <c r="H3504" s="270"/>
      <c r="I3504" s="270"/>
      <c r="J3504" s="270"/>
      <c r="K3504" s="270"/>
    </row>
    <row r="3505" spans="1:11" x14ac:dyDescent="0.35">
      <c r="A3505" s="271" t="s">
        <v>312</v>
      </c>
      <c r="B3505" s="272"/>
      <c r="C3505" s="272"/>
      <c r="D3505" s="272"/>
      <c r="E3505" s="272"/>
      <c r="G3505" s="271" t="s">
        <v>312</v>
      </c>
      <c r="H3505" s="272"/>
      <c r="I3505" s="272"/>
      <c r="J3505" s="272"/>
      <c r="K3505" s="272"/>
    </row>
    <row r="3506" spans="1:11" x14ac:dyDescent="0.35">
      <c r="A3506" s="231" t="s">
        <v>34</v>
      </c>
      <c r="B3506" s="230">
        <f>SUM(B3500:B3505)</f>
        <v>0</v>
      </c>
      <c r="C3506" s="230">
        <f>SUM(C3500:C3505)</f>
        <v>0</v>
      </c>
      <c r="D3506" s="230">
        <f>SUM(D3500:D3505)</f>
        <v>0</v>
      </c>
      <c r="E3506" s="230">
        <f>SUM(E3500:E3505)</f>
        <v>0</v>
      </c>
      <c r="G3506" s="231" t="s">
        <v>34</v>
      </c>
      <c r="H3506" s="230">
        <f>SUM(H3500:H3505)</f>
        <v>0</v>
      </c>
      <c r="I3506" s="230">
        <f>SUM(I3500:I3505)</f>
        <v>0</v>
      </c>
      <c r="J3506" s="230">
        <f>SUM(J3500:J3505)</f>
        <v>0</v>
      </c>
      <c r="K3506" s="230">
        <f>SUM(K3500:K3505)</f>
        <v>0</v>
      </c>
    </row>
    <row r="3507" spans="1:11" ht="15" thickBot="1" x14ac:dyDescent="0.4">
      <c r="A3507" s="231" t="s">
        <v>313</v>
      </c>
      <c r="B3507" s="230">
        <f>+B3506+C3506+D3506+E3506</f>
        <v>0</v>
      </c>
      <c r="C3507" s="230"/>
      <c r="D3507" s="230"/>
      <c r="E3507" s="230"/>
      <c r="G3507" s="231" t="s">
        <v>313</v>
      </c>
      <c r="H3507" s="230">
        <f>+H3506+I3506+J3506+K3506</f>
        <v>0</v>
      </c>
      <c r="I3507" s="230"/>
      <c r="J3507" s="230"/>
      <c r="K3507" s="230"/>
    </row>
    <row r="3508" spans="1:11" ht="15.5" thickTop="1" thickBot="1" x14ac:dyDescent="0.4">
      <c r="A3508" s="335" t="s">
        <v>298</v>
      </c>
      <c r="B3508" s="336"/>
      <c r="C3508" s="336"/>
      <c r="D3508" s="336"/>
      <c r="E3508" s="337"/>
      <c r="G3508" s="335" t="s">
        <v>298</v>
      </c>
      <c r="H3508" s="336"/>
      <c r="I3508" s="336"/>
      <c r="J3508" s="336"/>
      <c r="K3508" s="337"/>
    </row>
    <row r="3509" spans="1:11" ht="15.5" thickTop="1" thickBot="1" x14ac:dyDescent="0.4">
      <c r="A3509" s="338">
        <v>45608</v>
      </c>
      <c r="B3509" s="336"/>
      <c r="C3509" s="336"/>
      <c r="D3509" s="336"/>
      <c r="E3509" s="337"/>
      <c r="G3509" s="338">
        <v>45608</v>
      </c>
      <c r="H3509" s="336"/>
      <c r="I3509" s="336"/>
      <c r="J3509" s="336"/>
      <c r="K3509" s="337"/>
    </row>
    <row r="3510" spans="1:11" ht="15" thickTop="1" x14ac:dyDescent="0.35">
      <c r="A3510" s="267" t="s">
        <v>159</v>
      </c>
      <c r="B3510" s="267" t="s">
        <v>299</v>
      </c>
      <c r="C3510" s="267" t="s">
        <v>307</v>
      </c>
      <c r="D3510" s="267" t="s">
        <v>301</v>
      </c>
      <c r="E3510" s="268" t="s">
        <v>308</v>
      </c>
      <c r="G3510" s="267" t="s">
        <v>159</v>
      </c>
      <c r="H3510" s="267" t="s">
        <v>299</v>
      </c>
      <c r="I3510" s="267" t="s">
        <v>307</v>
      </c>
      <c r="J3510" s="267" t="s">
        <v>301</v>
      </c>
      <c r="K3510" s="268" t="s">
        <v>308</v>
      </c>
    </row>
    <row r="3511" spans="1:11" x14ac:dyDescent="0.35">
      <c r="A3511" s="269" t="s">
        <v>316</v>
      </c>
      <c r="B3511" s="270"/>
      <c r="C3511" s="270"/>
      <c r="D3511" s="270"/>
      <c r="E3511" s="270"/>
      <c r="G3511" s="269" t="s">
        <v>316</v>
      </c>
      <c r="H3511" s="270"/>
      <c r="I3511" s="270"/>
      <c r="J3511" s="270"/>
      <c r="K3511" s="270"/>
    </row>
    <row r="3512" spans="1:11" x14ac:dyDescent="0.35">
      <c r="A3512" s="271" t="s">
        <v>309</v>
      </c>
      <c r="B3512" s="272"/>
      <c r="C3512" s="272"/>
      <c r="D3512" s="272"/>
      <c r="E3512" s="272"/>
      <c r="G3512" s="271" t="s">
        <v>309</v>
      </c>
      <c r="H3512" s="272"/>
      <c r="I3512" s="272"/>
      <c r="J3512" s="272"/>
      <c r="K3512" s="272"/>
    </row>
    <row r="3513" spans="1:11" x14ac:dyDescent="0.35">
      <c r="A3513" s="269" t="s">
        <v>310</v>
      </c>
      <c r="B3513" s="270"/>
      <c r="C3513" s="270"/>
      <c r="D3513" s="270"/>
      <c r="E3513" s="270"/>
      <c r="G3513" s="269" t="s">
        <v>310</v>
      </c>
      <c r="H3513" s="270"/>
      <c r="I3513" s="270"/>
      <c r="J3513" s="270"/>
      <c r="K3513" s="270"/>
    </row>
    <row r="3514" spans="1:11" x14ac:dyDescent="0.35">
      <c r="A3514" s="271" t="s">
        <v>317</v>
      </c>
      <c r="B3514" s="272"/>
      <c r="C3514" s="272"/>
      <c r="D3514" s="272"/>
      <c r="E3514" s="272"/>
      <c r="G3514" s="271" t="s">
        <v>317</v>
      </c>
      <c r="H3514" s="272"/>
      <c r="I3514" s="272"/>
      <c r="J3514" s="272"/>
      <c r="K3514" s="272"/>
    </row>
    <row r="3515" spans="1:11" x14ac:dyDescent="0.35">
      <c r="A3515" s="269" t="s">
        <v>311</v>
      </c>
      <c r="B3515" s="270"/>
      <c r="C3515" s="270"/>
      <c r="D3515" s="270"/>
      <c r="E3515" s="270"/>
      <c r="G3515" s="269" t="s">
        <v>311</v>
      </c>
      <c r="H3515" s="270"/>
      <c r="I3515" s="270"/>
      <c r="J3515" s="270"/>
      <c r="K3515" s="270"/>
    </row>
    <row r="3516" spans="1:11" x14ac:dyDescent="0.35">
      <c r="A3516" s="271" t="s">
        <v>312</v>
      </c>
      <c r="B3516" s="272"/>
      <c r="C3516" s="272"/>
      <c r="D3516" s="272"/>
      <c r="E3516" s="272"/>
      <c r="G3516" s="271" t="s">
        <v>312</v>
      </c>
      <c r="H3516" s="272"/>
      <c r="I3516" s="272"/>
      <c r="J3516" s="272"/>
      <c r="K3516" s="272"/>
    </row>
    <row r="3517" spans="1:11" x14ac:dyDescent="0.35">
      <c r="A3517" s="231" t="s">
        <v>34</v>
      </c>
      <c r="B3517" s="230">
        <f>SUM(B3511:B3516)</f>
        <v>0</v>
      </c>
      <c r="C3517" s="230">
        <f>SUM(C3511:C3516)</f>
        <v>0</v>
      </c>
      <c r="D3517" s="230">
        <f>SUM(D3511:D3516)</f>
        <v>0</v>
      </c>
      <c r="E3517" s="230">
        <f>SUM(E3511:E3516)</f>
        <v>0</v>
      </c>
      <c r="G3517" s="231" t="s">
        <v>34</v>
      </c>
      <c r="H3517" s="230">
        <f>SUM(H3511:H3516)</f>
        <v>0</v>
      </c>
      <c r="I3517" s="230">
        <f>SUM(I3511:I3516)</f>
        <v>0</v>
      </c>
      <c r="J3517" s="230">
        <f>SUM(J3511:J3516)</f>
        <v>0</v>
      </c>
      <c r="K3517" s="230">
        <f>SUM(K3511:K3516)</f>
        <v>0</v>
      </c>
    </row>
    <row r="3518" spans="1:11" ht="15" thickBot="1" x14ac:dyDescent="0.4">
      <c r="A3518" s="231" t="s">
        <v>313</v>
      </c>
      <c r="B3518" s="230">
        <f>+B3517+C3517+D3517+E3517</f>
        <v>0</v>
      </c>
      <c r="C3518" s="230"/>
      <c r="D3518" s="230"/>
      <c r="E3518" s="230"/>
      <c r="G3518" s="231" t="s">
        <v>313</v>
      </c>
      <c r="H3518" s="230">
        <f>+H3517+I3517+J3517+K3517</f>
        <v>0</v>
      </c>
      <c r="I3518" s="230"/>
      <c r="J3518" s="230"/>
      <c r="K3518" s="230"/>
    </row>
    <row r="3519" spans="1:11" ht="15.5" thickTop="1" thickBot="1" x14ac:dyDescent="0.4">
      <c r="A3519" s="335" t="s">
        <v>298</v>
      </c>
      <c r="B3519" s="336"/>
      <c r="C3519" s="336"/>
      <c r="D3519" s="336"/>
      <c r="E3519" s="337"/>
      <c r="G3519" s="335" t="s">
        <v>298</v>
      </c>
      <c r="H3519" s="336"/>
      <c r="I3519" s="336"/>
      <c r="J3519" s="336"/>
      <c r="K3519" s="337"/>
    </row>
    <row r="3520" spans="1:11" ht="15.5" thickTop="1" thickBot="1" x14ac:dyDescent="0.4">
      <c r="A3520" s="338">
        <v>45609</v>
      </c>
      <c r="B3520" s="336"/>
      <c r="C3520" s="336"/>
      <c r="D3520" s="336"/>
      <c r="E3520" s="337"/>
      <c r="G3520" s="338">
        <v>45609</v>
      </c>
      <c r="H3520" s="336"/>
      <c r="I3520" s="336"/>
      <c r="J3520" s="336"/>
      <c r="K3520" s="337"/>
    </row>
    <row r="3521" spans="1:11" ht="15" thickTop="1" x14ac:dyDescent="0.35">
      <c r="A3521" s="267" t="s">
        <v>159</v>
      </c>
      <c r="B3521" s="267" t="s">
        <v>299</v>
      </c>
      <c r="C3521" s="267" t="s">
        <v>307</v>
      </c>
      <c r="D3521" s="267" t="s">
        <v>301</v>
      </c>
      <c r="E3521" s="268" t="s">
        <v>308</v>
      </c>
      <c r="G3521" s="267" t="s">
        <v>159</v>
      </c>
      <c r="H3521" s="267" t="s">
        <v>299</v>
      </c>
      <c r="I3521" s="267" t="s">
        <v>307</v>
      </c>
      <c r="J3521" s="267" t="s">
        <v>301</v>
      </c>
      <c r="K3521" s="268" t="s">
        <v>308</v>
      </c>
    </row>
    <row r="3522" spans="1:11" x14ac:dyDescent="0.35">
      <c r="A3522" s="269" t="s">
        <v>316</v>
      </c>
      <c r="B3522" s="270"/>
      <c r="C3522" s="270"/>
      <c r="D3522" s="270"/>
      <c r="E3522" s="270"/>
      <c r="G3522" s="269" t="s">
        <v>316</v>
      </c>
      <c r="H3522" s="270"/>
      <c r="I3522" s="270"/>
      <c r="J3522" s="270"/>
      <c r="K3522" s="270"/>
    </row>
    <row r="3523" spans="1:11" x14ac:dyDescent="0.35">
      <c r="A3523" s="271" t="s">
        <v>309</v>
      </c>
      <c r="B3523" s="272"/>
      <c r="C3523" s="272"/>
      <c r="D3523" s="272"/>
      <c r="E3523" s="272"/>
      <c r="G3523" s="271" t="s">
        <v>309</v>
      </c>
      <c r="H3523" s="272"/>
      <c r="I3523" s="272"/>
      <c r="J3523" s="272"/>
      <c r="K3523" s="272"/>
    </row>
    <row r="3524" spans="1:11" x14ac:dyDescent="0.35">
      <c r="A3524" s="269" t="s">
        <v>310</v>
      </c>
      <c r="B3524" s="270"/>
      <c r="C3524" s="270"/>
      <c r="D3524" s="270"/>
      <c r="E3524" s="270"/>
      <c r="G3524" s="269" t="s">
        <v>310</v>
      </c>
      <c r="H3524" s="270"/>
      <c r="I3524" s="270"/>
      <c r="J3524" s="270"/>
      <c r="K3524" s="270"/>
    </row>
    <row r="3525" spans="1:11" x14ac:dyDescent="0.35">
      <c r="A3525" s="271" t="s">
        <v>317</v>
      </c>
      <c r="B3525" s="272"/>
      <c r="C3525" s="272"/>
      <c r="D3525" s="272"/>
      <c r="E3525" s="272"/>
      <c r="G3525" s="271" t="s">
        <v>317</v>
      </c>
      <c r="H3525" s="272"/>
      <c r="I3525" s="272"/>
      <c r="J3525" s="272"/>
      <c r="K3525" s="272"/>
    </row>
    <row r="3526" spans="1:11" x14ac:dyDescent="0.35">
      <c r="A3526" s="269" t="s">
        <v>311</v>
      </c>
      <c r="B3526" s="270"/>
      <c r="C3526" s="270"/>
      <c r="D3526" s="270"/>
      <c r="E3526" s="270"/>
      <c r="G3526" s="269" t="s">
        <v>311</v>
      </c>
      <c r="H3526" s="270"/>
      <c r="I3526" s="270"/>
      <c r="J3526" s="270"/>
      <c r="K3526" s="270"/>
    </row>
    <row r="3527" spans="1:11" x14ac:dyDescent="0.35">
      <c r="A3527" s="271" t="s">
        <v>312</v>
      </c>
      <c r="B3527" s="272"/>
      <c r="C3527" s="272"/>
      <c r="D3527" s="272"/>
      <c r="E3527" s="272"/>
      <c r="G3527" s="271" t="s">
        <v>312</v>
      </c>
      <c r="H3527" s="272"/>
      <c r="I3527" s="272"/>
      <c r="J3527" s="272"/>
      <c r="K3527" s="272"/>
    </row>
    <row r="3528" spans="1:11" x14ac:dyDescent="0.35">
      <c r="A3528" s="231" t="s">
        <v>34</v>
      </c>
      <c r="B3528" s="230">
        <f>SUM(B3522:B3527)</f>
        <v>0</v>
      </c>
      <c r="C3528" s="230">
        <f>SUM(C3522:C3527)</f>
        <v>0</v>
      </c>
      <c r="D3528" s="230">
        <f>SUM(D3522:D3527)</f>
        <v>0</v>
      </c>
      <c r="E3528" s="230">
        <f>SUM(E3522:E3527)</f>
        <v>0</v>
      </c>
      <c r="G3528" s="231" t="s">
        <v>34</v>
      </c>
      <c r="H3528" s="230">
        <f>SUM(H3522:H3527)</f>
        <v>0</v>
      </c>
      <c r="I3528" s="230">
        <f>SUM(I3522:I3527)</f>
        <v>0</v>
      </c>
      <c r="J3528" s="230">
        <f>SUM(J3522:J3527)</f>
        <v>0</v>
      </c>
      <c r="K3528" s="230">
        <f>SUM(K3522:K3527)</f>
        <v>0</v>
      </c>
    </row>
    <row r="3529" spans="1:11" ht="15" thickBot="1" x14ac:dyDescent="0.4">
      <c r="A3529" s="231" t="s">
        <v>313</v>
      </c>
      <c r="B3529" s="230">
        <f>+B3528+C3528+D3528+E3528</f>
        <v>0</v>
      </c>
      <c r="C3529" s="230"/>
      <c r="D3529" s="230"/>
      <c r="E3529" s="230"/>
      <c r="G3529" s="231" t="s">
        <v>313</v>
      </c>
      <c r="H3529" s="230">
        <f>+H3528+I3528+J3528+K3528</f>
        <v>0</v>
      </c>
      <c r="I3529" s="230"/>
      <c r="J3529" s="230"/>
      <c r="K3529" s="230"/>
    </row>
    <row r="3530" spans="1:11" ht="15.5" thickTop="1" thickBot="1" x14ac:dyDescent="0.4">
      <c r="A3530" s="335" t="s">
        <v>298</v>
      </c>
      <c r="B3530" s="336"/>
      <c r="C3530" s="336"/>
      <c r="D3530" s="336"/>
      <c r="E3530" s="337"/>
      <c r="G3530" s="335" t="s">
        <v>298</v>
      </c>
      <c r="H3530" s="336"/>
      <c r="I3530" s="336"/>
      <c r="J3530" s="336"/>
      <c r="K3530" s="337"/>
    </row>
    <row r="3531" spans="1:11" ht="15.5" thickTop="1" thickBot="1" x14ac:dyDescent="0.4">
      <c r="A3531" s="338">
        <v>45610</v>
      </c>
      <c r="B3531" s="336"/>
      <c r="C3531" s="336"/>
      <c r="D3531" s="336"/>
      <c r="E3531" s="337"/>
      <c r="G3531" s="338">
        <v>45610</v>
      </c>
      <c r="H3531" s="336"/>
      <c r="I3531" s="336"/>
      <c r="J3531" s="336"/>
      <c r="K3531" s="337"/>
    </row>
    <row r="3532" spans="1:11" ht="15" thickTop="1" x14ac:dyDescent="0.35">
      <c r="A3532" s="267" t="s">
        <v>159</v>
      </c>
      <c r="B3532" s="267" t="s">
        <v>299</v>
      </c>
      <c r="C3532" s="267" t="s">
        <v>307</v>
      </c>
      <c r="D3532" s="267" t="s">
        <v>301</v>
      </c>
      <c r="E3532" s="268" t="s">
        <v>308</v>
      </c>
      <c r="G3532" s="267" t="s">
        <v>159</v>
      </c>
      <c r="H3532" s="267" t="s">
        <v>299</v>
      </c>
      <c r="I3532" s="267" t="s">
        <v>307</v>
      </c>
      <c r="J3532" s="267" t="s">
        <v>301</v>
      </c>
      <c r="K3532" s="268" t="s">
        <v>308</v>
      </c>
    </row>
    <row r="3533" spans="1:11" x14ac:dyDescent="0.35">
      <c r="A3533" s="269" t="s">
        <v>316</v>
      </c>
      <c r="B3533" s="270"/>
      <c r="C3533" s="270"/>
      <c r="D3533" s="270"/>
      <c r="E3533" s="270"/>
      <c r="G3533" s="269" t="s">
        <v>316</v>
      </c>
      <c r="H3533" s="270"/>
      <c r="I3533" s="270"/>
      <c r="J3533" s="270"/>
      <c r="K3533" s="270"/>
    </row>
    <row r="3534" spans="1:11" x14ac:dyDescent="0.35">
      <c r="A3534" s="271" t="s">
        <v>309</v>
      </c>
      <c r="B3534" s="272"/>
      <c r="C3534" s="272"/>
      <c r="D3534" s="272"/>
      <c r="E3534" s="272"/>
      <c r="G3534" s="271" t="s">
        <v>309</v>
      </c>
      <c r="H3534" s="272"/>
      <c r="I3534" s="272"/>
      <c r="J3534" s="272"/>
      <c r="K3534" s="272"/>
    </row>
    <row r="3535" spans="1:11" x14ac:dyDescent="0.35">
      <c r="A3535" s="269" t="s">
        <v>310</v>
      </c>
      <c r="B3535" s="270"/>
      <c r="C3535" s="270"/>
      <c r="D3535" s="270"/>
      <c r="E3535" s="270"/>
      <c r="G3535" s="269" t="s">
        <v>310</v>
      </c>
      <c r="H3535" s="270"/>
      <c r="I3535" s="270"/>
      <c r="J3535" s="270"/>
      <c r="K3535" s="270"/>
    </row>
    <row r="3536" spans="1:11" x14ac:dyDescent="0.35">
      <c r="A3536" s="271" t="s">
        <v>317</v>
      </c>
      <c r="B3536" s="272"/>
      <c r="C3536" s="272"/>
      <c r="D3536" s="272"/>
      <c r="E3536" s="272"/>
      <c r="G3536" s="271" t="s">
        <v>317</v>
      </c>
      <c r="H3536" s="272"/>
      <c r="I3536" s="272"/>
      <c r="J3536" s="272"/>
      <c r="K3536" s="272"/>
    </row>
    <row r="3537" spans="1:11" x14ac:dyDescent="0.35">
      <c r="A3537" s="269" t="s">
        <v>311</v>
      </c>
      <c r="B3537" s="270"/>
      <c r="C3537" s="270"/>
      <c r="D3537" s="270"/>
      <c r="E3537" s="270"/>
      <c r="G3537" s="269" t="s">
        <v>311</v>
      </c>
      <c r="H3537" s="270"/>
      <c r="I3537" s="270"/>
      <c r="J3537" s="270"/>
      <c r="K3537" s="270"/>
    </row>
    <row r="3538" spans="1:11" x14ac:dyDescent="0.35">
      <c r="A3538" s="271" t="s">
        <v>312</v>
      </c>
      <c r="B3538" s="272"/>
      <c r="C3538" s="272"/>
      <c r="D3538" s="272"/>
      <c r="E3538" s="272"/>
      <c r="G3538" s="271" t="s">
        <v>312</v>
      </c>
      <c r="H3538" s="272"/>
      <c r="I3538" s="272"/>
      <c r="J3538" s="272"/>
      <c r="K3538" s="272"/>
    </row>
    <row r="3539" spans="1:11" x14ac:dyDescent="0.35">
      <c r="A3539" s="231" t="s">
        <v>34</v>
      </c>
      <c r="B3539" s="230">
        <f>SUM(B3533:B3538)</f>
        <v>0</v>
      </c>
      <c r="C3539" s="230">
        <f>SUM(C3533:C3538)</f>
        <v>0</v>
      </c>
      <c r="D3539" s="230">
        <f>SUM(D3533:D3538)</f>
        <v>0</v>
      </c>
      <c r="E3539" s="230">
        <f>SUM(E3533:E3538)</f>
        <v>0</v>
      </c>
      <c r="G3539" s="231" t="s">
        <v>34</v>
      </c>
      <c r="H3539" s="230">
        <f>SUM(H3533:H3538)</f>
        <v>0</v>
      </c>
      <c r="I3539" s="230">
        <f>SUM(I3533:I3538)</f>
        <v>0</v>
      </c>
      <c r="J3539" s="230">
        <f>SUM(J3533:J3538)</f>
        <v>0</v>
      </c>
      <c r="K3539" s="230">
        <f>SUM(K3533:K3538)</f>
        <v>0</v>
      </c>
    </row>
    <row r="3540" spans="1:11" ht="15" thickBot="1" x14ac:dyDescent="0.4">
      <c r="A3540" s="231" t="s">
        <v>313</v>
      </c>
      <c r="B3540" s="230">
        <f>+B3539+C3539+D3539+E3539</f>
        <v>0</v>
      </c>
      <c r="C3540" s="230"/>
      <c r="D3540" s="230"/>
      <c r="E3540" s="230"/>
      <c r="G3540" s="231" t="s">
        <v>313</v>
      </c>
      <c r="H3540" s="230">
        <f>+H3539+I3539+J3539+K3539</f>
        <v>0</v>
      </c>
      <c r="I3540" s="230"/>
      <c r="J3540" s="230"/>
      <c r="K3540" s="230"/>
    </row>
    <row r="3541" spans="1:11" ht="15.5" thickTop="1" thickBot="1" x14ac:dyDescent="0.4">
      <c r="A3541" s="335" t="s">
        <v>298</v>
      </c>
      <c r="B3541" s="336"/>
      <c r="C3541" s="336"/>
      <c r="D3541" s="336"/>
      <c r="E3541" s="337"/>
      <c r="G3541" s="335" t="s">
        <v>298</v>
      </c>
      <c r="H3541" s="336"/>
      <c r="I3541" s="336"/>
      <c r="J3541" s="336"/>
      <c r="K3541" s="337"/>
    </row>
    <row r="3542" spans="1:11" ht="15.5" thickTop="1" thickBot="1" x14ac:dyDescent="0.4">
      <c r="A3542" s="338">
        <v>45611</v>
      </c>
      <c r="B3542" s="336"/>
      <c r="C3542" s="336"/>
      <c r="D3542" s="336"/>
      <c r="E3542" s="337"/>
      <c r="G3542" s="338">
        <v>45611</v>
      </c>
      <c r="H3542" s="336"/>
      <c r="I3542" s="336"/>
      <c r="J3542" s="336"/>
      <c r="K3542" s="337"/>
    </row>
    <row r="3543" spans="1:11" ht="15" thickTop="1" x14ac:dyDescent="0.35">
      <c r="A3543" s="267" t="s">
        <v>159</v>
      </c>
      <c r="B3543" s="267" t="s">
        <v>299</v>
      </c>
      <c r="C3543" s="267" t="s">
        <v>307</v>
      </c>
      <c r="D3543" s="267" t="s">
        <v>301</v>
      </c>
      <c r="E3543" s="268" t="s">
        <v>308</v>
      </c>
      <c r="G3543" s="267" t="s">
        <v>159</v>
      </c>
      <c r="H3543" s="267" t="s">
        <v>299</v>
      </c>
      <c r="I3543" s="267" t="s">
        <v>307</v>
      </c>
      <c r="J3543" s="267" t="s">
        <v>301</v>
      </c>
      <c r="K3543" s="268" t="s">
        <v>308</v>
      </c>
    </row>
    <row r="3544" spans="1:11" x14ac:dyDescent="0.35">
      <c r="A3544" s="269" t="s">
        <v>316</v>
      </c>
      <c r="B3544" s="270"/>
      <c r="C3544" s="270"/>
      <c r="D3544" s="270"/>
      <c r="E3544" s="270"/>
      <c r="G3544" s="269" t="s">
        <v>316</v>
      </c>
      <c r="H3544" s="270"/>
      <c r="I3544" s="270"/>
      <c r="J3544" s="270"/>
      <c r="K3544" s="270"/>
    </row>
    <row r="3545" spans="1:11" x14ac:dyDescent="0.35">
      <c r="A3545" s="271" t="s">
        <v>309</v>
      </c>
      <c r="B3545" s="272"/>
      <c r="C3545" s="272"/>
      <c r="D3545" s="272"/>
      <c r="E3545" s="272"/>
      <c r="G3545" s="271" t="s">
        <v>309</v>
      </c>
      <c r="H3545" s="272"/>
      <c r="I3545" s="272"/>
      <c r="J3545" s="272"/>
      <c r="K3545" s="272"/>
    </row>
    <row r="3546" spans="1:11" x14ac:dyDescent="0.35">
      <c r="A3546" s="269" t="s">
        <v>310</v>
      </c>
      <c r="B3546" s="270"/>
      <c r="C3546" s="270"/>
      <c r="D3546" s="270"/>
      <c r="E3546" s="270"/>
      <c r="G3546" s="269" t="s">
        <v>310</v>
      </c>
      <c r="H3546" s="270"/>
      <c r="I3546" s="270"/>
      <c r="J3546" s="270"/>
      <c r="K3546" s="270"/>
    </row>
    <row r="3547" spans="1:11" x14ac:dyDescent="0.35">
      <c r="A3547" s="271" t="s">
        <v>317</v>
      </c>
      <c r="B3547" s="272"/>
      <c r="C3547" s="272"/>
      <c r="D3547" s="272"/>
      <c r="E3547" s="272"/>
      <c r="G3547" s="271" t="s">
        <v>317</v>
      </c>
      <c r="H3547" s="272"/>
      <c r="I3547" s="272"/>
      <c r="J3547" s="272"/>
      <c r="K3547" s="272"/>
    </row>
    <row r="3548" spans="1:11" x14ac:dyDescent="0.35">
      <c r="A3548" s="269" t="s">
        <v>311</v>
      </c>
      <c r="B3548" s="270"/>
      <c r="C3548" s="270"/>
      <c r="D3548" s="270"/>
      <c r="E3548" s="270"/>
      <c r="G3548" s="269" t="s">
        <v>311</v>
      </c>
      <c r="H3548" s="270"/>
      <c r="I3548" s="270"/>
      <c r="J3548" s="270"/>
      <c r="K3548" s="270"/>
    </row>
    <row r="3549" spans="1:11" x14ac:dyDescent="0.35">
      <c r="A3549" s="271" t="s">
        <v>312</v>
      </c>
      <c r="B3549" s="272"/>
      <c r="C3549" s="272"/>
      <c r="D3549" s="272"/>
      <c r="E3549" s="272"/>
      <c r="G3549" s="271" t="s">
        <v>312</v>
      </c>
      <c r="H3549" s="272"/>
      <c r="I3549" s="272"/>
      <c r="J3549" s="272"/>
      <c r="K3549" s="272"/>
    </row>
    <row r="3550" spans="1:11" x14ac:dyDescent="0.35">
      <c r="A3550" s="231" t="s">
        <v>34</v>
      </c>
      <c r="B3550" s="230">
        <f>SUM(B3544:B3549)</f>
        <v>0</v>
      </c>
      <c r="C3550" s="230">
        <f>SUM(C3544:C3549)</f>
        <v>0</v>
      </c>
      <c r="D3550" s="230">
        <f>SUM(D3544:D3549)</f>
        <v>0</v>
      </c>
      <c r="E3550" s="230">
        <f>SUM(E3544:E3549)</f>
        <v>0</v>
      </c>
      <c r="G3550" s="231" t="s">
        <v>34</v>
      </c>
      <c r="H3550" s="230">
        <f>SUM(H3544:H3549)</f>
        <v>0</v>
      </c>
      <c r="I3550" s="230">
        <f>SUM(I3544:I3549)</f>
        <v>0</v>
      </c>
      <c r="J3550" s="230">
        <f>SUM(J3544:J3549)</f>
        <v>0</v>
      </c>
      <c r="K3550" s="230">
        <f>SUM(K3544:K3549)</f>
        <v>0</v>
      </c>
    </row>
    <row r="3551" spans="1:11" ht="15" thickBot="1" x14ac:dyDescent="0.4">
      <c r="A3551" s="231" t="s">
        <v>313</v>
      </c>
      <c r="B3551" s="230">
        <f>+B3550+C3550+D3550+E3550</f>
        <v>0</v>
      </c>
      <c r="C3551" s="230"/>
      <c r="D3551" s="230"/>
      <c r="E3551" s="230"/>
      <c r="G3551" s="231" t="s">
        <v>313</v>
      </c>
      <c r="H3551" s="230">
        <f>+H3550+I3550+J3550+K3550</f>
        <v>0</v>
      </c>
      <c r="I3551" s="230"/>
      <c r="J3551" s="230"/>
      <c r="K3551" s="230"/>
    </row>
    <row r="3552" spans="1:11" ht="15.5" thickTop="1" thickBot="1" x14ac:dyDescent="0.4">
      <c r="A3552" s="335" t="s">
        <v>298</v>
      </c>
      <c r="B3552" s="336"/>
      <c r="C3552" s="336"/>
      <c r="D3552" s="336"/>
      <c r="E3552" s="337"/>
      <c r="G3552" s="335" t="s">
        <v>298</v>
      </c>
      <c r="H3552" s="336"/>
      <c r="I3552" s="336"/>
      <c r="J3552" s="336"/>
      <c r="K3552" s="337"/>
    </row>
    <row r="3553" spans="1:11" ht="15.5" thickTop="1" thickBot="1" x14ac:dyDescent="0.4">
      <c r="A3553" s="338">
        <v>45612</v>
      </c>
      <c r="B3553" s="336"/>
      <c r="C3553" s="336"/>
      <c r="D3553" s="336"/>
      <c r="E3553" s="337"/>
      <c r="G3553" s="338">
        <v>45612</v>
      </c>
      <c r="H3553" s="336"/>
      <c r="I3553" s="336"/>
      <c r="J3553" s="336"/>
      <c r="K3553" s="337"/>
    </row>
    <row r="3554" spans="1:11" ht="15" thickTop="1" x14ac:dyDescent="0.35">
      <c r="A3554" s="267" t="s">
        <v>159</v>
      </c>
      <c r="B3554" s="267" t="s">
        <v>299</v>
      </c>
      <c r="C3554" s="267" t="s">
        <v>307</v>
      </c>
      <c r="D3554" s="267" t="s">
        <v>301</v>
      </c>
      <c r="E3554" s="268" t="s">
        <v>308</v>
      </c>
      <c r="G3554" s="267" t="s">
        <v>159</v>
      </c>
      <c r="H3554" s="267" t="s">
        <v>299</v>
      </c>
      <c r="I3554" s="267" t="s">
        <v>307</v>
      </c>
      <c r="J3554" s="267" t="s">
        <v>301</v>
      </c>
      <c r="K3554" s="268" t="s">
        <v>308</v>
      </c>
    </row>
    <row r="3555" spans="1:11" x14ac:dyDescent="0.35">
      <c r="A3555" s="269" t="s">
        <v>316</v>
      </c>
      <c r="B3555" s="270"/>
      <c r="C3555" s="270"/>
      <c r="D3555" s="270"/>
      <c r="E3555" s="270"/>
      <c r="G3555" s="269" t="s">
        <v>316</v>
      </c>
      <c r="H3555" s="270"/>
      <c r="I3555" s="270"/>
      <c r="J3555" s="270"/>
      <c r="K3555" s="270"/>
    </row>
    <row r="3556" spans="1:11" x14ac:dyDescent="0.35">
      <c r="A3556" s="271" t="s">
        <v>309</v>
      </c>
      <c r="B3556" s="272"/>
      <c r="C3556" s="272"/>
      <c r="D3556" s="272"/>
      <c r="E3556" s="272"/>
      <c r="G3556" s="271" t="s">
        <v>309</v>
      </c>
      <c r="H3556" s="272"/>
      <c r="I3556" s="272"/>
      <c r="J3556" s="272"/>
      <c r="K3556" s="272"/>
    </row>
    <row r="3557" spans="1:11" x14ac:dyDescent="0.35">
      <c r="A3557" s="269" t="s">
        <v>310</v>
      </c>
      <c r="B3557" s="270"/>
      <c r="C3557" s="270"/>
      <c r="D3557" s="270"/>
      <c r="E3557" s="270"/>
      <c r="G3557" s="269" t="s">
        <v>310</v>
      </c>
      <c r="H3557" s="270"/>
      <c r="I3557" s="270"/>
      <c r="J3557" s="270"/>
      <c r="K3557" s="270"/>
    </row>
    <row r="3558" spans="1:11" x14ac:dyDescent="0.35">
      <c r="A3558" s="271" t="s">
        <v>317</v>
      </c>
      <c r="B3558" s="272"/>
      <c r="C3558" s="272"/>
      <c r="D3558" s="272"/>
      <c r="E3558" s="272"/>
      <c r="G3558" s="271" t="s">
        <v>317</v>
      </c>
      <c r="H3558" s="272"/>
      <c r="I3558" s="272"/>
      <c r="J3558" s="272"/>
      <c r="K3558" s="272"/>
    </row>
    <row r="3559" spans="1:11" x14ac:dyDescent="0.35">
      <c r="A3559" s="269" t="s">
        <v>311</v>
      </c>
      <c r="B3559" s="270"/>
      <c r="C3559" s="270"/>
      <c r="D3559" s="270"/>
      <c r="E3559" s="270"/>
      <c r="G3559" s="269" t="s">
        <v>311</v>
      </c>
      <c r="H3559" s="270"/>
      <c r="I3559" s="270"/>
      <c r="J3559" s="270"/>
      <c r="K3559" s="270"/>
    </row>
    <row r="3560" spans="1:11" x14ac:dyDescent="0.35">
      <c r="A3560" s="271" t="s">
        <v>312</v>
      </c>
      <c r="B3560" s="272"/>
      <c r="C3560" s="272"/>
      <c r="D3560" s="272"/>
      <c r="E3560" s="272"/>
      <c r="G3560" s="271" t="s">
        <v>312</v>
      </c>
      <c r="H3560" s="272"/>
      <c r="I3560" s="272"/>
      <c r="J3560" s="272"/>
      <c r="K3560" s="272"/>
    </row>
    <row r="3561" spans="1:11" x14ac:dyDescent="0.35">
      <c r="A3561" s="231" t="s">
        <v>34</v>
      </c>
      <c r="B3561" s="230">
        <f>SUM(B3555:B3560)</f>
        <v>0</v>
      </c>
      <c r="C3561" s="230">
        <f>SUM(C3555:C3560)</f>
        <v>0</v>
      </c>
      <c r="D3561" s="230">
        <f>SUM(D3555:D3560)</f>
        <v>0</v>
      </c>
      <c r="E3561" s="230">
        <f>SUM(E3555:E3560)</f>
        <v>0</v>
      </c>
      <c r="G3561" s="231" t="s">
        <v>34</v>
      </c>
      <c r="H3561" s="230">
        <f>SUM(H3555:H3560)</f>
        <v>0</v>
      </c>
      <c r="I3561" s="230">
        <f>SUM(I3555:I3560)</f>
        <v>0</v>
      </c>
      <c r="J3561" s="230">
        <f>SUM(J3555:J3560)</f>
        <v>0</v>
      </c>
      <c r="K3561" s="230">
        <f>SUM(K3555:K3560)</f>
        <v>0</v>
      </c>
    </row>
    <row r="3562" spans="1:11" ht="15" thickBot="1" x14ac:dyDescent="0.4">
      <c r="A3562" s="231" t="s">
        <v>313</v>
      </c>
      <c r="B3562" s="230">
        <f>+B3561+C3561+D3561+E3561</f>
        <v>0</v>
      </c>
      <c r="C3562" s="230"/>
      <c r="D3562" s="230"/>
      <c r="E3562" s="230"/>
      <c r="G3562" s="231" t="s">
        <v>313</v>
      </c>
      <c r="H3562" s="230">
        <f>+H3561+I3561+J3561+K3561</f>
        <v>0</v>
      </c>
      <c r="I3562" s="230"/>
      <c r="J3562" s="230"/>
      <c r="K3562" s="230"/>
    </row>
    <row r="3563" spans="1:11" ht="15.5" thickTop="1" thickBot="1" x14ac:dyDescent="0.4">
      <c r="A3563" s="335" t="s">
        <v>298</v>
      </c>
      <c r="B3563" s="336"/>
      <c r="C3563" s="336"/>
      <c r="D3563" s="336"/>
      <c r="E3563" s="337"/>
      <c r="G3563" s="335" t="s">
        <v>298</v>
      </c>
      <c r="H3563" s="336"/>
      <c r="I3563" s="336"/>
      <c r="J3563" s="336"/>
      <c r="K3563" s="337"/>
    </row>
    <row r="3564" spans="1:11" ht="15.5" thickTop="1" thickBot="1" x14ac:dyDescent="0.4">
      <c r="A3564" s="338">
        <v>45613</v>
      </c>
      <c r="B3564" s="336"/>
      <c r="C3564" s="336"/>
      <c r="D3564" s="336"/>
      <c r="E3564" s="337"/>
      <c r="G3564" s="338">
        <v>45613</v>
      </c>
      <c r="H3564" s="336"/>
      <c r="I3564" s="336"/>
      <c r="J3564" s="336"/>
      <c r="K3564" s="337"/>
    </row>
    <row r="3565" spans="1:11" ht="15" thickTop="1" x14ac:dyDescent="0.35">
      <c r="A3565" s="267" t="s">
        <v>159</v>
      </c>
      <c r="B3565" s="267" t="s">
        <v>299</v>
      </c>
      <c r="C3565" s="267" t="s">
        <v>307</v>
      </c>
      <c r="D3565" s="267" t="s">
        <v>301</v>
      </c>
      <c r="E3565" s="268" t="s">
        <v>308</v>
      </c>
      <c r="G3565" s="267" t="s">
        <v>159</v>
      </c>
      <c r="H3565" s="267" t="s">
        <v>299</v>
      </c>
      <c r="I3565" s="267" t="s">
        <v>307</v>
      </c>
      <c r="J3565" s="267" t="s">
        <v>301</v>
      </c>
      <c r="K3565" s="268" t="s">
        <v>308</v>
      </c>
    </row>
    <row r="3566" spans="1:11" x14ac:dyDescent="0.35">
      <c r="A3566" s="269" t="s">
        <v>316</v>
      </c>
      <c r="B3566" s="270"/>
      <c r="C3566" s="270"/>
      <c r="D3566" s="270"/>
      <c r="E3566" s="270"/>
      <c r="G3566" s="269" t="s">
        <v>316</v>
      </c>
      <c r="H3566" s="270"/>
      <c r="I3566" s="270"/>
      <c r="J3566" s="270"/>
      <c r="K3566" s="270"/>
    </row>
    <row r="3567" spans="1:11" x14ac:dyDescent="0.35">
      <c r="A3567" s="271" t="s">
        <v>309</v>
      </c>
      <c r="B3567" s="272"/>
      <c r="C3567" s="272"/>
      <c r="D3567" s="272"/>
      <c r="E3567" s="272"/>
      <c r="G3567" s="271" t="s">
        <v>309</v>
      </c>
      <c r="H3567" s="272"/>
      <c r="I3567" s="272"/>
      <c r="J3567" s="272"/>
      <c r="K3567" s="272"/>
    </row>
    <row r="3568" spans="1:11" x14ac:dyDescent="0.35">
      <c r="A3568" s="269" t="s">
        <v>310</v>
      </c>
      <c r="B3568" s="270"/>
      <c r="C3568" s="270"/>
      <c r="D3568" s="270"/>
      <c r="E3568" s="270"/>
      <c r="G3568" s="269" t="s">
        <v>310</v>
      </c>
      <c r="H3568" s="270"/>
      <c r="I3568" s="270"/>
      <c r="J3568" s="270"/>
      <c r="K3568" s="270"/>
    </row>
    <row r="3569" spans="1:11" x14ac:dyDescent="0.35">
      <c r="A3569" s="271" t="s">
        <v>317</v>
      </c>
      <c r="B3569" s="272"/>
      <c r="C3569" s="272"/>
      <c r="D3569" s="272"/>
      <c r="E3569" s="272"/>
      <c r="G3569" s="271" t="s">
        <v>317</v>
      </c>
      <c r="H3569" s="272"/>
      <c r="I3569" s="272"/>
      <c r="J3569" s="272"/>
      <c r="K3569" s="272"/>
    </row>
    <row r="3570" spans="1:11" x14ac:dyDescent="0.35">
      <c r="A3570" s="269" t="s">
        <v>311</v>
      </c>
      <c r="B3570" s="270"/>
      <c r="C3570" s="270"/>
      <c r="D3570" s="270"/>
      <c r="E3570" s="270"/>
      <c r="G3570" s="269" t="s">
        <v>311</v>
      </c>
      <c r="H3570" s="270"/>
      <c r="I3570" s="270"/>
      <c r="J3570" s="270"/>
      <c r="K3570" s="270"/>
    </row>
    <row r="3571" spans="1:11" x14ac:dyDescent="0.35">
      <c r="A3571" s="271" t="s">
        <v>312</v>
      </c>
      <c r="B3571" s="272"/>
      <c r="C3571" s="272"/>
      <c r="D3571" s="272"/>
      <c r="E3571" s="272"/>
      <c r="G3571" s="271" t="s">
        <v>312</v>
      </c>
      <c r="H3571" s="272"/>
      <c r="I3571" s="272"/>
      <c r="J3571" s="272"/>
      <c r="K3571" s="272"/>
    </row>
    <row r="3572" spans="1:11" x14ac:dyDescent="0.35">
      <c r="A3572" s="231" t="s">
        <v>34</v>
      </c>
      <c r="B3572" s="230">
        <f>SUM(B3566:B3571)</f>
        <v>0</v>
      </c>
      <c r="C3572" s="230">
        <f>SUM(C3566:C3571)</f>
        <v>0</v>
      </c>
      <c r="D3572" s="230">
        <f>SUM(D3566:D3571)</f>
        <v>0</v>
      </c>
      <c r="E3572" s="230">
        <f>SUM(E3566:E3571)</f>
        <v>0</v>
      </c>
      <c r="G3572" s="231" t="s">
        <v>34</v>
      </c>
      <c r="H3572" s="230">
        <f>SUM(H3566:H3571)</f>
        <v>0</v>
      </c>
      <c r="I3572" s="230">
        <f>SUM(I3566:I3571)</f>
        <v>0</v>
      </c>
      <c r="J3572" s="230">
        <f>SUM(J3566:J3571)</f>
        <v>0</v>
      </c>
      <c r="K3572" s="230">
        <f>SUM(K3566:K3571)</f>
        <v>0</v>
      </c>
    </row>
    <row r="3573" spans="1:11" ht="15" thickBot="1" x14ac:dyDescent="0.4">
      <c r="A3573" s="231" t="s">
        <v>313</v>
      </c>
      <c r="B3573" s="230">
        <f>+B3572+C3572+D3572+E3572</f>
        <v>0</v>
      </c>
      <c r="C3573" s="230"/>
      <c r="D3573" s="230"/>
      <c r="E3573" s="230"/>
      <c r="G3573" s="231" t="s">
        <v>313</v>
      </c>
      <c r="H3573" s="230">
        <f>+H3572+I3572+J3572+K3572</f>
        <v>0</v>
      </c>
      <c r="I3573" s="230"/>
      <c r="J3573" s="230"/>
      <c r="K3573" s="230"/>
    </row>
    <row r="3574" spans="1:11" ht="15.5" thickTop="1" thickBot="1" x14ac:dyDescent="0.4">
      <c r="A3574" s="335" t="s">
        <v>298</v>
      </c>
      <c r="B3574" s="336"/>
      <c r="C3574" s="336"/>
      <c r="D3574" s="336"/>
      <c r="E3574" s="337"/>
      <c r="G3574" s="335" t="s">
        <v>298</v>
      </c>
      <c r="H3574" s="336"/>
      <c r="I3574" s="336"/>
      <c r="J3574" s="336"/>
      <c r="K3574" s="337"/>
    </row>
    <row r="3575" spans="1:11" ht="15.5" thickTop="1" thickBot="1" x14ac:dyDescent="0.4">
      <c r="A3575" s="338">
        <v>45614</v>
      </c>
      <c r="B3575" s="336"/>
      <c r="C3575" s="336"/>
      <c r="D3575" s="336"/>
      <c r="E3575" s="337"/>
      <c r="G3575" s="338">
        <v>45614</v>
      </c>
      <c r="H3575" s="336"/>
      <c r="I3575" s="336"/>
      <c r="J3575" s="336"/>
      <c r="K3575" s="337"/>
    </row>
    <row r="3576" spans="1:11" ht="15" thickTop="1" x14ac:dyDescent="0.35">
      <c r="A3576" s="267" t="s">
        <v>159</v>
      </c>
      <c r="B3576" s="267" t="s">
        <v>299</v>
      </c>
      <c r="C3576" s="267" t="s">
        <v>307</v>
      </c>
      <c r="D3576" s="267" t="s">
        <v>301</v>
      </c>
      <c r="E3576" s="268" t="s">
        <v>308</v>
      </c>
      <c r="G3576" s="267" t="s">
        <v>159</v>
      </c>
      <c r="H3576" s="267" t="s">
        <v>299</v>
      </c>
      <c r="I3576" s="267" t="s">
        <v>307</v>
      </c>
      <c r="J3576" s="267" t="s">
        <v>301</v>
      </c>
      <c r="K3576" s="268" t="s">
        <v>308</v>
      </c>
    </row>
    <row r="3577" spans="1:11" x14ac:dyDescent="0.35">
      <c r="A3577" s="269" t="s">
        <v>316</v>
      </c>
      <c r="B3577" s="270"/>
      <c r="C3577" s="270"/>
      <c r="D3577" s="270"/>
      <c r="E3577" s="270"/>
      <c r="G3577" s="269" t="s">
        <v>316</v>
      </c>
      <c r="H3577" s="270"/>
      <c r="I3577" s="270"/>
      <c r="J3577" s="270"/>
      <c r="K3577" s="270"/>
    </row>
    <row r="3578" spans="1:11" x14ac:dyDescent="0.35">
      <c r="A3578" s="271" t="s">
        <v>309</v>
      </c>
      <c r="B3578" s="272"/>
      <c r="C3578" s="272"/>
      <c r="D3578" s="272"/>
      <c r="E3578" s="272"/>
      <c r="G3578" s="271" t="s">
        <v>309</v>
      </c>
      <c r="H3578" s="272"/>
      <c r="I3578" s="272"/>
      <c r="J3578" s="272"/>
      <c r="K3578" s="272"/>
    </row>
    <row r="3579" spans="1:11" x14ac:dyDescent="0.35">
      <c r="A3579" s="269" t="s">
        <v>310</v>
      </c>
      <c r="B3579" s="270"/>
      <c r="C3579" s="270"/>
      <c r="D3579" s="270"/>
      <c r="E3579" s="270"/>
      <c r="G3579" s="269" t="s">
        <v>310</v>
      </c>
      <c r="H3579" s="270"/>
      <c r="I3579" s="270"/>
      <c r="J3579" s="270"/>
      <c r="K3579" s="270"/>
    </row>
    <row r="3580" spans="1:11" x14ac:dyDescent="0.35">
      <c r="A3580" s="271" t="s">
        <v>317</v>
      </c>
      <c r="B3580" s="272"/>
      <c r="C3580" s="272"/>
      <c r="D3580" s="272"/>
      <c r="E3580" s="272"/>
      <c r="G3580" s="271" t="s">
        <v>317</v>
      </c>
      <c r="H3580" s="272"/>
      <c r="I3580" s="272"/>
      <c r="J3580" s="272"/>
      <c r="K3580" s="272"/>
    </row>
    <row r="3581" spans="1:11" x14ac:dyDescent="0.35">
      <c r="A3581" s="269" t="s">
        <v>311</v>
      </c>
      <c r="B3581" s="270"/>
      <c r="C3581" s="270"/>
      <c r="D3581" s="270"/>
      <c r="E3581" s="270"/>
      <c r="G3581" s="269" t="s">
        <v>311</v>
      </c>
      <c r="H3581" s="270"/>
      <c r="I3581" s="270"/>
      <c r="J3581" s="270"/>
      <c r="K3581" s="270"/>
    </row>
    <row r="3582" spans="1:11" x14ac:dyDescent="0.35">
      <c r="A3582" s="271" t="s">
        <v>312</v>
      </c>
      <c r="B3582" s="272"/>
      <c r="C3582" s="272"/>
      <c r="D3582" s="272"/>
      <c r="E3582" s="272"/>
      <c r="G3582" s="271" t="s">
        <v>312</v>
      </c>
      <c r="H3582" s="272"/>
      <c r="I3582" s="272"/>
      <c r="J3582" s="272"/>
      <c r="K3582" s="272"/>
    </row>
    <row r="3583" spans="1:11" x14ac:dyDescent="0.35">
      <c r="A3583" s="231" t="s">
        <v>34</v>
      </c>
      <c r="B3583" s="230">
        <f>SUM(B3577:B3582)</f>
        <v>0</v>
      </c>
      <c r="C3583" s="230">
        <f>SUM(C3577:C3582)</f>
        <v>0</v>
      </c>
      <c r="D3583" s="230">
        <f>SUM(D3577:D3582)</f>
        <v>0</v>
      </c>
      <c r="E3583" s="230">
        <f>SUM(E3577:E3582)</f>
        <v>0</v>
      </c>
      <c r="G3583" s="231" t="s">
        <v>34</v>
      </c>
      <c r="H3583" s="230">
        <f>SUM(H3577:H3582)</f>
        <v>0</v>
      </c>
      <c r="I3583" s="230">
        <f>SUM(I3577:I3582)</f>
        <v>0</v>
      </c>
      <c r="J3583" s="230">
        <f>SUM(J3577:J3582)</f>
        <v>0</v>
      </c>
      <c r="K3583" s="230">
        <f>SUM(K3577:K3582)</f>
        <v>0</v>
      </c>
    </row>
    <row r="3584" spans="1:11" ht="15" thickBot="1" x14ac:dyDescent="0.4">
      <c r="A3584" s="231" t="s">
        <v>313</v>
      </c>
      <c r="B3584" s="230">
        <f>+B3583+C3583+D3583+E3583</f>
        <v>0</v>
      </c>
      <c r="C3584" s="230"/>
      <c r="D3584" s="230"/>
      <c r="E3584" s="230"/>
      <c r="G3584" s="231" t="s">
        <v>313</v>
      </c>
      <c r="H3584" s="230">
        <f>+H3583+I3583+J3583+K3583</f>
        <v>0</v>
      </c>
      <c r="I3584" s="230"/>
      <c r="J3584" s="230"/>
      <c r="K3584" s="230"/>
    </row>
    <row r="3585" spans="1:11" ht="15.5" thickTop="1" thickBot="1" x14ac:dyDescent="0.4">
      <c r="A3585" s="335" t="s">
        <v>298</v>
      </c>
      <c r="B3585" s="336"/>
      <c r="C3585" s="336"/>
      <c r="D3585" s="336"/>
      <c r="E3585" s="337"/>
      <c r="G3585" s="335" t="s">
        <v>298</v>
      </c>
      <c r="H3585" s="336"/>
      <c r="I3585" s="336"/>
      <c r="J3585" s="336"/>
      <c r="K3585" s="337"/>
    </row>
    <row r="3586" spans="1:11" ht="15.5" thickTop="1" thickBot="1" x14ac:dyDescent="0.4">
      <c r="A3586" s="338">
        <v>45615</v>
      </c>
      <c r="B3586" s="336"/>
      <c r="C3586" s="336"/>
      <c r="D3586" s="336"/>
      <c r="E3586" s="337"/>
      <c r="G3586" s="338">
        <v>45615</v>
      </c>
      <c r="H3586" s="336"/>
      <c r="I3586" s="336"/>
      <c r="J3586" s="336"/>
      <c r="K3586" s="337"/>
    </row>
    <row r="3587" spans="1:11" ht="15" thickTop="1" x14ac:dyDescent="0.35">
      <c r="A3587" s="267" t="s">
        <v>159</v>
      </c>
      <c r="B3587" s="267" t="s">
        <v>299</v>
      </c>
      <c r="C3587" s="267" t="s">
        <v>307</v>
      </c>
      <c r="D3587" s="267" t="s">
        <v>301</v>
      </c>
      <c r="E3587" s="268" t="s">
        <v>308</v>
      </c>
      <c r="G3587" s="267" t="s">
        <v>159</v>
      </c>
      <c r="H3587" s="267" t="s">
        <v>299</v>
      </c>
      <c r="I3587" s="267" t="s">
        <v>307</v>
      </c>
      <c r="J3587" s="267" t="s">
        <v>301</v>
      </c>
      <c r="K3587" s="268" t="s">
        <v>308</v>
      </c>
    </row>
    <row r="3588" spans="1:11" x14ac:dyDescent="0.35">
      <c r="A3588" s="269" t="s">
        <v>316</v>
      </c>
      <c r="B3588" s="270"/>
      <c r="C3588" s="270"/>
      <c r="D3588" s="270"/>
      <c r="E3588" s="270"/>
      <c r="G3588" s="269" t="s">
        <v>316</v>
      </c>
      <c r="H3588" s="270"/>
      <c r="I3588" s="270"/>
      <c r="J3588" s="270"/>
      <c r="K3588" s="270"/>
    </row>
    <row r="3589" spans="1:11" x14ac:dyDescent="0.35">
      <c r="A3589" s="271" t="s">
        <v>309</v>
      </c>
      <c r="B3589" s="272"/>
      <c r="C3589" s="272"/>
      <c r="D3589" s="272"/>
      <c r="E3589" s="272"/>
      <c r="G3589" s="271" t="s">
        <v>309</v>
      </c>
      <c r="H3589" s="272"/>
      <c r="I3589" s="272"/>
      <c r="J3589" s="272"/>
      <c r="K3589" s="272"/>
    </row>
    <row r="3590" spans="1:11" x14ac:dyDescent="0.35">
      <c r="A3590" s="269" t="s">
        <v>310</v>
      </c>
      <c r="B3590" s="270"/>
      <c r="C3590" s="270"/>
      <c r="D3590" s="270"/>
      <c r="E3590" s="270"/>
      <c r="G3590" s="269" t="s">
        <v>310</v>
      </c>
      <c r="H3590" s="270"/>
      <c r="I3590" s="270"/>
      <c r="J3590" s="270"/>
      <c r="K3590" s="270"/>
    </row>
    <row r="3591" spans="1:11" x14ac:dyDescent="0.35">
      <c r="A3591" s="271" t="s">
        <v>317</v>
      </c>
      <c r="B3591" s="272"/>
      <c r="C3591" s="272"/>
      <c r="D3591" s="272"/>
      <c r="E3591" s="272"/>
      <c r="G3591" s="271" t="s">
        <v>317</v>
      </c>
      <c r="H3591" s="272"/>
      <c r="I3591" s="272"/>
      <c r="J3591" s="272"/>
      <c r="K3591" s="272"/>
    </row>
    <row r="3592" spans="1:11" x14ac:dyDescent="0.35">
      <c r="A3592" s="269" t="s">
        <v>311</v>
      </c>
      <c r="B3592" s="270"/>
      <c r="C3592" s="270"/>
      <c r="D3592" s="270"/>
      <c r="E3592" s="270"/>
      <c r="G3592" s="269" t="s">
        <v>311</v>
      </c>
      <c r="H3592" s="270"/>
      <c r="I3592" s="270"/>
      <c r="J3592" s="270"/>
      <c r="K3592" s="270"/>
    </row>
    <row r="3593" spans="1:11" x14ac:dyDescent="0.35">
      <c r="A3593" s="271" t="s">
        <v>312</v>
      </c>
      <c r="B3593" s="272"/>
      <c r="C3593" s="272"/>
      <c r="D3593" s="272"/>
      <c r="E3593" s="272"/>
      <c r="G3593" s="271" t="s">
        <v>312</v>
      </c>
      <c r="H3593" s="272"/>
      <c r="I3593" s="272"/>
      <c r="J3593" s="272"/>
      <c r="K3593" s="272"/>
    </row>
    <row r="3594" spans="1:11" x14ac:dyDescent="0.35">
      <c r="A3594" s="231" t="s">
        <v>34</v>
      </c>
      <c r="B3594" s="230">
        <f>SUM(B3588:B3593)</f>
        <v>0</v>
      </c>
      <c r="C3594" s="230">
        <f>SUM(C3588:C3593)</f>
        <v>0</v>
      </c>
      <c r="D3594" s="230">
        <f>SUM(D3588:D3593)</f>
        <v>0</v>
      </c>
      <c r="E3594" s="230">
        <f>SUM(E3588:E3593)</f>
        <v>0</v>
      </c>
      <c r="G3594" s="231" t="s">
        <v>34</v>
      </c>
      <c r="H3594" s="230">
        <f>SUM(H3588:H3593)</f>
        <v>0</v>
      </c>
      <c r="I3594" s="230">
        <f>SUM(I3588:I3593)</f>
        <v>0</v>
      </c>
      <c r="J3594" s="230">
        <f>SUM(J3588:J3593)</f>
        <v>0</v>
      </c>
      <c r="K3594" s="230">
        <f>SUM(K3588:K3593)</f>
        <v>0</v>
      </c>
    </row>
    <row r="3595" spans="1:11" ht="15" thickBot="1" x14ac:dyDescent="0.4">
      <c r="A3595" s="231" t="s">
        <v>313</v>
      </c>
      <c r="B3595" s="230">
        <f>+B3594+C3594+D3594+E3594</f>
        <v>0</v>
      </c>
      <c r="C3595" s="230"/>
      <c r="D3595" s="230"/>
      <c r="E3595" s="230"/>
      <c r="G3595" s="231" t="s">
        <v>313</v>
      </c>
      <c r="H3595" s="230">
        <f>+H3594+I3594+J3594+K3594</f>
        <v>0</v>
      </c>
      <c r="I3595" s="230"/>
      <c r="J3595" s="230"/>
      <c r="K3595" s="230"/>
    </row>
    <row r="3596" spans="1:11" ht="15.5" thickTop="1" thickBot="1" x14ac:dyDescent="0.4">
      <c r="A3596" s="335" t="s">
        <v>298</v>
      </c>
      <c r="B3596" s="336"/>
      <c r="C3596" s="336"/>
      <c r="D3596" s="336"/>
      <c r="E3596" s="337"/>
      <c r="G3596" s="335" t="s">
        <v>298</v>
      </c>
      <c r="H3596" s="336"/>
      <c r="I3596" s="336"/>
      <c r="J3596" s="336"/>
      <c r="K3596" s="337"/>
    </row>
    <row r="3597" spans="1:11" ht="15.5" thickTop="1" thickBot="1" x14ac:dyDescent="0.4">
      <c r="A3597" s="338">
        <v>45616</v>
      </c>
      <c r="B3597" s="336"/>
      <c r="C3597" s="336"/>
      <c r="D3597" s="336"/>
      <c r="E3597" s="337"/>
      <c r="G3597" s="338">
        <v>45616</v>
      </c>
      <c r="H3597" s="336"/>
      <c r="I3597" s="336"/>
      <c r="J3597" s="336"/>
      <c r="K3597" s="337"/>
    </row>
    <row r="3598" spans="1:11" ht="15" thickTop="1" x14ac:dyDescent="0.35">
      <c r="A3598" s="267" t="s">
        <v>159</v>
      </c>
      <c r="B3598" s="267" t="s">
        <v>299</v>
      </c>
      <c r="C3598" s="267" t="s">
        <v>307</v>
      </c>
      <c r="D3598" s="267" t="s">
        <v>301</v>
      </c>
      <c r="E3598" s="268" t="s">
        <v>308</v>
      </c>
      <c r="G3598" s="267" t="s">
        <v>159</v>
      </c>
      <c r="H3598" s="267" t="s">
        <v>299</v>
      </c>
      <c r="I3598" s="267" t="s">
        <v>307</v>
      </c>
      <c r="J3598" s="267" t="s">
        <v>301</v>
      </c>
      <c r="K3598" s="268" t="s">
        <v>308</v>
      </c>
    </row>
    <row r="3599" spans="1:11" x14ac:dyDescent="0.35">
      <c r="A3599" s="269" t="s">
        <v>316</v>
      </c>
      <c r="B3599" s="270"/>
      <c r="C3599" s="270"/>
      <c r="D3599" s="270"/>
      <c r="E3599" s="270"/>
      <c r="G3599" s="269" t="s">
        <v>316</v>
      </c>
      <c r="H3599" s="270"/>
      <c r="I3599" s="270"/>
      <c r="J3599" s="270"/>
      <c r="K3599" s="270"/>
    </row>
    <row r="3600" spans="1:11" x14ac:dyDescent="0.35">
      <c r="A3600" s="271" t="s">
        <v>309</v>
      </c>
      <c r="B3600" s="272"/>
      <c r="C3600" s="272"/>
      <c r="D3600" s="272"/>
      <c r="E3600" s="272"/>
      <c r="G3600" s="271" t="s">
        <v>309</v>
      </c>
      <c r="H3600" s="272"/>
      <c r="I3600" s="272"/>
      <c r="J3600" s="272"/>
      <c r="K3600" s="272"/>
    </row>
    <row r="3601" spans="1:11" x14ac:dyDescent="0.35">
      <c r="A3601" s="269" t="s">
        <v>310</v>
      </c>
      <c r="B3601" s="270"/>
      <c r="C3601" s="270"/>
      <c r="D3601" s="270"/>
      <c r="E3601" s="270"/>
      <c r="G3601" s="269" t="s">
        <v>310</v>
      </c>
      <c r="H3601" s="270"/>
      <c r="I3601" s="270"/>
      <c r="J3601" s="270"/>
      <c r="K3601" s="270"/>
    </row>
    <row r="3602" spans="1:11" x14ac:dyDescent="0.35">
      <c r="A3602" s="271" t="s">
        <v>317</v>
      </c>
      <c r="B3602" s="272"/>
      <c r="C3602" s="272"/>
      <c r="D3602" s="272"/>
      <c r="E3602" s="272"/>
      <c r="G3602" s="271" t="s">
        <v>317</v>
      </c>
      <c r="H3602" s="272"/>
      <c r="I3602" s="272"/>
      <c r="J3602" s="272"/>
      <c r="K3602" s="272"/>
    </row>
    <row r="3603" spans="1:11" x14ac:dyDescent="0.35">
      <c r="A3603" s="269" t="s">
        <v>311</v>
      </c>
      <c r="B3603" s="270"/>
      <c r="C3603" s="270"/>
      <c r="D3603" s="270"/>
      <c r="E3603" s="270"/>
      <c r="G3603" s="269" t="s">
        <v>311</v>
      </c>
      <c r="H3603" s="270"/>
      <c r="I3603" s="270"/>
      <c r="J3603" s="270"/>
      <c r="K3603" s="270"/>
    </row>
    <row r="3604" spans="1:11" x14ac:dyDescent="0.35">
      <c r="A3604" s="271" t="s">
        <v>312</v>
      </c>
      <c r="B3604" s="272"/>
      <c r="C3604" s="272"/>
      <c r="D3604" s="272"/>
      <c r="E3604" s="272"/>
      <c r="G3604" s="271" t="s">
        <v>312</v>
      </c>
      <c r="H3604" s="272"/>
      <c r="I3604" s="272"/>
      <c r="J3604" s="272"/>
      <c r="K3604" s="272"/>
    </row>
    <row r="3605" spans="1:11" x14ac:dyDescent="0.35">
      <c r="A3605" s="231" t="s">
        <v>34</v>
      </c>
      <c r="B3605" s="230">
        <f>SUM(B3599:B3604)</f>
        <v>0</v>
      </c>
      <c r="C3605" s="230">
        <f>SUM(C3599:C3604)</f>
        <v>0</v>
      </c>
      <c r="D3605" s="230">
        <f>SUM(D3599:D3604)</f>
        <v>0</v>
      </c>
      <c r="E3605" s="230">
        <f>SUM(E3599:E3604)</f>
        <v>0</v>
      </c>
      <c r="G3605" s="231" t="s">
        <v>34</v>
      </c>
      <c r="H3605" s="230">
        <f>SUM(H3599:H3604)</f>
        <v>0</v>
      </c>
      <c r="I3605" s="230">
        <f>SUM(I3599:I3604)</f>
        <v>0</v>
      </c>
      <c r="J3605" s="230">
        <f>SUM(J3599:J3604)</f>
        <v>0</v>
      </c>
      <c r="K3605" s="230">
        <f>SUM(K3599:K3604)</f>
        <v>0</v>
      </c>
    </row>
    <row r="3606" spans="1:11" ht="15" thickBot="1" x14ac:dyDescent="0.4">
      <c r="A3606" s="231" t="s">
        <v>313</v>
      </c>
      <c r="B3606" s="230">
        <f>+B3605+C3605+D3605+E3605</f>
        <v>0</v>
      </c>
      <c r="C3606" s="230"/>
      <c r="D3606" s="230"/>
      <c r="E3606" s="230"/>
      <c r="G3606" s="231" t="s">
        <v>313</v>
      </c>
      <c r="H3606" s="230">
        <f>+H3605+I3605+J3605+K3605</f>
        <v>0</v>
      </c>
      <c r="I3606" s="230"/>
      <c r="J3606" s="230"/>
      <c r="K3606" s="230"/>
    </row>
    <row r="3607" spans="1:11" ht="15.5" thickTop="1" thickBot="1" x14ac:dyDescent="0.4">
      <c r="A3607" s="335" t="s">
        <v>298</v>
      </c>
      <c r="B3607" s="336"/>
      <c r="C3607" s="336"/>
      <c r="D3607" s="336"/>
      <c r="E3607" s="337"/>
      <c r="G3607" s="335" t="s">
        <v>298</v>
      </c>
      <c r="H3607" s="336"/>
      <c r="I3607" s="336"/>
      <c r="J3607" s="336"/>
      <c r="K3607" s="337"/>
    </row>
    <row r="3608" spans="1:11" ht="15.5" thickTop="1" thickBot="1" x14ac:dyDescent="0.4">
      <c r="A3608" s="338">
        <v>45617</v>
      </c>
      <c r="B3608" s="336"/>
      <c r="C3608" s="336"/>
      <c r="D3608" s="336"/>
      <c r="E3608" s="337"/>
      <c r="G3608" s="338">
        <v>45617</v>
      </c>
      <c r="H3608" s="336"/>
      <c r="I3608" s="336"/>
      <c r="J3608" s="336"/>
      <c r="K3608" s="337"/>
    </row>
    <row r="3609" spans="1:11" ht="15" thickTop="1" x14ac:dyDescent="0.35">
      <c r="A3609" s="267" t="s">
        <v>159</v>
      </c>
      <c r="B3609" s="267" t="s">
        <v>299</v>
      </c>
      <c r="C3609" s="267" t="s">
        <v>307</v>
      </c>
      <c r="D3609" s="267" t="s">
        <v>301</v>
      </c>
      <c r="E3609" s="268" t="s">
        <v>308</v>
      </c>
      <c r="G3609" s="267" t="s">
        <v>159</v>
      </c>
      <c r="H3609" s="267" t="s">
        <v>299</v>
      </c>
      <c r="I3609" s="267" t="s">
        <v>307</v>
      </c>
      <c r="J3609" s="267" t="s">
        <v>301</v>
      </c>
      <c r="K3609" s="268" t="s">
        <v>308</v>
      </c>
    </row>
    <row r="3610" spans="1:11" x14ac:dyDescent="0.35">
      <c r="A3610" s="269" t="s">
        <v>316</v>
      </c>
      <c r="B3610" s="270"/>
      <c r="C3610" s="270"/>
      <c r="D3610" s="270"/>
      <c r="E3610" s="270"/>
      <c r="G3610" s="269" t="s">
        <v>316</v>
      </c>
      <c r="H3610" s="270"/>
      <c r="I3610" s="270"/>
      <c r="J3610" s="270"/>
      <c r="K3610" s="270"/>
    </row>
    <row r="3611" spans="1:11" x14ac:dyDescent="0.35">
      <c r="A3611" s="271" t="s">
        <v>309</v>
      </c>
      <c r="B3611" s="272"/>
      <c r="C3611" s="272"/>
      <c r="D3611" s="272"/>
      <c r="E3611" s="272"/>
      <c r="G3611" s="271" t="s">
        <v>309</v>
      </c>
      <c r="H3611" s="272"/>
      <c r="I3611" s="272"/>
      <c r="J3611" s="272"/>
      <c r="K3611" s="272"/>
    </row>
    <row r="3612" spans="1:11" x14ac:dyDescent="0.35">
      <c r="A3612" s="269" t="s">
        <v>310</v>
      </c>
      <c r="B3612" s="270"/>
      <c r="C3612" s="270"/>
      <c r="D3612" s="270"/>
      <c r="E3612" s="270"/>
      <c r="G3612" s="269" t="s">
        <v>310</v>
      </c>
      <c r="H3612" s="270"/>
      <c r="I3612" s="270"/>
      <c r="J3612" s="270"/>
      <c r="K3612" s="270"/>
    </row>
    <row r="3613" spans="1:11" x14ac:dyDescent="0.35">
      <c r="A3613" s="271" t="s">
        <v>317</v>
      </c>
      <c r="B3613" s="272"/>
      <c r="C3613" s="272"/>
      <c r="D3613" s="272"/>
      <c r="E3613" s="272"/>
      <c r="G3613" s="271" t="s">
        <v>317</v>
      </c>
      <c r="H3613" s="272"/>
      <c r="I3613" s="272"/>
      <c r="J3613" s="272"/>
      <c r="K3613" s="272"/>
    </row>
    <row r="3614" spans="1:11" x14ac:dyDescent="0.35">
      <c r="A3614" s="269" t="s">
        <v>311</v>
      </c>
      <c r="B3614" s="270"/>
      <c r="C3614" s="270"/>
      <c r="D3614" s="270"/>
      <c r="E3614" s="270"/>
      <c r="G3614" s="269" t="s">
        <v>311</v>
      </c>
      <c r="H3614" s="270"/>
      <c r="I3614" s="270"/>
      <c r="J3614" s="270"/>
      <c r="K3614" s="270"/>
    </row>
    <row r="3615" spans="1:11" x14ac:dyDescent="0.35">
      <c r="A3615" s="271" t="s">
        <v>312</v>
      </c>
      <c r="B3615" s="272"/>
      <c r="C3615" s="272"/>
      <c r="D3615" s="272"/>
      <c r="E3615" s="272"/>
      <c r="G3615" s="271" t="s">
        <v>312</v>
      </c>
      <c r="H3615" s="272"/>
      <c r="I3615" s="272"/>
      <c r="J3615" s="272"/>
      <c r="K3615" s="272"/>
    </row>
    <row r="3616" spans="1:11" x14ac:dyDescent="0.35">
      <c r="A3616" s="231" t="s">
        <v>34</v>
      </c>
      <c r="B3616" s="230">
        <f>SUM(B3610:B3615)</f>
        <v>0</v>
      </c>
      <c r="C3616" s="230">
        <f>SUM(C3610:C3615)</f>
        <v>0</v>
      </c>
      <c r="D3616" s="230">
        <f>SUM(D3610:D3615)</f>
        <v>0</v>
      </c>
      <c r="E3616" s="230">
        <f>SUM(E3610:E3615)</f>
        <v>0</v>
      </c>
      <c r="G3616" s="231" t="s">
        <v>34</v>
      </c>
      <c r="H3616" s="230">
        <f>SUM(H3610:H3615)</f>
        <v>0</v>
      </c>
      <c r="I3616" s="230">
        <f>SUM(I3610:I3615)</f>
        <v>0</v>
      </c>
      <c r="J3616" s="230">
        <f>SUM(J3610:J3615)</f>
        <v>0</v>
      </c>
      <c r="K3616" s="230">
        <f>SUM(K3610:K3615)</f>
        <v>0</v>
      </c>
    </row>
    <row r="3617" spans="1:11" ht="15" thickBot="1" x14ac:dyDescent="0.4">
      <c r="A3617" s="231" t="s">
        <v>313</v>
      </c>
      <c r="B3617" s="230">
        <f>+B3616+C3616+D3616+E3616</f>
        <v>0</v>
      </c>
      <c r="C3617" s="230"/>
      <c r="D3617" s="230"/>
      <c r="E3617" s="230"/>
      <c r="G3617" s="231" t="s">
        <v>313</v>
      </c>
      <c r="H3617" s="230">
        <f>+H3616+I3616+J3616+K3616</f>
        <v>0</v>
      </c>
      <c r="I3617" s="230"/>
      <c r="J3617" s="230"/>
      <c r="K3617" s="230"/>
    </row>
    <row r="3618" spans="1:11" ht="15.5" thickTop="1" thickBot="1" x14ac:dyDescent="0.4">
      <c r="A3618" s="335" t="s">
        <v>298</v>
      </c>
      <c r="B3618" s="336"/>
      <c r="C3618" s="336"/>
      <c r="D3618" s="336"/>
      <c r="E3618" s="337"/>
      <c r="G3618" s="335" t="s">
        <v>298</v>
      </c>
      <c r="H3618" s="336"/>
      <c r="I3618" s="336"/>
      <c r="J3618" s="336"/>
      <c r="K3618" s="337"/>
    </row>
    <row r="3619" spans="1:11" ht="15.5" thickTop="1" thickBot="1" x14ac:dyDescent="0.4">
      <c r="A3619" s="338">
        <v>45618</v>
      </c>
      <c r="B3619" s="336"/>
      <c r="C3619" s="336"/>
      <c r="D3619" s="336"/>
      <c r="E3619" s="337"/>
      <c r="G3619" s="338">
        <v>45618</v>
      </c>
      <c r="H3619" s="336"/>
      <c r="I3619" s="336"/>
      <c r="J3619" s="336"/>
      <c r="K3619" s="337"/>
    </row>
    <row r="3620" spans="1:11" ht="15" thickTop="1" x14ac:dyDescent="0.35">
      <c r="A3620" s="267" t="s">
        <v>159</v>
      </c>
      <c r="B3620" s="267" t="s">
        <v>299</v>
      </c>
      <c r="C3620" s="267" t="s">
        <v>307</v>
      </c>
      <c r="D3620" s="267" t="s">
        <v>301</v>
      </c>
      <c r="E3620" s="268" t="s">
        <v>308</v>
      </c>
      <c r="G3620" s="267" t="s">
        <v>159</v>
      </c>
      <c r="H3620" s="267" t="s">
        <v>299</v>
      </c>
      <c r="I3620" s="267" t="s">
        <v>307</v>
      </c>
      <c r="J3620" s="267" t="s">
        <v>301</v>
      </c>
      <c r="K3620" s="268" t="s">
        <v>308</v>
      </c>
    </row>
    <row r="3621" spans="1:11" x14ac:dyDescent="0.35">
      <c r="A3621" s="269" t="s">
        <v>316</v>
      </c>
      <c r="B3621" s="270"/>
      <c r="C3621" s="270"/>
      <c r="D3621" s="270"/>
      <c r="E3621" s="270"/>
      <c r="G3621" s="269" t="s">
        <v>316</v>
      </c>
      <c r="H3621" s="270"/>
      <c r="I3621" s="270"/>
      <c r="J3621" s="270"/>
      <c r="K3621" s="270"/>
    </row>
    <row r="3622" spans="1:11" x14ac:dyDescent="0.35">
      <c r="A3622" s="271" t="s">
        <v>309</v>
      </c>
      <c r="B3622" s="272"/>
      <c r="C3622" s="272"/>
      <c r="D3622" s="272"/>
      <c r="E3622" s="272"/>
      <c r="G3622" s="271" t="s">
        <v>309</v>
      </c>
      <c r="H3622" s="272"/>
      <c r="I3622" s="272"/>
      <c r="J3622" s="272"/>
      <c r="K3622" s="272"/>
    </row>
    <row r="3623" spans="1:11" x14ac:dyDescent="0.35">
      <c r="A3623" s="269" t="s">
        <v>310</v>
      </c>
      <c r="B3623" s="270"/>
      <c r="C3623" s="270"/>
      <c r="D3623" s="270"/>
      <c r="E3623" s="270"/>
      <c r="G3623" s="269" t="s">
        <v>310</v>
      </c>
      <c r="H3623" s="270"/>
      <c r="I3623" s="270"/>
      <c r="J3623" s="270"/>
      <c r="K3623" s="270"/>
    </row>
    <row r="3624" spans="1:11" x14ac:dyDescent="0.35">
      <c r="A3624" s="271" t="s">
        <v>317</v>
      </c>
      <c r="B3624" s="272"/>
      <c r="C3624" s="272"/>
      <c r="D3624" s="272"/>
      <c r="E3624" s="272"/>
      <c r="G3624" s="271" t="s">
        <v>317</v>
      </c>
      <c r="H3624" s="272"/>
      <c r="I3624" s="272"/>
      <c r="J3624" s="272"/>
      <c r="K3624" s="272"/>
    </row>
    <row r="3625" spans="1:11" x14ac:dyDescent="0.35">
      <c r="A3625" s="269" t="s">
        <v>311</v>
      </c>
      <c r="B3625" s="270"/>
      <c r="C3625" s="270"/>
      <c r="D3625" s="270"/>
      <c r="E3625" s="270"/>
      <c r="G3625" s="269" t="s">
        <v>311</v>
      </c>
      <c r="H3625" s="270"/>
      <c r="I3625" s="270"/>
      <c r="J3625" s="270"/>
      <c r="K3625" s="270"/>
    </row>
    <row r="3626" spans="1:11" x14ac:dyDescent="0.35">
      <c r="A3626" s="271" t="s">
        <v>312</v>
      </c>
      <c r="B3626" s="272"/>
      <c r="C3626" s="272"/>
      <c r="D3626" s="272"/>
      <c r="E3626" s="272"/>
      <c r="G3626" s="271" t="s">
        <v>312</v>
      </c>
      <c r="H3626" s="272"/>
      <c r="I3626" s="272"/>
      <c r="J3626" s="272"/>
      <c r="K3626" s="272"/>
    </row>
    <row r="3627" spans="1:11" x14ac:dyDescent="0.35">
      <c r="A3627" s="231" t="s">
        <v>34</v>
      </c>
      <c r="B3627" s="230">
        <f>SUM(B3621:B3626)</f>
        <v>0</v>
      </c>
      <c r="C3627" s="230">
        <f>SUM(C3621:C3626)</f>
        <v>0</v>
      </c>
      <c r="D3627" s="230">
        <f>SUM(D3621:D3626)</f>
        <v>0</v>
      </c>
      <c r="E3627" s="230">
        <f>SUM(E3621:E3626)</f>
        <v>0</v>
      </c>
      <c r="G3627" s="231" t="s">
        <v>34</v>
      </c>
      <c r="H3627" s="230">
        <f>SUM(H3621:H3626)</f>
        <v>0</v>
      </c>
      <c r="I3627" s="230">
        <f>SUM(I3621:I3626)</f>
        <v>0</v>
      </c>
      <c r="J3627" s="230">
        <f>SUM(J3621:J3626)</f>
        <v>0</v>
      </c>
      <c r="K3627" s="230">
        <f>SUM(K3621:K3626)</f>
        <v>0</v>
      </c>
    </row>
    <row r="3628" spans="1:11" ht="15" thickBot="1" x14ac:dyDescent="0.4">
      <c r="A3628" s="231" t="s">
        <v>313</v>
      </c>
      <c r="B3628" s="230">
        <f>+B3627+C3627+D3627+E3627</f>
        <v>0</v>
      </c>
      <c r="C3628" s="230"/>
      <c r="D3628" s="230"/>
      <c r="E3628" s="230"/>
      <c r="G3628" s="231" t="s">
        <v>313</v>
      </c>
      <c r="H3628" s="230">
        <f>+H3627+I3627+J3627+K3627</f>
        <v>0</v>
      </c>
      <c r="I3628" s="230"/>
      <c r="J3628" s="230"/>
      <c r="K3628" s="230"/>
    </row>
    <row r="3629" spans="1:11" ht="15.5" thickTop="1" thickBot="1" x14ac:dyDescent="0.4">
      <c r="A3629" s="335" t="s">
        <v>298</v>
      </c>
      <c r="B3629" s="336"/>
      <c r="C3629" s="336"/>
      <c r="D3629" s="336"/>
      <c r="E3629" s="337"/>
      <c r="G3629" s="335" t="s">
        <v>298</v>
      </c>
      <c r="H3629" s="336"/>
      <c r="I3629" s="336"/>
      <c r="J3629" s="336"/>
      <c r="K3629" s="337"/>
    </row>
    <row r="3630" spans="1:11" ht="15.5" thickTop="1" thickBot="1" x14ac:dyDescent="0.4">
      <c r="A3630" s="338">
        <v>45619</v>
      </c>
      <c r="B3630" s="336"/>
      <c r="C3630" s="336"/>
      <c r="D3630" s="336"/>
      <c r="E3630" s="337"/>
      <c r="G3630" s="338">
        <v>45619</v>
      </c>
      <c r="H3630" s="336"/>
      <c r="I3630" s="336"/>
      <c r="J3630" s="336"/>
      <c r="K3630" s="337"/>
    </row>
    <row r="3631" spans="1:11" ht="15" thickTop="1" x14ac:dyDescent="0.35">
      <c r="A3631" s="267" t="s">
        <v>159</v>
      </c>
      <c r="B3631" s="267" t="s">
        <v>299</v>
      </c>
      <c r="C3631" s="267" t="s">
        <v>307</v>
      </c>
      <c r="D3631" s="267" t="s">
        <v>301</v>
      </c>
      <c r="E3631" s="268" t="s">
        <v>308</v>
      </c>
      <c r="G3631" s="267" t="s">
        <v>159</v>
      </c>
      <c r="H3631" s="267" t="s">
        <v>299</v>
      </c>
      <c r="I3631" s="267" t="s">
        <v>307</v>
      </c>
      <c r="J3631" s="267" t="s">
        <v>301</v>
      </c>
      <c r="K3631" s="268" t="s">
        <v>308</v>
      </c>
    </row>
    <row r="3632" spans="1:11" x14ac:dyDescent="0.35">
      <c r="A3632" s="269" t="s">
        <v>316</v>
      </c>
      <c r="B3632" s="270"/>
      <c r="C3632" s="270"/>
      <c r="D3632" s="270"/>
      <c r="E3632" s="270"/>
      <c r="G3632" s="269" t="s">
        <v>316</v>
      </c>
      <c r="H3632" s="270"/>
      <c r="I3632" s="270"/>
      <c r="J3632" s="270"/>
      <c r="K3632" s="270"/>
    </row>
    <row r="3633" spans="1:11" x14ac:dyDescent="0.35">
      <c r="A3633" s="271" t="s">
        <v>309</v>
      </c>
      <c r="B3633" s="272"/>
      <c r="C3633" s="272"/>
      <c r="D3633" s="272"/>
      <c r="E3633" s="272"/>
      <c r="G3633" s="271" t="s">
        <v>309</v>
      </c>
      <c r="H3633" s="272"/>
      <c r="I3633" s="272"/>
      <c r="J3633" s="272"/>
      <c r="K3633" s="272"/>
    </row>
    <row r="3634" spans="1:11" x14ac:dyDescent="0.35">
      <c r="A3634" s="269" t="s">
        <v>310</v>
      </c>
      <c r="B3634" s="270"/>
      <c r="C3634" s="270"/>
      <c r="D3634" s="270"/>
      <c r="E3634" s="270"/>
      <c r="G3634" s="269" t="s">
        <v>310</v>
      </c>
      <c r="H3634" s="270"/>
      <c r="I3634" s="270"/>
      <c r="J3634" s="270"/>
      <c r="K3634" s="270"/>
    </row>
    <row r="3635" spans="1:11" x14ac:dyDescent="0.35">
      <c r="A3635" s="271" t="s">
        <v>317</v>
      </c>
      <c r="B3635" s="272"/>
      <c r="C3635" s="272"/>
      <c r="D3635" s="272"/>
      <c r="E3635" s="272"/>
      <c r="G3635" s="271" t="s">
        <v>317</v>
      </c>
      <c r="H3635" s="272"/>
      <c r="I3635" s="272"/>
      <c r="J3635" s="272"/>
      <c r="K3635" s="272"/>
    </row>
    <row r="3636" spans="1:11" x14ac:dyDescent="0.35">
      <c r="A3636" s="269" t="s">
        <v>311</v>
      </c>
      <c r="B3636" s="270"/>
      <c r="C3636" s="270"/>
      <c r="D3636" s="270"/>
      <c r="E3636" s="270"/>
      <c r="G3636" s="269" t="s">
        <v>311</v>
      </c>
      <c r="H3636" s="270"/>
      <c r="I3636" s="270"/>
      <c r="J3636" s="270"/>
      <c r="K3636" s="270"/>
    </row>
    <row r="3637" spans="1:11" x14ac:dyDescent="0.35">
      <c r="A3637" s="271" t="s">
        <v>312</v>
      </c>
      <c r="B3637" s="272"/>
      <c r="C3637" s="272"/>
      <c r="D3637" s="272"/>
      <c r="E3637" s="272"/>
      <c r="G3637" s="271" t="s">
        <v>312</v>
      </c>
      <c r="H3637" s="272"/>
      <c r="I3637" s="272"/>
      <c r="J3637" s="272"/>
      <c r="K3637" s="272"/>
    </row>
    <row r="3638" spans="1:11" x14ac:dyDescent="0.35">
      <c r="A3638" s="231" t="s">
        <v>34</v>
      </c>
      <c r="B3638" s="230">
        <f>SUM(B3632:B3637)</f>
        <v>0</v>
      </c>
      <c r="C3638" s="230">
        <f>SUM(C3632:C3637)</f>
        <v>0</v>
      </c>
      <c r="D3638" s="230">
        <f>SUM(D3632:D3637)</f>
        <v>0</v>
      </c>
      <c r="E3638" s="230">
        <f>SUM(E3632:E3637)</f>
        <v>0</v>
      </c>
      <c r="G3638" s="231" t="s">
        <v>34</v>
      </c>
      <c r="H3638" s="230">
        <f>SUM(H3632:H3637)</f>
        <v>0</v>
      </c>
      <c r="I3638" s="230">
        <f>SUM(I3632:I3637)</f>
        <v>0</v>
      </c>
      <c r="J3638" s="230">
        <f>SUM(J3632:J3637)</f>
        <v>0</v>
      </c>
      <c r="K3638" s="230">
        <f>SUM(K3632:K3637)</f>
        <v>0</v>
      </c>
    </row>
    <row r="3639" spans="1:11" ht="15" thickBot="1" x14ac:dyDescent="0.4">
      <c r="A3639" s="231" t="s">
        <v>313</v>
      </c>
      <c r="B3639" s="230">
        <f>+B3638+C3638+D3638+E3638</f>
        <v>0</v>
      </c>
      <c r="C3639" s="230"/>
      <c r="D3639" s="230"/>
      <c r="E3639" s="230"/>
      <c r="G3639" s="231" t="s">
        <v>313</v>
      </c>
      <c r="H3639" s="230">
        <f>+H3638+I3638+J3638+K3638</f>
        <v>0</v>
      </c>
      <c r="I3639" s="230"/>
      <c r="J3639" s="230"/>
      <c r="K3639" s="230"/>
    </row>
    <row r="3640" spans="1:11" ht="15.5" thickTop="1" thickBot="1" x14ac:dyDescent="0.4">
      <c r="A3640" s="335" t="s">
        <v>298</v>
      </c>
      <c r="B3640" s="336"/>
      <c r="C3640" s="336"/>
      <c r="D3640" s="336"/>
      <c r="E3640" s="337"/>
      <c r="G3640" s="335" t="s">
        <v>298</v>
      </c>
      <c r="H3640" s="336"/>
      <c r="I3640" s="336"/>
      <c r="J3640" s="336"/>
      <c r="K3640" s="337"/>
    </row>
    <row r="3641" spans="1:11" ht="15.5" thickTop="1" thickBot="1" x14ac:dyDescent="0.4">
      <c r="A3641" s="338">
        <v>45620</v>
      </c>
      <c r="B3641" s="336"/>
      <c r="C3641" s="336"/>
      <c r="D3641" s="336"/>
      <c r="E3641" s="337"/>
      <c r="G3641" s="338">
        <v>45620</v>
      </c>
      <c r="H3641" s="336"/>
      <c r="I3641" s="336"/>
      <c r="J3641" s="336"/>
      <c r="K3641" s="337"/>
    </row>
    <row r="3642" spans="1:11" ht="15" thickTop="1" x14ac:dyDescent="0.35">
      <c r="A3642" s="267" t="s">
        <v>159</v>
      </c>
      <c r="B3642" s="267" t="s">
        <v>299</v>
      </c>
      <c r="C3642" s="267" t="s">
        <v>307</v>
      </c>
      <c r="D3642" s="267" t="s">
        <v>301</v>
      </c>
      <c r="E3642" s="268" t="s">
        <v>308</v>
      </c>
      <c r="G3642" s="267" t="s">
        <v>159</v>
      </c>
      <c r="H3642" s="267" t="s">
        <v>299</v>
      </c>
      <c r="I3642" s="267" t="s">
        <v>307</v>
      </c>
      <c r="J3642" s="267" t="s">
        <v>301</v>
      </c>
      <c r="K3642" s="268" t="s">
        <v>308</v>
      </c>
    </row>
    <row r="3643" spans="1:11" x14ac:dyDescent="0.35">
      <c r="A3643" s="269" t="s">
        <v>316</v>
      </c>
      <c r="B3643" s="270"/>
      <c r="C3643" s="270"/>
      <c r="D3643" s="270"/>
      <c r="E3643" s="270"/>
      <c r="G3643" s="269" t="s">
        <v>316</v>
      </c>
      <c r="H3643" s="270"/>
      <c r="I3643" s="270"/>
      <c r="J3643" s="270"/>
      <c r="K3643" s="270"/>
    </row>
    <row r="3644" spans="1:11" x14ac:dyDescent="0.35">
      <c r="A3644" s="271" t="s">
        <v>309</v>
      </c>
      <c r="B3644" s="272"/>
      <c r="C3644" s="272"/>
      <c r="D3644" s="272"/>
      <c r="E3644" s="272"/>
      <c r="G3644" s="271" t="s">
        <v>309</v>
      </c>
      <c r="H3644" s="272"/>
      <c r="I3644" s="272"/>
      <c r="J3644" s="272"/>
      <c r="K3644" s="272"/>
    </row>
    <row r="3645" spans="1:11" x14ac:dyDescent="0.35">
      <c r="A3645" s="269" t="s">
        <v>310</v>
      </c>
      <c r="B3645" s="270"/>
      <c r="C3645" s="270"/>
      <c r="D3645" s="270"/>
      <c r="E3645" s="270"/>
      <c r="G3645" s="269" t="s">
        <v>310</v>
      </c>
      <c r="H3645" s="270"/>
      <c r="I3645" s="270"/>
      <c r="J3645" s="270"/>
      <c r="K3645" s="270"/>
    </row>
    <row r="3646" spans="1:11" x14ac:dyDescent="0.35">
      <c r="A3646" s="271" t="s">
        <v>317</v>
      </c>
      <c r="B3646" s="272"/>
      <c r="C3646" s="272"/>
      <c r="D3646" s="272"/>
      <c r="E3646" s="272"/>
      <c r="G3646" s="271" t="s">
        <v>317</v>
      </c>
      <c r="H3646" s="272"/>
      <c r="I3646" s="272"/>
      <c r="J3646" s="272"/>
      <c r="K3646" s="272"/>
    </row>
    <row r="3647" spans="1:11" x14ac:dyDescent="0.35">
      <c r="A3647" s="269" t="s">
        <v>311</v>
      </c>
      <c r="B3647" s="270"/>
      <c r="C3647" s="270"/>
      <c r="D3647" s="270"/>
      <c r="E3647" s="270"/>
      <c r="G3647" s="269" t="s">
        <v>311</v>
      </c>
      <c r="H3647" s="270"/>
      <c r="I3647" s="270"/>
      <c r="J3647" s="270"/>
      <c r="K3647" s="270"/>
    </row>
    <row r="3648" spans="1:11" x14ac:dyDescent="0.35">
      <c r="A3648" s="271" t="s">
        <v>312</v>
      </c>
      <c r="B3648" s="272"/>
      <c r="C3648" s="272"/>
      <c r="D3648" s="272"/>
      <c r="E3648" s="272"/>
      <c r="G3648" s="271" t="s">
        <v>312</v>
      </c>
      <c r="H3648" s="272"/>
      <c r="I3648" s="272"/>
      <c r="J3648" s="272"/>
      <c r="K3648" s="272"/>
    </row>
    <row r="3649" spans="1:11" x14ac:dyDescent="0.35">
      <c r="A3649" s="231" t="s">
        <v>34</v>
      </c>
      <c r="B3649" s="230">
        <f>SUM(B3643:B3648)</f>
        <v>0</v>
      </c>
      <c r="C3649" s="230">
        <f>SUM(C3643:C3648)</f>
        <v>0</v>
      </c>
      <c r="D3649" s="230">
        <f>SUM(D3643:D3648)</f>
        <v>0</v>
      </c>
      <c r="E3649" s="230">
        <f>SUM(E3643:E3648)</f>
        <v>0</v>
      </c>
      <c r="G3649" s="231" t="s">
        <v>34</v>
      </c>
      <c r="H3649" s="230">
        <f>SUM(H3643:H3648)</f>
        <v>0</v>
      </c>
      <c r="I3649" s="230">
        <f>SUM(I3643:I3648)</f>
        <v>0</v>
      </c>
      <c r="J3649" s="230">
        <f>SUM(J3643:J3648)</f>
        <v>0</v>
      </c>
      <c r="K3649" s="230">
        <f>SUM(K3643:K3648)</f>
        <v>0</v>
      </c>
    </row>
    <row r="3650" spans="1:11" ht="15" thickBot="1" x14ac:dyDescent="0.4">
      <c r="A3650" s="231" t="s">
        <v>313</v>
      </c>
      <c r="B3650" s="230">
        <f>+B3649+C3649+D3649+E3649</f>
        <v>0</v>
      </c>
      <c r="C3650" s="230"/>
      <c r="D3650" s="230"/>
      <c r="E3650" s="230"/>
      <c r="G3650" s="231" t="s">
        <v>313</v>
      </c>
      <c r="H3650" s="230">
        <f>+H3649+I3649+J3649+K3649</f>
        <v>0</v>
      </c>
      <c r="I3650" s="230"/>
      <c r="J3650" s="230"/>
      <c r="K3650" s="230"/>
    </row>
    <row r="3651" spans="1:11" ht="15.5" thickTop="1" thickBot="1" x14ac:dyDescent="0.4">
      <c r="A3651" s="335" t="s">
        <v>298</v>
      </c>
      <c r="B3651" s="336"/>
      <c r="C3651" s="336"/>
      <c r="D3651" s="336"/>
      <c r="E3651" s="337"/>
      <c r="G3651" s="335" t="s">
        <v>298</v>
      </c>
      <c r="H3651" s="336"/>
      <c r="I3651" s="336"/>
      <c r="J3651" s="336"/>
      <c r="K3651" s="337"/>
    </row>
    <row r="3652" spans="1:11" ht="15.5" thickTop="1" thickBot="1" x14ac:dyDescent="0.4">
      <c r="A3652" s="338">
        <v>45621</v>
      </c>
      <c r="B3652" s="336"/>
      <c r="C3652" s="336"/>
      <c r="D3652" s="336"/>
      <c r="E3652" s="337"/>
      <c r="G3652" s="338">
        <v>45621</v>
      </c>
      <c r="H3652" s="336"/>
      <c r="I3652" s="336"/>
      <c r="J3652" s="336"/>
      <c r="K3652" s="337"/>
    </row>
    <row r="3653" spans="1:11" ht="15" thickTop="1" x14ac:dyDescent="0.35">
      <c r="A3653" s="267" t="s">
        <v>159</v>
      </c>
      <c r="B3653" s="267" t="s">
        <v>299</v>
      </c>
      <c r="C3653" s="267" t="s">
        <v>307</v>
      </c>
      <c r="D3653" s="267" t="s">
        <v>301</v>
      </c>
      <c r="E3653" s="268" t="s">
        <v>308</v>
      </c>
      <c r="G3653" s="267" t="s">
        <v>159</v>
      </c>
      <c r="H3653" s="267" t="s">
        <v>299</v>
      </c>
      <c r="I3653" s="267" t="s">
        <v>307</v>
      </c>
      <c r="J3653" s="267" t="s">
        <v>301</v>
      </c>
      <c r="K3653" s="268" t="s">
        <v>308</v>
      </c>
    </row>
    <row r="3654" spans="1:11" x14ac:dyDescent="0.35">
      <c r="A3654" s="269" t="s">
        <v>316</v>
      </c>
      <c r="B3654" s="270"/>
      <c r="C3654" s="270"/>
      <c r="D3654" s="270"/>
      <c r="E3654" s="270"/>
      <c r="G3654" s="269" t="s">
        <v>316</v>
      </c>
      <c r="H3654" s="270"/>
      <c r="I3654" s="270"/>
      <c r="J3654" s="270"/>
      <c r="K3654" s="270"/>
    </row>
    <row r="3655" spans="1:11" x14ac:dyDescent="0.35">
      <c r="A3655" s="271" t="s">
        <v>309</v>
      </c>
      <c r="B3655" s="272"/>
      <c r="C3655" s="272"/>
      <c r="D3655" s="272"/>
      <c r="E3655" s="272"/>
      <c r="G3655" s="271" t="s">
        <v>309</v>
      </c>
      <c r="H3655" s="272"/>
      <c r="I3655" s="272"/>
      <c r="J3655" s="272"/>
      <c r="K3655" s="272"/>
    </row>
    <row r="3656" spans="1:11" x14ac:dyDescent="0.35">
      <c r="A3656" s="269" t="s">
        <v>310</v>
      </c>
      <c r="B3656" s="270"/>
      <c r="C3656" s="270"/>
      <c r="D3656" s="270"/>
      <c r="E3656" s="270"/>
      <c r="G3656" s="269" t="s">
        <v>310</v>
      </c>
      <c r="H3656" s="270"/>
      <c r="I3656" s="270"/>
      <c r="J3656" s="270"/>
      <c r="K3656" s="270"/>
    </row>
    <row r="3657" spans="1:11" x14ac:dyDescent="0.35">
      <c r="A3657" s="271" t="s">
        <v>317</v>
      </c>
      <c r="B3657" s="272"/>
      <c r="C3657" s="272"/>
      <c r="D3657" s="272"/>
      <c r="E3657" s="272"/>
      <c r="G3657" s="271" t="s">
        <v>317</v>
      </c>
      <c r="H3657" s="272"/>
      <c r="I3657" s="272"/>
      <c r="J3657" s="272"/>
      <c r="K3657" s="272"/>
    </row>
    <row r="3658" spans="1:11" x14ac:dyDescent="0.35">
      <c r="A3658" s="269" t="s">
        <v>311</v>
      </c>
      <c r="B3658" s="270"/>
      <c r="C3658" s="270"/>
      <c r="D3658" s="270"/>
      <c r="E3658" s="270"/>
      <c r="G3658" s="269" t="s">
        <v>311</v>
      </c>
      <c r="H3658" s="270"/>
      <c r="I3658" s="270"/>
      <c r="J3658" s="270"/>
      <c r="K3658" s="270"/>
    </row>
    <row r="3659" spans="1:11" x14ac:dyDescent="0.35">
      <c r="A3659" s="271" t="s">
        <v>312</v>
      </c>
      <c r="B3659" s="272"/>
      <c r="C3659" s="272"/>
      <c r="D3659" s="272"/>
      <c r="E3659" s="272"/>
      <c r="G3659" s="271" t="s">
        <v>312</v>
      </c>
      <c r="H3659" s="272"/>
      <c r="I3659" s="272"/>
      <c r="J3659" s="272"/>
      <c r="K3659" s="272"/>
    </row>
    <row r="3660" spans="1:11" x14ac:dyDescent="0.35">
      <c r="A3660" s="231" t="s">
        <v>34</v>
      </c>
      <c r="B3660" s="230">
        <f>SUM(B3654:B3659)</f>
        <v>0</v>
      </c>
      <c r="C3660" s="230">
        <f>SUM(C3654:C3659)</f>
        <v>0</v>
      </c>
      <c r="D3660" s="230">
        <f>SUM(D3654:D3659)</f>
        <v>0</v>
      </c>
      <c r="E3660" s="230">
        <f>SUM(E3654:E3659)</f>
        <v>0</v>
      </c>
      <c r="G3660" s="231" t="s">
        <v>34</v>
      </c>
      <c r="H3660" s="230">
        <f>SUM(H3654:H3659)</f>
        <v>0</v>
      </c>
      <c r="I3660" s="230">
        <f>SUM(I3654:I3659)</f>
        <v>0</v>
      </c>
      <c r="J3660" s="230">
        <f>SUM(J3654:J3659)</f>
        <v>0</v>
      </c>
      <c r="K3660" s="230">
        <f>SUM(K3654:K3659)</f>
        <v>0</v>
      </c>
    </row>
    <row r="3661" spans="1:11" ht="15" thickBot="1" x14ac:dyDescent="0.4">
      <c r="A3661" s="231" t="s">
        <v>313</v>
      </c>
      <c r="B3661" s="230">
        <f>+B3660+C3660+D3660+E3660</f>
        <v>0</v>
      </c>
      <c r="C3661" s="230"/>
      <c r="D3661" s="230"/>
      <c r="E3661" s="230"/>
      <c r="G3661" s="231" t="s">
        <v>313</v>
      </c>
      <c r="H3661" s="230">
        <f>+H3660+I3660+J3660+K3660</f>
        <v>0</v>
      </c>
      <c r="I3661" s="230"/>
      <c r="J3661" s="230"/>
      <c r="K3661" s="230"/>
    </row>
    <row r="3662" spans="1:11" ht="15.5" thickTop="1" thickBot="1" x14ac:dyDescent="0.4">
      <c r="A3662" s="335" t="s">
        <v>298</v>
      </c>
      <c r="B3662" s="336"/>
      <c r="C3662" s="336"/>
      <c r="D3662" s="336"/>
      <c r="E3662" s="337"/>
      <c r="G3662" s="335" t="s">
        <v>298</v>
      </c>
      <c r="H3662" s="336"/>
      <c r="I3662" s="336"/>
      <c r="J3662" s="336"/>
      <c r="K3662" s="337"/>
    </row>
    <row r="3663" spans="1:11" ht="15.5" thickTop="1" thickBot="1" x14ac:dyDescent="0.4">
      <c r="A3663" s="338">
        <v>45622</v>
      </c>
      <c r="B3663" s="336"/>
      <c r="C3663" s="336"/>
      <c r="D3663" s="336"/>
      <c r="E3663" s="337"/>
      <c r="G3663" s="338">
        <v>45622</v>
      </c>
      <c r="H3663" s="336"/>
      <c r="I3663" s="336"/>
      <c r="J3663" s="336"/>
      <c r="K3663" s="337"/>
    </row>
    <row r="3664" spans="1:11" ht="15" thickTop="1" x14ac:dyDescent="0.35">
      <c r="A3664" s="267" t="s">
        <v>159</v>
      </c>
      <c r="B3664" s="267" t="s">
        <v>299</v>
      </c>
      <c r="C3664" s="267" t="s">
        <v>307</v>
      </c>
      <c r="D3664" s="267" t="s">
        <v>301</v>
      </c>
      <c r="E3664" s="268" t="s">
        <v>308</v>
      </c>
      <c r="G3664" s="267" t="s">
        <v>159</v>
      </c>
      <c r="H3664" s="267" t="s">
        <v>299</v>
      </c>
      <c r="I3664" s="267" t="s">
        <v>307</v>
      </c>
      <c r="J3664" s="267" t="s">
        <v>301</v>
      </c>
      <c r="K3664" s="268" t="s">
        <v>308</v>
      </c>
    </row>
    <row r="3665" spans="1:11" x14ac:dyDescent="0.35">
      <c r="A3665" s="269" t="s">
        <v>316</v>
      </c>
      <c r="B3665" s="270"/>
      <c r="C3665" s="270"/>
      <c r="D3665" s="270"/>
      <c r="E3665" s="270"/>
      <c r="G3665" s="269" t="s">
        <v>316</v>
      </c>
      <c r="H3665" s="270"/>
      <c r="I3665" s="270"/>
      <c r="J3665" s="270"/>
      <c r="K3665" s="270"/>
    </row>
    <row r="3666" spans="1:11" x14ac:dyDescent="0.35">
      <c r="A3666" s="271" t="s">
        <v>309</v>
      </c>
      <c r="B3666" s="272"/>
      <c r="C3666" s="272"/>
      <c r="D3666" s="272"/>
      <c r="E3666" s="272"/>
      <c r="G3666" s="271" t="s">
        <v>309</v>
      </c>
      <c r="H3666" s="272"/>
      <c r="I3666" s="272"/>
      <c r="J3666" s="272"/>
      <c r="K3666" s="272"/>
    </row>
    <row r="3667" spans="1:11" x14ac:dyDescent="0.35">
      <c r="A3667" s="269" t="s">
        <v>310</v>
      </c>
      <c r="B3667" s="270"/>
      <c r="C3667" s="270"/>
      <c r="D3667" s="270"/>
      <c r="E3667" s="270"/>
      <c r="G3667" s="269" t="s">
        <v>310</v>
      </c>
      <c r="H3667" s="270"/>
      <c r="I3667" s="270"/>
      <c r="J3667" s="270"/>
      <c r="K3667" s="270"/>
    </row>
    <row r="3668" spans="1:11" x14ac:dyDescent="0.35">
      <c r="A3668" s="271" t="s">
        <v>317</v>
      </c>
      <c r="B3668" s="272"/>
      <c r="C3668" s="272"/>
      <c r="D3668" s="272"/>
      <c r="E3668" s="272"/>
      <c r="G3668" s="271" t="s">
        <v>317</v>
      </c>
      <c r="H3668" s="272"/>
      <c r="I3668" s="272"/>
      <c r="J3668" s="272"/>
      <c r="K3668" s="272"/>
    </row>
    <row r="3669" spans="1:11" x14ac:dyDescent="0.35">
      <c r="A3669" s="269" t="s">
        <v>311</v>
      </c>
      <c r="B3669" s="270"/>
      <c r="C3669" s="270"/>
      <c r="D3669" s="270"/>
      <c r="E3669" s="270"/>
      <c r="G3669" s="269" t="s">
        <v>311</v>
      </c>
      <c r="H3669" s="270"/>
      <c r="I3669" s="270"/>
      <c r="J3669" s="270"/>
      <c r="K3669" s="270"/>
    </row>
    <row r="3670" spans="1:11" x14ac:dyDescent="0.35">
      <c r="A3670" s="271" t="s">
        <v>312</v>
      </c>
      <c r="B3670" s="272"/>
      <c r="C3670" s="272"/>
      <c r="D3670" s="272"/>
      <c r="E3670" s="272"/>
      <c r="G3670" s="271" t="s">
        <v>312</v>
      </c>
      <c r="H3670" s="272"/>
      <c r="I3670" s="272"/>
      <c r="J3670" s="272"/>
      <c r="K3670" s="272"/>
    </row>
    <row r="3671" spans="1:11" x14ac:dyDescent="0.35">
      <c r="A3671" s="231" t="s">
        <v>34</v>
      </c>
      <c r="B3671" s="230">
        <f>SUM(B3665:B3670)</f>
        <v>0</v>
      </c>
      <c r="C3671" s="230">
        <f>SUM(C3665:C3670)</f>
        <v>0</v>
      </c>
      <c r="D3671" s="230">
        <f>SUM(D3665:D3670)</f>
        <v>0</v>
      </c>
      <c r="E3671" s="230">
        <f>SUM(E3665:E3670)</f>
        <v>0</v>
      </c>
      <c r="G3671" s="231" t="s">
        <v>34</v>
      </c>
      <c r="H3671" s="230">
        <f>SUM(H3665:H3670)</f>
        <v>0</v>
      </c>
      <c r="I3671" s="230">
        <f>SUM(I3665:I3670)</f>
        <v>0</v>
      </c>
      <c r="J3671" s="230">
        <f>SUM(J3665:J3670)</f>
        <v>0</v>
      </c>
      <c r="K3671" s="230">
        <f>SUM(K3665:K3670)</f>
        <v>0</v>
      </c>
    </row>
    <row r="3672" spans="1:11" ht="15" thickBot="1" x14ac:dyDescent="0.4">
      <c r="A3672" s="231" t="s">
        <v>313</v>
      </c>
      <c r="B3672" s="230">
        <f>+B3671+C3671+D3671+E3671</f>
        <v>0</v>
      </c>
      <c r="C3672" s="230"/>
      <c r="D3672" s="230"/>
      <c r="E3672" s="230"/>
      <c r="G3672" s="231" t="s">
        <v>313</v>
      </c>
      <c r="H3672" s="230">
        <f>+H3671+I3671+J3671+K3671</f>
        <v>0</v>
      </c>
      <c r="I3672" s="230"/>
      <c r="J3672" s="230"/>
      <c r="K3672" s="230"/>
    </row>
    <row r="3673" spans="1:11" ht="15.5" thickTop="1" thickBot="1" x14ac:dyDescent="0.4">
      <c r="A3673" s="335" t="s">
        <v>298</v>
      </c>
      <c r="B3673" s="336"/>
      <c r="C3673" s="336"/>
      <c r="D3673" s="336"/>
      <c r="E3673" s="337"/>
      <c r="G3673" s="335" t="s">
        <v>298</v>
      </c>
      <c r="H3673" s="336"/>
      <c r="I3673" s="336"/>
      <c r="J3673" s="336"/>
      <c r="K3673" s="337"/>
    </row>
    <row r="3674" spans="1:11" ht="15.5" thickTop="1" thickBot="1" x14ac:dyDescent="0.4">
      <c r="A3674" s="338">
        <v>45623</v>
      </c>
      <c r="B3674" s="336"/>
      <c r="C3674" s="336"/>
      <c r="D3674" s="336"/>
      <c r="E3674" s="337"/>
      <c r="G3674" s="338">
        <v>45623</v>
      </c>
      <c r="H3674" s="336"/>
      <c r="I3674" s="336"/>
      <c r="J3674" s="336"/>
      <c r="K3674" s="337"/>
    </row>
    <row r="3675" spans="1:11" ht="15" thickTop="1" x14ac:dyDescent="0.35">
      <c r="A3675" s="267" t="s">
        <v>159</v>
      </c>
      <c r="B3675" s="267" t="s">
        <v>299</v>
      </c>
      <c r="C3675" s="267" t="s">
        <v>307</v>
      </c>
      <c r="D3675" s="267" t="s">
        <v>301</v>
      </c>
      <c r="E3675" s="268" t="s">
        <v>308</v>
      </c>
      <c r="G3675" s="267" t="s">
        <v>159</v>
      </c>
      <c r="H3675" s="267" t="s">
        <v>299</v>
      </c>
      <c r="I3675" s="267" t="s">
        <v>307</v>
      </c>
      <c r="J3675" s="267" t="s">
        <v>301</v>
      </c>
      <c r="K3675" s="268" t="s">
        <v>308</v>
      </c>
    </row>
    <row r="3676" spans="1:11" x14ac:dyDescent="0.35">
      <c r="A3676" s="269" t="s">
        <v>316</v>
      </c>
      <c r="B3676" s="270"/>
      <c r="C3676" s="270"/>
      <c r="D3676" s="270"/>
      <c r="E3676" s="270"/>
      <c r="G3676" s="269" t="s">
        <v>316</v>
      </c>
      <c r="H3676" s="270"/>
      <c r="I3676" s="270"/>
      <c r="J3676" s="270"/>
      <c r="K3676" s="270"/>
    </row>
    <row r="3677" spans="1:11" x14ac:dyDescent="0.35">
      <c r="A3677" s="271" t="s">
        <v>309</v>
      </c>
      <c r="B3677" s="272"/>
      <c r="C3677" s="272"/>
      <c r="D3677" s="272"/>
      <c r="E3677" s="272"/>
      <c r="G3677" s="271" t="s">
        <v>309</v>
      </c>
      <c r="H3677" s="272"/>
      <c r="I3677" s="272"/>
      <c r="J3677" s="272"/>
      <c r="K3677" s="272"/>
    </row>
    <row r="3678" spans="1:11" x14ac:dyDescent="0.35">
      <c r="A3678" s="269" t="s">
        <v>310</v>
      </c>
      <c r="B3678" s="270"/>
      <c r="C3678" s="270"/>
      <c r="D3678" s="270"/>
      <c r="E3678" s="270"/>
      <c r="G3678" s="269" t="s">
        <v>310</v>
      </c>
      <c r="H3678" s="270"/>
      <c r="I3678" s="270"/>
      <c r="J3678" s="270"/>
      <c r="K3678" s="270"/>
    </row>
    <row r="3679" spans="1:11" x14ac:dyDescent="0.35">
      <c r="A3679" s="271" t="s">
        <v>317</v>
      </c>
      <c r="B3679" s="272"/>
      <c r="C3679" s="272"/>
      <c r="D3679" s="272"/>
      <c r="E3679" s="272"/>
      <c r="G3679" s="271" t="s">
        <v>317</v>
      </c>
      <c r="H3679" s="272"/>
      <c r="I3679" s="272"/>
      <c r="J3679" s="272"/>
      <c r="K3679" s="272"/>
    </row>
    <row r="3680" spans="1:11" x14ac:dyDescent="0.35">
      <c r="A3680" s="269" t="s">
        <v>311</v>
      </c>
      <c r="B3680" s="270"/>
      <c r="C3680" s="270"/>
      <c r="D3680" s="270"/>
      <c r="E3680" s="270"/>
      <c r="G3680" s="269" t="s">
        <v>311</v>
      </c>
      <c r="H3680" s="270"/>
      <c r="I3680" s="270"/>
      <c r="J3680" s="270"/>
      <c r="K3680" s="270"/>
    </row>
    <row r="3681" spans="1:11" x14ac:dyDescent="0.35">
      <c r="A3681" s="271" t="s">
        <v>312</v>
      </c>
      <c r="B3681" s="272"/>
      <c r="C3681" s="272"/>
      <c r="D3681" s="272"/>
      <c r="E3681" s="272"/>
      <c r="G3681" s="271" t="s">
        <v>312</v>
      </c>
      <c r="H3681" s="272"/>
      <c r="I3681" s="272"/>
      <c r="J3681" s="272"/>
      <c r="K3681" s="272"/>
    </row>
    <row r="3682" spans="1:11" x14ac:dyDescent="0.35">
      <c r="A3682" s="231" t="s">
        <v>34</v>
      </c>
      <c r="B3682" s="230">
        <f>SUM(B3676:B3681)</f>
        <v>0</v>
      </c>
      <c r="C3682" s="230">
        <f>SUM(C3676:C3681)</f>
        <v>0</v>
      </c>
      <c r="D3682" s="230">
        <f>SUM(D3676:D3681)</f>
        <v>0</v>
      </c>
      <c r="E3682" s="230">
        <f>SUM(E3676:E3681)</f>
        <v>0</v>
      </c>
      <c r="G3682" s="231" t="s">
        <v>34</v>
      </c>
      <c r="H3682" s="230">
        <f>SUM(H3676:H3681)</f>
        <v>0</v>
      </c>
      <c r="I3682" s="230">
        <f>SUM(I3676:I3681)</f>
        <v>0</v>
      </c>
      <c r="J3682" s="230">
        <f>SUM(J3676:J3681)</f>
        <v>0</v>
      </c>
      <c r="K3682" s="230">
        <f>SUM(K3676:K3681)</f>
        <v>0</v>
      </c>
    </row>
    <row r="3683" spans="1:11" ht="15" thickBot="1" x14ac:dyDescent="0.4">
      <c r="A3683" s="231" t="s">
        <v>313</v>
      </c>
      <c r="B3683" s="230">
        <f>+B3682+C3682+D3682+E3682</f>
        <v>0</v>
      </c>
      <c r="C3683" s="230"/>
      <c r="D3683" s="230"/>
      <c r="E3683" s="230"/>
      <c r="G3683" s="231" t="s">
        <v>313</v>
      </c>
      <c r="H3683" s="230">
        <f>+H3682+I3682+J3682+K3682</f>
        <v>0</v>
      </c>
      <c r="I3683" s="230"/>
      <c r="J3683" s="230"/>
      <c r="K3683" s="230"/>
    </row>
    <row r="3684" spans="1:11" ht="15.5" thickTop="1" thickBot="1" x14ac:dyDescent="0.4">
      <c r="A3684" s="335" t="s">
        <v>298</v>
      </c>
      <c r="B3684" s="336"/>
      <c r="C3684" s="336"/>
      <c r="D3684" s="336"/>
      <c r="E3684" s="337"/>
      <c r="G3684" s="335" t="s">
        <v>298</v>
      </c>
      <c r="H3684" s="336"/>
      <c r="I3684" s="336"/>
      <c r="J3684" s="336"/>
      <c r="K3684" s="337"/>
    </row>
    <row r="3685" spans="1:11" ht="15.5" thickTop="1" thickBot="1" x14ac:dyDescent="0.4">
      <c r="A3685" s="338">
        <v>45624</v>
      </c>
      <c r="B3685" s="336"/>
      <c r="C3685" s="336"/>
      <c r="D3685" s="336"/>
      <c r="E3685" s="337"/>
      <c r="G3685" s="338">
        <v>45624</v>
      </c>
      <c r="H3685" s="336"/>
      <c r="I3685" s="336"/>
      <c r="J3685" s="336"/>
      <c r="K3685" s="337"/>
    </row>
    <row r="3686" spans="1:11" ht="15" thickTop="1" x14ac:dyDescent="0.35">
      <c r="A3686" s="267" t="s">
        <v>159</v>
      </c>
      <c r="B3686" s="267" t="s">
        <v>299</v>
      </c>
      <c r="C3686" s="267" t="s">
        <v>307</v>
      </c>
      <c r="D3686" s="267" t="s">
        <v>301</v>
      </c>
      <c r="E3686" s="268" t="s">
        <v>308</v>
      </c>
      <c r="G3686" s="267" t="s">
        <v>159</v>
      </c>
      <c r="H3686" s="267" t="s">
        <v>299</v>
      </c>
      <c r="I3686" s="267" t="s">
        <v>307</v>
      </c>
      <c r="J3686" s="267" t="s">
        <v>301</v>
      </c>
      <c r="K3686" s="268" t="s">
        <v>308</v>
      </c>
    </row>
    <row r="3687" spans="1:11" x14ac:dyDescent="0.35">
      <c r="A3687" s="269" t="s">
        <v>316</v>
      </c>
      <c r="B3687" s="270"/>
      <c r="C3687" s="270"/>
      <c r="D3687" s="270"/>
      <c r="E3687" s="270"/>
      <c r="G3687" s="269" t="s">
        <v>316</v>
      </c>
      <c r="H3687" s="270"/>
      <c r="I3687" s="270"/>
      <c r="J3687" s="270"/>
      <c r="K3687" s="270"/>
    </row>
    <row r="3688" spans="1:11" x14ac:dyDescent="0.35">
      <c r="A3688" s="271" t="s">
        <v>309</v>
      </c>
      <c r="B3688" s="272"/>
      <c r="C3688" s="272"/>
      <c r="D3688" s="272"/>
      <c r="E3688" s="272"/>
      <c r="G3688" s="271" t="s">
        <v>309</v>
      </c>
      <c r="H3688" s="272"/>
      <c r="I3688" s="272"/>
      <c r="J3688" s="272"/>
      <c r="K3688" s="272"/>
    </row>
    <row r="3689" spans="1:11" x14ac:dyDescent="0.35">
      <c r="A3689" s="269" t="s">
        <v>310</v>
      </c>
      <c r="B3689" s="270"/>
      <c r="C3689" s="270"/>
      <c r="D3689" s="270"/>
      <c r="E3689" s="270"/>
      <c r="G3689" s="269" t="s">
        <v>310</v>
      </c>
      <c r="H3689" s="270"/>
      <c r="I3689" s="270"/>
      <c r="J3689" s="270"/>
      <c r="K3689" s="270"/>
    </row>
    <row r="3690" spans="1:11" x14ac:dyDescent="0.35">
      <c r="A3690" s="271" t="s">
        <v>317</v>
      </c>
      <c r="B3690" s="272"/>
      <c r="C3690" s="272"/>
      <c r="D3690" s="272"/>
      <c r="E3690" s="272"/>
      <c r="G3690" s="271" t="s">
        <v>317</v>
      </c>
      <c r="H3690" s="272"/>
      <c r="I3690" s="272"/>
      <c r="J3690" s="272"/>
      <c r="K3690" s="272"/>
    </row>
    <row r="3691" spans="1:11" x14ac:dyDescent="0.35">
      <c r="A3691" s="269" t="s">
        <v>311</v>
      </c>
      <c r="B3691" s="270"/>
      <c r="C3691" s="270"/>
      <c r="D3691" s="270"/>
      <c r="E3691" s="270"/>
      <c r="G3691" s="269" t="s">
        <v>311</v>
      </c>
      <c r="H3691" s="270"/>
      <c r="I3691" s="270"/>
      <c r="J3691" s="270"/>
      <c r="K3691" s="270"/>
    </row>
    <row r="3692" spans="1:11" x14ac:dyDescent="0.35">
      <c r="A3692" s="271" t="s">
        <v>312</v>
      </c>
      <c r="B3692" s="272"/>
      <c r="C3692" s="272"/>
      <c r="D3692" s="272"/>
      <c r="E3692" s="272"/>
      <c r="G3692" s="271" t="s">
        <v>312</v>
      </c>
      <c r="H3692" s="272"/>
      <c r="I3692" s="272"/>
      <c r="J3692" s="272"/>
      <c r="K3692" s="272"/>
    </row>
    <row r="3693" spans="1:11" x14ac:dyDescent="0.35">
      <c r="A3693" s="231" t="s">
        <v>34</v>
      </c>
      <c r="B3693" s="230">
        <f>SUM(B3687:B3692)</f>
        <v>0</v>
      </c>
      <c r="C3693" s="230">
        <f>SUM(C3687:C3692)</f>
        <v>0</v>
      </c>
      <c r="D3693" s="230">
        <f>SUM(D3687:D3692)</f>
        <v>0</v>
      </c>
      <c r="E3693" s="230">
        <f>SUM(E3687:E3692)</f>
        <v>0</v>
      </c>
      <c r="G3693" s="231" t="s">
        <v>34</v>
      </c>
      <c r="H3693" s="230">
        <f>SUM(H3687:H3692)</f>
        <v>0</v>
      </c>
      <c r="I3693" s="230">
        <f>SUM(I3687:I3692)</f>
        <v>0</v>
      </c>
      <c r="J3693" s="230">
        <f>SUM(J3687:J3692)</f>
        <v>0</v>
      </c>
      <c r="K3693" s="230">
        <f>SUM(K3687:K3692)</f>
        <v>0</v>
      </c>
    </row>
    <row r="3694" spans="1:11" ht="15" thickBot="1" x14ac:dyDescent="0.4">
      <c r="A3694" s="231" t="s">
        <v>313</v>
      </c>
      <c r="B3694" s="230">
        <f>+B3693+C3693+D3693+E3693</f>
        <v>0</v>
      </c>
      <c r="C3694" s="230"/>
      <c r="D3694" s="230"/>
      <c r="E3694" s="230"/>
      <c r="G3694" s="231" t="s">
        <v>313</v>
      </c>
      <c r="H3694" s="230">
        <f>+H3693+I3693+J3693+K3693</f>
        <v>0</v>
      </c>
      <c r="I3694" s="230"/>
      <c r="J3694" s="230"/>
      <c r="K3694" s="230"/>
    </row>
    <row r="3695" spans="1:11" ht="15.5" thickTop="1" thickBot="1" x14ac:dyDescent="0.4">
      <c r="A3695" s="335" t="s">
        <v>298</v>
      </c>
      <c r="B3695" s="336"/>
      <c r="C3695" s="336"/>
      <c r="D3695" s="336"/>
      <c r="E3695" s="337"/>
      <c r="G3695" s="335" t="s">
        <v>298</v>
      </c>
      <c r="H3695" s="336"/>
      <c r="I3695" s="336"/>
      <c r="J3695" s="336"/>
      <c r="K3695" s="337"/>
    </row>
    <row r="3696" spans="1:11" ht="15.5" thickTop="1" thickBot="1" x14ac:dyDescent="0.4">
      <c r="A3696" s="338">
        <v>45625</v>
      </c>
      <c r="B3696" s="336"/>
      <c r="C3696" s="336"/>
      <c r="D3696" s="336"/>
      <c r="E3696" s="337"/>
      <c r="G3696" s="338">
        <v>45625</v>
      </c>
      <c r="H3696" s="336"/>
      <c r="I3696" s="336"/>
      <c r="J3696" s="336"/>
      <c r="K3696" s="337"/>
    </row>
    <row r="3697" spans="1:11" ht="15" thickTop="1" x14ac:dyDescent="0.35">
      <c r="A3697" s="267" t="s">
        <v>159</v>
      </c>
      <c r="B3697" s="267" t="s">
        <v>299</v>
      </c>
      <c r="C3697" s="267" t="s">
        <v>307</v>
      </c>
      <c r="D3697" s="267" t="s">
        <v>301</v>
      </c>
      <c r="E3697" s="268" t="s">
        <v>308</v>
      </c>
      <c r="G3697" s="267" t="s">
        <v>159</v>
      </c>
      <c r="H3697" s="267" t="s">
        <v>299</v>
      </c>
      <c r="I3697" s="267" t="s">
        <v>307</v>
      </c>
      <c r="J3697" s="267" t="s">
        <v>301</v>
      </c>
      <c r="K3697" s="268" t="s">
        <v>308</v>
      </c>
    </row>
    <row r="3698" spans="1:11" x14ac:dyDescent="0.35">
      <c r="A3698" s="269" t="s">
        <v>316</v>
      </c>
      <c r="B3698" s="270"/>
      <c r="C3698" s="270"/>
      <c r="D3698" s="270"/>
      <c r="E3698" s="270"/>
      <c r="G3698" s="269" t="s">
        <v>316</v>
      </c>
      <c r="H3698" s="270"/>
      <c r="I3698" s="270"/>
      <c r="J3698" s="270"/>
      <c r="K3698" s="270"/>
    </row>
    <row r="3699" spans="1:11" x14ac:dyDescent="0.35">
      <c r="A3699" s="271" t="s">
        <v>309</v>
      </c>
      <c r="B3699" s="272"/>
      <c r="C3699" s="272"/>
      <c r="D3699" s="272"/>
      <c r="E3699" s="272"/>
      <c r="G3699" s="271" t="s">
        <v>309</v>
      </c>
      <c r="H3699" s="272"/>
      <c r="I3699" s="272"/>
      <c r="J3699" s="272"/>
      <c r="K3699" s="272"/>
    </row>
    <row r="3700" spans="1:11" x14ac:dyDescent="0.35">
      <c r="A3700" s="269" t="s">
        <v>310</v>
      </c>
      <c r="B3700" s="270"/>
      <c r="C3700" s="270"/>
      <c r="D3700" s="270"/>
      <c r="E3700" s="270"/>
      <c r="G3700" s="269" t="s">
        <v>310</v>
      </c>
      <c r="H3700" s="270"/>
      <c r="I3700" s="270"/>
      <c r="J3700" s="270"/>
      <c r="K3700" s="270"/>
    </row>
    <row r="3701" spans="1:11" x14ac:dyDescent="0.35">
      <c r="A3701" s="271" t="s">
        <v>317</v>
      </c>
      <c r="B3701" s="272"/>
      <c r="C3701" s="272"/>
      <c r="D3701" s="272"/>
      <c r="E3701" s="272"/>
      <c r="G3701" s="271" t="s">
        <v>317</v>
      </c>
      <c r="H3701" s="272"/>
      <c r="I3701" s="272"/>
      <c r="J3701" s="272"/>
      <c r="K3701" s="272"/>
    </row>
    <row r="3702" spans="1:11" x14ac:dyDescent="0.35">
      <c r="A3702" s="269" t="s">
        <v>311</v>
      </c>
      <c r="B3702" s="270"/>
      <c r="C3702" s="270"/>
      <c r="D3702" s="270"/>
      <c r="E3702" s="270"/>
      <c r="G3702" s="269" t="s">
        <v>311</v>
      </c>
      <c r="H3702" s="270"/>
      <c r="I3702" s="270"/>
      <c r="J3702" s="270"/>
      <c r="K3702" s="270"/>
    </row>
    <row r="3703" spans="1:11" x14ac:dyDescent="0.35">
      <c r="A3703" s="271" t="s">
        <v>312</v>
      </c>
      <c r="B3703" s="272"/>
      <c r="C3703" s="272"/>
      <c r="D3703" s="272"/>
      <c r="E3703" s="272"/>
      <c r="G3703" s="271" t="s">
        <v>312</v>
      </c>
      <c r="H3703" s="272"/>
      <c r="I3703" s="272"/>
      <c r="J3703" s="272"/>
      <c r="K3703" s="272"/>
    </row>
    <row r="3704" spans="1:11" x14ac:dyDescent="0.35">
      <c r="A3704" s="231" t="s">
        <v>34</v>
      </c>
      <c r="B3704" s="230">
        <f>SUM(B3698:B3703)</f>
        <v>0</v>
      </c>
      <c r="C3704" s="230">
        <f>SUM(C3698:C3703)</f>
        <v>0</v>
      </c>
      <c r="D3704" s="230">
        <f>SUM(D3698:D3703)</f>
        <v>0</v>
      </c>
      <c r="E3704" s="230">
        <f>SUM(E3698:E3703)</f>
        <v>0</v>
      </c>
      <c r="G3704" s="231" t="s">
        <v>34</v>
      </c>
      <c r="H3704" s="230">
        <f>SUM(H3698:H3703)</f>
        <v>0</v>
      </c>
      <c r="I3704" s="230">
        <f>SUM(I3698:I3703)</f>
        <v>0</v>
      </c>
      <c r="J3704" s="230">
        <f>SUM(J3698:J3703)</f>
        <v>0</v>
      </c>
      <c r="K3704" s="230">
        <f>SUM(K3698:K3703)</f>
        <v>0</v>
      </c>
    </row>
    <row r="3705" spans="1:11" ht="15" thickBot="1" x14ac:dyDescent="0.4">
      <c r="A3705" s="231" t="s">
        <v>313</v>
      </c>
      <c r="B3705" s="230">
        <f>+B3704+C3704+D3704+E3704</f>
        <v>0</v>
      </c>
      <c r="C3705" s="230"/>
      <c r="D3705" s="230"/>
      <c r="E3705" s="230"/>
      <c r="G3705" s="231" t="s">
        <v>313</v>
      </c>
      <c r="H3705" s="230">
        <f>+H3704+I3704+J3704+K3704</f>
        <v>0</v>
      </c>
      <c r="I3705" s="230"/>
      <c r="J3705" s="230"/>
      <c r="K3705" s="230"/>
    </row>
    <row r="3706" spans="1:11" ht="15.5" thickTop="1" thickBot="1" x14ac:dyDescent="0.4">
      <c r="A3706" s="335" t="s">
        <v>298</v>
      </c>
      <c r="B3706" s="336"/>
      <c r="C3706" s="336"/>
      <c r="D3706" s="336"/>
      <c r="E3706" s="337"/>
      <c r="G3706" s="335" t="s">
        <v>298</v>
      </c>
      <c r="H3706" s="336"/>
      <c r="I3706" s="336"/>
      <c r="J3706" s="336"/>
      <c r="K3706" s="337"/>
    </row>
    <row r="3707" spans="1:11" ht="15.5" thickTop="1" thickBot="1" x14ac:dyDescent="0.4">
      <c r="A3707" s="338">
        <v>45626</v>
      </c>
      <c r="B3707" s="336"/>
      <c r="C3707" s="336"/>
      <c r="D3707" s="336"/>
      <c r="E3707" s="337"/>
      <c r="G3707" s="338">
        <v>45626</v>
      </c>
      <c r="H3707" s="336"/>
      <c r="I3707" s="336"/>
      <c r="J3707" s="336"/>
      <c r="K3707" s="337"/>
    </row>
    <row r="3708" spans="1:11" ht="15" thickTop="1" x14ac:dyDescent="0.35">
      <c r="A3708" s="267" t="s">
        <v>159</v>
      </c>
      <c r="B3708" s="267" t="s">
        <v>299</v>
      </c>
      <c r="C3708" s="267" t="s">
        <v>307</v>
      </c>
      <c r="D3708" s="267" t="s">
        <v>301</v>
      </c>
      <c r="E3708" s="268" t="s">
        <v>308</v>
      </c>
      <c r="G3708" s="267" t="s">
        <v>159</v>
      </c>
      <c r="H3708" s="267" t="s">
        <v>299</v>
      </c>
      <c r="I3708" s="267" t="s">
        <v>307</v>
      </c>
      <c r="J3708" s="267" t="s">
        <v>301</v>
      </c>
      <c r="K3708" s="268" t="s">
        <v>308</v>
      </c>
    </row>
    <row r="3709" spans="1:11" x14ac:dyDescent="0.35">
      <c r="A3709" s="269" t="s">
        <v>316</v>
      </c>
      <c r="B3709" s="270"/>
      <c r="C3709" s="270"/>
      <c r="D3709" s="270"/>
      <c r="E3709" s="270"/>
      <c r="G3709" s="269" t="s">
        <v>316</v>
      </c>
      <c r="H3709" s="270"/>
      <c r="I3709" s="270"/>
      <c r="J3709" s="270"/>
      <c r="K3709" s="270"/>
    </row>
    <row r="3710" spans="1:11" x14ac:dyDescent="0.35">
      <c r="A3710" s="271" t="s">
        <v>309</v>
      </c>
      <c r="B3710" s="272"/>
      <c r="C3710" s="272"/>
      <c r="D3710" s="272"/>
      <c r="E3710" s="272"/>
      <c r="G3710" s="271" t="s">
        <v>309</v>
      </c>
      <c r="H3710" s="272"/>
      <c r="I3710" s="272"/>
      <c r="J3710" s="272"/>
      <c r="K3710" s="272"/>
    </row>
    <row r="3711" spans="1:11" x14ac:dyDescent="0.35">
      <c r="A3711" s="269" t="s">
        <v>310</v>
      </c>
      <c r="B3711" s="270"/>
      <c r="C3711" s="270"/>
      <c r="D3711" s="270"/>
      <c r="E3711" s="270"/>
      <c r="G3711" s="269" t="s">
        <v>310</v>
      </c>
      <c r="H3711" s="270"/>
      <c r="I3711" s="270"/>
      <c r="J3711" s="270"/>
      <c r="K3711" s="270"/>
    </row>
    <row r="3712" spans="1:11" x14ac:dyDescent="0.35">
      <c r="A3712" s="271" t="s">
        <v>317</v>
      </c>
      <c r="B3712" s="272"/>
      <c r="C3712" s="272"/>
      <c r="D3712" s="272"/>
      <c r="E3712" s="272"/>
      <c r="G3712" s="271" t="s">
        <v>317</v>
      </c>
      <c r="H3712" s="272"/>
      <c r="I3712" s="272"/>
      <c r="J3712" s="272"/>
      <c r="K3712" s="272"/>
    </row>
    <row r="3713" spans="1:13" x14ac:dyDescent="0.35">
      <c r="A3713" s="269" t="s">
        <v>311</v>
      </c>
      <c r="B3713" s="270"/>
      <c r="C3713" s="270"/>
      <c r="D3713" s="270"/>
      <c r="E3713" s="270"/>
      <c r="G3713" s="269" t="s">
        <v>311</v>
      </c>
      <c r="H3713" s="270"/>
      <c r="I3713" s="270"/>
      <c r="J3713" s="270"/>
      <c r="K3713" s="270"/>
    </row>
    <row r="3714" spans="1:13" x14ac:dyDescent="0.35">
      <c r="A3714" s="271" t="s">
        <v>312</v>
      </c>
      <c r="B3714" s="272"/>
      <c r="C3714" s="272"/>
      <c r="D3714" s="272"/>
      <c r="E3714" s="272"/>
      <c r="G3714" s="271" t="s">
        <v>312</v>
      </c>
      <c r="H3714" s="272"/>
      <c r="I3714" s="272"/>
      <c r="J3714" s="272"/>
      <c r="K3714" s="272"/>
    </row>
    <row r="3715" spans="1:13" x14ac:dyDescent="0.35">
      <c r="A3715" s="231" t="s">
        <v>34</v>
      </c>
      <c r="B3715" s="230">
        <f>SUM(B3709:B3714)</f>
        <v>0</v>
      </c>
      <c r="C3715" s="230">
        <f>SUM(C3709:C3714)</f>
        <v>0</v>
      </c>
      <c r="D3715" s="230">
        <f>SUM(D3709:D3714)</f>
        <v>0</v>
      </c>
      <c r="E3715" s="230">
        <f>SUM(E3709:E3714)</f>
        <v>0</v>
      </c>
      <c r="G3715" s="231" t="s">
        <v>34</v>
      </c>
      <c r="H3715" s="230">
        <f>SUM(H3709:H3714)</f>
        <v>0</v>
      </c>
      <c r="I3715" s="230">
        <f>SUM(I3709:I3714)</f>
        <v>0</v>
      </c>
      <c r="J3715" s="230">
        <f>SUM(J3709:J3714)</f>
        <v>0</v>
      </c>
      <c r="K3715" s="230">
        <f>SUM(K3709:K3714)</f>
        <v>0</v>
      </c>
    </row>
    <row r="3716" spans="1:13" x14ac:dyDescent="0.35">
      <c r="A3716" s="231" t="s">
        <v>313</v>
      </c>
      <c r="B3716" s="230">
        <f>+B3715+C3715+D3715+E3715</f>
        <v>0</v>
      </c>
      <c r="C3716" s="230"/>
      <c r="D3716" s="230"/>
      <c r="E3716" s="230"/>
      <c r="G3716" s="231" t="s">
        <v>313</v>
      </c>
      <c r="H3716" s="230">
        <f>+H3715+I3715+J3715+K3715</f>
        <v>0</v>
      </c>
      <c r="I3716" s="230"/>
      <c r="J3716" s="230"/>
      <c r="K3716" s="230"/>
    </row>
    <row r="3717" spans="1:13" ht="15" thickBot="1" x14ac:dyDescent="0.4">
      <c r="A3717" s="47"/>
      <c r="B3717" s="47"/>
      <c r="C3717" s="47"/>
      <c r="D3717" s="47"/>
      <c r="E3717" s="47"/>
      <c r="F3717" s="47"/>
      <c r="G3717" s="47"/>
      <c r="H3717" s="47"/>
      <c r="I3717" s="47"/>
      <c r="J3717" s="47"/>
      <c r="K3717" s="47"/>
    </row>
    <row r="3718" spans="1:13" ht="34" customHeight="1" thickBot="1" x14ac:dyDescent="0.4">
      <c r="A3718" s="327" t="s">
        <v>332</v>
      </c>
      <c r="B3718" s="328"/>
      <c r="C3718" s="328"/>
      <c r="D3718" s="328"/>
      <c r="E3718" s="328"/>
      <c r="F3718" s="329"/>
      <c r="G3718" s="330">
        <f>SUMIF($A$3388:M3716,"*"&amp;K3718&amp;"*",$B$3388:N3716)</f>
        <v>0</v>
      </c>
      <c r="H3718" s="331"/>
      <c r="I3718" s="331"/>
      <c r="J3718" s="332"/>
      <c r="K3718" s="333" t="s">
        <v>313</v>
      </c>
      <c r="L3718" s="334"/>
      <c r="M3718" s="233">
        <f>+G3718</f>
        <v>0</v>
      </c>
    </row>
    <row r="3719" spans="1:13" x14ac:dyDescent="0.35">
      <c r="A3719" s="47"/>
      <c r="B3719" s="47"/>
      <c r="C3719" s="47"/>
      <c r="D3719" s="47"/>
      <c r="E3719" s="47"/>
      <c r="F3719" s="47"/>
      <c r="G3719" s="47"/>
      <c r="H3719" s="47"/>
      <c r="I3719" s="47"/>
      <c r="J3719" s="47"/>
      <c r="K3719" s="47"/>
    </row>
    <row r="3720" spans="1:13" ht="15" thickBot="1" x14ac:dyDescent="0.4">
      <c r="A3720" s="47"/>
      <c r="B3720" s="47"/>
      <c r="C3720" s="47"/>
      <c r="D3720" s="47"/>
      <c r="E3720" s="47"/>
      <c r="F3720" s="47"/>
      <c r="G3720" s="47"/>
      <c r="H3720" s="47"/>
      <c r="I3720" s="47"/>
      <c r="J3720" s="47"/>
      <c r="K3720" s="47"/>
    </row>
    <row r="3721" spans="1:13" ht="15.5" thickTop="1" thickBot="1" x14ac:dyDescent="0.4">
      <c r="A3721" s="335" t="s">
        <v>298</v>
      </c>
      <c r="B3721" s="336"/>
      <c r="C3721" s="336"/>
      <c r="D3721" s="336"/>
      <c r="E3721" s="337"/>
      <c r="G3721" s="335" t="s">
        <v>298</v>
      </c>
      <c r="H3721" s="336"/>
      <c r="I3721" s="336"/>
      <c r="J3721" s="336"/>
      <c r="K3721" s="337"/>
    </row>
    <row r="3722" spans="1:13" ht="15.5" thickTop="1" thickBot="1" x14ac:dyDescent="0.4">
      <c r="A3722" s="338">
        <v>45627</v>
      </c>
      <c r="B3722" s="336"/>
      <c r="C3722" s="336"/>
      <c r="D3722" s="336"/>
      <c r="E3722" s="337"/>
      <c r="G3722" s="338">
        <v>45627</v>
      </c>
      <c r="H3722" s="336"/>
      <c r="I3722" s="336"/>
      <c r="J3722" s="336"/>
      <c r="K3722" s="337"/>
    </row>
    <row r="3723" spans="1:13" ht="15" thickTop="1" x14ac:dyDescent="0.35">
      <c r="A3723" s="267" t="s">
        <v>159</v>
      </c>
      <c r="B3723" s="267" t="s">
        <v>299</v>
      </c>
      <c r="C3723" s="267" t="s">
        <v>307</v>
      </c>
      <c r="D3723" s="267" t="s">
        <v>301</v>
      </c>
      <c r="E3723" s="268" t="s">
        <v>308</v>
      </c>
      <c r="G3723" s="267" t="s">
        <v>159</v>
      </c>
      <c r="H3723" s="267" t="s">
        <v>299</v>
      </c>
      <c r="I3723" s="267" t="s">
        <v>307</v>
      </c>
      <c r="J3723" s="267" t="s">
        <v>301</v>
      </c>
      <c r="K3723" s="268" t="s">
        <v>308</v>
      </c>
    </row>
    <row r="3724" spans="1:13" x14ac:dyDescent="0.35">
      <c r="A3724" s="269" t="s">
        <v>316</v>
      </c>
      <c r="B3724" s="270"/>
      <c r="C3724" s="270"/>
      <c r="D3724" s="270"/>
      <c r="E3724" s="270"/>
      <c r="G3724" s="269" t="s">
        <v>316</v>
      </c>
      <c r="H3724" s="270"/>
      <c r="I3724" s="270"/>
      <c r="J3724" s="270"/>
      <c r="K3724" s="270"/>
    </row>
    <row r="3725" spans="1:13" x14ac:dyDescent="0.35">
      <c r="A3725" s="271" t="s">
        <v>309</v>
      </c>
      <c r="B3725" s="272"/>
      <c r="C3725" s="272"/>
      <c r="D3725" s="272"/>
      <c r="E3725" s="272"/>
      <c r="G3725" s="271" t="s">
        <v>309</v>
      </c>
      <c r="H3725" s="272"/>
      <c r="I3725" s="272"/>
      <c r="J3725" s="272"/>
      <c r="K3725" s="272"/>
    </row>
    <row r="3726" spans="1:13" x14ac:dyDescent="0.35">
      <c r="A3726" s="269" t="s">
        <v>310</v>
      </c>
      <c r="B3726" s="270"/>
      <c r="C3726" s="270"/>
      <c r="D3726" s="270"/>
      <c r="E3726" s="270"/>
      <c r="G3726" s="269" t="s">
        <v>310</v>
      </c>
      <c r="H3726" s="270"/>
      <c r="I3726" s="270"/>
      <c r="J3726" s="270"/>
      <c r="K3726" s="270"/>
    </row>
    <row r="3727" spans="1:13" x14ac:dyDescent="0.35">
      <c r="A3727" s="271" t="s">
        <v>317</v>
      </c>
      <c r="B3727" s="272"/>
      <c r="C3727" s="272"/>
      <c r="D3727" s="272"/>
      <c r="E3727" s="272"/>
      <c r="G3727" s="271" t="s">
        <v>317</v>
      </c>
      <c r="H3727" s="272"/>
      <c r="I3727" s="272"/>
      <c r="J3727" s="272"/>
      <c r="K3727" s="272"/>
    </row>
    <row r="3728" spans="1:13" x14ac:dyDescent="0.35">
      <c r="A3728" s="269" t="s">
        <v>311</v>
      </c>
      <c r="B3728" s="270"/>
      <c r="C3728" s="270"/>
      <c r="D3728" s="270"/>
      <c r="E3728" s="270"/>
      <c r="G3728" s="269" t="s">
        <v>311</v>
      </c>
      <c r="H3728" s="270"/>
      <c r="I3728" s="270"/>
      <c r="J3728" s="270"/>
      <c r="K3728" s="270"/>
    </row>
    <row r="3729" spans="1:11" x14ac:dyDescent="0.35">
      <c r="A3729" s="271" t="s">
        <v>312</v>
      </c>
      <c r="B3729" s="272"/>
      <c r="C3729" s="272"/>
      <c r="D3729" s="272"/>
      <c r="E3729" s="272"/>
      <c r="G3729" s="271" t="s">
        <v>312</v>
      </c>
      <c r="H3729" s="272"/>
      <c r="I3729" s="272"/>
      <c r="J3729" s="272"/>
      <c r="K3729" s="272"/>
    </row>
    <row r="3730" spans="1:11" x14ac:dyDescent="0.35">
      <c r="A3730" s="231" t="s">
        <v>34</v>
      </c>
      <c r="B3730" s="230">
        <f>SUM(B3724:B3729)</f>
        <v>0</v>
      </c>
      <c r="C3730" s="230">
        <f>SUM(C3724:C3729)</f>
        <v>0</v>
      </c>
      <c r="D3730" s="230">
        <f>SUM(D3724:D3729)</f>
        <v>0</v>
      </c>
      <c r="E3730" s="230">
        <f>SUM(E3724:E3729)</f>
        <v>0</v>
      </c>
      <c r="G3730" s="231" t="s">
        <v>34</v>
      </c>
      <c r="H3730" s="230">
        <f>SUM(H3724:H3729)</f>
        <v>0</v>
      </c>
      <c r="I3730" s="230">
        <f>SUM(I3724:I3729)</f>
        <v>0</v>
      </c>
      <c r="J3730" s="230">
        <f>SUM(J3724:J3729)</f>
        <v>0</v>
      </c>
      <c r="K3730" s="230">
        <f>SUM(K3724:K3729)</f>
        <v>0</v>
      </c>
    </row>
    <row r="3731" spans="1:11" ht="15" thickBot="1" x14ac:dyDescent="0.4">
      <c r="A3731" s="231" t="s">
        <v>313</v>
      </c>
      <c r="B3731" s="230">
        <f>+B3730+C3730+D3730+E3730</f>
        <v>0</v>
      </c>
      <c r="C3731" s="230"/>
      <c r="D3731" s="230"/>
      <c r="E3731" s="230"/>
      <c r="G3731" s="231" t="s">
        <v>313</v>
      </c>
      <c r="H3731" s="230">
        <f>+H3730+I3730+J3730+K3730</f>
        <v>0</v>
      </c>
      <c r="I3731" s="230"/>
      <c r="J3731" s="230"/>
      <c r="K3731" s="230"/>
    </row>
    <row r="3732" spans="1:11" ht="15.5" thickTop="1" thickBot="1" x14ac:dyDescent="0.4">
      <c r="A3732" s="335" t="s">
        <v>298</v>
      </c>
      <c r="B3732" s="336"/>
      <c r="C3732" s="336"/>
      <c r="D3732" s="336"/>
      <c r="E3732" s="337"/>
      <c r="G3732" s="335" t="s">
        <v>298</v>
      </c>
      <c r="H3732" s="336"/>
      <c r="I3732" s="336"/>
      <c r="J3732" s="336"/>
      <c r="K3732" s="337"/>
    </row>
    <row r="3733" spans="1:11" ht="15.5" thickTop="1" thickBot="1" x14ac:dyDescent="0.4">
      <c r="A3733" s="338">
        <v>45628</v>
      </c>
      <c r="B3733" s="336"/>
      <c r="C3733" s="336"/>
      <c r="D3733" s="336"/>
      <c r="E3733" s="337"/>
      <c r="G3733" s="338">
        <v>45628</v>
      </c>
      <c r="H3733" s="336"/>
      <c r="I3733" s="336"/>
      <c r="J3733" s="336"/>
      <c r="K3733" s="337"/>
    </row>
    <row r="3734" spans="1:11" ht="15" thickTop="1" x14ac:dyDescent="0.35">
      <c r="A3734" s="267" t="s">
        <v>159</v>
      </c>
      <c r="B3734" s="267" t="s">
        <v>299</v>
      </c>
      <c r="C3734" s="267" t="s">
        <v>307</v>
      </c>
      <c r="D3734" s="267" t="s">
        <v>301</v>
      </c>
      <c r="E3734" s="268" t="s">
        <v>308</v>
      </c>
      <c r="G3734" s="267" t="s">
        <v>159</v>
      </c>
      <c r="H3734" s="267" t="s">
        <v>299</v>
      </c>
      <c r="I3734" s="267" t="s">
        <v>307</v>
      </c>
      <c r="J3734" s="267" t="s">
        <v>301</v>
      </c>
      <c r="K3734" s="268" t="s">
        <v>308</v>
      </c>
    </row>
    <row r="3735" spans="1:11" x14ac:dyDescent="0.35">
      <c r="A3735" s="269" t="s">
        <v>316</v>
      </c>
      <c r="B3735" s="270"/>
      <c r="C3735" s="270"/>
      <c r="D3735" s="270"/>
      <c r="E3735" s="270"/>
      <c r="G3735" s="269" t="s">
        <v>316</v>
      </c>
      <c r="H3735" s="270"/>
      <c r="I3735" s="270"/>
      <c r="J3735" s="270"/>
      <c r="K3735" s="270"/>
    </row>
    <row r="3736" spans="1:11" x14ac:dyDescent="0.35">
      <c r="A3736" s="271" t="s">
        <v>309</v>
      </c>
      <c r="B3736" s="272"/>
      <c r="C3736" s="272"/>
      <c r="D3736" s="272"/>
      <c r="E3736" s="272"/>
      <c r="G3736" s="271" t="s">
        <v>309</v>
      </c>
      <c r="H3736" s="272"/>
      <c r="I3736" s="272"/>
      <c r="J3736" s="272"/>
      <c r="K3736" s="272"/>
    </row>
    <row r="3737" spans="1:11" x14ac:dyDescent="0.35">
      <c r="A3737" s="269" t="s">
        <v>310</v>
      </c>
      <c r="B3737" s="270"/>
      <c r="C3737" s="270"/>
      <c r="D3737" s="270"/>
      <c r="E3737" s="270"/>
      <c r="G3737" s="269" t="s">
        <v>310</v>
      </c>
      <c r="H3737" s="270"/>
      <c r="I3737" s="270"/>
      <c r="J3737" s="270"/>
      <c r="K3737" s="270"/>
    </row>
    <row r="3738" spans="1:11" x14ac:dyDescent="0.35">
      <c r="A3738" s="271" t="s">
        <v>317</v>
      </c>
      <c r="B3738" s="272"/>
      <c r="C3738" s="272"/>
      <c r="D3738" s="272"/>
      <c r="E3738" s="272"/>
      <c r="G3738" s="271" t="s">
        <v>317</v>
      </c>
      <c r="H3738" s="272"/>
      <c r="I3738" s="272"/>
      <c r="J3738" s="272"/>
      <c r="K3738" s="272"/>
    </row>
    <row r="3739" spans="1:11" x14ac:dyDescent="0.35">
      <c r="A3739" s="269" t="s">
        <v>311</v>
      </c>
      <c r="B3739" s="270"/>
      <c r="C3739" s="270"/>
      <c r="D3739" s="270"/>
      <c r="E3739" s="270"/>
      <c r="G3739" s="269" t="s">
        <v>311</v>
      </c>
      <c r="H3739" s="270"/>
      <c r="I3739" s="270"/>
      <c r="J3739" s="270"/>
      <c r="K3739" s="270"/>
    </row>
    <row r="3740" spans="1:11" x14ac:dyDescent="0.35">
      <c r="A3740" s="271" t="s">
        <v>312</v>
      </c>
      <c r="B3740" s="272"/>
      <c r="C3740" s="272"/>
      <c r="D3740" s="272"/>
      <c r="E3740" s="272"/>
      <c r="G3740" s="271" t="s">
        <v>312</v>
      </c>
      <c r="H3740" s="272"/>
      <c r="I3740" s="272"/>
      <c r="J3740" s="272"/>
      <c r="K3740" s="272"/>
    </row>
    <row r="3741" spans="1:11" x14ac:dyDescent="0.35">
      <c r="A3741" s="231" t="s">
        <v>34</v>
      </c>
      <c r="B3741" s="230">
        <f>SUM(B3735:B3740)</f>
        <v>0</v>
      </c>
      <c r="C3741" s="230">
        <f>SUM(C3735:C3740)</f>
        <v>0</v>
      </c>
      <c r="D3741" s="230">
        <f>SUM(D3735:D3740)</f>
        <v>0</v>
      </c>
      <c r="E3741" s="230">
        <f>SUM(E3735:E3740)</f>
        <v>0</v>
      </c>
      <c r="G3741" s="231" t="s">
        <v>34</v>
      </c>
      <c r="H3741" s="230">
        <f>SUM(H3735:H3740)</f>
        <v>0</v>
      </c>
      <c r="I3741" s="230">
        <f>SUM(I3735:I3740)</f>
        <v>0</v>
      </c>
      <c r="J3741" s="230">
        <f>SUM(J3735:J3740)</f>
        <v>0</v>
      </c>
      <c r="K3741" s="230">
        <f>SUM(K3735:K3740)</f>
        <v>0</v>
      </c>
    </row>
    <row r="3742" spans="1:11" ht="15" thickBot="1" x14ac:dyDescent="0.4">
      <c r="A3742" s="231" t="s">
        <v>313</v>
      </c>
      <c r="B3742" s="230">
        <f>+B3741+C3741+D3741+E3741</f>
        <v>0</v>
      </c>
      <c r="C3742" s="230"/>
      <c r="D3742" s="230"/>
      <c r="E3742" s="230"/>
      <c r="G3742" s="231" t="s">
        <v>313</v>
      </c>
      <c r="H3742" s="230">
        <f>+H3741+I3741+J3741+K3741</f>
        <v>0</v>
      </c>
      <c r="I3742" s="230"/>
      <c r="J3742" s="230"/>
      <c r="K3742" s="230"/>
    </row>
    <row r="3743" spans="1:11" ht="15.5" thickTop="1" thickBot="1" x14ac:dyDescent="0.4">
      <c r="A3743" s="335" t="s">
        <v>298</v>
      </c>
      <c r="B3743" s="336"/>
      <c r="C3743" s="336"/>
      <c r="D3743" s="336"/>
      <c r="E3743" s="337"/>
      <c r="G3743" s="335" t="s">
        <v>298</v>
      </c>
      <c r="H3743" s="336"/>
      <c r="I3743" s="336"/>
      <c r="J3743" s="336"/>
      <c r="K3743" s="337"/>
    </row>
    <row r="3744" spans="1:11" ht="15.5" thickTop="1" thickBot="1" x14ac:dyDescent="0.4">
      <c r="A3744" s="338">
        <v>45629</v>
      </c>
      <c r="B3744" s="336"/>
      <c r="C3744" s="336"/>
      <c r="D3744" s="336"/>
      <c r="E3744" s="337"/>
      <c r="G3744" s="338">
        <v>45629</v>
      </c>
      <c r="H3744" s="336"/>
      <c r="I3744" s="336"/>
      <c r="J3744" s="336"/>
      <c r="K3744" s="337"/>
    </row>
    <row r="3745" spans="1:11" ht="15" thickTop="1" x14ac:dyDescent="0.35">
      <c r="A3745" s="267" t="s">
        <v>159</v>
      </c>
      <c r="B3745" s="267" t="s">
        <v>299</v>
      </c>
      <c r="C3745" s="267" t="s">
        <v>307</v>
      </c>
      <c r="D3745" s="267" t="s">
        <v>301</v>
      </c>
      <c r="E3745" s="268" t="s">
        <v>308</v>
      </c>
      <c r="G3745" s="267" t="s">
        <v>159</v>
      </c>
      <c r="H3745" s="267" t="s">
        <v>299</v>
      </c>
      <c r="I3745" s="267" t="s">
        <v>307</v>
      </c>
      <c r="J3745" s="267" t="s">
        <v>301</v>
      </c>
      <c r="K3745" s="268" t="s">
        <v>308</v>
      </c>
    </row>
    <row r="3746" spans="1:11" x14ac:dyDescent="0.35">
      <c r="A3746" s="269" t="s">
        <v>316</v>
      </c>
      <c r="B3746" s="270"/>
      <c r="C3746" s="270"/>
      <c r="D3746" s="270"/>
      <c r="E3746" s="270"/>
      <c r="G3746" s="269" t="s">
        <v>316</v>
      </c>
      <c r="H3746" s="270"/>
      <c r="I3746" s="270"/>
      <c r="J3746" s="270"/>
      <c r="K3746" s="270"/>
    </row>
    <row r="3747" spans="1:11" x14ac:dyDescent="0.35">
      <c r="A3747" s="271" t="s">
        <v>309</v>
      </c>
      <c r="B3747" s="272"/>
      <c r="C3747" s="272"/>
      <c r="D3747" s="272"/>
      <c r="E3747" s="272"/>
      <c r="G3747" s="271" t="s">
        <v>309</v>
      </c>
      <c r="H3747" s="272"/>
      <c r="I3747" s="272"/>
      <c r="J3747" s="272"/>
      <c r="K3747" s="272"/>
    </row>
    <row r="3748" spans="1:11" x14ac:dyDescent="0.35">
      <c r="A3748" s="269" t="s">
        <v>310</v>
      </c>
      <c r="B3748" s="270"/>
      <c r="C3748" s="270"/>
      <c r="D3748" s="270"/>
      <c r="E3748" s="270"/>
      <c r="G3748" s="269" t="s">
        <v>310</v>
      </c>
      <c r="H3748" s="270"/>
      <c r="I3748" s="270"/>
      <c r="J3748" s="270"/>
      <c r="K3748" s="270"/>
    </row>
    <row r="3749" spans="1:11" x14ac:dyDescent="0.35">
      <c r="A3749" s="271" t="s">
        <v>317</v>
      </c>
      <c r="B3749" s="272"/>
      <c r="C3749" s="272"/>
      <c r="D3749" s="272"/>
      <c r="E3749" s="272"/>
      <c r="G3749" s="271" t="s">
        <v>317</v>
      </c>
      <c r="H3749" s="272"/>
      <c r="I3749" s="272"/>
      <c r="J3749" s="272"/>
      <c r="K3749" s="272"/>
    </row>
    <row r="3750" spans="1:11" x14ac:dyDescent="0.35">
      <c r="A3750" s="269" t="s">
        <v>311</v>
      </c>
      <c r="B3750" s="270"/>
      <c r="C3750" s="270"/>
      <c r="D3750" s="270"/>
      <c r="E3750" s="270"/>
      <c r="G3750" s="269" t="s">
        <v>311</v>
      </c>
      <c r="H3750" s="270"/>
      <c r="I3750" s="270"/>
      <c r="J3750" s="270"/>
      <c r="K3750" s="270"/>
    </row>
    <row r="3751" spans="1:11" x14ac:dyDescent="0.35">
      <c r="A3751" s="271" t="s">
        <v>312</v>
      </c>
      <c r="B3751" s="272"/>
      <c r="C3751" s="272"/>
      <c r="D3751" s="272"/>
      <c r="E3751" s="272"/>
      <c r="G3751" s="271" t="s">
        <v>312</v>
      </c>
      <c r="H3751" s="272"/>
      <c r="I3751" s="272"/>
      <c r="J3751" s="272"/>
      <c r="K3751" s="272"/>
    </row>
    <row r="3752" spans="1:11" x14ac:dyDescent="0.35">
      <c r="A3752" s="231" t="s">
        <v>34</v>
      </c>
      <c r="B3752" s="230">
        <f>SUM(B3746:B3751)</f>
        <v>0</v>
      </c>
      <c r="C3752" s="230">
        <f>SUM(C3746:C3751)</f>
        <v>0</v>
      </c>
      <c r="D3752" s="230">
        <f>SUM(D3746:D3751)</f>
        <v>0</v>
      </c>
      <c r="E3752" s="230">
        <f>SUM(E3746:E3751)</f>
        <v>0</v>
      </c>
      <c r="G3752" s="231" t="s">
        <v>34</v>
      </c>
      <c r="H3752" s="230">
        <f>SUM(H3746:H3751)</f>
        <v>0</v>
      </c>
      <c r="I3752" s="230">
        <f>SUM(I3746:I3751)</f>
        <v>0</v>
      </c>
      <c r="J3752" s="230">
        <f>SUM(J3746:J3751)</f>
        <v>0</v>
      </c>
      <c r="K3752" s="230">
        <f>SUM(K3746:K3751)</f>
        <v>0</v>
      </c>
    </row>
    <row r="3753" spans="1:11" ht="15" thickBot="1" x14ac:dyDescent="0.4">
      <c r="A3753" s="231" t="s">
        <v>313</v>
      </c>
      <c r="B3753" s="230">
        <f>+B3752+C3752+D3752+E3752</f>
        <v>0</v>
      </c>
      <c r="C3753" s="230"/>
      <c r="D3753" s="230"/>
      <c r="E3753" s="230"/>
      <c r="G3753" s="231" t="s">
        <v>313</v>
      </c>
      <c r="H3753" s="230">
        <f>+H3752+I3752+J3752+K3752</f>
        <v>0</v>
      </c>
      <c r="I3753" s="230"/>
      <c r="J3753" s="230"/>
      <c r="K3753" s="230"/>
    </row>
    <row r="3754" spans="1:11" ht="15.5" thickTop="1" thickBot="1" x14ac:dyDescent="0.4">
      <c r="A3754" s="335" t="s">
        <v>298</v>
      </c>
      <c r="B3754" s="336"/>
      <c r="C3754" s="336"/>
      <c r="D3754" s="336"/>
      <c r="E3754" s="337"/>
      <c r="G3754" s="335" t="s">
        <v>298</v>
      </c>
      <c r="H3754" s="336"/>
      <c r="I3754" s="336"/>
      <c r="J3754" s="336"/>
      <c r="K3754" s="337"/>
    </row>
    <row r="3755" spans="1:11" ht="15.5" thickTop="1" thickBot="1" x14ac:dyDescent="0.4">
      <c r="A3755" s="338">
        <v>45630</v>
      </c>
      <c r="B3755" s="336"/>
      <c r="C3755" s="336"/>
      <c r="D3755" s="336"/>
      <c r="E3755" s="337"/>
      <c r="G3755" s="338">
        <v>45630</v>
      </c>
      <c r="H3755" s="336"/>
      <c r="I3755" s="336"/>
      <c r="J3755" s="336"/>
      <c r="K3755" s="337"/>
    </row>
    <row r="3756" spans="1:11" ht="15" thickTop="1" x14ac:dyDescent="0.35">
      <c r="A3756" s="267" t="s">
        <v>159</v>
      </c>
      <c r="B3756" s="267" t="s">
        <v>299</v>
      </c>
      <c r="C3756" s="267" t="s">
        <v>307</v>
      </c>
      <c r="D3756" s="267" t="s">
        <v>301</v>
      </c>
      <c r="E3756" s="268" t="s">
        <v>308</v>
      </c>
      <c r="G3756" s="267" t="s">
        <v>159</v>
      </c>
      <c r="H3756" s="267" t="s">
        <v>299</v>
      </c>
      <c r="I3756" s="267" t="s">
        <v>307</v>
      </c>
      <c r="J3756" s="267" t="s">
        <v>301</v>
      </c>
      <c r="K3756" s="268" t="s">
        <v>308</v>
      </c>
    </row>
    <row r="3757" spans="1:11" x14ac:dyDescent="0.35">
      <c r="A3757" s="269" t="s">
        <v>316</v>
      </c>
      <c r="B3757" s="270"/>
      <c r="C3757" s="270"/>
      <c r="D3757" s="270"/>
      <c r="E3757" s="270"/>
      <c r="G3757" s="269" t="s">
        <v>316</v>
      </c>
      <c r="H3757" s="270"/>
      <c r="I3757" s="270"/>
      <c r="J3757" s="270"/>
      <c r="K3757" s="270"/>
    </row>
    <row r="3758" spans="1:11" x14ac:dyDescent="0.35">
      <c r="A3758" s="271" t="s">
        <v>309</v>
      </c>
      <c r="B3758" s="272"/>
      <c r="C3758" s="272"/>
      <c r="D3758" s="272"/>
      <c r="E3758" s="272"/>
      <c r="G3758" s="271" t="s">
        <v>309</v>
      </c>
      <c r="H3758" s="272"/>
      <c r="I3758" s="272"/>
      <c r="J3758" s="272"/>
      <c r="K3758" s="272"/>
    </row>
    <row r="3759" spans="1:11" x14ac:dyDescent="0.35">
      <c r="A3759" s="269" t="s">
        <v>310</v>
      </c>
      <c r="B3759" s="270"/>
      <c r="C3759" s="270"/>
      <c r="D3759" s="270"/>
      <c r="E3759" s="270"/>
      <c r="G3759" s="269" t="s">
        <v>310</v>
      </c>
      <c r="H3759" s="270"/>
      <c r="I3759" s="270"/>
      <c r="J3759" s="270"/>
      <c r="K3759" s="270"/>
    </row>
    <row r="3760" spans="1:11" x14ac:dyDescent="0.35">
      <c r="A3760" s="271" t="s">
        <v>317</v>
      </c>
      <c r="B3760" s="272"/>
      <c r="C3760" s="272"/>
      <c r="D3760" s="272"/>
      <c r="E3760" s="272"/>
      <c r="G3760" s="271" t="s">
        <v>317</v>
      </c>
      <c r="H3760" s="272"/>
      <c r="I3760" s="272"/>
      <c r="J3760" s="272"/>
      <c r="K3760" s="272"/>
    </row>
    <row r="3761" spans="1:11" x14ac:dyDescent="0.35">
      <c r="A3761" s="269" t="s">
        <v>311</v>
      </c>
      <c r="B3761" s="270"/>
      <c r="C3761" s="270"/>
      <c r="D3761" s="270"/>
      <c r="E3761" s="270"/>
      <c r="G3761" s="269" t="s">
        <v>311</v>
      </c>
      <c r="H3761" s="270"/>
      <c r="I3761" s="270"/>
      <c r="J3761" s="270"/>
      <c r="K3761" s="270"/>
    </row>
    <row r="3762" spans="1:11" x14ac:dyDescent="0.35">
      <c r="A3762" s="271" t="s">
        <v>312</v>
      </c>
      <c r="B3762" s="272"/>
      <c r="C3762" s="272"/>
      <c r="D3762" s="272"/>
      <c r="E3762" s="272"/>
      <c r="G3762" s="271" t="s">
        <v>312</v>
      </c>
      <c r="H3762" s="272"/>
      <c r="I3762" s="272"/>
      <c r="J3762" s="272"/>
      <c r="K3762" s="272"/>
    </row>
    <row r="3763" spans="1:11" x14ac:dyDescent="0.35">
      <c r="A3763" s="231" t="s">
        <v>34</v>
      </c>
      <c r="B3763" s="230">
        <f>SUM(B3757:B3762)</f>
        <v>0</v>
      </c>
      <c r="C3763" s="230">
        <f>SUM(C3757:C3762)</f>
        <v>0</v>
      </c>
      <c r="D3763" s="230">
        <f>SUM(D3757:D3762)</f>
        <v>0</v>
      </c>
      <c r="E3763" s="230">
        <f>SUM(E3757:E3762)</f>
        <v>0</v>
      </c>
      <c r="G3763" s="231" t="s">
        <v>34</v>
      </c>
      <c r="H3763" s="230">
        <f>SUM(H3757:H3762)</f>
        <v>0</v>
      </c>
      <c r="I3763" s="230">
        <f>SUM(I3757:I3762)</f>
        <v>0</v>
      </c>
      <c r="J3763" s="230">
        <f>SUM(J3757:J3762)</f>
        <v>0</v>
      </c>
      <c r="K3763" s="230">
        <f>SUM(K3757:K3762)</f>
        <v>0</v>
      </c>
    </row>
    <row r="3764" spans="1:11" ht="15" thickBot="1" x14ac:dyDescent="0.4">
      <c r="A3764" s="231" t="s">
        <v>313</v>
      </c>
      <c r="B3764" s="230">
        <f>+B3763+C3763+D3763+E3763</f>
        <v>0</v>
      </c>
      <c r="C3764" s="230"/>
      <c r="D3764" s="230"/>
      <c r="E3764" s="230"/>
      <c r="G3764" s="231" t="s">
        <v>313</v>
      </c>
      <c r="H3764" s="230">
        <f>+H3763+I3763+J3763+K3763</f>
        <v>0</v>
      </c>
      <c r="I3764" s="230"/>
      <c r="J3764" s="230"/>
      <c r="K3764" s="230"/>
    </row>
    <row r="3765" spans="1:11" ht="15.5" thickTop="1" thickBot="1" x14ac:dyDescent="0.4">
      <c r="A3765" s="335" t="s">
        <v>298</v>
      </c>
      <c r="B3765" s="336"/>
      <c r="C3765" s="336"/>
      <c r="D3765" s="336"/>
      <c r="E3765" s="337"/>
      <c r="G3765" s="335" t="s">
        <v>298</v>
      </c>
      <c r="H3765" s="336"/>
      <c r="I3765" s="336"/>
      <c r="J3765" s="336"/>
      <c r="K3765" s="337"/>
    </row>
    <row r="3766" spans="1:11" ht="15.5" thickTop="1" thickBot="1" x14ac:dyDescent="0.4">
      <c r="A3766" s="338">
        <v>45631</v>
      </c>
      <c r="B3766" s="336"/>
      <c r="C3766" s="336"/>
      <c r="D3766" s="336"/>
      <c r="E3766" s="337"/>
      <c r="G3766" s="338">
        <v>45631</v>
      </c>
      <c r="H3766" s="336"/>
      <c r="I3766" s="336"/>
      <c r="J3766" s="336"/>
      <c r="K3766" s="337"/>
    </row>
    <row r="3767" spans="1:11" ht="15" thickTop="1" x14ac:dyDescent="0.35">
      <c r="A3767" s="267" t="s">
        <v>159</v>
      </c>
      <c r="B3767" s="267" t="s">
        <v>299</v>
      </c>
      <c r="C3767" s="267" t="s">
        <v>307</v>
      </c>
      <c r="D3767" s="267" t="s">
        <v>301</v>
      </c>
      <c r="E3767" s="268" t="s">
        <v>308</v>
      </c>
      <c r="G3767" s="267" t="s">
        <v>159</v>
      </c>
      <c r="H3767" s="267" t="s">
        <v>299</v>
      </c>
      <c r="I3767" s="267" t="s">
        <v>307</v>
      </c>
      <c r="J3767" s="267" t="s">
        <v>301</v>
      </c>
      <c r="K3767" s="268" t="s">
        <v>308</v>
      </c>
    </row>
    <row r="3768" spans="1:11" x14ac:dyDescent="0.35">
      <c r="A3768" s="269" t="s">
        <v>316</v>
      </c>
      <c r="B3768" s="270"/>
      <c r="C3768" s="270"/>
      <c r="D3768" s="270"/>
      <c r="E3768" s="270"/>
      <c r="G3768" s="269" t="s">
        <v>316</v>
      </c>
      <c r="H3768" s="270"/>
      <c r="I3768" s="270"/>
      <c r="J3768" s="270"/>
      <c r="K3768" s="270"/>
    </row>
    <row r="3769" spans="1:11" x14ac:dyDescent="0.35">
      <c r="A3769" s="271" t="s">
        <v>309</v>
      </c>
      <c r="B3769" s="272"/>
      <c r="C3769" s="272"/>
      <c r="D3769" s="272"/>
      <c r="E3769" s="272"/>
      <c r="G3769" s="271" t="s">
        <v>309</v>
      </c>
      <c r="H3769" s="272"/>
      <c r="I3769" s="272"/>
      <c r="J3769" s="272"/>
      <c r="K3769" s="272"/>
    </row>
    <row r="3770" spans="1:11" x14ac:dyDescent="0.35">
      <c r="A3770" s="269" t="s">
        <v>310</v>
      </c>
      <c r="B3770" s="270"/>
      <c r="C3770" s="270"/>
      <c r="D3770" s="270"/>
      <c r="E3770" s="270"/>
      <c r="G3770" s="269" t="s">
        <v>310</v>
      </c>
      <c r="H3770" s="270"/>
      <c r="I3770" s="270"/>
      <c r="J3770" s="270"/>
      <c r="K3770" s="270"/>
    </row>
    <row r="3771" spans="1:11" x14ac:dyDescent="0.35">
      <c r="A3771" s="271" t="s">
        <v>317</v>
      </c>
      <c r="B3771" s="272"/>
      <c r="C3771" s="272"/>
      <c r="D3771" s="272"/>
      <c r="E3771" s="272"/>
      <c r="G3771" s="271" t="s">
        <v>317</v>
      </c>
      <c r="H3771" s="272"/>
      <c r="I3771" s="272"/>
      <c r="J3771" s="272"/>
      <c r="K3771" s="272"/>
    </row>
    <row r="3772" spans="1:11" x14ac:dyDescent="0.35">
      <c r="A3772" s="269" t="s">
        <v>311</v>
      </c>
      <c r="B3772" s="270"/>
      <c r="C3772" s="270"/>
      <c r="D3772" s="270"/>
      <c r="E3772" s="270"/>
      <c r="G3772" s="269" t="s">
        <v>311</v>
      </c>
      <c r="H3772" s="270"/>
      <c r="I3772" s="270"/>
      <c r="J3772" s="270"/>
      <c r="K3772" s="270"/>
    </row>
    <row r="3773" spans="1:11" x14ac:dyDescent="0.35">
      <c r="A3773" s="271" t="s">
        <v>312</v>
      </c>
      <c r="B3773" s="272"/>
      <c r="C3773" s="272"/>
      <c r="D3773" s="272"/>
      <c r="E3773" s="272"/>
      <c r="G3773" s="271" t="s">
        <v>312</v>
      </c>
      <c r="H3773" s="272"/>
      <c r="I3773" s="272"/>
      <c r="J3773" s="272"/>
      <c r="K3773" s="272"/>
    </row>
    <row r="3774" spans="1:11" x14ac:dyDescent="0.35">
      <c r="A3774" s="231" t="s">
        <v>34</v>
      </c>
      <c r="B3774" s="230">
        <f>SUM(B3768:B3773)</f>
        <v>0</v>
      </c>
      <c r="C3774" s="230">
        <f>SUM(C3768:C3773)</f>
        <v>0</v>
      </c>
      <c r="D3774" s="230">
        <f>SUM(D3768:D3773)</f>
        <v>0</v>
      </c>
      <c r="E3774" s="230">
        <f>SUM(E3768:E3773)</f>
        <v>0</v>
      </c>
      <c r="G3774" s="231" t="s">
        <v>34</v>
      </c>
      <c r="H3774" s="230">
        <f>SUM(H3768:H3773)</f>
        <v>0</v>
      </c>
      <c r="I3774" s="230">
        <f>SUM(I3768:I3773)</f>
        <v>0</v>
      </c>
      <c r="J3774" s="230">
        <f>SUM(J3768:J3773)</f>
        <v>0</v>
      </c>
      <c r="K3774" s="230">
        <f>SUM(K3768:K3773)</f>
        <v>0</v>
      </c>
    </row>
    <row r="3775" spans="1:11" ht="15" thickBot="1" x14ac:dyDescent="0.4">
      <c r="A3775" s="231" t="s">
        <v>313</v>
      </c>
      <c r="B3775" s="230">
        <f>+B3774+C3774+D3774+E3774</f>
        <v>0</v>
      </c>
      <c r="C3775" s="230"/>
      <c r="D3775" s="230"/>
      <c r="E3775" s="230"/>
      <c r="G3775" s="231" t="s">
        <v>313</v>
      </c>
      <c r="H3775" s="230">
        <f>+H3774+I3774+J3774+K3774</f>
        <v>0</v>
      </c>
      <c r="I3775" s="230"/>
      <c r="J3775" s="230"/>
      <c r="K3775" s="230"/>
    </row>
    <row r="3776" spans="1:11" ht="15.5" thickTop="1" thickBot="1" x14ac:dyDescent="0.4">
      <c r="A3776" s="335" t="s">
        <v>298</v>
      </c>
      <c r="B3776" s="336"/>
      <c r="C3776" s="336"/>
      <c r="D3776" s="336"/>
      <c r="E3776" s="337"/>
      <c r="G3776" s="335" t="s">
        <v>298</v>
      </c>
      <c r="H3776" s="336"/>
      <c r="I3776" s="336"/>
      <c r="J3776" s="336"/>
      <c r="K3776" s="337"/>
    </row>
    <row r="3777" spans="1:11" ht="15.5" thickTop="1" thickBot="1" x14ac:dyDescent="0.4">
      <c r="A3777" s="338">
        <v>45632</v>
      </c>
      <c r="B3777" s="336"/>
      <c r="C3777" s="336"/>
      <c r="D3777" s="336"/>
      <c r="E3777" s="337"/>
      <c r="G3777" s="338">
        <v>45632</v>
      </c>
      <c r="H3777" s="336"/>
      <c r="I3777" s="336"/>
      <c r="J3777" s="336"/>
      <c r="K3777" s="337"/>
    </row>
    <row r="3778" spans="1:11" ht="15" thickTop="1" x14ac:dyDescent="0.35">
      <c r="A3778" s="267" t="s">
        <v>159</v>
      </c>
      <c r="B3778" s="267" t="s">
        <v>299</v>
      </c>
      <c r="C3778" s="267" t="s">
        <v>307</v>
      </c>
      <c r="D3778" s="267" t="s">
        <v>301</v>
      </c>
      <c r="E3778" s="268" t="s">
        <v>308</v>
      </c>
      <c r="G3778" s="267" t="s">
        <v>159</v>
      </c>
      <c r="H3778" s="267" t="s">
        <v>299</v>
      </c>
      <c r="I3778" s="267" t="s">
        <v>307</v>
      </c>
      <c r="J3778" s="267" t="s">
        <v>301</v>
      </c>
      <c r="K3778" s="268" t="s">
        <v>308</v>
      </c>
    </row>
    <row r="3779" spans="1:11" x14ac:dyDescent="0.35">
      <c r="A3779" s="269" t="s">
        <v>316</v>
      </c>
      <c r="B3779" s="270"/>
      <c r="C3779" s="270"/>
      <c r="D3779" s="270"/>
      <c r="E3779" s="270"/>
      <c r="G3779" s="269" t="s">
        <v>316</v>
      </c>
      <c r="H3779" s="270"/>
      <c r="I3779" s="270"/>
      <c r="J3779" s="270"/>
      <c r="K3779" s="270"/>
    </row>
    <row r="3780" spans="1:11" x14ac:dyDescent="0.35">
      <c r="A3780" s="271" t="s">
        <v>309</v>
      </c>
      <c r="B3780" s="272"/>
      <c r="C3780" s="272"/>
      <c r="D3780" s="272"/>
      <c r="E3780" s="272"/>
      <c r="G3780" s="271" t="s">
        <v>309</v>
      </c>
      <c r="H3780" s="272"/>
      <c r="I3780" s="272"/>
      <c r="J3780" s="272"/>
      <c r="K3780" s="272"/>
    </row>
    <row r="3781" spans="1:11" x14ac:dyDescent="0.35">
      <c r="A3781" s="269" t="s">
        <v>310</v>
      </c>
      <c r="B3781" s="270"/>
      <c r="C3781" s="270"/>
      <c r="D3781" s="270"/>
      <c r="E3781" s="270"/>
      <c r="G3781" s="269" t="s">
        <v>310</v>
      </c>
      <c r="H3781" s="270"/>
      <c r="I3781" s="270"/>
      <c r="J3781" s="270"/>
      <c r="K3781" s="270"/>
    </row>
    <row r="3782" spans="1:11" x14ac:dyDescent="0.35">
      <c r="A3782" s="271" t="s">
        <v>317</v>
      </c>
      <c r="B3782" s="272"/>
      <c r="C3782" s="272"/>
      <c r="D3782" s="272"/>
      <c r="E3782" s="272"/>
      <c r="G3782" s="271" t="s">
        <v>317</v>
      </c>
      <c r="H3782" s="272"/>
      <c r="I3782" s="272"/>
      <c r="J3782" s="272"/>
      <c r="K3782" s="272"/>
    </row>
    <row r="3783" spans="1:11" x14ac:dyDescent="0.35">
      <c r="A3783" s="269" t="s">
        <v>311</v>
      </c>
      <c r="B3783" s="270"/>
      <c r="C3783" s="270"/>
      <c r="D3783" s="270"/>
      <c r="E3783" s="270"/>
      <c r="G3783" s="269" t="s">
        <v>311</v>
      </c>
      <c r="H3783" s="270"/>
      <c r="I3783" s="270"/>
      <c r="J3783" s="270"/>
      <c r="K3783" s="270"/>
    </row>
    <row r="3784" spans="1:11" x14ac:dyDescent="0.35">
      <c r="A3784" s="271" t="s">
        <v>312</v>
      </c>
      <c r="B3784" s="272"/>
      <c r="C3784" s="272"/>
      <c r="D3784" s="272"/>
      <c r="E3784" s="272"/>
      <c r="G3784" s="271" t="s">
        <v>312</v>
      </c>
      <c r="H3784" s="272"/>
      <c r="I3784" s="272"/>
      <c r="J3784" s="272"/>
      <c r="K3784" s="272"/>
    </row>
    <row r="3785" spans="1:11" x14ac:dyDescent="0.35">
      <c r="A3785" s="231" t="s">
        <v>34</v>
      </c>
      <c r="B3785" s="230">
        <f>SUM(B3779:B3784)</f>
        <v>0</v>
      </c>
      <c r="C3785" s="230">
        <f>SUM(C3779:C3784)</f>
        <v>0</v>
      </c>
      <c r="D3785" s="230">
        <f>SUM(D3779:D3784)</f>
        <v>0</v>
      </c>
      <c r="E3785" s="230">
        <f>SUM(E3779:E3784)</f>
        <v>0</v>
      </c>
      <c r="G3785" s="231" t="s">
        <v>34</v>
      </c>
      <c r="H3785" s="230">
        <f>SUM(H3779:H3784)</f>
        <v>0</v>
      </c>
      <c r="I3785" s="230">
        <f>SUM(I3779:I3784)</f>
        <v>0</v>
      </c>
      <c r="J3785" s="230">
        <f>SUM(J3779:J3784)</f>
        <v>0</v>
      </c>
      <c r="K3785" s="230">
        <f>SUM(K3779:K3784)</f>
        <v>0</v>
      </c>
    </row>
    <row r="3786" spans="1:11" ht="15" thickBot="1" x14ac:dyDescent="0.4">
      <c r="A3786" s="231" t="s">
        <v>313</v>
      </c>
      <c r="B3786" s="230">
        <f>+B3785+C3785+D3785+E3785</f>
        <v>0</v>
      </c>
      <c r="C3786" s="230"/>
      <c r="D3786" s="230"/>
      <c r="E3786" s="230"/>
      <c r="G3786" s="231" t="s">
        <v>313</v>
      </c>
      <c r="H3786" s="230">
        <f>+H3785+I3785+J3785+K3785</f>
        <v>0</v>
      </c>
      <c r="I3786" s="230"/>
      <c r="J3786" s="230"/>
      <c r="K3786" s="230"/>
    </row>
    <row r="3787" spans="1:11" ht="15.5" thickTop="1" thickBot="1" x14ac:dyDescent="0.4">
      <c r="A3787" s="335" t="s">
        <v>298</v>
      </c>
      <c r="B3787" s="336"/>
      <c r="C3787" s="336"/>
      <c r="D3787" s="336"/>
      <c r="E3787" s="337"/>
      <c r="G3787" s="335" t="s">
        <v>298</v>
      </c>
      <c r="H3787" s="336"/>
      <c r="I3787" s="336"/>
      <c r="J3787" s="336"/>
      <c r="K3787" s="337"/>
    </row>
    <row r="3788" spans="1:11" ht="15.5" thickTop="1" thickBot="1" x14ac:dyDescent="0.4">
      <c r="A3788" s="338">
        <v>45633</v>
      </c>
      <c r="B3788" s="336"/>
      <c r="C3788" s="336"/>
      <c r="D3788" s="336"/>
      <c r="E3788" s="337"/>
      <c r="G3788" s="338">
        <v>45633</v>
      </c>
      <c r="H3788" s="336"/>
      <c r="I3788" s="336"/>
      <c r="J3788" s="336"/>
      <c r="K3788" s="337"/>
    </row>
    <row r="3789" spans="1:11" ht="15" thickTop="1" x14ac:dyDescent="0.35">
      <c r="A3789" s="267" t="s">
        <v>159</v>
      </c>
      <c r="B3789" s="267" t="s">
        <v>299</v>
      </c>
      <c r="C3789" s="267" t="s">
        <v>307</v>
      </c>
      <c r="D3789" s="267" t="s">
        <v>301</v>
      </c>
      <c r="E3789" s="268" t="s">
        <v>308</v>
      </c>
      <c r="G3789" s="267" t="s">
        <v>159</v>
      </c>
      <c r="H3789" s="267" t="s">
        <v>299</v>
      </c>
      <c r="I3789" s="267" t="s">
        <v>307</v>
      </c>
      <c r="J3789" s="267" t="s">
        <v>301</v>
      </c>
      <c r="K3789" s="268" t="s">
        <v>308</v>
      </c>
    </row>
    <row r="3790" spans="1:11" x14ac:dyDescent="0.35">
      <c r="A3790" s="269" t="s">
        <v>316</v>
      </c>
      <c r="B3790" s="270"/>
      <c r="C3790" s="270"/>
      <c r="D3790" s="270"/>
      <c r="E3790" s="270"/>
      <c r="G3790" s="269" t="s">
        <v>316</v>
      </c>
      <c r="H3790" s="270"/>
      <c r="I3790" s="270"/>
      <c r="J3790" s="270"/>
      <c r="K3790" s="270"/>
    </row>
    <row r="3791" spans="1:11" x14ac:dyDescent="0.35">
      <c r="A3791" s="271" t="s">
        <v>309</v>
      </c>
      <c r="B3791" s="272"/>
      <c r="C3791" s="272"/>
      <c r="D3791" s="272"/>
      <c r="E3791" s="272"/>
      <c r="G3791" s="271" t="s">
        <v>309</v>
      </c>
      <c r="H3791" s="272"/>
      <c r="I3791" s="272"/>
      <c r="J3791" s="272"/>
      <c r="K3791" s="272"/>
    </row>
    <row r="3792" spans="1:11" x14ac:dyDescent="0.35">
      <c r="A3792" s="269" t="s">
        <v>310</v>
      </c>
      <c r="B3792" s="270"/>
      <c r="C3792" s="270"/>
      <c r="D3792" s="270"/>
      <c r="E3792" s="270"/>
      <c r="G3792" s="269" t="s">
        <v>310</v>
      </c>
      <c r="H3792" s="270"/>
      <c r="I3792" s="270"/>
      <c r="J3792" s="270"/>
      <c r="K3792" s="270"/>
    </row>
    <row r="3793" spans="1:11" x14ac:dyDescent="0.35">
      <c r="A3793" s="271" t="s">
        <v>317</v>
      </c>
      <c r="B3793" s="272"/>
      <c r="C3793" s="272"/>
      <c r="D3793" s="272"/>
      <c r="E3793" s="272"/>
      <c r="G3793" s="271" t="s">
        <v>317</v>
      </c>
      <c r="H3793" s="272"/>
      <c r="I3793" s="272"/>
      <c r="J3793" s="272"/>
      <c r="K3793" s="272"/>
    </row>
    <row r="3794" spans="1:11" x14ac:dyDescent="0.35">
      <c r="A3794" s="269" t="s">
        <v>311</v>
      </c>
      <c r="B3794" s="270"/>
      <c r="C3794" s="270"/>
      <c r="D3794" s="270"/>
      <c r="E3794" s="270"/>
      <c r="G3794" s="269" t="s">
        <v>311</v>
      </c>
      <c r="H3794" s="270"/>
      <c r="I3794" s="270"/>
      <c r="J3794" s="270"/>
      <c r="K3794" s="270"/>
    </row>
    <row r="3795" spans="1:11" x14ac:dyDescent="0.35">
      <c r="A3795" s="271" t="s">
        <v>312</v>
      </c>
      <c r="B3795" s="272"/>
      <c r="C3795" s="272"/>
      <c r="D3795" s="272"/>
      <c r="E3795" s="272"/>
      <c r="G3795" s="271" t="s">
        <v>312</v>
      </c>
      <c r="H3795" s="272"/>
      <c r="I3795" s="272"/>
      <c r="J3795" s="272"/>
      <c r="K3795" s="272"/>
    </row>
    <row r="3796" spans="1:11" x14ac:dyDescent="0.35">
      <c r="A3796" s="231" t="s">
        <v>34</v>
      </c>
      <c r="B3796" s="230">
        <f>SUM(B3790:B3795)</f>
        <v>0</v>
      </c>
      <c r="C3796" s="230">
        <f>SUM(C3790:C3795)</f>
        <v>0</v>
      </c>
      <c r="D3796" s="230">
        <f>SUM(D3790:D3795)</f>
        <v>0</v>
      </c>
      <c r="E3796" s="230">
        <f>SUM(E3790:E3795)</f>
        <v>0</v>
      </c>
      <c r="G3796" s="231" t="s">
        <v>34</v>
      </c>
      <c r="H3796" s="230">
        <f>SUM(H3790:H3795)</f>
        <v>0</v>
      </c>
      <c r="I3796" s="230">
        <f>SUM(I3790:I3795)</f>
        <v>0</v>
      </c>
      <c r="J3796" s="230">
        <f>SUM(J3790:J3795)</f>
        <v>0</v>
      </c>
      <c r="K3796" s="230">
        <f>SUM(K3790:K3795)</f>
        <v>0</v>
      </c>
    </row>
    <row r="3797" spans="1:11" ht="15" thickBot="1" x14ac:dyDescent="0.4">
      <c r="A3797" s="231" t="s">
        <v>313</v>
      </c>
      <c r="B3797" s="230">
        <f>+B3796+C3796+D3796+E3796</f>
        <v>0</v>
      </c>
      <c r="C3797" s="230"/>
      <c r="D3797" s="230"/>
      <c r="E3797" s="230"/>
      <c r="G3797" s="231" t="s">
        <v>313</v>
      </c>
      <c r="H3797" s="230">
        <f>+H3796+I3796+J3796+K3796</f>
        <v>0</v>
      </c>
      <c r="I3797" s="230"/>
      <c r="J3797" s="230"/>
      <c r="K3797" s="230"/>
    </row>
    <row r="3798" spans="1:11" ht="15.5" thickTop="1" thickBot="1" x14ac:dyDescent="0.4">
      <c r="A3798" s="335" t="s">
        <v>298</v>
      </c>
      <c r="B3798" s="336"/>
      <c r="C3798" s="336"/>
      <c r="D3798" s="336"/>
      <c r="E3798" s="337"/>
      <c r="G3798" s="335" t="s">
        <v>298</v>
      </c>
      <c r="H3798" s="336"/>
      <c r="I3798" s="336"/>
      <c r="J3798" s="336"/>
      <c r="K3798" s="337"/>
    </row>
    <row r="3799" spans="1:11" ht="15.5" thickTop="1" thickBot="1" x14ac:dyDescent="0.4">
      <c r="A3799" s="338">
        <v>45634</v>
      </c>
      <c r="B3799" s="336"/>
      <c r="C3799" s="336"/>
      <c r="D3799" s="336"/>
      <c r="E3799" s="337"/>
      <c r="G3799" s="338">
        <v>45634</v>
      </c>
      <c r="H3799" s="336"/>
      <c r="I3799" s="336"/>
      <c r="J3799" s="336"/>
      <c r="K3799" s="337"/>
    </row>
    <row r="3800" spans="1:11" ht="15" thickTop="1" x14ac:dyDescent="0.35">
      <c r="A3800" s="267" t="s">
        <v>159</v>
      </c>
      <c r="B3800" s="267" t="s">
        <v>299</v>
      </c>
      <c r="C3800" s="267" t="s">
        <v>307</v>
      </c>
      <c r="D3800" s="267" t="s">
        <v>301</v>
      </c>
      <c r="E3800" s="268" t="s">
        <v>308</v>
      </c>
      <c r="G3800" s="267" t="s">
        <v>159</v>
      </c>
      <c r="H3800" s="267" t="s">
        <v>299</v>
      </c>
      <c r="I3800" s="267" t="s">
        <v>307</v>
      </c>
      <c r="J3800" s="267" t="s">
        <v>301</v>
      </c>
      <c r="K3800" s="268" t="s">
        <v>308</v>
      </c>
    </row>
    <row r="3801" spans="1:11" x14ac:dyDescent="0.35">
      <c r="A3801" s="269" t="s">
        <v>316</v>
      </c>
      <c r="B3801" s="270"/>
      <c r="C3801" s="270"/>
      <c r="D3801" s="270"/>
      <c r="E3801" s="270"/>
      <c r="G3801" s="269" t="s">
        <v>316</v>
      </c>
      <c r="H3801" s="270"/>
      <c r="I3801" s="270"/>
      <c r="J3801" s="270"/>
      <c r="K3801" s="270"/>
    </row>
    <row r="3802" spans="1:11" x14ac:dyDescent="0.35">
      <c r="A3802" s="271" t="s">
        <v>309</v>
      </c>
      <c r="B3802" s="272"/>
      <c r="C3802" s="272"/>
      <c r="D3802" s="272"/>
      <c r="E3802" s="272"/>
      <c r="G3802" s="271" t="s">
        <v>309</v>
      </c>
      <c r="H3802" s="272"/>
      <c r="I3802" s="272"/>
      <c r="J3802" s="272"/>
      <c r="K3802" s="272"/>
    </row>
    <row r="3803" spans="1:11" x14ac:dyDescent="0.35">
      <c r="A3803" s="269" t="s">
        <v>310</v>
      </c>
      <c r="B3803" s="270"/>
      <c r="C3803" s="270"/>
      <c r="D3803" s="270"/>
      <c r="E3803" s="270"/>
      <c r="G3803" s="269" t="s">
        <v>310</v>
      </c>
      <c r="H3803" s="270"/>
      <c r="I3803" s="270"/>
      <c r="J3803" s="270"/>
      <c r="K3803" s="270"/>
    </row>
    <row r="3804" spans="1:11" x14ac:dyDescent="0.35">
      <c r="A3804" s="271" t="s">
        <v>317</v>
      </c>
      <c r="B3804" s="272"/>
      <c r="C3804" s="272"/>
      <c r="D3804" s="272"/>
      <c r="E3804" s="272"/>
      <c r="G3804" s="271" t="s">
        <v>317</v>
      </c>
      <c r="H3804" s="272"/>
      <c r="I3804" s="272"/>
      <c r="J3804" s="272"/>
      <c r="K3804" s="272"/>
    </row>
    <row r="3805" spans="1:11" x14ac:dyDescent="0.35">
      <c r="A3805" s="269" t="s">
        <v>311</v>
      </c>
      <c r="B3805" s="270"/>
      <c r="C3805" s="270"/>
      <c r="D3805" s="270"/>
      <c r="E3805" s="270"/>
      <c r="G3805" s="269" t="s">
        <v>311</v>
      </c>
      <c r="H3805" s="270"/>
      <c r="I3805" s="270"/>
      <c r="J3805" s="270"/>
      <c r="K3805" s="270"/>
    </row>
    <row r="3806" spans="1:11" x14ac:dyDescent="0.35">
      <c r="A3806" s="271" t="s">
        <v>312</v>
      </c>
      <c r="B3806" s="272"/>
      <c r="C3806" s="272"/>
      <c r="D3806" s="272"/>
      <c r="E3806" s="272"/>
      <c r="G3806" s="271" t="s">
        <v>312</v>
      </c>
      <c r="H3806" s="272"/>
      <c r="I3806" s="272"/>
      <c r="J3806" s="272"/>
      <c r="K3806" s="272"/>
    </row>
    <row r="3807" spans="1:11" x14ac:dyDescent="0.35">
      <c r="A3807" s="231" t="s">
        <v>34</v>
      </c>
      <c r="B3807" s="230">
        <f>SUM(B3801:B3806)</f>
        <v>0</v>
      </c>
      <c r="C3807" s="230">
        <f>SUM(C3801:C3806)</f>
        <v>0</v>
      </c>
      <c r="D3807" s="230">
        <f>SUM(D3801:D3806)</f>
        <v>0</v>
      </c>
      <c r="E3807" s="230">
        <f>SUM(E3801:E3806)</f>
        <v>0</v>
      </c>
      <c r="G3807" s="231" t="s">
        <v>34</v>
      </c>
      <c r="H3807" s="230">
        <f>SUM(H3801:H3806)</f>
        <v>0</v>
      </c>
      <c r="I3807" s="230">
        <f>SUM(I3801:I3806)</f>
        <v>0</v>
      </c>
      <c r="J3807" s="230">
        <f>SUM(J3801:J3806)</f>
        <v>0</v>
      </c>
      <c r="K3807" s="230">
        <f>SUM(K3801:K3806)</f>
        <v>0</v>
      </c>
    </row>
    <row r="3808" spans="1:11" ht="15" thickBot="1" x14ac:dyDescent="0.4">
      <c r="A3808" s="231" t="s">
        <v>313</v>
      </c>
      <c r="B3808" s="230">
        <f>+B3807+C3807+D3807+E3807</f>
        <v>0</v>
      </c>
      <c r="C3808" s="230"/>
      <c r="D3808" s="230"/>
      <c r="E3808" s="230"/>
      <c r="G3808" s="231" t="s">
        <v>313</v>
      </c>
      <c r="H3808" s="230">
        <f>+H3807+I3807+J3807+K3807</f>
        <v>0</v>
      </c>
      <c r="I3808" s="230"/>
      <c r="J3808" s="230"/>
      <c r="K3808" s="230"/>
    </row>
    <row r="3809" spans="1:11" ht="15.5" thickTop="1" thickBot="1" x14ac:dyDescent="0.4">
      <c r="A3809" s="335" t="s">
        <v>298</v>
      </c>
      <c r="B3809" s="336"/>
      <c r="C3809" s="336"/>
      <c r="D3809" s="336"/>
      <c r="E3809" s="337"/>
      <c r="G3809" s="335" t="s">
        <v>298</v>
      </c>
      <c r="H3809" s="336"/>
      <c r="I3809" s="336"/>
      <c r="J3809" s="336"/>
      <c r="K3809" s="337"/>
    </row>
    <row r="3810" spans="1:11" ht="15.5" thickTop="1" thickBot="1" x14ac:dyDescent="0.4">
      <c r="A3810" s="338">
        <v>45635</v>
      </c>
      <c r="B3810" s="336"/>
      <c r="C3810" s="336"/>
      <c r="D3810" s="336"/>
      <c r="E3810" s="337"/>
      <c r="G3810" s="338">
        <v>45635</v>
      </c>
      <c r="H3810" s="336"/>
      <c r="I3810" s="336"/>
      <c r="J3810" s="336"/>
      <c r="K3810" s="337"/>
    </row>
    <row r="3811" spans="1:11" ht="15" thickTop="1" x14ac:dyDescent="0.35">
      <c r="A3811" s="267" t="s">
        <v>159</v>
      </c>
      <c r="B3811" s="267" t="s">
        <v>299</v>
      </c>
      <c r="C3811" s="267" t="s">
        <v>307</v>
      </c>
      <c r="D3811" s="267" t="s">
        <v>301</v>
      </c>
      <c r="E3811" s="268" t="s">
        <v>308</v>
      </c>
      <c r="G3811" s="267" t="s">
        <v>159</v>
      </c>
      <c r="H3811" s="267" t="s">
        <v>299</v>
      </c>
      <c r="I3811" s="267" t="s">
        <v>307</v>
      </c>
      <c r="J3811" s="267" t="s">
        <v>301</v>
      </c>
      <c r="K3811" s="268" t="s">
        <v>308</v>
      </c>
    </row>
    <row r="3812" spans="1:11" x14ac:dyDescent="0.35">
      <c r="A3812" s="269" t="s">
        <v>316</v>
      </c>
      <c r="B3812" s="270"/>
      <c r="C3812" s="270"/>
      <c r="D3812" s="270"/>
      <c r="E3812" s="270"/>
      <c r="G3812" s="269" t="s">
        <v>316</v>
      </c>
      <c r="H3812" s="270"/>
      <c r="I3812" s="270"/>
      <c r="J3812" s="270"/>
      <c r="K3812" s="270"/>
    </row>
    <row r="3813" spans="1:11" x14ac:dyDescent="0.35">
      <c r="A3813" s="271" t="s">
        <v>309</v>
      </c>
      <c r="B3813" s="272"/>
      <c r="C3813" s="272"/>
      <c r="D3813" s="272"/>
      <c r="E3813" s="272"/>
      <c r="G3813" s="271" t="s">
        <v>309</v>
      </c>
      <c r="H3813" s="272"/>
      <c r="I3813" s="272"/>
      <c r="J3813" s="272"/>
      <c r="K3813" s="272"/>
    </row>
    <row r="3814" spans="1:11" x14ac:dyDescent="0.35">
      <c r="A3814" s="269" t="s">
        <v>310</v>
      </c>
      <c r="B3814" s="270"/>
      <c r="C3814" s="270"/>
      <c r="D3814" s="270"/>
      <c r="E3814" s="270"/>
      <c r="G3814" s="269" t="s">
        <v>310</v>
      </c>
      <c r="H3814" s="270"/>
      <c r="I3814" s="270"/>
      <c r="J3814" s="270"/>
      <c r="K3814" s="270"/>
    </row>
    <row r="3815" spans="1:11" x14ac:dyDescent="0.35">
      <c r="A3815" s="271" t="s">
        <v>317</v>
      </c>
      <c r="B3815" s="272"/>
      <c r="C3815" s="272"/>
      <c r="D3815" s="272"/>
      <c r="E3815" s="272"/>
      <c r="G3815" s="271" t="s">
        <v>317</v>
      </c>
      <c r="H3815" s="272"/>
      <c r="I3815" s="272"/>
      <c r="J3815" s="272"/>
      <c r="K3815" s="272"/>
    </row>
    <row r="3816" spans="1:11" x14ac:dyDescent="0.35">
      <c r="A3816" s="269" t="s">
        <v>311</v>
      </c>
      <c r="B3816" s="270"/>
      <c r="C3816" s="270"/>
      <c r="D3816" s="270"/>
      <c r="E3816" s="270"/>
      <c r="G3816" s="269" t="s">
        <v>311</v>
      </c>
      <c r="H3816" s="270"/>
      <c r="I3816" s="270"/>
      <c r="J3816" s="270"/>
      <c r="K3816" s="270"/>
    </row>
    <row r="3817" spans="1:11" x14ac:dyDescent="0.35">
      <c r="A3817" s="271" t="s">
        <v>312</v>
      </c>
      <c r="B3817" s="272"/>
      <c r="C3817" s="272"/>
      <c r="D3817" s="272"/>
      <c r="E3817" s="272"/>
      <c r="G3817" s="271" t="s">
        <v>312</v>
      </c>
      <c r="H3817" s="272"/>
      <c r="I3817" s="272"/>
      <c r="J3817" s="272"/>
      <c r="K3817" s="272"/>
    </row>
    <row r="3818" spans="1:11" x14ac:dyDescent="0.35">
      <c r="A3818" s="231" t="s">
        <v>34</v>
      </c>
      <c r="B3818" s="230">
        <f>SUM(B3812:B3817)</f>
        <v>0</v>
      </c>
      <c r="C3818" s="230">
        <f>SUM(C3812:C3817)</f>
        <v>0</v>
      </c>
      <c r="D3818" s="230">
        <f>SUM(D3812:D3817)</f>
        <v>0</v>
      </c>
      <c r="E3818" s="230">
        <f>SUM(E3812:E3817)</f>
        <v>0</v>
      </c>
      <c r="G3818" s="231" t="s">
        <v>34</v>
      </c>
      <c r="H3818" s="230">
        <f>SUM(H3812:H3817)</f>
        <v>0</v>
      </c>
      <c r="I3818" s="230">
        <f>SUM(I3812:I3817)</f>
        <v>0</v>
      </c>
      <c r="J3818" s="230">
        <f>SUM(J3812:J3817)</f>
        <v>0</v>
      </c>
      <c r="K3818" s="230">
        <f>SUM(K3812:K3817)</f>
        <v>0</v>
      </c>
    </row>
    <row r="3819" spans="1:11" ht="15" thickBot="1" x14ac:dyDescent="0.4">
      <c r="A3819" s="231" t="s">
        <v>313</v>
      </c>
      <c r="B3819" s="230">
        <f>+B3818+C3818+D3818+E3818</f>
        <v>0</v>
      </c>
      <c r="C3819" s="230"/>
      <c r="D3819" s="230"/>
      <c r="E3819" s="230"/>
      <c r="G3819" s="231" t="s">
        <v>313</v>
      </c>
      <c r="H3819" s="230">
        <f>+H3818+I3818+J3818+K3818</f>
        <v>0</v>
      </c>
      <c r="I3819" s="230"/>
      <c r="J3819" s="230"/>
      <c r="K3819" s="230"/>
    </row>
    <row r="3820" spans="1:11" ht="15.5" thickTop="1" thickBot="1" x14ac:dyDescent="0.4">
      <c r="A3820" s="335" t="s">
        <v>298</v>
      </c>
      <c r="B3820" s="336"/>
      <c r="C3820" s="336"/>
      <c r="D3820" s="336"/>
      <c r="E3820" s="337"/>
      <c r="G3820" s="335" t="s">
        <v>298</v>
      </c>
      <c r="H3820" s="336"/>
      <c r="I3820" s="336"/>
      <c r="J3820" s="336"/>
      <c r="K3820" s="337"/>
    </row>
    <row r="3821" spans="1:11" ht="15.5" thickTop="1" thickBot="1" x14ac:dyDescent="0.4">
      <c r="A3821" s="338">
        <v>45636</v>
      </c>
      <c r="B3821" s="336"/>
      <c r="C3821" s="336"/>
      <c r="D3821" s="336"/>
      <c r="E3821" s="337"/>
      <c r="G3821" s="338">
        <v>45636</v>
      </c>
      <c r="H3821" s="336"/>
      <c r="I3821" s="336"/>
      <c r="J3821" s="336"/>
      <c r="K3821" s="337"/>
    </row>
    <row r="3822" spans="1:11" ht="15" thickTop="1" x14ac:dyDescent="0.35">
      <c r="A3822" s="267" t="s">
        <v>159</v>
      </c>
      <c r="B3822" s="267" t="s">
        <v>299</v>
      </c>
      <c r="C3822" s="267" t="s">
        <v>307</v>
      </c>
      <c r="D3822" s="267" t="s">
        <v>301</v>
      </c>
      <c r="E3822" s="268" t="s">
        <v>308</v>
      </c>
      <c r="G3822" s="267" t="s">
        <v>159</v>
      </c>
      <c r="H3822" s="267" t="s">
        <v>299</v>
      </c>
      <c r="I3822" s="267" t="s">
        <v>307</v>
      </c>
      <c r="J3822" s="267" t="s">
        <v>301</v>
      </c>
      <c r="K3822" s="268" t="s">
        <v>308</v>
      </c>
    </row>
    <row r="3823" spans="1:11" x14ac:dyDescent="0.35">
      <c r="A3823" s="269" t="s">
        <v>316</v>
      </c>
      <c r="B3823" s="270"/>
      <c r="C3823" s="270"/>
      <c r="D3823" s="270"/>
      <c r="E3823" s="270"/>
      <c r="G3823" s="269" t="s">
        <v>316</v>
      </c>
      <c r="H3823" s="270"/>
      <c r="I3823" s="270"/>
      <c r="J3823" s="270"/>
      <c r="K3823" s="270"/>
    </row>
    <row r="3824" spans="1:11" x14ac:dyDescent="0.35">
      <c r="A3824" s="271" t="s">
        <v>309</v>
      </c>
      <c r="B3824" s="272"/>
      <c r="C3824" s="272"/>
      <c r="D3824" s="272"/>
      <c r="E3824" s="272"/>
      <c r="G3824" s="271" t="s">
        <v>309</v>
      </c>
      <c r="H3824" s="272"/>
      <c r="I3824" s="272"/>
      <c r="J3824" s="272"/>
      <c r="K3824" s="272"/>
    </row>
    <row r="3825" spans="1:11" x14ac:dyDescent="0.35">
      <c r="A3825" s="269" t="s">
        <v>310</v>
      </c>
      <c r="B3825" s="270"/>
      <c r="C3825" s="270"/>
      <c r="D3825" s="270"/>
      <c r="E3825" s="270"/>
      <c r="G3825" s="269" t="s">
        <v>310</v>
      </c>
      <c r="H3825" s="270"/>
      <c r="I3825" s="270"/>
      <c r="J3825" s="270"/>
      <c r="K3825" s="270"/>
    </row>
    <row r="3826" spans="1:11" x14ac:dyDescent="0.35">
      <c r="A3826" s="271" t="s">
        <v>317</v>
      </c>
      <c r="B3826" s="272"/>
      <c r="C3826" s="272"/>
      <c r="D3826" s="272"/>
      <c r="E3826" s="272"/>
      <c r="G3826" s="271" t="s">
        <v>317</v>
      </c>
      <c r="H3826" s="272"/>
      <c r="I3826" s="272"/>
      <c r="J3826" s="272"/>
      <c r="K3826" s="272"/>
    </row>
    <row r="3827" spans="1:11" x14ac:dyDescent="0.35">
      <c r="A3827" s="269" t="s">
        <v>311</v>
      </c>
      <c r="B3827" s="270"/>
      <c r="C3827" s="270"/>
      <c r="D3827" s="270"/>
      <c r="E3827" s="270"/>
      <c r="G3827" s="269" t="s">
        <v>311</v>
      </c>
      <c r="H3827" s="270"/>
      <c r="I3827" s="270"/>
      <c r="J3827" s="270"/>
      <c r="K3827" s="270"/>
    </row>
    <row r="3828" spans="1:11" x14ac:dyDescent="0.35">
      <c r="A3828" s="271" t="s">
        <v>312</v>
      </c>
      <c r="B3828" s="272"/>
      <c r="C3828" s="272"/>
      <c r="D3828" s="272"/>
      <c r="E3828" s="272"/>
      <c r="G3828" s="271" t="s">
        <v>312</v>
      </c>
      <c r="H3828" s="272"/>
      <c r="I3828" s="272"/>
      <c r="J3828" s="272"/>
      <c r="K3828" s="272"/>
    </row>
    <row r="3829" spans="1:11" x14ac:dyDescent="0.35">
      <c r="A3829" s="231" t="s">
        <v>34</v>
      </c>
      <c r="B3829" s="230">
        <f>SUM(B3823:B3828)</f>
        <v>0</v>
      </c>
      <c r="C3829" s="230">
        <f>SUM(C3823:C3828)</f>
        <v>0</v>
      </c>
      <c r="D3829" s="230">
        <f>SUM(D3823:D3828)</f>
        <v>0</v>
      </c>
      <c r="E3829" s="230">
        <f>SUM(E3823:E3828)</f>
        <v>0</v>
      </c>
      <c r="G3829" s="231" t="s">
        <v>34</v>
      </c>
      <c r="H3829" s="230">
        <f>SUM(H3823:H3828)</f>
        <v>0</v>
      </c>
      <c r="I3829" s="230">
        <f>SUM(I3823:I3828)</f>
        <v>0</v>
      </c>
      <c r="J3829" s="230">
        <f>SUM(J3823:J3828)</f>
        <v>0</v>
      </c>
      <c r="K3829" s="230">
        <f>SUM(K3823:K3828)</f>
        <v>0</v>
      </c>
    </row>
    <row r="3830" spans="1:11" ht="15" thickBot="1" x14ac:dyDescent="0.4">
      <c r="A3830" s="231" t="s">
        <v>313</v>
      </c>
      <c r="B3830" s="230">
        <f>+B3829+C3829+D3829+E3829</f>
        <v>0</v>
      </c>
      <c r="C3830" s="230"/>
      <c r="D3830" s="230"/>
      <c r="E3830" s="230"/>
      <c r="G3830" s="231" t="s">
        <v>313</v>
      </c>
      <c r="H3830" s="230">
        <f>+H3829+I3829+J3829+K3829</f>
        <v>0</v>
      </c>
      <c r="I3830" s="230"/>
      <c r="J3830" s="230"/>
      <c r="K3830" s="230"/>
    </row>
    <row r="3831" spans="1:11" ht="15.5" thickTop="1" thickBot="1" x14ac:dyDescent="0.4">
      <c r="A3831" s="335" t="s">
        <v>298</v>
      </c>
      <c r="B3831" s="336"/>
      <c r="C3831" s="336"/>
      <c r="D3831" s="336"/>
      <c r="E3831" s="337"/>
      <c r="G3831" s="335" t="s">
        <v>298</v>
      </c>
      <c r="H3831" s="336"/>
      <c r="I3831" s="336"/>
      <c r="J3831" s="336"/>
      <c r="K3831" s="337"/>
    </row>
    <row r="3832" spans="1:11" ht="15.5" thickTop="1" thickBot="1" x14ac:dyDescent="0.4">
      <c r="A3832" s="338">
        <v>45637</v>
      </c>
      <c r="B3832" s="336"/>
      <c r="C3832" s="336"/>
      <c r="D3832" s="336"/>
      <c r="E3832" s="337"/>
      <c r="G3832" s="338">
        <v>45637</v>
      </c>
      <c r="H3832" s="336"/>
      <c r="I3832" s="336"/>
      <c r="J3832" s="336"/>
      <c r="K3832" s="337"/>
    </row>
    <row r="3833" spans="1:11" ht="15" thickTop="1" x14ac:dyDescent="0.35">
      <c r="A3833" s="267" t="s">
        <v>159</v>
      </c>
      <c r="B3833" s="267" t="s">
        <v>299</v>
      </c>
      <c r="C3833" s="267" t="s">
        <v>307</v>
      </c>
      <c r="D3833" s="267" t="s">
        <v>301</v>
      </c>
      <c r="E3833" s="268" t="s">
        <v>308</v>
      </c>
      <c r="G3833" s="267" t="s">
        <v>159</v>
      </c>
      <c r="H3833" s="267" t="s">
        <v>299</v>
      </c>
      <c r="I3833" s="267" t="s">
        <v>307</v>
      </c>
      <c r="J3833" s="267" t="s">
        <v>301</v>
      </c>
      <c r="K3833" s="268" t="s">
        <v>308</v>
      </c>
    </row>
    <row r="3834" spans="1:11" x14ac:dyDescent="0.35">
      <c r="A3834" s="269" t="s">
        <v>316</v>
      </c>
      <c r="B3834" s="270"/>
      <c r="C3834" s="270"/>
      <c r="D3834" s="270"/>
      <c r="E3834" s="270"/>
      <c r="G3834" s="269" t="s">
        <v>316</v>
      </c>
      <c r="H3834" s="270"/>
      <c r="I3834" s="270"/>
      <c r="J3834" s="270"/>
      <c r="K3834" s="270"/>
    </row>
    <row r="3835" spans="1:11" x14ac:dyDescent="0.35">
      <c r="A3835" s="271" t="s">
        <v>309</v>
      </c>
      <c r="B3835" s="272"/>
      <c r="C3835" s="272"/>
      <c r="D3835" s="272"/>
      <c r="E3835" s="272"/>
      <c r="G3835" s="271" t="s">
        <v>309</v>
      </c>
      <c r="H3835" s="272"/>
      <c r="I3835" s="272"/>
      <c r="J3835" s="272"/>
      <c r="K3835" s="272"/>
    </row>
    <row r="3836" spans="1:11" x14ac:dyDescent="0.35">
      <c r="A3836" s="269" t="s">
        <v>310</v>
      </c>
      <c r="B3836" s="270"/>
      <c r="C3836" s="270"/>
      <c r="D3836" s="270"/>
      <c r="E3836" s="270"/>
      <c r="G3836" s="269" t="s">
        <v>310</v>
      </c>
      <c r="H3836" s="270"/>
      <c r="I3836" s="270"/>
      <c r="J3836" s="270"/>
      <c r="K3836" s="270"/>
    </row>
    <row r="3837" spans="1:11" x14ac:dyDescent="0.35">
      <c r="A3837" s="271" t="s">
        <v>317</v>
      </c>
      <c r="B3837" s="272"/>
      <c r="C3837" s="272"/>
      <c r="D3837" s="272"/>
      <c r="E3837" s="272"/>
      <c r="G3837" s="271" t="s">
        <v>317</v>
      </c>
      <c r="H3837" s="272"/>
      <c r="I3837" s="272"/>
      <c r="J3837" s="272"/>
      <c r="K3837" s="272"/>
    </row>
    <row r="3838" spans="1:11" x14ac:dyDescent="0.35">
      <c r="A3838" s="269" t="s">
        <v>311</v>
      </c>
      <c r="B3838" s="270"/>
      <c r="C3838" s="270"/>
      <c r="D3838" s="270"/>
      <c r="E3838" s="270"/>
      <c r="G3838" s="269" t="s">
        <v>311</v>
      </c>
      <c r="H3838" s="270"/>
      <c r="I3838" s="270"/>
      <c r="J3838" s="270"/>
      <c r="K3838" s="270"/>
    </row>
    <row r="3839" spans="1:11" x14ac:dyDescent="0.35">
      <c r="A3839" s="271" t="s">
        <v>312</v>
      </c>
      <c r="B3839" s="272"/>
      <c r="C3839" s="272"/>
      <c r="D3839" s="272"/>
      <c r="E3839" s="272"/>
      <c r="G3839" s="271" t="s">
        <v>312</v>
      </c>
      <c r="H3839" s="272"/>
      <c r="I3839" s="272"/>
      <c r="J3839" s="272"/>
      <c r="K3839" s="272"/>
    </row>
    <row r="3840" spans="1:11" x14ac:dyDescent="0.35">
      <c r="A3840" s="231" t="s">
        <v>34</v>
      </c>
      <c r="B3840" s="230">
        <f>SUM(B3834:B3839)</f>
        <v>0</v>
      </c>
      <c r="C3840" s="230">
        <f>SUM(C3834:C3839)</f>
        <v>0</v>
      </c>
      <c r="D3840" s="230">
        <f>SUM(D3834:D3839)</f>
        <v>0</v>
      </c>
      <c r="E3840" s="230">
        <f>SUM(E3834:E3839)</f>
        <v>0</v>
      </c>
      <c r="G3840" s="231" t="s">
        <v>34</v>
      </c>
      <c r="H3840" s="230">
        <f>SUM(H3834:H3839)</f>
        <v>0</v>
      </c>
      <c r="I3840" s="230">
        <f>SUM(I3834:I3839)</f>
        <v>0</v>
      </c>
      <c r="J3840" s="230">
        <f>SUM(J3834:J3839)</f>
        <v>0</v>
      </c>
      <c r="K3840" s="230">
        <f>SUM(K3834:K3839)</f>
        <v>0</v>
      </c>
    </row>
    <row r="3841" spans="1:11" ht="15" thickBot="1" x14ac:dyDescent="0.4">
      <c r="A3841" s="231" t="s">
        <v>313</v>
      </c>
      <c r="B3841" s="230">
        <f>+B3840+C3840+D3840+E3840</f>
        <v>0</v>
      </c>
      <c r="C3841" s="230"/>
      <c r="D3841" s="230"/>
      <c r="E3841" s="230"/>
      <c r="G3841" s="231" t="s">
        <v>313</v>
      </c>
      <c r="H3841" s="230">
        <f>+H3840+I3840+J3840+K3840</f>
        <v>0</v>
      </c>
      <c r="I3841" s="230"/>
      <c r="J3841" s="230"/>
      <c r="K3841" s="230"/>
    </row>
    <row r="3842" spans="1:11" ht="15.5" thickTop="1" thickBot="1" x14ac:dyDescent="0.4">
      <c r="A3842" s="335" t="s">
        <v>298</v>
      </c>
      <c r="B3842" s="336"/>
      <c r="C3842" s="336"/>
      <c r="D3842" s="336"/>
      <c r="E3842" s="337"/>
      <c r="G3842" s="335" t="s">
        <v>298</v>
      </c>
      <c r="H3842" s="336"/>
      <c r="I3842" s="336"/>
      <c r="J3842" s="336"/>
      <c r="K3842" s="337"/>
    </row>
    <row r="3843" spans="1:11" ht="15.5" thickTop="1" thickBot="1" x14ac:dyDescent="0.4">
      <c r="A3843" s="338">
        <v>45638</v>
      </c>
      <c r="B3843" s="336"/>
      <c r="C3843" s="336"/>
      <c r="D3843" s="336"/>
      <c r="E3843" s="337"/>
      <c r="G3843" s="338">
        <v>45638</v>
      </c>
      <c r="H3843" s="336"/>
      <c r="I3843" s="336"/>
      <c r="J3843" s="336"/>
      <c r="K3843" s="337"/>
    </row>
    <row r="3844" spans="1:11" ht="15" thickTop="1" x14ac:dyDescent="0.35">
      <c r="A3844" s="267" t="s">
        <v>159</v>
      </c>
      <c r="B3844" s="267" t="s">
        <v>299</v>
      </c>
      <c r="C3844" s="267" t="s">
        <v>307</v>
      </c>
      <c r="D3844" s="267" t="s">
        <v>301</v>
      </c>
      <c r="E3844" s="268" t="s">
        <v>308</v>
      </c>
      <c r="G3844" s="267" t="s">
        <v>159</v>
      </c>
      <c r="H3844" s="267" t="s">
        <v>299</v>
      </c>
      <c r="I3844" s="267" t="s">
        <v>307</v>
      </c>
      <c r="J3844" s="267" t="s">
        <v>301</v>
      </c>
      <c r="K3844" s="268" t="s">
        <v>308</v>
      </c>
    </row>
    <row r="3845" spans="1:11" x14ac:dyDescent="0.35">
      <c r="A3845" s="269" t="s">
        <v>316</v>
      </c>
      <c r="B3845" s="270"/>
      <c r="C3845" s="270"/>
      <c r="D3845" s="270"/>
      <c r="E3845" s="270"/>
      <c r="G3845" s="269" t="s">
        <v>316</v>
      </c>
      <c r="H3845" s="270"/>
      <c r="I3845" s="270"/>
      <c r="J3845" s="270"/>
      <c r="K3845" s="270"/>
    </row>
    <row r="3846" spans="1:11" x14ac:dyDescent="0.35">
      <c r="A3846" s="271" t="s">
        <v>309</v>
      </c>
      <c r="B3846" s="272"/>
      <c r="C3846" s="272"/>
      <c r="D3846" s="272"/>
      <c r="E3846" s="272"/>
      <c r="G3846" s="271" t="s">
        <v>309</v>
      </c>
      <c r="H3846" s="272"/>
      <c r="I3846" s="272"/>
      <c r="J3846" s="272"/>
      <c r="K3846" s="272"/>
    </row>
    <row r="3847" spans="1:11" x14ac:dyDescent="0.35">
      <c r="A3847" s="269" t="s">
        <v>310</v>
      </c>
      <c r="B3847" s="270"/>
      <c r="C3847" s="270"/>
      <c r="D3847" s="270"/>
      <c r="E3847" s="270"/>
      <c r="G3847" s="269" t="s">
        <v>310</v>
      </c>
      <c r="H3847" s="270"/>
      <c r="I3847" s="270"/>
      <c r="J3847" s="270"/>
      <c r="K3847" s="270"/>
    </row>
    <row r="3848" spans="1:11" x14ac:dyDescent="0.35">
      <c r="A3848" s="271" t="s">
        <v>317</v>
      </c>
      <c r="B3848" s="272"/>
      <c r="C3848" s="272"/>
      <c r="D3848" s="272"/>
      <c r="E3848" s="272"/>
      <c r="G3848" s="271" t="s">
        <v>317</v>
      </c>
      <c r="H3848" s="272"/>
      <c r="I3848" s="272"/>
      <c r="J3848" s="272"/>
      <c r="K3848" s="272"/>
    </row>
    <row r="3849" spans="1:11" x14ac:dyDescent="0.35">
      <c r="A3849" s="269" t="s">
        <v>311</v>
      </c>
      <c r="B3849" s="270"/>
      <c r="C3849" s="270"/>
      <c r="D3849" s="270"/>
      <c r="E3849" s="270"/>
      <c r="G3849" s="269" t="s">
        <v>311</v>
      </c>
      <c r="H3849" s="270"/>
      <c r="I3849" s="270"/>
      <c r="J3849" s="270"/>
      <c r="K3849" s="270"/>
    </row>
    <row r="3850" spans="1:11" x14ac:dyDescent="0.35">
      <c r="A3850" s="271" t="s">
        <v>312</v>
      </c>
      <c r="B3850" s="272"/>
      <c r="C3850" s="272"/>
      <c r="D3850" s="272"/>
      <c r="E3850" s="272"/>
      <c r="G3850" s="271" t="s">
        <v>312</v>
      </c>
      <c r="H3850" s="272"/>
      <c r="I3850" s="272"/>
      <c r="J3850" s="272"/>
      <c r="K3850" s="272"/>
    </row>
    <row r="3851" spans="1:11" x14ac:dyDescent="0.35">
      <c r="A3851" s="231" t="s">
        <v>34</v>
      </c>
      <c r="B3851" s="230">
        <f>SUM(B3845:B3850)</f>
        <v>0</v>
      </c>
      <c r="C3851" s="230">
        <f>SUM(C3845:C3850)</f>
        <v>0</v>
      </c>
      <c r="D3851" s="230">
        <f>SUM(D3845:D3850)</f>
        <v>0</v>
      </c>
      <c r="E3851" s="230">
        <f>SUM(E3845:E3850)</f>
        <v>0</v>
      </c>
      <c r="G3851" s="231" t="s">
        <v>34</v>
      </c>
      <c r="H3851" s="230">
        <f>SUM(H3845:H3850)</f>
        <v>0</v>
      </c>
      <c r="I3851" s="230">
        <f>SUM(I3845:I3850)</f>
        <v>0</v>
      </c>
      <c r="J3851" s="230">
        <f>SUM(J3845:J3850)</f>
        <v>0</v>
      </c>
      <c r="K3851" s="230">
        <f>SUM(K3845:K3850)</f>
        <v>0</v>
      </c>
    </row>
    <row r="3852" spans="1:11" ht="15" thickBot="1" x14ac:dyDescent="0.4">
      <c r="A3852" s="231" t="s">
        <v>313</v>
      </c>
      <c r="B3852" s="230">
        <f>+B3851+C3851+D3851+E3851</f>
        <v>0</v>
      </c>
      <c r="C3852" s="230"/>
      <c r="D3852" s="230"/>
      <c r="E3852" s="230"/>
      <c r="G3852" s="231" t="s">
        <v>313</v>
      </c>
      <c r="H3852" s="230">
        <f>+H3851+I3851+J3851+K3851</f>
        <v>0</v>
      </c>
      <c r="I3852" s="230"/>
      <c r="J3852" s="230"/>
      <c r="K3852" s="230"/>
    </row>
    <row r="3853" spans="1:11" ht="15.5" thickTop="1" thickBot="1" x14ac:dyDescent="0.4">
      <c r="A3853" s="335" t="s">
        <v>298</v>
      </c>
      <c r="B3853" s="336"/>
      <c r="C3853" s="336"/>
      <c r="D3853" s="336"/>
      <c r="E3853" s="337"/>
      <c r="G3853" s="335" t="s">
        <v>298</v>
      </c>
      <c r="H3853" s="336"/>
      <c r="I3853" s="336"/>
      <c r="J3853" s="336"/>
      <c r="K3853" s="337"/>
    </row>
    <row r="3854" spans="1:11" ht="15.5" thickTop="1" thickBot="1" x14ac:dyDescent="0.4">
      <c r="A3854" s="338">
        <v>45639</v>
      </c>
      <c r="B3854" s="336"/>
      <c r="C3854" s="336"/>
      <c r="D3854" s="336"/>
      <c r="E3854" s="337"/>
      <c r="G3854" s="338">
        <v>45639</v>
      </c>
      <c r="H3854" s="336"/>
      <c r="I3854" s="336"/>
      <c r="J3854" s="336"/>
      <c r="K3854" s="337"/>
    </row>
    <row r="3855" spans="1:11" ht="15" thickTop="1" x14ac:dyDescent="0.35">
      <c r="A3855" s="267" t="s">
        <v>159</v>
      </c>
      <c r="B3855" s="267" t="s">
        <v>299</v>
      </c>
      <c r="C3855" s="267" t="s">
        <v>307</v>
      </c>
      <c r="D3855" s="267" t="s">
        <v>301</v>
      </c>
      <c r="E3855" s="268" t="s">
        <v>308</v>
      </c>
      <c r="G3855" s="267" t="s">
        <v>159</v>
      </c>
      <c r="H3855" s="267" t="s">
        <v>299</v>
      </c>
      <c r="I3855" s="267" t="s">
        <v>307</v>
      </c>
      <c r="J3855" s="267" t="s">
        <v>301</v>
      </c>
      <c r="K3855" s="268" t="s">
        <v>308</v>
      </c>
    </row>
    <row r="3856" spans="1:11" x14ac:dyDescent="0.35">
      <c r="A3856" s="269" t="s">
        <v>316</v>
      </c>
      <c r="B3856" s="270"/>
      <c r="C3856" s="270"/>
      <c r="D3856" s="270"/>
      <c r="E3856" s="270"/>
      <c r="G3856" s="269" t="s">
        <v>316</v>
      </c>
      <c r="H3856" s="270"/>
      <c r="I3856" s="270"/>
      <c r="J3856" s="270"/>
      <c r="K3856" s="270"/>
    </row>
    <row r="3857" spans="1:11" x14ac:dyDescent="0.35">
      <c r="A3857" s="271" t="s">
        <v>309</v>
      </c>
      <c r="B3857" s="272"/>
      <c r="C3857" s="272"/>
      <c r="D3857" s="272"/>
      <c r="E3857" s="272"/>
      <c r="G3857" s="271" t="s">
        <v>309</v>
      </c>
      <c r="H3857" s="272"/>
      <c r="I3857" s="272"/>
      <c r="J3857" s="272"/>
      <c r="K3857" s="272"/>
    </row>
    <row r="3858" spans="1:11" x14ac:dyDescent="0.35">
      <c r="A3858" s="269" t="s">
        <v>310</v>
      </c>
      <c r="B3858" s="270"/>
      <c r="C3858" s="270"/>
      <c r="D3858" s="270"/>
      <c r="E3858" s="270"/>
      <c r="G3858" s="269" t="s">
        <v>310</v>
      </c>
      <c r="H3858" s="270"/>
      <c r="I3858" s="270"/>
      <c r="J3858" s="270"/>
      <c r="K3858" s="270"/>
    </row>
    <row r="3859" spans="1:11" x14ac:dyDescent="0.35">
      <c r="A3859" s="271" t="s">
        <v>317</v>
      </c>
      <c r="B3859" s="272"/>
      <c r="C3859" s="272"/>
      <c r="D3859" s="272"/>
      <c r="E3859" s="272"/>
      <c r="G3859" s="271" t="s">
        <v>317</v>
      </c>
      <c r="H3859" s="272"/>
      <c r="I3859" s="272"/>
      <c r="J3859" s="272"/>
      <c r="K3859" s="272"/>
    </row>
    <row r="3860" spans="1:11" x14ac:dyDescent="0.35">
      <c r="A3860" s="269" t="s">
        <v>311</v>
      </c>
      <c r="B3860" s="270"/>
      <c r="C3860" s="270"/>
      <c r="D3860" s="270"/>
      <c r="E3860" s="270"/>
      <c r="G3860" s="269" t="s">
        <v>311</v>
      </c>
      <c r="H3860" s="270"/>
      <c r="I3860" s="270"/>
      <c r="J3860" s="270"/>
      <c r="K3860" s="270"/>
    </row>
    <row r="3861" spans="1:11" x14ac:dyDescent="0.35">
      <c r="A3861" s="271" t="s">
        <v>312</v>
      </c>
      <c r="B3861" s="272"/>
      <c r="C3861" s="272"/>
      <c r="D3861" s="272"/>
      <c r="E3861" s="272"/>
      <c r="G3861" s="271" t="s">
        <v>312</v>
      </c>
      <c r="H3861" s="272"/>
      <c r="I3861" s="272"/>
      <c r="J3861" s="272"/>
      <c r="K3861" s="272"/>
    </row>
    <row r="3862" spans="1:11" x14ac:dyDescent="0.35">
      <c r="A3862" s="231" t="s">
        <v>34</v>
      </c>
      <c r="B3862" s="230">
        <f>SUM(B3856:B3861)</f>
        <v>0</v>
      </c>
      <c r="C3862" s="230">
        <f>SUM(C3856:C3861)</f>
        <v>0</v>
      </c>
      <c r="D3862" s="230">
        <f>SUM(D3856:D3861)</f>
        <v>0</v>
      </c>
      <c r="E3862" s="230">
        <f>SUM(E3856:E3861)</f>
        <v>0</v>
      </c>
      <c r="G3862" s="231" t="s">
        <v>34</v>
      </c>
      <c r="H3862" s="230">
        <f>SUM(H3856:H3861)</f>
        <v>0</v>
      </c>
      <c r="I3862" s="230">
        <f>SUM(I3856:I3861)</f>
        <v>0</v>
      </c>
      <c r="J3862" s="230">
        <f>SUM(J3856:J3861)</f>
        <v>0</v>
      </c>
      <c r="K3862" s="230">
        <f>SUM(K3856:K3861)</f>
        <v>0</v>
      </c>
    </row>
    <row r="3863" spans="1:11" ht="15" thickBot="1" x14ac:dyDescent="0.4">
      <c r="A3863" s="231" t="s">
        <v>313</v>
      </c>
      <c r="B3863" s="230">
        <f>+B3862+C3862+D3862+E3862</f>
        <v>0</v>
      </c>
      <c r="C3863" s="230"/>
      <c r="D3863" s="230"/>
      <c r="E3863" s="230"/>
      <c r="G3863" s="231" t="s">
        <v>313</v>
      </c>
      <c r="H3863" s="230">
        <f>+H3862+I3862+J3862+K3862</f>
        <v>0</v>
      </c>
      <c r="I3863" s="230"/>
      <c r="J3863" s="230"/>
      <c r="K3863" s="230"/>
    </row>
    <row r="3864" spans="1:11" ht="15.5" thickTop="1" thickBot="1" x14ac:dyDescent="0.4">
      <c r="A3864" s="335" t="s">
        <v>298</v>
      </c>
      <c r="B3864" s="336"/>
      <c r="C3864" s="336"/>
      <c r="D3864" s="336"/>
      <c r="E3864" s="337"/>
      <c r="G3864" s="335" t="s">
        <v>298</v>
      </c>
      <c r="H3864" s="336"/>
      <c r="I3864" s="336"/>
      <c r="J3864" s="336"/>
      <c r="K3864" s="337"/>
    </row>
    <row r="3865" spans="1:11" ht="15.5" thickTop="1" thickBot="1" x14ac:dyDescent="0.4">
      <c r="A3865" s="338">
        <v>45640</v>
      </c>
      <c r="B3865" s="336"/>
      <c r="C3865" s="336"/>
      <c r="D3865" s="336"/>
      <c r="E3865" s="337"/>
      <c r="G3865" s="338">
        <v>45640</v>
      </c>
      <c r="H3865" s="336"/>
      <c r="I3865" s="336"/>
      <c r="J3865" s="336"/>
      <c r="K3865" s="337"/>
    </row>
    <row r="3866" spans="1:11" ht="15" thickTop="1" x14ac:dyDescent="0.35">
      <c r="A3866" s="267" t="s">
        <v>159</v>
      </c>
      <c r="B3866" s="267" t="s">
        <v>299</v>
      </c>
      <c r="C3866" s="267" t="s">
        <v>307</v>
      </c>
      <c r="D3866" s="267" t="s">
        <v>301</v>
      </c>
      <c r="E3866" s="268" t="s">
        <v>308</v>
      </c>
      <c r="G3866" s="267" t="s">
        <v>159</v>
      </c>
      <c r="H3866" s="267" t="s">
        <v>299</v>
      </c>
      <c r="I3866" s="267" t="s">
        <v>307</v>
      </c>
      <c r="J3866" s="267" t="s">
        <v>301</v>
      </c>
      <c r="K3866" s="268" t="s">
        <v>308</v>
      </c>
    </row>
    <row r="3867" spans="1:11" x14ac:dyDescent="0.35">
      <c r="A3867" s="269" t="s">
        <v>316</v>
      </c>
      <c r="B3867" s="270"/>
      <c r="C3867" s="270"/>
      <c r="D3867" s="270"/>
      <c r="E3867" s="270"/>
      <c r="G3867" s="269" t="s">
        <v>316</v>
      </c>
      <c r="H3867" s="270"/>
      <c r="I3867" s="270"/>
      <c r="J3867" s="270"/>
      <c r="K3867" s="270"/>
    </row>
    <row r="3868" spans="1:11" x14ac:dyDescent="0.35">
      <c r="A3868" s="271" t="s">
        <v>309</v>
      </c>
      <c r="B3868" s="272"/>
      <c r="C3868" s="272"/>
      <c r="D3868" s="272"/>
      <c r="E3868" s="272"/>
      <c r="G3868" s="271" t="s">
        <v>309</v>
      </c>
      <c r="H3868" s="272"/>
      <c r="I3868" s="272"/>
      <c r="J3868" s="272"/>
      <c r="K3868" s="272"/>
    </row>
    <row r="3869" spans="1:11" x14ac:dyDescent="0.35">
      <c r="A3869" s="269" t="s">
        <v>310</v>
      </c>
      <c r="B3869" s="270"/>
      <c r="C3869" s="270"/>
      <c r="D3869" s="270"/>
      <c r="E3869" s="270"/>
      <c r="G3869" s="269" t="s">
        <v>310</v>
      </c>
      <c r="H3869" s="270"/>
      <c r="I3869" s="270"/>
      <c r="J3869" s="270"/>
      <c r="K3869" s="270"/>
    </row>
    <row r="3870" spans="1:11" x14ac:dyDescent="0.35">
      <c r="A3870" s="271" t="s">
        <v>317</v>
      </c>
      <c r="B3870" s="272"/>
      <c r="C3870" s="272"/>
      <c r="D3870" s="272"/>
      <c r="E3870" s="272"/>
      <c r="G3870" s="271" t="s">
        <v>317</v>
      </c>
      <c r="H3870" s="272"/>
      <c r="I3870" s="272"/>
      <c r="J3870" s="272"/>
      <c r="K3870" s="272"/>
    </row>
    <row r="3871" spans="1:11" x14ac:dyDescent="0.35">
      <c r="A3871" s="269" t="s">
        <v>311</v>
      </c>
      <c r="B3871" s="270"/>
      <c r="C3871" s="270"/>
      <c r="D3871" s="270"/>
      <c r="E3871" s="270"/>
      <c r="G3871" s="269" t="s">
        <v>311</v>
      </c>
      <c r="H3871" s="270"/>
      <c r="I3871" s="270"/>
      <c r="J3871" s="270"/>
      <c r="K3871" s="270"/>
    </row>
    <row r="3872" spans="1:11" x14ac:dyDescent="0.35">
      <c r="A3872" s="271" t="s">
        <v>312</v>
      </c>
      <c r="B3872" s="272"/>
      <c r="C3872" s="272"/>
      <c r="D3872" s="272"/>
      <c r="E3872" s="272"/>
      <c r="G3872" s="271" t="s">
        <v>312</v>
      </c>
      <c r="H3872" s="272"/>
      <c r="I3872" s="272"/>
      <c r="J3872" s="272"/>
      <c r="K3872" s="272"/>
    </row>
    <row r="3873" spans="1:11" x14ac:dyDescent="0.35">
      <c r="A3873" s="231" t="s">
        <v>34</v>
      </c>
      <c r="B3873" s="230">
        <f>SUM(B3867:B3872)</f>
        <v>0</v>
      </c>
      <c r="C3873" s="230">
        <f>SUM(C3867:C3872)</f>
        <v>0</v>
      </c>
      <c r="D3873" s="230">
        <f>SUM(D3867:D3872)</f>
        <v>0</v>
      </c>
      <c r="E3873" s="230">
        <f>SUM(E3867:E3872)</f>
        <v>0</v>
      </c>
      <c r="G3873" s="231" t="s">
        <v>34</v>
      </c>
      <c r="H3873" s="230">
        <f>SUM(H3867:H3872)</f>
        <v>0</v>
      </c>
      <c r="I3873" s="230">
        <f>SUM(I3867:I3872)</f>
        <v>0</v>
      </c>
      <c r="J3873" s="230">
        <f>SUM(J3867:J3872)</f>
        <v>0</v>
      </c>
      <c r="K3873" s="230">
        <f>SUM(K3867:K3872)</f>
        <v>0</v>
      </c>
    </row>
    <row r="3874" spans="1:11" ht="15" thickBot="1" x14ac:dyDescent="0.4">
      <c r="A3874" s="231" t="s">
        <v>313</v>
      </c>
      <c r="B3874" s="230">
        <f>+B3873+C3873+D3873+E3873</f>
        <v>0</v>
      </c>
      <c r="C3874" s="230"/>
      <c r="D3874" s="230"/>
      <c r="E3874" s="230"/>
      <c r="G3874" s="231" t="s">
        <v>313</v>
      </c>
      <c r="H3874" s="230">
        <f>+H3873+I3873+J3873+K3873</f>
        <v>0</v>
      </c>
      <c r="I3874" s="230"/>
      <c r="J3874" s="230"/>
      <c r="K3874" s="230"/>
    </row>
    <row r="3875" spans="1:11" ht="15.5" thickTop="1" thickBot="1" x14ac:dyDescent="0.4">
      <c r="A3875" s="335" t="s">
        <v>298</v>
      </c>
      <c r="B3875" s="336"/>
      <c r="C3875" s="336"/>
      <c r="D3875" s="336"/>
      <c r="E3875" s="337"/>
      <c r="G3875" s="335" t="s">
        <v>298</v>
      </c>
      <c r="H3875" s="336"/>
      <c r="I3875" s="336"/>
      <c r="J3875" s="336"/>
      <c r="K3875" s="337"/>
    </row>
    <row r="3876" spans="1:11" ht="15.5" thickTop="1" thickBot="1" x14ac:dyDescent="0.4">
      <c r="A3876" s="338">
        <v>45641</v>
      </c>
      <c r="B3876" s="336"/>
      <c r="C3876" s="336"/>
      <c r="D3876" s="336"/>
      <c r="E3876" s="337"/>
      <c r="G3876" s="338">
        <v>45641</v>
      </c>
      <c r="H3876" s="336"/>
      <c r="I3876" s="336"/>
      <c r="J3876" s="336"/>
      <c r="K3876" s="337"/>
    </row>
    <row r="3877" spans="1:11" ht="15" thickTop="1" x14ac:dyDescent="0.35">
      <c r="A3877" s="267" t="s">
        <v>159</v>
      </c>
      <c r="B3877" s="267" t="s">
        <v>299</v>
      </c>
      <c r="C3877" s="267" t="s">
        <v>307</v>
      </c>
      <c r="D3877" s="267" t="s">
        <v>301</v>
      </c>
      <c r="E3877" s="268" t="s">
        <v>308</v>
      </c>
      <c r="G3877" s="267" t="s">
        <v>159</v>
      </c>
      <c r="H3877" s="267" t="s">
        <v>299</v>
      </c>
      <c r="I3877" s="267" t="s">
        <v>307</v>
      </c>
      <c r="J3877" s="267" t="s">
        <v>301</v>
      </c>
      <c r="K3877" s="268" t="s">
        <v>308</v>
      </c>
    </row>
    <row r="3878" spans="1:11" x14ac:dyDescent="0.35">
      <c r="A3878" s="269" t="s">
        <v>316</v>
      </c>
      <c r="B3878" s="270"/>
      <c r="C3878" s="270"/>
      <c r="D3878" s="270"/>
      <c r="E3878" s="270"/>
      <c r="G3878" s="269" t="s">
        <v>316</v>
      </c>
      <c r="H3878" s="270"/>
      <c r="I3878" s="270"/>
      <c r="J3878" s="270"/>
      <c r="K3878" s="270"/>
    </row>
    <row r="3879" spans="1:11" x14ac:dyDescent="0.35">
      <c r="A3879" s="271" t="s">
        <v>309</v>
      </c>
      <c r="B3879" s="272"/>
      <c r="C3879" s="272"/>
      <c r="D3879" s="272"/>
      <c r="E3879" s="272"/>
      <c r="G3879" s="271" t="s">
        <v>309</v>
      </c>
      <c r="H3879" s="272"/>
      <c r="I3879" s="272"/>
      <c r="J3879" s="272"/>
      <c r="K3879" s="272"/>
    </row>
    <row r="3880" spans="1:11" x14ac:dyDescent="0.35">
      <c r="A3880" s="269" t="s">
        <v>310</v>
      </c>
      <c r="B3880" s="270"/>
      <c r="C3880" s="270"/>
      <c r="D3880" s="270"/>
      <c r="E3880" s="270"/>
      <c r="G3880" s="269" t="s">
        <v>310</v>
      </c>
      <c r="H3880" s="270"/>
      <c r="I3880" s="270"/>
      <c r="J3880" s="270"/>
      <c r="K3880" s="270"/>
    </row>
    <row r="3881" spans="1:11" x14ac:dyDescent="0.35">
      <c r="A3881" s="271" t="s">
        <v>317</v>
      </c>
      <c r="B3881" s="272"/>
      <c r="C3881" s="272"/>
      <c r="D3881" s="272"/>
      <c r="E3881" s="272"/>
      <c r="G3881" s="271" t="s">
        <v>317</v>
      </c>
      <c r="H3881" s="272"/>
      <c r="I3881" s="272"/>
      <c r="J3881" s="272"/>
      <c r="K3881" s="272"/>
    </row>
    <row r="3882" spans="1:11" x14ac:dyDescent="0.35">
      <c r="A3882" s="269" t="s">
        <v>311</v>
      </c>
      <c r="B3882" s="270"/>
      <c r="C3882" s="270"/>
      <c r="D3882" s="270"/>
      <c r="E3882" s="270"/>
      <c r="G3882" s="269" t="s">
        <v>311</v>
      </c>
      <c r="H3882" s="270"/>
      <c r="I3882" s="270"/>
      <c r="J3882" s="270"/>
      <c r="K3882" s="270"/>
    </row>
    <row r="3883" spans="1:11" x14ac:dyDescent="0.35">
      <c r="A3883" s="271" t="s">
        <v>312</v>
      </c>
      <c r="B3883" s="272"/>
      <c r="C3883" s="272"/>
      <c r="D3883" s="272"/>
      <c r="E3883" s="272"/>
      <c r="G3883" s="271" t="s">
        <v>312</v>
      </c>
      <c r="H3883" s="272"/>
      <c r="I3883" s="272"/>
      <c r="J3883" s="272"/>
      <c r="K3883" s="272"/>
    </row>
    <row r="3884" spans="1:11" x14ac:dyDescent="0.35">
      <c r="A3884" s="231" t="s">
        <v>34</v>
      </c>
      <c r="B3884" s="230">
        <f>SUM(B3878:B3883)</f>
        <v>0</v>
      </c>
      <c r="C3884" s="230">
        <f>SUM(C3878:C3883)</f>
        <v>0</v>
      </c>
      <c r="D3884" s="230">
        <f>SUM(D3878:D3883)</f>
        <v>0</v>
      </c>
      <c r="E3884" s="230">
        <f>SUM(E3878:E3883)</f>
        <v>0</v>
      </c>
      <c r="G3884" s="231" t="s">
        <v>34</v>
      </c>
      <c r="H3884" s="230">
        <f>SUM(H3878:H3883)</f>
        <v>0</v>
      </c>
      <c r="I3884" s="230">
        <f>SUM(I3878:I3883)</f>
        <v>0</v>
      </c>
      <c r="J3884" s="230">
        <f>SUM(J3878:J3883)</f>
        <v>0</v>
      </c>
      <c r="K3884" s="230">
        <f>SUM(K3878:K3883)</f>
        <v>0</v>
      </c>
    </row>
    <row r="3885" spans="1:11" ht="15" thickBot="1" x14ac:dyDescent="0.4">
      <c r="A3885" s="231" t="s">
        <v>313</v>
      </c>
      <c r="B3885" s="230">
        <f>+B3884+C3884+D3884+E3884</f>
        <v>0</v>
      </c>
      <c r="C3885" s="230"/>
      <c r="D3885" s="230"/>
      <c r="E3885" s="230"/>
      <c r="G3885" s="231" t="s">
        <v>313</v>
      </c>
      <c r="H3885" s="230">
        <f>+H3884+I3884+J3884+K3884</f>
        <v>0</v>
      </c>
      <c r="I3885" s="230"/>
      <c r="J3885" s="230"/>
      <c r="K3885" s="230"/>
    </row>
    <row r="3886" spans="1:11" ht="15.5" thickTop="1" thickBot="1" x14ac:dyDescent="0.4">
      <c r="A3886" s="335" t="s">
        <v>298</v>
      </c>
      <c r="B3886" s="336"/>
      <c r="C3886" s="336"/>
      <c r="D3886" s="336"/>
      <c r="E3886" s="337"/>
      <c r="G3886" s="335" t="s">
        <v>298</v>
      </c>
      <c r="H3886" s="336"/>
      <c r="I3886" s="336"/>
      <c r="J3886" s="336"/>
      <c r="K3886" s="337"/>
    </row>
    <row r="3887" spans="1:11" ht="15.5" thickTop="1" thickBot="1" x14ac:dyDescent="0.4">
      <c r="A3887" s="338">
        <v>45642</v>
      </c>
      <c r="B3887" s="336"/>
      <c r="C3887" s="336"/>
      <c r="D3887" s="336"/>
      <c r="E3887" s="337"/>
      <c r="G3887" s="338">
        <v>45642</v>
      </c>
      <c r="H3887" s="336"/>
      <c r="I3887" s="336"/>
      <c r="J3887" s="336"/>
      <c r="K3887" s="337"/>
    </row>
    <row r="3888" spans="1:11" ht="15" thickTop="1" x14ac:dyDescent="0.35">
      <c r="A3888" s="267" t="s">
        <v>159</v>
      </c>
      <c r="B3888" s="267" t="s">
        <v>299</v>
      </c>
      <c r="C3888" s="267" t="s">
        <v>307</v>
      </c>
      <c r="D3888" s="267" t="s">
        <v>301</v>
      </c>
      <c r="E3888" s="268" t="s">
        <v>308</v>
      </c>
      <c r="G3888" s="267" t="s">
        <v>159</v>
      </c>
      <c r="H3888" s="267" t="s">
        <v>299</v>
      </c>
      <c r="I3888" s="267" t="s">
        <v>307</v>
      </c>
      <c r="J3888" s="267" t="s">
        <v>301</v>
      </c>
      <c r="K3888" s="268" t="s">
        <v>308</v>
      </c>
    </row>
    <row r="3889" spans="1:11" x14ac:dyDescent="0.35">
      <c r="A3889" s="269" t="s">
        <v>316</v>
      </c>
      <c r="B3889" s="270"/>
      <c r="C3889" s="270"/>
      <c r="D3889" s="270"/>
      <c r="E3889" s="270"/>
      <c r="G3889" s="269" t="s">
        <v>316</v>
      </c>
      <c r="H3889" s="270"/>
      <c r="I3889" s="270"/>
      <c r="J3889" s="270"/>
      <c r="K3889" s="270"/>
    </row>
    <row r="3890" spans="1:11" x14ac:dyDescent="0.35">
      <c r="A3890" s="271" t="s">
        <v>309</v>
      </c>
      <c r="B3890" s="272"/>
      <c r="C3890" s="272"/>
      <c r="D3890" s="272"/>
      <c r="E3890" s="272"/>
      <c r="G3890" s="271" t="s">
        <v>309</v>
      </c>
      <c r="H3890" s="272"/>
      <c r="I3890" s="272"/>
      <c r="J3890" s="272"/>
      <c r="K3890" s="272"/>
    </row>
    <row r="3891" spans="1:11" x14ac:dyDescent="0.35">
      <c r="A3891" s="269" t="s">
        <v>310</v>
      </c>
      <c r="B3891" s="270"/>
      <c r="C3891" s="270"/>
      <c r="D3891" s="270"/>
      <c r="E3891" s="270"/>
      <c r="G3891" s="269" t="s">
        <v>310</v>
      </c>
      <c r="H3891" s="270"/>
      <c r="I3891" s="270"/>
      <c r="J3891" s="270"/>
      <c r="K3891" s="270"/>
    </row>
    <row r="3892" spans="1:11" x14ac:dyDescent="0.35">
      <c r="A3892" s="271" t="s">
        <v>317</v>
      </c>
      <c r="B3892" s="272"/>
      <c r="C3892" s="272"/>
      <c r="D3892" s="272"/>
      <c r="E3892" s="272"/>
      <c r="G3892" s="271" t="s">
        <v>317</v>
      </c>
      <c r="H3892" s="272"/>
      <c r="I3892" s="272"/>
      <c r="J3892" s="272"/>
      <c r="K3892" s="272"/>
    </row>
    <row r="3893" spans="1:11" x14ac:dyDescent="0.35">
      <c r="A3893" s="269" t="s">
        <v>311</v>
      </c>
      <c r="B3893" s="270"/>
      <c r="C3893" s="270"/>
      <c r="D3893" s="270"/>
      <c r="E3893" s="270"/>
      <c r="G3893" s="269" t="s">
        <v>311</v>
      </c>
      <c r="H3893" s="270"/>
      <c r="I3893" s="270"/>
      <c r="J3893" s="270"/>
      <c r="K3893" s="270"/>
    </row>
    <row r="3894" spans="1:11" x14ac:dyDescent="0.35">
      <c r="A3894" s="271" t="s">
        <v>312</v>
      </c>
      <c r="B3894" s="272"/>
      <c r="C3894" s="272"/>
      <c r="D3894" s="272"/>
      <c r="E3894" s="272"/>
      <c r="G3894" s="271" t="s">
        <v>312</v>
      </c>
      <c r="H3894" s="272"/>
      <c r="I3894" s="272"/>
      <c r="J3894" s="272"/>
      <c r="K3894" s="272"/>
    </row>
    <row r="3895" spans="1:11" x14ac:dyDescent="0.35">
      <c r="A3895" s="231" t="s">
        <v>34</v>
      </c>
      <c r="B3895" s="230">
        <f>SUM(B3889:B3894)</f>
        <v>0</v>
      </c>
      <c r="C3895" s="230">
        <f>SUM(C3889:C3894)</f>
        <v>0</v>
      </c>
      <c r="D3895" s="230">
        <f>SUM(D3889:D3894)</f>
        <v>0</v>
      </c>
      <c r="E3895" s="230">
        <f>SUM(E3889:E3894)</f>
        <v>0</v>
      </c>
      <c r="G3895" s="231" t="s">
        <v>34</v>
      </c>
      <c r="H3895" s="230">
        <f>SUM(H3889:H3894)</f>
        <v>0</v>
      </c>
      <c r="I3895" s="230">
        <f>SUM(I3889:I3894)</f>
        <v>0</v>
      </c>
      <c r="J3895" s="230">
        <f>SUM(J3889:J3894)</f>
        <v>0</v>
      </c>
      <c r="K3895" s="230">
        <f>SUM(K3889:K3894)</f>
        <v>0</v>
      </c>
    </row>
    <row r="3896" spans="1:11" ht="15" thickBot="1" x14ac:dyDescent="0.4">
      <c r="A3896" s="231" t="s">
        <v>313</v>
      </c>
      <c r="B3896" s="230">
        <f>+B3895+C3895+D3895+E3895</f>
        <v>0</v>
      </c>
      <c r="C3896" s="230"/>
      <c r="D3896" s="230"/>
      <c r="E3896" s="230"/>
      <c r="G3896" s="231" t="s">
        <v>313</v>
      </c>
      <c r="H3896" s="230">
        <f>+H3895+I3895+J3895+K3895</f>
        <v>0</v>
      </c>
      <c r="I3896" s="230"/>
      <c r="J3896" s="230"/>
      <c r="K3896" s="230"/>
    </row>
    <row r="3897" spans="1:11" ht="15.5" thickTop="1" thickBot="1" x14ac:dyDescent="0.4">
      <c r="A3897" s="335" t="s">
        <v>298</v>
      </c>
      <c r="B3897" s="336"/>
      <c r="C3897" s="336"/>
      <c r="D3897" s="336"/>
      <c r="E3897" s="337"/>
      <c r="G3897" s="335" t="s">
        <v>298</v>
      </c>
      <c r="H3897" s="336"/>
      <c r="I3897" s="336"/>
      <c r="J3897" s="336"/>
      <c r="K3897" s="337"/>
    </row>
    <row r="3898" spans="1:11" ht="15.5" thickTop="1" thickBot="1" x14ac:dyDescent="0.4">
      <c r="A3898" s="338">
        <v>45643</v>
      </c>
      <c r="B3898" s="336"/>
      <c r="C3898" s="336"/>
      <c r="D3898" s="336"/>
      <c r="E3898" s="337"/>
      <c r="G3898" s="338">
        <v>45643</v>
      </c>
      <c r="H3898" s="336"/>
      <c r="I3898" s="336"/>
      <c r="J3898" s="336"/>
      <c r="K3898" s="337"/>
    </row>
    <row r="3899" spans="1:11" ht="15" thickTop="1" x14ac:dyDescent="0.35">
      <c r="A3899" s="267" t="s">
        <v>159</v>
      </c>
      <c r="B3899" s="267" t="s">
        <v>299</v>
      </c>
      <c r="C3899" s="267" t="s">
        <v>307</v>
      </c>
      <c r="D3899" s="267" t="s">
        <v>301</v>
      </c>
      <c r="E3899" s="268" t="s">
        <v>308</v>
      </c>
      <c r="G3899" s="267" t="s">
        <v>159</v>
      </c>
      <c r="H3899" s="267" t="s">
        <v>299</v>
      </c>
      <c r="I3899" s="267" t="s">
        <v>307</v>
      </c>
      <c r="J3899" s="267" t="s">
        <v>301</v>
      </c>
      <c r="K3899" s="268" t="s">
        <v>308</v>
      </c>
    </row>
    <row r="3900" spans="1:11" x14ac:dyDescent="0.35">
      <c r="A3900" s="269" t="s">
        <v>316</v>
      </c>
      <c r="B3900" s="270"/>
      <c r="C3900" s="270"/>
      <c r="D3900" s="270"/>
      <c r="E3900" s="270"/>
      <c r="G3900" s="269" t="s">
        <v>316</v>
      </c>
      <c r="H3900" s="270"/>
      <c r="I3900" s="270"/>
      <c r="J3900" s="270"/>
      <c r="K3900" s="270"/>
    </row>
    <row r="3901" spans="1:11" x14ac:dyDescent="0.35">
      <c r="A3901" s="271" t="s">
        <v>309</v>
      </c>
      <c r="B3901" s="272"/>
      <c r="C3901" s="272"/>
      <c r="D3901" s="272"/>
      <c r="E3901" s="272"/>
      <c r="G3901" s="271" t="s">
        <v>309</v>
      </c>
      <c r="H3901" s="272"/>
      <c r="I3901" s="272"/>
      <c r="J3901" s="272"/>
      <c r="K3901" s="272"/>
    </row>
    <row r="3902" spans="1:11" x14ac:dyDescent="0.35">
      <c r="A3902" s="269" t="s">
        <v>310</v>
      </c>
      <c r="B3902" s="270"/>
      <c r="C3902" s="270"/>
      <c r="D3902" s="270"/>
      <c r="E3902" s="270"/>
      <c r="G3902" s="269" t="s">
        <v>310</v>
      </c>
      <c r="H3902" s="270"/>
      <c r="I3902" s="270"/>
      <c r="J3902" s="270"/>
      <c r="K3902" s="270"/>
    </row>
    <row r="3903" spans="1:11" x14ac:dyDescent="0.35">
      <c r="A3903" s="271" t="s">
        <v>317</v>
      </c>
      <c r="B3903" s="272"/>
      <c r="C3903" s="272"/>
      <c r="D3903" s="272"/>
      <c r="E3903" s="272"/>
      <c r="G3903" s="271" t="s">
        <v>317</v>
      </c>
      <c r="H3903" s="272"/>
      <c r="I3903" s="272"/>
      <c r="J3903" s="272"/>
      <c r="K3903" s="272"/>
    </row>
    <row r="3904" spans="1:11" x14ac:dyDescent="0.35">
      <c r="A3904" s="269" t="s">
        <v>311</v>
      </c>
      <c r="B3904" s="270"/>
      <c r="C3904" s="270"/>
      <c r="D3904" s="270"/>
      <c r="E3904" s="270"/>
      <c r="G3904" s="269" t="s">
        <v>311</v>
      </c>
      <c r="H3904" s="270"/>
      <c r="I3904" s="270"/>
      <c r="J3904" s="270"/>
      <c r="K3904" s="270"/>
    </row>
    <row r="3905" spans="1:11" x14ac:dyDescent="0.35">
      <c r="A3905" s="271" t="s">
        <v>312</v>
      </c>
      <c r="B3905" s="272"/>
      <c r="C3905" s="272"/>
      <c r="D3905" s="272"/>
      <c r="E3905" s="272"/>
      <c r="G3905" s="271" t="s">
        <v>312</v>
      </c>
      <c r="H3905" s="272"/>
      <c r="I3905" s="272"/>
      <c r="J3905" s="272"/>
      <c r="K3905" s="272"/>
    </row>
    <row r="3906" spans="1:11" x14ac:dyDescent="0.35">
      <c r="A3906" s="231" t="s">
        <v>34</v>
      </c>
      <c r="B3906" s="230">
        <f>SUM(B3900:B3905)</f>
        <v>0</v>
      </c>
      <c r="C3906" s="230">
        <f>SUM(C3900:C3905)</f>
        <v>0</v>
      </c>
      <c r="D3906" s="230">
        <f>SUM(D3900:D3905)</f>
        <v>0</v>
      </c>
      <c r="E3906" s="230">
        <f>SUM(E3900:E3905)</f>
        <v>0</v>
      </c>
      <c r="G3906" s="231" t="s">
        <v>34</v>
      </c>
      <c r="H3906" s="230">
        <f>SUM(H3900:H3905)</f>
        <v>0</v>
      </c>
      <c r="I3906" s="230">
        <f>SUM(I3900:I3905)</f>
        <v>0</v>
      </c>
      <c r="J3906" s="230">
        <f>SUM(J3900:J3905)</f>
        <v>0</v>
      </c>
      <c r="K3906" s="230">
        <f>SUM(K3900:K3905)</f>
        <v>0</v>
      </c>
    </row>
    <row r="3907" spans="1:11" ht="15" thickBot="1" x14ac:dyDescent="0.4">
      <c r="A3907" s="231" t="s">
        <v>313</v>
      </c>
      <c r="B3907" s="230">
        <f>+B3906+C3906+D3906+E3906</f>
        <v>0</v>
      </c>
      <c r="C3907" s="230"/>
      <c r="D3907" s="230"/>
      <c r="E3907" s="230"/>
      <c r="G3907" s="231" t="s">
        <v>313</v>
      </c>
      <c r="H3907" s="230">
        <f>+H3906+I3906+J3906+K3906</f>
        <v>0</v>
      </c>
      <c r="I3907" s="230"/>
      <c r="J3907" s="230"/>
      <c r="K3907" s="230"/>
    </row>
    <row r="3908" spans="1:11" ht="15.5" thickTop="1" thickBot="1" x14ac:dyDescent="0.4">
      <c r="A3908" s="335" t="s">
        <v>298</v>
      </c>
      <c r="B3908" s="336"/>
      <c r="C3908" s="336"/>
      <c r="D3908" s="336"/>
      <c r="E3908" s="337"/>
      <c r="G3908" s="335" t="s">
        <v>298</v>
      </c>
      <c r="H3908" s="336"/>
      <c r="I3908" s="336"/>
      <c r="J3908" s="336"/>
      <c r="K3908" s="337"/>
    </row>
    <row r="3909" spans="1:11" ht="15.5" thickTop="1" thickBot="1" x14ac:dyDescent="0.4">
      <c r="A3909" s="338">
        <v>45644</v>
      </c>
      <c r="B3909" s="336"/>
      <c r="C3909" s="336"/>
      <c r="D3909" s="336"/>
      <c r="E3909" s="337"/>
      <c r="G3909" s="338">
        <v>45644</v>
      </c>
      <c r="H3909" s="336"/>
      <c r="I3909" s="336"/>
      <c r="J3909" s="336"/>
      <c r="K3909" s="337"/>
    </row>
    <row r="3910" spans="1:11" ht="15" thickTop="1" x14ac:dyDescent="0.35">
      <c r="A3910" s="267" t="s">
        <v>159</v>
      </c>
      <c r="B3910" s="267" t="s">
        <v>299</v>
      </c>
      <c r="C3910" s="267" t="s">
        <v>307</v>
      </c>
      <c r="D3910" s="267" t="s">
        <v>301</v>
      </c>
      <c r="E3910" s="268" t="s">
        <v>308</v>
      </c>
      <c r="G3910" s="267" t="s">
        <v>159</v>
      </c>
      <c r="H3910" s="267" t="s">
        <v>299</v>
      </c>
      <c r="I3910" s="267" t="s">
        <v>307</v>
      </c>
      <c r="J3910" s="267" t="s">
        <v>301</v>
      </c>
      <c r="K3910" s="268" t="s">
        <v>308</v>
      </c>
    </row>
    <row r="3911" spans="1:11" x14ac:dyDescent="0.35">
      <c r="A3911" s="269" t="s">
        <v>316</v>
      </c>
      <c r="B3911" s="270"/>
      <c r="C3911" s="270"/>
      <c r="D3911" s="270"/>
      <c r="E3911" s="270"/>
      <c r="G3911" s="269" t="s">
        <v>316</v>
      </c>
      <c r="H3911" s="270"/>
      <c r="I3911" s="270"/>
      <c r="J3911" s="270"/>
      <c r="K3911" s="270"/>
    </row>
    <row r="3912" spans="1:11" x14ac:dyDescent="0.35">
      <c r="A3912" s="271" t="s">
        <v>309</v>
      </c>
      <c r="B3912" s="272"/>
      <c r="C3912" s="272"/>
      <c r="D3912" s="272"/>
      <c r="E3912" s="272"/>
      <c r="G3912" s="271" t="s">
        <v>309</v>
      </c>
      <c r="H3912" s="272"/>
      <c r="I3912" s="272"/>
      <c r="J3912" s="272"/>
      <c r="K3912" s="272"/>
    </row>
    <row r="3913" spans="1:11" x14ac:dyDescent="0.35">
      <c r="A3913" s="269" t="s">
        <v>310</v>
      </c>
      <c r="B3913" s="270"/>
      <c r="C3913" s="270"/>
      <c r="D3913" s="270"/>
      <c r="E3913" s="270"/>
      <c r="G3913" s="269" t="s">
        <v>310</v>
      </c>
      <c r="H3913" s="270"/>
      <c r="I3913" s="270"/>
      <c r="J3913" s="270"/>
      <c r="K3913" s="270"/>
    </row>
    <row r="3914" spans="1:11" x14ac:dyDescent="0.35">
      <c r="A3914" s="271" t="s">
        <v>317</v>
      </c>
      <c r="B3914" s="272"/>
      <c r="C3914" s="272"/>
      <c r="D3914" s="272"/>
      <c r="E3914" s="272"/>
      <c r="G3914" s="271" t="s">
        <v>317</v>
      </c>
      <c r="H3914" s="272"/>
      <c r="I3914" s="272"/>
      <c r="J3914" s="272"/>
      <c r="K3914" s="272"/>
    </row>
    <row r="3915" spans="1:11" x14ac:dyDescent="0.35">
      <c r="A3915" s="269" t="s">
        <v>311</v>
      </c>
      <c r="B3915" s="270"/>
      <c r="C3915" s="270"/>
      <c r="D3915" s="270"/>
      <c r="E3915" s="270"/>
      <c r="G3915" s="269" t="s">
        <v>311</v>
      </c>
      <c r="H3915" s="270"/>
      <c r="I3915" s="270"/>
      <c r="J3915" s="270"/>
      <c r="K3915" s="270"/>
    </row>
    <row r="3916" spans="1:11" x14ac:dyDescent="0.35">
      <c r="A3916" s="271" t="s">
        <v>312</v>
      </c>
      <c r="B3916" s="272"/>
      <c r="C3916" s="272"/>
      <c r="D3916" s="272"/>
      <c r="E3916" s="272"/>
      <c r="G3916" s="271" t="s">
        <v>312</v>
      </c>
      <c r="H3916" s="272"/>
      <c r="I3916" s="272"/>
      <c r="J3916" s="272"/>
      <c r="K3916" s="272"/>
    </row>
    <row r="3917" spans="1:11" x14ac:dyDescent="0.35">
      <c r="A3917" s="231" t="s">
        <v>34</v>
      </c>
      <c r="B3917" s="230">
        <f>SUM(B3911:B3916)</f>
        <v>0</v>
      </c>
      <c r="C3917" s="230">
        <f>SUM(C3911:C3916)</f>
        <v>0</v>
      </c>
      <c r="D3917" s="230">
        <f>SUM(D3911:D3916)</f>
        <v>0</v>
      </c>
      <c r="E3917" s="230">
        <f>SUM(E3911:E3916)</f>
        <v>0</v>
      </c>
      <c r="G3917" s="231" t="s">
        <v>34</v>
      </c>
      <c r="H3917" s="230">
        <f>SUM(H3911:H3916)</f>
        <v>0</v>
      </c>
      <c r="I3917" s="230">
        <f>SUM(I3911:I3916)</f>
        <v>0</v>
      </c>
      <c r="J3917" s="230">
        <f>SUM(J3911:J3916)</f>
        <v>0</v>
      </c>
      <c r="K3917" s="230">
        <f>SUM(K3911:K3916)</f>
        <v>0</v>
      </c>
    </row>
    <row r="3918" spans="1:11" ht="15" thickBot="1" x14ac:dyDescent="0.4">
      <c r="A3918" s="231" t="s">
        <v>313</v>
      </c>
      <c r="B3918" s="230">
        <f>+B3917+C3917+D3917+E3917</f>
        <v>0</v>
      </c>
      <c r="C3918" s="230"/>
      <c r="D3918" s="230"/>
      <c r="E3918" s="230"/>
      <c r="G3918" s="231" t="s">
        <v>313</v>
      </c>
      <c r="H3918" s="230">
        <f>+H3917+I3917+J3917+K3917</f>
        <v>0</v>
      </c>
      <c r="I3918" s="230"/>
      <c r="J3918" s="230"/>
      <c r="K3918" s="230"/>
    </row>
    <row r="3919" spans="1:11" ht="15.5" thickTop="1" thickBot="1" x14ac:dyDescent="0.4">
      <c r="A3919" s="335" t="s">
        <v>298</v>
      </c>
      <c r="B3919" s="336"/>
      <c r="C3919" s="336"/>
      <c r="D3919" s="336"/>
      <c r="E3919" s="337"/>
      <c r="G3919" s="335" t="s">
        <v>298</v>
      </c>
      <c r="H3919" s="336"/>
      <c r="I3919" s="336"/>
      <c r="J3919" s="336"/>
      <c r="K3919" s="337"/>
    </row>
    <row r="3920" spans="1:11" ht="15.5" thickTop="1" thickBot="1" x14ac:dyDescent="0.4">
      <c r="A3920" s="338">
        <v>45645</v>
      </c>
      <c r="B3920" s="336"/>
      <c r="C3920" s="336"/>
      <c r="D3920" s="336"/>
      <c r="E3920" s="337"/>
      <c r="G3920" s="338">
        <v>45645</v>
      </c>
      <c r="H3920" s="336"/>
      <c r="I3920" s="336"/>
      <c r="J3920" s="336"/>
      <c r="K3920" s="337"/>
    </row>
    <row r="3921" spans="1:11" ht="15" thickTop="1" x14ac:dyDescent="0.35">
      <c r="A3921" s="267" t="s">
        <v>159</v>
      </c>
      <c r="B3921" s="267" t="s">
        <v>299</v>
      </c>
      <c r="C3921" s="267" t="s">
        <v>307</v>
      </c>
      <c r="D3921" s="267" t="s">
        <v>301</v>
      </c>
      <c r="E3921" s="268" t="s">
        <v>308</v>
      </c>
      <c r="G3921" s="267" t="s">
        <v>159</v>
      </c>
      <c r="H3921" s="267" t="s">
        <v>299</v>
      </c>
      <c r="I3921" s="267" t="s">
        <v>307</v>
      </c>
      <c r="J3921" s="267" t="s">
        <v>301</v>
      </c>
      <c r="K3921" s="268" t="s">
        <v>308</v>
      </c>
    </row>
    <row r="3922" spans="1:11" x14ac:dyDescent="0.35">
      <c r="A3922" s="269" t="s">
        <v>316</v>
      </c>
      <c r="B3922" s="270"/>
      <c r="C3922" s="270"/>
      <c r="D3922" s="270"/>
      <c r="E3922" s="270"/>
      <c r="G3922" s="269" t="s">
        <v>316</v>
      </c>
      <c r="H3922" s="270"/>
      <c r="I3922" s="270"/>
      <c r="J3922" s="270"/>
      <c r="K3922" s="270"/>
    </row>
    <row r="3923" spans="1:11" x14ac:dyDescent="0.35">
      <c r="A3923" s="271" t="s">
        <v>309</v>
      </c>
      <c r="B3923" s="272"/>
      <c r="C3923" s="272"/>
      <c r="D3923" s="272"/>
      <c r="E3923" s="272"/>
      <c r="G3923" s="271" t="s">
        <v>309</v>
      </c>
      <c r="H3923" s="272"/>
      <c r="I3923" s="272"/>
      <c r="J3923" s="272"/>
      <c r="K3923" s="272"/>
    </row>
    <row r="3924" spans="1:11" x14ac:dyDescent="0.35">
      <c r="A3924" s="269" t="s">
        <v>310</v>
      </c>
      <c r="B3924" s="270"/>
      <c r="C3924" s="270"/>
      <c r="D3924" s="270"/>
      <c r="E3924" s="270"/>
      <c r="G3924" s="269" t="s">
        <v>310</v>
      </c>
      <c r="H3924" s="270"/>
      <c r="I3924" s="270"/>
      <c r="J3924" s="270"/>
      <c r="K3924" s="270"/>
    </row>
    <row r="3925" spans="1:11" x14ac:dyDescent="0.35">
      <c r="A3925" s="271" t="s">
        <v>317</v>
      </c>
      <c r="B3925" s="272"/>
      <c r="C3925" s="272"/>
      <c r="D3925" s="272"/>
      <c r="E3925" s="272"/>
      <c r="G3925" s="271" t="s">
        <v>317</v>
      </c>
      <c r="H3925" s="272"/>
      <c r="I3925" s="272"/>
      <c r="J3925" s="272"/>
      <c r="K3925" s="272"/>
    </row>
    <row r="3926" spans="1:11" x14ac:dyDescent="0.35">
      <c r="A3926" s="269" t="s">
        <v>311</v>
      </c>
      <c r="B3926" s="270"/>
      <c r="C3926" s="270"/>
      <c r="D3926" s="270"/>
      <c r="E3926" s="270"/>
      <c r="G3926" s="269" t="s">
        <v>311</v>
      </c>
      <c r="H3926" s="270"/>
      <c r="I3926" s="270"/>
      <c r="J3926" s="270"/>
      <c r="K3926" s="270"/>
    </row>
    <row r="3927" spans="1:11" x14ac:dyDescent="0.35">
      <c r="A3927" s="271" t="s">
        <v>312</v>
      </c>
      <c r="B3927" s="272"/>
      <c r="C3927" s="272"/>
      <c r="D3927" s="272"/>
      <c r="E3927" s="272"/>
      <c r="G3927" s="271" t="s">
        <v>312</v>
      </c>
      <c r="H3927" s="272"/>
      <c r="I3927" s="272"/>
      <c r="J3927" s="272"/>
      <c r="K3927" s="272"/>
    </row>
    <row r="3928" spans="1:11" x14ac:dyDescent="0.35">
      <c r="A3928" s="231" t="s">
        <v>34</v>
      </c>
      <c r="B3928" s="230">
        <f>SUM(B3922:B3927)</f>
        <v>0</v>
      </c>
      <c r="C3928" s="230">
        <f>SUM(C3922:C3927)</f>
        <v>0</v>
      </c>
      <c r="D3928" s="230">
        <f>SUM(D3922:D3927)</f>
        <v>0</v>
      </c>
      <c r="E3928" s="230">
        <f>SUM(E3922:E3927)</f>
        <v>0</v>
      </c>
      <c r="G3928" s="231" t="s">
        <v>34</v>
      </c>
      <c r="H3928" s="230">
        <f>SUM(H3922:H3927)</f>
        <v>0</v>
      </c>
      <c r="I3928" s="230">
        <f>SUM(I3922:I3927)</f>
        <v>0</v>
      </c>
      <c r="J3928" s="230">
        <f>SUM(J3922:J3927)</f>
        <v>0</v>
      </c>
      <c r="K3928" s="230">
        <f>SUM(K3922:K3927)</f>
        <v>0</v>
      </c>
    </row>
    <row r="3929" spans="1:11" ht="15" thickBot="1" x14ac:dyDescent="0.4">
      <c r="A3929" s="231" t="s">
        <v>313</v>
      </c>
      <c r="B3929" s="230">
        <f>+B3928+C3928+D3928+E3928</f>
        <v>0</v>
      </c>
      <c r="C3929" s="230"/>
      <c r="D3929" s="230"/>
      <c r="E3929" s="230"/>
      <c r="G3929" s="231" t="s">
        <v>313</v>
      </c>
      <c r="H3929" s="230">
        <f>+H3928+I3928+J3928+K3928</f>
        <v>0</v>
      </c>
      <c r="I3929" s="230"/>
      <c r="J3929" s="230"/>
      <c r="K3929" s="230"/>
    </row>
    <row r="3930" spans="1:11" ht="15.5" thickTop="1" thickBot="1" x14ac:dyDescent="0.4">
      <c r="A3930" s="335" t="s">
        <v>298</v>
      </c>
      <c r="B3930" s="336"/>
      <c r="C3930" s="336"/>
      <c r="D3930" s="336"/>
      <c r="E3930" s="337"/>
      <c r="G3930" s="335" t="s">
        <v>298</v>
      </c>
      <c r="H3930" s="336"/>
      <c r="I3930" s="336"/>
      <c r="J3930" s="336"/>
      <c r="K3930" s="337"/>
    </row>
    <row r="3931" spans="1:11" ht="15.5" thickTop="1" thickBot="1" x14ac:dyDescent="0.4">
      <c r="A3931" s="338">
        <v>45646</v>
      </c>
      <c r="B3931" s="336"/>
      <c r="C3931" s="336"/>
      <c r="D3931" s="336"/>
      <c r="E3931" s="337"/>
      <c r="G3931" s="338">
        <v>45646</v>
      </c>
      <c r="H3931" s="336"/>
      <c r="I3931" s="336"/>
      <c r="J3931" s="336"/>
      <c r="K3931" s="337"/>
    </row>
    <row r="3932" spans="1:11" ht="15" thickTop="1" x14ac:dyDescent="0.35">
      <c r="A3932" s="267" t="s">
        <v>159</v>
      </c>
      <c r="B3932" s="267" t="s">
        <v>299</v>
      </c>
      <c r="C3932" s="267" t="s">
        <v>307</v>
      </c>
      <c r="D3932" s="267" t="s">
        <v>301</v>
      </c>
      <c r="E3932" s="268" t="s">
        <v>308</v>
      </c>
      <c r="G3932" s="267" t="s">
        <v>159</v>
      </c>
      <c r="H3932" s="267" t="s">
        <v>299</v>
      </c>
      <c r="I3932" s="267" t="s">
        <v>307</v>
      </c>
      <c r="J3932" s="267" t="s">
        <v>301</v>
      </c>
      <c r="K3932" s="268" t="s">
        <v>308</v>
      </c>
    </row>
    <row r="3933" spans="1:11" x14ac:dyDescent="0.35">
      <c r="A3933" s="269" t="s">
        <v>316</v>
      </c>
      <c r="B3933" s="270"/>
      <c r="C3933" s="270"/>
      <c r="D3933" s="270"/>
      <c r="E3933" s="270"/>
      <c r="G3933" s="269" t="s">
        <v>316</v>
      </c>
      <c r="H3933" s="270"/>
      <c r="I3933" s="270"/>
      <c r="J3933" s="270"/>
      <c r="K3933" s="270"/>
    </row>
    <row r="3934" spans="1:11" x14ac:dyDescent="0.35">
      <c r="A3934" s="271" t="s">
        <v>309</v>
      </c>
      <c r="B3934" s="272"/>
      <c r="C3934" s="272"/>
      <c r="D3934" s="272"/>
      <c r="E3934" s="272"/>
      <c r="G3934" s="271" t="s">
        <v>309</v>
      </c>
      <c r="H3934" s="272"/>
      <c r="I3934" s="272"/>
      <c r="J3934" s="272"/>
      <c r="K3934" s="272"/>
    </row>
    <row r="3935" spans="1:11" x14ac:dyDescent="0.35">
      <c r="A3935" s="269" t="s">
        <v>310</v>
      </c>
      <c r="B3935" s="270"/>
      <c r="C3935" s="270"/>
      <c r="D3935" s="270"/>
      <c r="E3935" s="270"/>
      <c r="G3935" s="269" t="s">
        <v>310</v>
      </c>
      <c r="H3935" s="270"/>
      <c r="I3935" s="270"/>
      <c r="J3935" s="270"/>
      <c r="K3935" s="270"/>
    </row>
    <row r="3936" spans="1:11" x14ac:dyDescent="0.35">
      <c r="A3936" s="271" t="s">
        <v>317</v>
      </c>
      <c r="B3936" s="272"/>
      <c r="C3936" s="272"/>
      <c r="D3936" s="272"/>
      <c r="E3936" s="272"/>
      <c r="G3936" s="271" t="s">
        <v>317</v>
      </c>
      <c r="H3936" s="272"/>
      <c r="I3936" s="272"/>
      <c r="J3936" s="272"/>
      <c r="K3936" s="272"/>
    </row>
    <row r="3937" spans="1:11" x14ac:dyDescent="0.35">
      <c r="A3937" s="269" t="s">
        <v>311</v>
      </c>
      <c r="B3937" s="270"/>
      <c r="C3937" s="270"/>
      <c r="D3937" s="270"/>
      <c r="E3937" s="270"/>
      <c r="G3937" s="269" t="s">
        <v>311</v>
      </c>
      <c r="H3937" s="270"/>
      <c r="I3937" s="270"/>
      <c r="J3937" s="270"/>
      <c r="K3937" s="270"/>
    </row>
    <row r="3938" spans="1:11" x14ac:dyDescent="0.35">
      <c r="A3938" s="271" t="s">
        <v>312</v>
      </c>
      <c r="B3938" s="272"/>
      <c r="C3938" s="272"/>
      <c r="D3938" s="272"/>
      <c r="E3938" s="272"/>
      <c r="G3938" s="271" t="s">
        <v>312</v>
      </c>
      <c r="H3938" s="272"/>
      <c r="I3938" s="272"/>
      <c r="J3938" s="272"/>
      <c r="K3938" s="272"/>
    </row>
    <row r="3939" spans="1:11" x14ac:dyDescent="0.35">
      <c r="A3939" s="231" t="s">
        <v>34</v>
      </c>
      <c r="B3939" s="230">
        <f>SUM(B3933:B3938)</f>
        <v>0</v>
      </c>
      <c r="C3939" s="230">
        <f>SUM(C3933:C3938)</f>
        <v>0</v>
      </c>
      <c r="D3939" s="230">
        <f>SUM(D3933:D3938)</f>
        <v>0</v>
      </c>
      <c r="E3939" s="230">
        <f>SUM(E3933:E3938)</f>
        <v>0</v>
      </c>
      <c r="G3939" s="231" t="s">
        <v>34</v>
      </c>
      <c r="H3939" s="230">
        <f>SUM(H3933:H3938)</f>
        <v>0</v>
      </c>
      <c r="I3939" s="230">
        <f>SUM(I3933:I3938)</f>
        <v>0</v>
      </c>
      <c r="J3939" s="230">
        <f>SUM(J3933:J3938)</f>
        <v>0</v>
      </c>
      <c r="K3939" s="230">
        <f>SUM(K3933:K3938)</f>
        <v>0</v>
      </c>
    </row>
    <row r="3940" spans="1:11" ht="15" thickBot="1" x14ac:dyDescent="0.4">
      <c r="A3940" s="231" t="s">
        <v>313</v>
      </c>
      <c r="B3940" s="230">
        <f>+B3939+C3939+D3939+E3939</f>
        <v>0</v>
      </c>
      <c r="C3940" s="230"/>
      <c r="D3940" s="230"/>
      <c r="E3940" s="230"/>
      <c r="G3940" s="231" t="s">
        <v>313</v>
      </c>
      <c r="H3940" s="230">
        <f>+H3939+I3939+J3939+K3939</f>
        <v>0</v>
      </c>
      <c r="I3940" s="230"/>
      <c r="J3940" s="230"/>
      <c r="K3940" s="230"/>
    </row>
    <row r="3941" spans="1:11" ht="15.5" thickTop="1" thickBot="1" x14ac:dyDescent="0.4">
      <c r="A3941" s="335" t="s">
        <v>298</v>
      </c>
      <c r="B3941" s="336"/>
      <c r="C3941" s="336"/>
      <c r="D3941" s="336"/>
      <c r="E3941" s="337"/>
      <c r="G3941" s="335" t="s">
        <v>298</v>
      </c>
      <c r="H3941" s="336"/>
      <c r="I3941" s="336"/>
      <c r="J3941" s="336"/>
      <c r="K3941" s="337"/>
    </row>
    <row r="3942" spans="1:11" ht="15.5" thickTop="1" thickBot="1" x14ac:dyDescent="0.4">
      <c r="A3942" s="338">
        <v>45647</v>
      </c>
      <c r="B3942" s="336"/>
      <c r="C3942" s="336"/>
      <c r="D3942" s="336"/>
      <c r="E3942" s="337"/>
      <c r="G3942" s="338">
        <v>45647</v>
      </c>
      <c r="H3942" s="336"/>
      <c r="I3942" s="336"/>
      <c r="J3942" s="336"/>
      <c r="K3942" s="337"/>
    </row>
    <row r="3943" spans="1:11" ht="15" thickTop="1" x14ac:dyDescent="0.35">
      <c r="A3943" s="267" t="s">
        <v>159</v>
      </c>
      <c r="B3943" s="267" t="s">
        <v>299</v>
      </c>
      <c r="C3943" s="267" t="s">
        <v>307</v>
      </c>
      <c r="D3943" s="267" t="s">
        <v>301</v>
      </c>
      <c r="E3943" s="268" t="s">
        <v>308</v>
      </c>
      <c r="G3943" s="267" t="s">
        <v>159</v>
      </c>
      <c r="H3943" s="267" t="s">
        <v>299</v>
      </c>
      <c r="I3943" s="267" t="s">
        <v>307</v>
      </c>
      <c r="J3943" s="267" t="s">
        <v>301</v>
      </c>
      <c r="K3943" s="268" t="s">
        <v>308</v>
      </c>
    </row>
    <row r="3944" spans="1:11" x14ac:dyDescent="0.35">
      <c r="A3944" s="269" t="s">
        <v>316</v>
      </c>
      <c r="B3944" s="270"/>
      <c r="C3944" s="270"/>
      <c r="D3944" s="270"/>
      <c r="E3944" s="270"/>
      <c r="G3944" s="269" t="s">
        <v>316</v>
      </c>
      <c r="H3944" s="270"/>
      <c r="I3944" s="270"/>
      <c r="J3944" s="270"/>
      <c r="K3944" s="270"/>
    </row>
    <row r="3945" spans="1:11" x14ac:dyDescent="0.35">
      <c r="A3945" s="271" t="s">
        <v>309</v>
      </c>
      <c r="B3945" s="272"/>
      <c r="C3945" s="272"/>
      <c r="D3945" s="272"/>
      <c r="E3945" s="272"/>
      <c r="G3945" s="271" t="s">
        <v>309</v>
      </c>
      <c r="H3945" s="272"/>
      <c r="I3945" s="272"/>
      <c r="J3945" s="272"/>
      <c r="K3945" s="272"/>
    </row>
    <row r="3946" spans="1:11" x14ac:dyDescent="0.35">
      <c r="A3946" s="269" t="s">
        <v>310</v>
      </c>
      <c r="B3946" s="270"/>
      <c r="C3946" s="270"/>
      <c r="D3946" s="270"/>
      <c r="E3946" s="270"/>
      <c r="G3946" s="269" t="s">
        <v>310</v>
      </c>
      <c r="H3946" s="270"/>
      <c r="I3946" s="270"/>
      <c r="J3946" s="270"/>
      <c r="K3946" s="270"/>
    </row>
    <row r="3947" spans="1:11" x14ac:dyDescent="0.35">
      <c r="A3947" s="271" t="s">
        <v>317</v>
      </c>
      <c r="B3947" s="272"/>
      <c r="C3947" s="272"/>
      <c r="D3947" s="272"/>
      <c r="E3947" s="272"/>
      <c r="G3947" s="271" t="s">
        <v>317</v>
      </c>
      <c r="H3947" s="272"/>
      <c r="I3947" s="272"/>
      <c r="J3947" s="272"/>
      <c r="K3947" s="272"/>
    </row>
    <row r="3948" spans="1:11" x14ac:dyDescent="0.35">
      <c r="A3948" s="269" t="s">
        <v>311</v>
      </c>
      <c r="B3948" s="270"/>
      <c r="C3948" s="270"/>
      <c r="D3948" s="270"/>
      <c r="E3948" s="270"/>
      <c r="G3948" s="269" t="s">
        <v>311</v>
      </c>
      <c r="H3948" s="270"/>
      <c r="I3948" s="270"/>
      <c r="J3948" s="270"/>
      <c r="K3948" s="270"/>
    </row>
    <row r="3949" spans="1:11" x14ac:dyDescent="0.35">
      <c r="A3949" s="271" t="s">
        <v>312</v>
      </c>
      <c r="B3949" s="272"/>
      <c r="C3949" s="272"/>
      <c r="D3949" s="272"/>
      <c r="E3949" s="272"/>
      <c r="G3949" s="271" t="s">
        <v>312</v>
      </c>
      <c r="H3949" s="272"/>
      <c r="I3949" s="272"/>
      <c r="J3949" s="272"/>
      <c r="K3949" s="272"/>
    </row>
    <row r="3950" spans="1:11" x14ac:dyDescent="0.35">
      <c r="A3950" s="231" t="s">
        <v>34</v>
      </c>
      <c r="B3950" s="230">
        <f>SUM(B3944:B3949)</f>
        <v>0</v>
      </c>
      <c r="C3950" s="230">
        <f>SUM(C3944:C3949)</f>
        <v>0</v>
      </c>
      <c r="D3950" s="230">
        <f>SUM(D3944:D3949)</f>
        <v>0</v>
      </c>
      <c r="E3950" s="230">
        <f>SUM(E3944:E3949)</f>
        <v>0</v>
      </c>
      <c r="G3950" s="231" t="s">
        <v>34</v>
      </c>
      <c r="H3950" s="230">
        <f>SUM(H3944:H3949)</f>
        <v>0</v>
      </c>
      <c r="I3950" s="230">
        <f>SUM(I3944:I3949)</f>
        <v>0</v>
      </c>
      <c r="J3950" s="230">
        <f>SUM(J3944:J3949)</f>
        <v>0</v>
      </c>
      <c r="K3950" s="230">
        <f>SUM(K3944:K3949)</f>
        <v>0</v>
      </c>
    </row>
    <row r="3951" spans="1:11" ht="15" thickBot="1" x14ac:dyDescent="0.4">
      <c r="A3951" s="231" t="s">
        <v>313</v>
      </c>
      <c r="B3951" s="230">
        <f>+B3950+C3950+D3950+E3950</f>
        <v>0</v>
      </c>
      <c r="C3951" s="230"/>
      <c r="D3951" s="230"/>
      <c r="E3951" s="230"/>
      <c r="G3951" s="231" t="s">
        <v>313</v>
      </c>
      <c r="H3951" s="230">
        <f>+H3950+I3950+J3950+K3950</f>
        <v>0</v>
      </c>
      <c r="I3951" s="230"/>
      <c r="J3951" s="230"/>
      <c r="K3951" s="230"/>
    </row>
    <row r="3952" spans="1:11" ht="15.5" thickTop="1" thickBot="1" x14ac:dyDescent="0.4">
      <c r="A3952" s="335" t="s">
        <v>298</v>
      </c>
      <c r="B3952" s="336"/>
      <c r="C3952" s="336"/>
      <c r="D3952" s="336"/>
      <c r="E3952" s="337"/>
      <c r="G3952" s="335" t="s">
        <v>298</v>
      </c>
      <c r="H3952" s="336"/>
      <c r="I3952" s="336"/>
      <c r="J3952" s="336"/>
      <c r="K3952" s="337"/>
    </row>
    <row r="3953" spans="1:11" ht="15.5" thickTop="1" thickBot="1" x14ac:dyDescent="0.4">
      <c r="A3953" s="338">
        <v>45648</v>
      </c>
      <c r="B3953" s="336"/>
      <c r="C3953" s="336"/>
      <c r="D3953" s="336"/>
      <c r="E3953" s="337"/>
      <c r="G3953" s="338">
        <v>45648</v>
      </c>
      <c r="H3953" s="336"/>
      <c r="I3953" s="336"/>
      <c r="J3953" s="336"/>
      <c r="K3953" s="337"/>
    </row>
    <row r="3954" spans="1:11" ht="15" thickTop="1" x14ac:dyDescent="0.35">
      <c r="A3954" s="267" t="s">
        <v>159</v>
      </c>
      <c r="B3954" s="267" t="s">
        <v>299</v>
      </c>
      <c r="C3954" s="267" t="s">
        <v>307</v>
      </c>
      <c r="D3954" s="267" t="s">
        <v>301</v>
      </c>
      <c r="E3954" s="268" t="s">
        <v>308</v>
      </c>
      <c r="G3954" s="267" t="s">
        <v>159</v>
      </c>
      <c r="H3954" s="267" t="s">
        <v>299</v>
      </c>
      <c r="I3954" s="267" t="s">
        <v>307</v>
      </c>
      <c r="J3954" s="267" t="s">
        <v>301</v>
      </c>
      <c r="K3954" s="268" t="s">
        <v>308</v>
      </c>
    </row>
    <row r="3955" spans="1:11" x14ac:dyDescent="0.35">
      <c r="A3955" s="269" t="s">
        <v>316</v>
      </c>
      <c r="B3955" s="270"/>
      <c r="C3955" s="270"/>
      <c r="D3955" s="270"/>
      <c r="E3955" s="270"/>
      <c r="G3955" s="269" t="s">
        <v>316</v>
      </c>
      <c r="H3955" s="270"/>
      <c r="I3955" s="270"/>
      <c r="J3955" s="270"/>
      <c r="K3955" s="270"/>
    </row>
    <row r="3956" spans="1:11" x14ac:dyDescent="0.35">
      <c r="A3956" s="271" t="s">
        <v>309</v>
      </c>
      <c r="B3956" s="272"/>
      <c r="C3956" s="272"/>
      <c r="D3956" s="272"/>
      <c r="E3956" s="272"/>
      <c r="G3956" s="271" t="s">
        <v>309</v>
      </c>
      <c r="H3956" s="272"/>
      <c r="I3956" s="272"/>
      <c r="J3956" s="272"/>
      <c r="K3956" s="272"/>
    </row>
    <row r="3957" spans="1:11" x14ac:dyDescent="0.35">
      <c r="A3957" s="269" t="s">
        <v>310</v>
      </c>
      <c r="B3957" s="270"/>
      <c r="C3957" s="270"/>
      <c r="D3957" s="270"/>
      <c r="E3957" s="270"/>
      <c r="G3957" s="269" t="s">
        <v>310</v>
      </c>
      <c r="H3957" s="270"/>
      <c r="I3957" s="270"/>
      <c r="J3957" s="270"/>
      <c r="K3957" s="270"/>
    </row>
    <row r="3958" spans="1:11" x14ac:dyDescent="0.35">
      <c r="A3958" s="271" t="s">
        <v>317</v>
      </c>
      <c r="B3958" s="272"/>
      <c r="C3958" s="272"/>
      <c r="D3958" s="272"/>
      <c r="E3958" s="272"/>
      <c r="G3958" s="271" t="s">
        <v>317</v>
      </c>
      <c r="H3958" s="272"/>
      <c r="I3958" s="272"/>
      <c r="J3958" s="272"/>
      <c r="K3958" s="272"/>
    </row>
    <row r="3959" spans="1:11" x14ac:dyDescent="0.35">
      <c r="A3959" s="269" t="s">
        <v>311</v>
      </c>
      <c r="B3959" s="270"/>
      <c r="C3959" s="270"/>
      <c r="D3959" s="270"/>
      <c r="E3959" s="270"/>
      <c r="G3959" s="269" t="s">
        <v>311</v>
      </c>
      <c r="H3959" s="270"/>
      <c r="I3959" s="270"/>
      <c r="J3959" s="270"/>
      <c r="K3959" s="270"/>
    </row>
    <row r="3960" spans="1:11" x14ac:dyDescent="0.35">
      <c r="A3960" s="271" t="s">
        <v>312</v>
      </c>
      <c r="B3960" s="272"/>
      <c r="C3960" s="272"/>
      <c r="D3960" s="272"/>
      <c r="E3960" s="272"/>
      <c r="G3960" s="271" t="s">
        <v>312</v>
      </c>
      <c r="H3960" s="272"/>
      <c r="I3960" s="272"/>
      <c r="J3960" s="272"/>
      <c r="K3960" s="272"/>
    </row>
    <row r="3961" spans="1:11" x14ac:dyDescent="0.35">
      <c r="A3961" s="231" t="s">
        <v>34</v>
      </c>
      <c r="B3961" s="230">
        <f>SUM(B3955:B3960)</f>
        <v>0</v>
      </c>
      <c r="C3961" s="230">
        <f>SUM(C3955:C3960)</f>
        <v>0</v>
      </c>
      <c r="D3961" s="230">
        <f>SUM(D3955:D3960)</f>
        <v>0</v>
      </c>
      <c r="E3961" s="230">
        <f>SUM(E3955:E3960)</f>
        <v>0</v>
      </c>
      <c r="G3961" s="231" t="s">
        <v>34</v>
      </c>
      <c r="H3961" s="230">
        <f>SUM(H3955:H3960)</f>
        <v>0</v>
      </c>
      <c r="I3961" s="230">
        <f>SUM(I3955:I3960)</f>
        <v>0</v>
      </c>
      <c r="J3961" s="230">
        <f>SUM(J3955:J3960)</f>
        <v>0</v>
      </c>
      <c r="K3961" s="230">
        <f>SUM(K3955:K3960)</f>
        <v>0</v>
      </c>
    </row>
    <row r="3962" spans="1:11" ht="15" thickBot="1" x14ac:dyDescent="0.4">
      <c r="A3962" s="231" t="s">
        <v>313</v>
      </c>
      <c r="B3962" s="230">
        <f>+B3961+C3961+D3961+E3961</f>
        <v>0</v>
      </c>
      <c r="C3962" s="230"/>
      <c r="D3962" s="230"/>
      <c r="E3962" s="230"/>
      <c r="G3962" s="231" t="s">
        <v>313</v>
      </c>
      <c r="H3962" s="230">
        <f>+H3961+I3961+J3961+K3961</f>
        <v>0</v>
      </c>
      <c r="I3962" s="230"/>
      <c r="J3962" s="230"/>
      <c r="K3962" s="230"/>
    </row>
    <row r="3963" spans="1:11" ht="15.5" thickTop="1" thickBot="1" x14ac:dyDescent="0.4">
      <c r="A3963" s="335" t="s">
        <v>298</v>
      </c>
      <c r="B3963" s="336"/>
      <c r="C3963" s="336"/>
      <c r="D3963" s="336"/>
      <c r="E3963" s="337"/>
      <c r="G3963" s="335" t="s">
        <v>298</v>
      </c>
      <c r="H3963" s="336"/>
      <c r="I3963" s="336"/>
      <c r="J3963" s="336"/>
      <c r="K3963" s="337"/>
    </row>
    <row r="3964" spans="1:11" ht="15.5" thickTop="1" thickBot="1" x14ac:dyDescent="0.4">
      <c r="A3964" s="338">
        <v>45649</v>
      </c>
      <c r="B3964" s="336"/>
      <c r="C3964" s="336"/>
      <c r="D3964" s="336"/>
      <c r="E3964" s="337"/>
      <c r="G3964" s="338">
        <v>45649</v>
      </c>
      <c r="H3964" s="336"/>
      <c r="I3964" s="336"/>
      <c r="J3964" s="336"/>
      <c r="K3964" s="337"/>
    </row>
    <row r="3965" spans="1:11" ht="15" thickTop="1" x14ac:dyDescent="0.35">
      <c r="A3965" s="267" t="s">
        <v>159</v>
      </c>
      <c r="B3965" s="267" t="s">
        <v>299</v>
      </c>
      <c r="C3965" s="267" t="s">
        <v>307</v>
      </c>
      <c r="D3965" s="267" t="s">
        <v>301</v>
      </c>
      <c r="E3965" s="268" t="s">
        <v>308</v>
      </c>
      <c r="G3965" s="267" t="s">
        <v>159</v>
      </c>
      <c r="H3965" s="267" t="s">
        <v>299</v>
      </c>
      <c r="I3965" s="267" t="s">
        <v>307</v>
      </c>
      <c r="J3965" s="267" t="s">
        <v>301</v>
      </c>
      <c r="K3965" s="268" t="s">
        <v>308</v>
      </c>
    </row>
    <row r="3966" spans="1:11" x14ac:dyDescent="0.35">
      <c r="A3966" s="269" t="s">
        <v>316</v>
      </c>
      <c r="B3966" s="270"/>
      <c r="C3966" s="270"/>
      <c r="D3966" s="270"/>
      <c r="E3966" s="270"/>
      <c r="G3966" s="269" t="s">
        <v>316</v>
      </c>
      <c r="H3966" s="270"/>
      <c r="I3966" s="270"/>
      <c r="J3966" s="270"/>
      <c r="K3966" s="270"/>
    </row>
    <row r="3967" spans="1:11" x14ac:dyDescent="0.35">
      <c r="A3967" s="271" t="s">
        <v>309</v>
      </c>
      <c r="B3967" s="272"/>
      <c r="C3967" s="272"/>
      <c r="D3967" s="272"/>
      <c r="E3967" s="272"/>
      <c r="G3967" s="271" t="s">
        <v>309</v>
      </c>
      <c r="H3967" s="272"/>
      <c r="I3967" s="272"/>
      <c r="J3967" s="272"/>
      <c r="K3967" s="272"/>
    </row>
    <row r="3968" spans="1:11" x14ac:dyDescent="0.35">
      <c r="A3968" s="269" t="s">
        <v>310</v>
      </c>
      <c r="B3968" s="270"/>
      <c r="C3968" s="270"/>
      <c r="D3968" s="270"/>
      <c r="E3968" s="270"/>
      <c r="G3968" s="269" t="s">
        <v>310</v>
      </c>
      <c r="H3968" s="270"/>
      <c r="I3968" s="270"/>
      <c r="J3968" s="270"/>
      <c r="K3968" s="270"/>
    </row>
    <row r="3969" spans="1:11" x14ac:dyDescent="0.35">
      <c r="A3969" s="271" t="s">
        <v>317</v>
      </c>
      <c r="B3969" s="272"/>
      <c r="C3969" s="272"/>
      <c r="D3969" s="272"/>
      <c r="E3969" s="272"/>
      <c r="G3969" s="271" t="s">
        <v>317</v>
      </c>
      <c r="H3969" s="272"/>
      <c r="I3969" s="272"/>
      <c r="J3969" s="272"/>
      <c r="K3969" s="272"/>
    </row>
    <row r="3970" spans="1:11" x14ac:dyDescent="0.35">
      <c r="A3970" s="269" t="s">
        <v>311</v>
      </c>
      <c r="B3970" s="270"/>
      <c r="C3970" s="270"/>
      <c r="D3970" s="270"/>
      <c r="E3970" s="270"/>
      <c r="G3970" s="269" t="s">
        <v>311</v>
      </c>
      <c r="H3970" s="270"/>
      <c r="I3970" s="270"/>
      <c r="J3970" s="270"/>
      <c r="K3970" s="270"/>
    </row>
    <row r="3971" spans="1:11" x14ac:dyDescent="0.35">
      <c r="A3971" s="271" t="s">
        <v>312</v>
      </c>
      <c r="B3971" s="272"/>
      <c r="C3971" s="272"/>
      <c r="D3971" s="272"/>
      <c r="E3971" s="272"/>
      <c r="G3971" s="271" t="s">
        <v>312</v>
      </c>
      <c r="H3971" s="272"/>
      <c r="I3971" s="272"/>
      <c r="J3971" s="272"/>
      <c r="K3971" s="272"/>
    </row>
    <row r="3972" spans="1:11" x14ac:dyDescent="0.35">
      <c r="A3972" s="231" t="s">
        <v>34</v>
      </c>
      <c r="B3972" s="230">
        <f>SUM(B3966:B3971)</f>
        <v>0</v>
      </c>
      <c r="C3972" s="230">
        <f>SUM(C3966:C3971)</f>
        <v>0</v>
      </c>
      <c r="D3972" s="230">
        <f>SUM(D3966:D3971)</f>
        <v>0</v>
      </c>
      <c r="E3972" s="230">
        <f>SUM(E3966:E3971)</f>
        <v>0</v>
      </c>
      <c r="G3972" s="231" t="s">
        <v>34</v>
      </c>
      <c r="H3972" s="230">
        <f>SUM(H3966:H3971)</f>
        <v>0</v>
      </c>
      <c r="I3972" s="230">
        <f>SUM(I3966:I3971)</f>
        <v>0</v>
      </c>
      <c r="J3972" s="230">
        <f>SUM(J3966:J3971)</f>
        <v>0</v>
      </c>
      <c r="K3972" s="230">
        <f>SUM(K3966:K3971)</f>
        <v>0</v>
      </c>
    </row>
    <row r="3973" spans="1:11" ht="15" thickBot="1" x14ac:dyDescent="0.4">
      <c r="A3973" s="231" t="s">
        <v>313</v>
      </c>
      <c r="B3973" s="230">
        <f>+B3972+C3972+D3972+E3972</f>
        <v>0</v>
      </c>
      <c r="C3973" s="230"/>
      <c r="D3973" s="230"/>
      <c r="E3973" s="230"/>
      <c r="G3973" s="231" t="s">
        <v>313</v>
      </c>
      <c r="H3973" s="230">
        <f>+H3972+I3972+J3972+K3972</f>
        <v>0</v>
      </c>
      <c r="I3973" s="230"/>
      <c r="J3973" s="230"/>
      <c r="K3973" s="230"/>
    </row>
    <row r="3974" spans="1:11" ht="15.5" thickTop="1" thickBot="1" x14ac:dyDescent="0.4">
      <c r="A3974" s="335" t="s">
        <v>298</v>
      </c>
      <c r="B3974" s="336"/>
      <c r="C3974" s="336"/>
      <c r="D3974" s="336"/>
      <c r="E3974" s="337"/>
      <c r="G3974" s="335" t="s">
        <v>298</v>
      </c>
      <c r="H3974" s="336"/>
      <c r="I3974" s="336"/>
      <c r="J3974" s="336"/>
      <c r="K3974" s="337"/>
    </row>
    <row r="3975" spans="1:11" ht="15.5" thickTop="1" thickBot="1" x14ac:dyDescent="0.4">
      <c r="A3975" s="338">
        <v>45650</v>
      </c>
      <c r="B3975" s="336"/>
      <c r="C3975" s="336"/>
      <c r="D3975" s="336"/>
      <c r="E3975" s="337"/>
      <c r="G3975" s="338">
        <v>45650</v>
      </c>
      <c r="H3975" s="336"/>
      <c r="I3975" s="336"/>
      <c r="J3975" s="336"/>
      <c r="K3975" s="337"/>
    </row>
    <row r="3976" spans="1:11" ht="15" thickTop="1" x14ac:dyDescent="0.35">
      <c r="A3976" s="267" t="s">
        <v>159</v>
      </c>
      <c r="B3976" s="267" t="s">
        <v>299</v>
      </c>
      <c r="C3976" s="267" t="s">
        <v>307</v>
      </c>
      <c r="D3976" s="267" t="s">
        <v>301</v>
      </c>
      <c r="E3976" s="268" t="s">
        <v>308</v>
      </c>
      <c r="G3976" s="267" t="s">
        <v>159</v>
      </c>
      <c r="H3976" s="267" t="s">
        <v>299</v>
      </c>
      <c r="I3976" s="267" t="s">
        <v>307</v>
      </c>
      <c r="J3976" s="267" t="s">
        <v>301</v>
      </c>
      <c r="K3976" s="268" t="s">
        <v>308</v>
      </c>
    </row>
    <row r="3977" spans="1:11" x14ac:dyDescent="0.35">
      <c r="A3977" s="269" t="s">
        <v>316</v>
      </c>
      <c r="B3977" s="270"/>
      <c r="C3977" s="270"/>
      <c r="D3977" s="270"/>
      <c r="E3977" s="270"/>
      <c r="G3977" s="269" t="s">
        <v>316</v>
      </c>
      <c r="H3977" s="270"/>
      <c r="I3977" s="270"/>
      <c r="J3977" s="270"/>
      <c r="K3977" s="270"/>
    </row>
    <row r="3978" spans="1:11" x14ac:dyDescent="0.35">
      <c r="A3978" s="271" t="s">
        <v>309</v>
      </c>
      <c r="B3978" s="272"/>
      <c r="C3978" s="272"/>
      <c r="D3978" s="272"/>
      <c r="E3978" s="272"/>
      <c r="G3978" s="271" t="s">
        <v>309</v>
      </c>
      <c r="H3978" s="272"/>
      <c r="I3978" s="272"/>
      <c r="J3978" s="272"/>
      <c r="K3978" s="272"/>
    </row>
    <row r="3979" spans="1:11" x14ac:dyDescent="0.35">
      <c r="A3979" s="269" t="s">
        <v>310</v>
      </c>
      <c r="B3979" s="270"/>
      <c r="C3979" s="270"/>
      <c r="D3979" s="270"/>
      <c r="E3979" s="270"/>
      <c r="G3979" s="269" t="s">
        <v>310</v>
      </c>
      <c r="H3979" s="270"/>
      <c r="I3979" s="270"/>
      <c r="J3979" s="270"/>
      <c r="K3979" s="270"/>
    </row>
    <row r="3980" spans="1:11" x14ac:dyDescent="0.35">
      <c r="A3980" s="271" t="s">
        <v>317</v>
      </c>
      <c r="B3980" s="272"/>
      <c r="C3980" s="272"/>
      <c r="D3980" s="272"/>
      <c r="E3980" s="272"/>
      <c r="G3980" s="271" t="s">
        <v>317</v>
      </c>
      <c r="H3980" s="272"/>
      <c r="I3980" s="272"/>
      <c r="J3980" s="272"/>
      <c r="K3980" s="272"/>
    </row>
    <row r="3981" spans="1:11" x14ac:dyDescent="0.35">
      <c r="A3981" s="269" t="s">
        <v>311</v>
      </c>
      <c r="B3981" s="270"/>
      <c r="C3981" s="270"/>
      <c r="D3981" s="270"/>
      <c r="E3981" s="270"/>
      <c r="G3981" s="269" t="s">
        <v>311</v>
      </c>
      <c r="H3981" s="270"/>
      <c r="I3981" s="270"/>
      <c r="J3981" s="270"/>
      <c r="K3981" s="270"/>
    </row>
    <row r="3982" spans="1:11" x14ac:dyDescent="0.35">
      <c r="A3982" s="271" t="s">
        <v>312</v>
      </c>
      <c r="B3982" s="272"/>
      <c r="C3982" s="272"/>
      <c r="D3982" s="272"/>
      <c r="E3982" s="272"/>
      <c r="G3982" s="271" t="s">
        <v>312</v>
      </c>
      <c r="H3982" s="272"/>
      <c r="I3982" s="272"/>
      <c r="J3982" s="272"/>
      <c r="K3982" s="272"/>
    </row>
    <row r="3983" spans="1:11" x14ac:dyDescent="0.35">
      <c r="A3983" s="231" t="s">
        <v>34</v>
      </c>
      <c r="B3983" s="230">
        <f>SUM(B3977:B3982)</f>
        <v>0</v>
      </c>
      <c r="C3983" s="230">
        <f>SUM(C3977:C3982)</f>
        <v>0</v>
      </c>
      <c r="D3983" s="230">
        <f>SUM(D3977:D3982)</f>
        <v>0</v>
      </c>
      <c r="E3983" s="230">
        <f>SUM(E3977:E3982)</f>
        <v>0</v>
      </c>
      <c r="G3983" s="231" t="s">
        <v>34</v>
      </c>
      <c r="H3983" s="230">
        <f>SUM(H3977:H3982)</f>
        <v>0</v>
      </c>
      <c r="I3983" s="230">
        <f>SUM(I3977:I3982)</f>
        <v>0</v>
      </c>
      <c r="J3983" s="230">
        <f>SUM(J3977:J3982)</f>
        <v>0</v>
      </c>
      <c r="K3983" s="230">
        <f>SUM(K3977:K3982)</f>
        <v>0</v>
      </c>
    </row>
    <row r="3984" spans="1:11" ht="15" thickBot="1" x14ac:dyDescent="0.4">
      <c r="A3984" s="231" t="s">
        <v>313</v>
      </c>
      <c r="B3984" s="230">
        <f>+B3983+C3983+D3983+E3983</f>
        <v>0</v>
      </c>
      <c r="C3984" s="230"/>
      <c r="D3984" s="230"/>
      <c r="E3984" s="230"/>
      <c r="G3984" s="231" t="s">
        <v>313</v>
      </c>
      <c r="H3984" s="230">
        <f>+H3983+I3983+J3983+K3983</f>
        <v>0</v>
      </c>
      <c r="I3984" s="230"/>
      <c r="J3984" s="230"/>
      <c r="K3984" s="230"/>
    </row>
    <row r="3985" spans="1:11" ht="15.5" thickTop="1" thickBot="1" x14ac:dyDescent="0.4">
      <c r="A3985" s="335" t="s">
        <v>298</v>
      </c>
      <c r="B3985" s="336"/>
      <c r="C3985" s="336"/>
      <c r="D3985" s="336"/>
      <c r="E3985" s="337"/>
      <c r="G3985" s="335" t="s">
        <v>298</v>
      </c>
      <c r="H3985" s="336"/>
      <c r="I3985" s="336"/>
      <c r="J3985" s="336"/>
      <c r="K3985" s="337"/>
    </row>
    <row r="3986" spans="1:11" ht="15.5" thickTop="1" thickBot="1" x14ac:dyDescent="0.4">
      <c r="A3986" s="338">
        <v>45651</v>
      </c>
      <c r="B3986" s="336"/>
      <c r="C3986" s="336"/>
      <c r="D3986" s="336"/>
      <c r="E3986" s="337"/>
      <c r="G3986" s="338">
        <v>45651</v>
      </c>
      <c r="H3986" s="336"/>
      <c r="I3986" s="336"/>
      <c r="J3986" s="336"/>
      <c r="K3986" s="337"/>
    </row>
    <row r="3987" spans="1:11" ht="15" thickTop="1" x14ac:dyDescent="0.35">
      <c r="A3987" s="267" t="s">
        <v>159</v>
      </c>
      <c r="B3987" s="267" t="s">
        <v>299</v>
      </c>
      <c r="C3987" s="267" t="s">
        <v>307</v>
      </c>
      <c r="D3987" s="267" t="s">
        <v>301</v>
      </c>
      <c r="E3987" s="268" t="s">
        <v>308</v>
      </c>
      <c r="G3987" s="267" t="s">
        <v>159</v>
      </c>
      <c r="H3987" s="267" t="s">
        <v>299</v>
      </c>
      <c r="I3987" s="267" t="s">
        <v>307</v>
      </c>
      <c r="J3987" s="267" t="s">
        <v>301</v>
      </c>
      <c r="K3987" s="268" t="s">
        <v>308</v>
      </c>
    </row>
    <row r="3988" spans="1:11" x14ac:dyDescent="0.35">
      <c r="A3988" s="269" t="s">
        <v>316</v>
      </c>
      <c r="B3988" s="270"/>
      <c r="C3988" s="270"/>
      <c r="D3988" s="270"/>
      <c r="E3988" s="270"/>
      <c r="G3988" s="269" t="s">
        <v>316</v>
      </c>
      <c r="H3988" s="270"/>
      <c r="I3988" s="270"/>
      <c r="J3988" s="270"/>
      <c r="K3988" s="270"/>
    </row>
    <row r="3989" spans="1:11" x14ac:dyDescent="0.35">
      <c r="A3989" s="271" t="s">
        <v>309</v>
      </c>
      <c r="B3989" s="272"/>
      <c r="C3989" s="272"/>
      <c r="D3989" s="272"/>
      <c r="E3989" s="272"/>
      <c r="G3989" s="271" t="s">
        <v>309</v>
      </c>
      <c r="H3989" s="272"/>
      <c r="I3989" s="272"/>
      <c r="J3989" s="272"/>
      <c r="K3989" s="272"/>
    </row>
    <row r="3990" spans="1:11" x14ac:dyDescent="0.35">
      <c r="A3990" s="269" t="s">
        <v>310</v>
      </c>
      <c r="B3990" s="270"/>
      <c r="C3990" s="270"/>
      <c r="D3990" s="270"/>
      <c r="E3990" s="270"/>
      <c r="G3990" s="269" t="s">
        <v>310</v>
      </c>
      <c r="H3990" s="270"/>
      <c r="I3990" s="270"/>
      <c r="J3990" s="270"/>
      <c r="K3990" s="270"/>
    </row>
    <row r="3991" spans="1:11" x14ac:dyDescent="0.35">
      <c r="A3991" s="271" t="s">
        <v>317</v>
      </c>
      <c r="B3991" s="272"/>
      <c r="C3991" s="272"/>
      <c r="D3991" s="272"/>
      <c r="E3991" s="272"/>
      <c r="G3991" s="271" t="s">
        <v>317</v>
      </c>
      <c r="H3991" s="272"/>
      <c r="I3991" s="272"/>
      <c r="J3991" s="272"/>
      <c r="K3991" s="272"/>
    </row>
    <row r="3992" spans="1:11" x14ac:dyDescent="0.35">
      <c r="A3992" s="269" t="s">
        <v>311</v>
      </c>
      <c r="B3992" s="270"/>
      <c r="C3992" s="270"/>
      <c r="D3992" s="270"/>
      <c r="E3992" s="270"/>
      <c r="G3992" s="269" t="s">
        <v>311</v>
      </c>
      <c r="H3992" s="270"/>
      <c r="I3992" s="270"/>
      <c r="J3992" s="270"/>
      <c r="K3992" s="270"/>
    </row>
    <row r="3993" spans="1:11" x14ac:dyDescent="0.35">
      <c r="A3993" s="271" t="s">
        <v>312</v>
      </c>
      <c r="B3993" s="272"/>
      <c r="C3993" s="272"/>
      <c r="D3993" s="272"/>
      <c r="E3993" s="272"/>
      <c r="G3993" s="271" t="s">
        <v>312</v>
      </c>
      <c r="H3993" s="272"/>
      <c r="I3993" s="272"/>
      <c r="J3993" s="272"/>
      <c r="K3993" s="272"/>
    </row>
    <row r="3994" spans="1:11" x14ac:dyDescent="0.35">
      <c r="A3994" s="231" t="s">
        <v>34</v>
      </c>
      <c r="B3994" s="230">
        <f>SUM(B3988:B3993)</f>
        <v>0</v>
      </c>
      <c r="C3994" s="230">
        <f>SUM(C3988:C3993)</f>
        <v>0</v>
      </c>
      <c r="D3994" s="230">
        <f>SUM(D3988:D3993)</f>
        <v>0</v>
      </c>
      <c r="E3994" s="230">
        <f>SUM(E3988:E3993)</f>
        <v>0</v>
      </c>
      <c r="G3994" s="231" t="s">
        <v>34</v>
      </c>
      <c r="H3994" s="230">
        <f>SUM(H3988:H3993)</f>
        <v>0</v>
      </c>
      <c r="I3994" s="230">
        <f>SUM(I3988:I3993)</f>
        <v>0</v>
      </c>
      <c r="J3994" s="230">
        <f>SUM(J3988:J3993)</f>
        <v>0</v>
      </c>
      <c r="K3994" s="230">
        <f>SUM(K3988:K3993)</f>
        <v>0</v>
      </c>
    </row>
    <row r="3995" spans="1:11" ht="15" thickBot="1" x14ac:dyDescent="0.4">
      <c r="A3995" s="231" t="s">
        <v>313</v>
      </c>
      <c r="B3995" s="230">
        <f>+B3994+C3994+D3994+E3994</f>
        <v>0</v>
      </c>
      <c r="C3995" s="230"/>
      <c r="D3995" s="230"/>
      <c r="E3995" s="230"/>
      <c r="G3995" s="231" t="s">
        <v>313</v>
      </c>
      <c r="H3995" s="230">
        <f>+H3994+I3994+J3994+K3994</f>
        <v>0</v>
      </c>
      <c r="I3995" s="230"/>
      <c r="J3995" s="230"/>
      <c r="K3995" s="230"/>
    </row>
    <row r="3996" spans="1:11" ht="15.5" thickTop="1" thickBot="1" x14ac:dyDescent="0.4">
      <c r="A3996" s="335" t="s">
        <v>298</v>
      </c>
      <c r="B3996" s="336"/>
      <c r="C3996" s="336"/>
      <c r="D3996" s="336"/>
      <c r="E3996" s="337"/>
      <c r="G3996" s="335" t="s">
        <v>298</v>
      </c>
      <c r="H3996" s="336"/>
      <c r="I3996" s="336"/>
      <c r="J3996" s="336"/>
      <c r="K3996" s="337"/>
    </row>
    <row r="3997" spans="1:11" ht="15.5" thickTop="1" thickBot="1" x14ac:dyDescent="0.4">
      <c r="A3997" s="338">
        <v>45652</v>
      </c>
      <c r="B3997" s="336"/>
      <c r="C3997" s="336"/>
      <c r="D3997" s="336"/>
      <c r="E3997" s="337"/>
      <c r="G3997" s="338">
        <v>45652</v>
      </c>
      <c r="H3997" s="336"/>
      <c r="I3997" s="336"/>
      <c r="J3997" s="336"/>
      <c r="K3997" s="337"/>
    </row>
    <row r="3998" spans="1:11" ht="15" thickTop="1" x14ac:dyDescent="0.35">
      <c r="A3998" s="267" t="s">
        <v>159</v>
      </c>
      <c r="B3998" s="267" t="s">
        <v>299</v>
      </c>
      <c r="C3998" s="267" t="s">
        <v>307</v>
      </c>
      <c r="D3998" s="267" t="s">
        <v>301</v>
      </c>
      <c r="E3998" s="268" t="s">
        <v>308</v>
      </c>
      <c r="G3998" s="267" t="s">
        <v>159</v>
      </c>
      <c r="H3998" s="267" t="s">
        <v>299</v>
      </c>
      <c r="I3998" s="267" t="s">
        <v>307</v>
      </c>
      <c r="J3998" s="267" t="s">
        <v>301</v>
      </c>
      <c r="K3998" s="268" t="s">
        <v>308</v>
      </c>
    </row>
    <row r="3999" spans="1:11" x14ac:dyDescent="0.35">
      <c r="A3999" s="269" t="s">
        <v>316</v>
      </c>
      <c r="B3999" s="270"/>
      <c r="C3999" s="270"/>
      <c r="D3999" s="270"/>
      <c r="E3999" s="270"/>
      <c r="G3999" s="269" t="s">
        <v>316</v>
      </c>
      <c r="H3999" s="270"/>
      <c r="I3999" s="270"/>
      <c r="J3999" s="270"/>
      <c r="K3999" s="270"/>
    </row>
    <row r="4000" spans="1:11" x14ac:dyDescent="0.35">
      <c r="A4000" s="271" t="s">
        <v>309</v>
      </c>
      <c r="B4000" s="272"/>
      <c r="C4000" s="272"/>
      <c r="D4000" s="272"/>
      <c r="E4000" s="272"/>
      <c r="G4000" s="271" t="s">
        <v>309</v>
      </c>
      <c r="H4000" s="272"/>
      <c r="I4000" s="272"/>
      <c r="J4000" s="272"/>
      <c r="K4000" s="272"/>
    </row>
    <row r="4001" spans="1:11" x14ac:dyDescent="0.35">
      <c r="A4001" s="269" t="s">
        <v>310</v>
      </c>
      <c r="B4001" s="270"/>
      <c r="C4001" s="270"/>
      <c r="D4001" s="270"/>
      <c r="E4001" s="270"/>
      <c r="G4001" s="269" t="s">
        <v>310</v>
      </c>
      <c r="H4001" s="270"/>
      <c r="I4001" s="270"/>
      <c r="J4001" s="270"/>
      <c r="K4001" s="270"/>
    </row>
    <row r="4002" spans="1:11" x14ac:dyDescent="0.35">
      <c r="A4002" s="271" t="s">
        <v>317</v>
      </c>
      <c r="B4002" s="272"/>
      <c r="C4002" s="272"/>
      <c r="D4002" s="272"/>
      <c r="E4002" s="272"/>
      <c r="G4002" s="271" t="s">
        <v>317</v>
      </c>
      <c r="H4002" s="272"/>
      <c r="I4002" s="272"/>
      <c r="J4002" s="272"/>
      <c r="K4002" s="272"/>
    </row>
    <row r="4003" spans="1:11" x14ac:dyDescent="0.35">
      <c r="A4003" s="269" t="s">
        <v>311</v>
      </c>
      <c r="B4003" s="270"/>
      <c r="C4003" s="270"/>
      <c r="D4003" s="270"/>
      <c r="E4003" s="270"/>
      <c r="G4003" s="269" t="s">
        <v>311</v>
      </c>
      <c r="H4003" s="270"/>
      <c r="I4003" s="270"/>
      <c r="J4003" s="270"/>
      <c r="K4003" s="270"/>
    </row>
    <row r="4004" spans="1:11" x14ac:dyDescent="0.35">
      <c r="A4004" s="271" t="s">
        <v>312</v>
      </c>
      <c r="B4004" s="272"/>
      <c r="C4004" s="272"/>
      <c r="D4004" s="272"/>
      <c r="E4004" s="272"/>
      <c r="G4004" s="271" t="s">
        <v>312</v>
      </c>
      <c r="H4004" s="272"/>
      <c r="I4004" s="272"/>
      <c r="J4004" s="272"/>
      <c r="K4004" s="272"/>
    </row>
    <row r="4005" spans="1:11" x14ac:dyDescent="0.35">
      <c r="A4005" s="231" t="s">
        <v>34</v>
      </c>
      <c r="B4005" s="230">
        <f>SUM(B3999:B4004)</f>
        <v>0</v>
      </c>
      <c r="C4005" s="230">
        <f>SUM(C3999:C4004)</f>
        <v>0</v>
      </c>
      <c r="D4005" s="230">
        <f>SUM(D3999:D4004)</f>
        <v>0</v>
      </c>
      <c r="E4005" s="230">
        <f>SUM(E3999:E4004)</f>
        <v>0</v>
      </c>
      <c r="G4005" s="231" t="s">
        <v>34</v>
      </c>
      <c r="H4005" s="230">
        <f>SUM(H3999:H4004)</f>
        <v>0</v>
      </c>
      <c r="I4005" s="230">
        <f>SUM(I3999:I4004)</f>
        <v>0</v>
      </c>
      <c r="J4005" s="230">
        <f>SUM(J3999:J4004)</f>
        <v>0</v>
      </c>
      <c r="K4005" s="230">
        <f>SUM(K3999:K4004)</f>
        <v>0</v>
      </c>
    </row>
    <row r="4006" spans="1:11" ht="15" thickBot="1" x14ac:dyDescent="0.4">
      <c r="A4006" s="231" t="s">
        <v>313</v>
      </c>
      <c r="B4006" s="230">
        <f>+B4005+C4005+D4005+E4005</f>
        <v>0</v>
      </c>
      <c r="C4006" s="230"/>
      <c r="D4006" s="230"/>
      <c r="E4006" s="230"/>
      <c r="G4006" s="231" t="s">
        <v>313</v>
      </c>
      <c r="H4006" s="230">
        <f>+H4005+I4005+J4005+K4005</f>
        <v>0</v>
      </c>
      <c r="I4006" s="230"/>
      <c r="J4006" s="230"/>
      <c r="K4006" s="230"/>
    </row>
    <row r="4007" spans="1:11" ht="15.5" thickTop="1" thickBot="1" x14ac:dyDescent="0.4">
      <c r="A4007" s="335" t="s">
        <v>298</v>
      </c>
      <c r="B4007" s="336"/>
      <c r="C4007" s="336"/>
      <c r="D4007" s="336"/>
      <c r="E4007" s="337"/>
      <c r="G4007" s="335" t="s">
        <v>298</v>
      </c>
      <c r="H4007" s="336"/>
      <c r="I4007" s="336"/>
      <c r="J4007" s="336"/>
      <c r="K4007" s="337"/>
    </row>
    <row r="4008" spans="1:11" ht="15.5" thickTop="1" thickBot="1" x14ac:dyDescent="0.4">
      <c r="A4008" s="338">
        <v>45653</v>
      </c>
      <c r="B4008" s="336"/>
      <c r="C4008" s="336"/>
      <c r="D4008" s="336"/>
      <c r="E4008" s="337"/>
      <c r="G4008" s="338">
        <v>45653</v>
      </c>
      <c r="H4008" s="336"/>
      <c r="I4008" s="336"/>
      <c r="J4008" s="336"/>
      <c r="K4008" s="337"/>
    </row>
    <row r="4009" spans="1:11" ht="15" thickTop="1" x14ac:dyDescent="0.35">
      <c r="A4009" s="267" t="s">
        <v>159</v>
      </c>
      <c r="B4009" s="267" t="s">
        <v>299</v>
      </c>
      <c r="C4009" s="267" t="s">
        <v>307</v>
      </c>
      <c r="D4009" s="267" t="s">
        <v>301</v>
      </c>
      <c r="E4009" s="268" t="s">
        <v>308</v>
      </c>
      <c r="G4009" s="267" t="s">
        <v>159</v>
      </c>
      <c r="H4009" s="267" t="s">
        <v>299</v>
      </c>
      <c r="I4009" s="267" t="s">
        <v>307</v>
      </c>
      <c r="J4009" s="267" t="s">
        <v>301</v>
      </c>
      <c r="K4009" s="268" t="s">
        <v>308</v>
      </c>
    </row>
    <row r="4010" spans="1:11" x14ac:dyDescent="0.35">
      <c r="A4010" s="269" t="s">
        <v>316</v>
      </c>
      <c r="B4010" s="270"/>
      <c r="C4010" s="270"/>
      <c r="D4010" s="270"/>
      <c r="E4010" s="270"/>
      <c r="G4010" s="269" t="s">
        <v>316</v>
      </c>
      <c r="H4010" s="270"/>
      <c r="I4010" s="270"/>
      <c r="J4010" s="270"/>
      <c r="K4010" s="270"/>
    </row>
    <row r="4011" spans="1:11" x14ac:dyDescent="0.35">
      <c r="A4011" s="271" t="s">
        <v>309</v>
      </c>
      <c r="B4011" s="272"/>
      <c r="C4011" s="272"/>
      <c r="D4011" s="272"/>
      <c r="E4011" s="272"/>
      <c r="G4011" s="271" t="s">
        <v>309</v>
      </c>
      <c r="H4011" s="272"/>
      <c r="I4011" s="272"/>
      <c r="J4011" s="272"/>
      <c r="K4011" s="272"/>
    </row>
    <row r="4012" spans="1:11" x14ac:dyDescent="0.35">
      <c r="A4012" s="269" t="s">
        <v>310</v>
      </c>
      <c r="B4012" s="270"/>
      <c r="C4012" s="270"/>
      <c r="D4012" s="270"/>
      <c r="E4012" s="270"/>
      <c r="G4012" s="269" t="s">
        <v>310</v>
      </c>
      <c r="H4012" s="270"/>
      <c r="I4012" s="270"/>
      <c r="J4012" s="270"/>
      <c r="K4012" s="270"/>
    </row>
    <row r="4013" spans="1:11" x14ac:dyDescent="0.35">
      <c r="A4013" s="271" t="s">
        <v>317</v>
      </c>
      <c r="B4013" s="272"/>
      <c r="C4013" s="272"/>
      <c r="D4013" s="272"/>
      <c r="E4013" s="272"/>
      <c r="G4013" s="271" t="s">
        <v>317</v>
      </c>
      <c r="H4013" s="272"/>
      <c r="I4013" s="272"/>
      <c r="J4013" s="272"/>
      <c r="K4013" s="272"/>
    </row>
    <row r="4014" spans="1:11" x14ac:dyDescent="0.35">
      <c r="A4014" s="269" t="s">
        <v>311</v>
      </c>
      <c r="B4014" s="270"/>
      <c r="C4014" s="270"/>
      <c r="D4014" s="270"/>
      <c r="E4014" s="270"/>
      <c r="G4014" s="269" t="s">
        <v>311</v>
      </c>
      <c r="H4014" s="270"/>
      <c r="I4014" s="270"/>
      <c r="J4014" s="270"/>
      <c r="K4014" s="270"/>
    </row>
    <row r="4015" spans="1:11" x14ac:dyDescent="0.35">
      <c r="A4015" s="271" t="s">
        <v>312</v>
      </c>
      <c r="B4015" s="272"/>
      <c r="C4015" s="272"/>
      <c r="D4015" s="272"/>
      <c r="E4015" s="272"/>
      <c r="G4015" s="271" t="s">
        <v>312</v>
      </c>
      <c r="H4015" s="272"/>
      <c r="I4015" s="272"/>
      <c r="J4015" s="272"/>
      <c r="K4015" s="272"/>
    </row>
    <row r="4016" spans="1:11" x14ac:dyDescent="0.35">
      <c r="A4016" s="231" t="s">
        <v>34</v>
      </c>
      <c r="B4016" s="230">
        <f>SUM(B4010:B4015)</f>
        <v>0</v>
      </c>
      <c r="C4016" s="230">
        <f>SUM(C4010:C4015)</f>
        <v>0</v>
      </c>
      <c r="D4016" s="230">
        <f>SUM(D4010:D4015)</f>
        <v>0</v>
      </c>
      <c r="E4016" s="230">
        <f>SUM(E4010:E4015)</f>
        <v>0</v>
      </c>
      <c r="G4016" s="231" t="s">
        <v>34</v>
      </c>
      <c r="H4016" s="230">
        <f>SUM(H4010:H4015)</f>
        <v>0</v>
      </c>
      <c r="I4016" s="230">
        <f>SUM(I4010:I4015)</f>
        <v>0</v>
      </c>
      <c r="J4016" s="230">
        <f>SUM(J4010:J4015)</f>
        <v>0</v>
      </c>
      <c r="K4016" s="230">
        <f>SUM(K4010:K4015)</f>
        <v>0</v>
      </c>
    </row>
    <row r="4017" spans="1:11" ht="15" thickBot="1" x14ac:dyDescent="0.4">
      <c r="A4017" s="231" t="s">
        <v>313</v>
      </c>
      <c r="B4017" s="230">
        <f>+B4016+C4016+D4016+E4016</f>
        <v>0</v>
      </c>
      <c r="C4017" s="230"/>
      <c r="D4017" s="230"/>
      <c r="E4017" s="230"/>
      <c r="G4017" s="231" t="s">
        <v>313</v>
      </c>
      <c r="H4017" s="230">
        <f>+H4016+I4016+J4016+K4016</f>
        <v>0</v>
      </c>
      <c r="I4017" s="230"/>
      <c r="J4017" s="230"/>
      <c r="K4017" s="230"/>
    </row>
    <row r="4018" spans="1:11" ht="15.5" thickTop="1" thickBot="1" x14ac:dyDescent="0.4">
      <c r="A4018" s="335" t="s">
        <v>298</v>
      </c>
      <c r="B4018" s="336"/>
      <c r="C4018" s="336"/>
      <c r="D4018" s="336"/>
      <c r="E4018" s="337"/>
      <c r="G4018" s="335" t="s">
        <v>298</v>
      </c>
      <c r="H4018" s="336"/>
      <c r="I4018" s="336"/>
      <c r="J4018" s="336"/>
      <c r="K4018" s="337"/>
    </row>
    <row r="4019" spans="1:11" ht="15.5" thickTop="1" thickBot="1" x14ac:dyDescent="0.4">
      <c r="A4019" s="338">
        <v>45654</v>
      </c>
      <c r="B4019" s="336"/>
      <c r="C4019" s="336"/>
      <c r="D4019" s="336"/>
      <c r="E4019" s="337"/>
      <c r="G4019" s="338">
        <v>45654</v>
      </c>
      <c r="H4019" s="336"/>
      <c r="I4019" s="336"/>
      <c r="J4019" s="336"/>
      <c r="K4019" s="337"/>
    </row>
    <row r="4020" spans="1:11" ht="15" thickTop="1" x14ac:dyDescent="0.35">
      <c r="A4020" s="267" t="s">
        <v>159</v>
      </c>
      <c r="B4020" s="267" t="s">
        <v>299</v>
      </c>
      <c r="C4020" s="267" t="s">
        <v>307</v>
      </c>
      <c r="D4020" s="267" t="s">
        <v>301</v>
      </c>
      <c r="E4020" s="268" t="s">
        <v>308</v>
      </c>
      <c r="G4020" s="267" t="s">
        <v>159</v>
      </c>
      <c r="H4020" s="267" t="s">
        <v>299</v>
      </c>
      <c r="I4020" s="267" t="s">
        <v>307</v>
      </c>
      <c r="J4020" s="267" t="s">
        <v>301</v>
      </c>
      <c r="K4020" s="268" t="s">
        <v>308</v>
      </c>
    </row>
    <row r="4021" spans="1:11" x14ac:dyDescent="0.35">
      <c r="A4021" s="269" t="s">
        <v>316</v>
      </c>
      <c r="B4021" s="270"/>
      <c r="C4021" s="270"/>
      <c r="D4021" s="270"/>
      <c r="E4021" s="270"/>
      <c r="G4021" s="269" t="s">
        <v>316</v>
      </c>
      <c r="H4021" s="270"/>
      <c r="I4021" s="270"/>
      <c r="J4021" s="270"/>
      <c r="K4021" s="270"/>
    </row>
    <row r="4022" spans="1:11" x14ac:dyDescent="0.35">
      <c r="A4022" s="271" t="s">
        <v>309</v>
      </c>
      <c r="B4022" s="272"/>
      <c r="C4022" s="272"/>
      <c r="D4022" s="272"/>
      <c r="E4022" s="272"/>
      <c r="G4022" s="271" t="s">
        <v>309</v>
      </c>
      <c r="H4022" s="272"/>
      <c r="I4022" s="272"/>
      <c r="J4022" s="272"/>
      <c r="K4022" s="272"/>
    </row>
    <row r="4023" spans="1:11" x14ac:dyDescent="0.35">
      <c r="A4023" s="269" t="s">
        <v>310</v>
      </c>
      <c r="B4023" s="270"/>
      <c r="C4023" s="270"/>
      <c r="D4023" s="270"/>
      <c r="E4023" s="270"/>
      <c r="G4023" s="269" t="s">
        <v>310</v>
      </c>
      <c r="H4023" s="270"/>
      <c r="I4023" s="270"/>
      <c r="J4023" s="270"/>
      <c r="K4023" s="270"/>
    </row>
    <row r="4024" spans="1:11" x14ac:dyDescent="0.35">
      <c r="A4024" s="271" t="s">
        <v>317</v>
      </c>
      <c r="B4024" s="272"/>
      <c r="C4024" s="272"/>
      <c r="D4024" s="272"/>
      <c r="E4024" s="272"/>
      <c r="G4024" s="271" t="s">
        <v>317</v>
      </c>
      <c r="H4024" s="272"/>
      <c r="I4024" s="272"/>
      <c r="J4024" s="272"/>
      <c r="K4024" s="272"/>
    </row>
    <row r="4025" spans="1:11" x14ac:dyDescent="0.35">
      <c r="A4025" s="269" t="s">
        <v>311</v>
      </c>
      <c r="B4025" s="270"/>
      <c r="C4025" s="270"/>
      <c r="D4025" s="270"/>
      <c r="E4025" s="270"/>
      <c r="G4025" s="269" t="s">
        <v>311</v>
      </c>
      <c r="H4025" s="270"/>
      <c r="I4025" s="270"/>
      <c r="J4025" s="270"/>
      <c r="K4025" s="270"/>
    </row>
    <row r="4026" spans="1:11" x14ac:dyDescent="0.35">
      <c r="A4026" s="271" t="s">
        <v>312</v>
      </c>
      <c r="B4026" s="272"/>
      <c r="C4026" s="272"/>
      <c r="D4026" s="272"/>
      <c r="E4026" s="272"/>
      <c r="G4026" s="271" t="s">
        <v>312</v>
      </c>
      <c r="H4026" s="272"/>
      <c r="I4026" s="272"/>
      <c r="J4026" s="272"/>
      <c r="K4026" s="272"/>
    </row>
    <row r="4027" spans="1:11" x14ac:dyDescent="0.35">
      <c r="A4027" s="231" t="s">
        <v>34</v>
      </c>
      <c r="B4027" s="230">
        <f>SUM(B4021:B4026)</f>
        <v>0</v>
      </c>
      <c r="C4027" s="230">
        <f>SUM(C4021:C4026)</f>
        <v>0</v>
      </c>
      <c r="D4027" s="230">
        <f>SUM(D4021:D4026)</f>
        <v>0</v>
      </c>
      <c r="E4027" s="230">
        <f>SUM(E4021:E4026)</f>
        <v>0</v>
      </c>
      <c r="G4027" s="231" t="s">
        <v>34</v>
      </c>
      <c r="H4027" s="230">
        <f>SUM(H4021:H4026)</f>
        <v>0</v>
      </c>
      <c r="I4027" s="230">
        <f>SUM(I4021:I4026)</f>
        <v>0</v>
      </c>
      <c r="J4027" s="230">
        <f>SUM(J4021:J4026)</f>
        <v>0</v>
      </c>
      <c r="K4027" s="230">
        <f>SUM(K4021:K4026)</f>
        <v>0</v>
      </c>
    </row>
    <row r="4028" spans="1:11" ht="15" thickBot="1" x14ac:dyDescent="0.4">
      <c r="A4028" s="231" t="s">
        <v>313</v>
      </c>
      <c r="B4028" s="230">
        <f>+B4027+C4027+D4027+E4027</f>
        <v>0</v>
      </c>
      <c r="C4028" s="230"/>
      <c r="D4028" s="230"/>
      <c r="E4028" s="230"/>
      <c r="G4028" s="231" t="s">
        <v>313</v>
      </c>
      <c r="H4028" s="230">
        <f>+H4027+I4027+J4027+K4027</f>
        <v>0</v>
      </c>
      <c r="I4028" s="230"/>
      <c r="J4028" s="230"/>
      <c r="K4028" s="230"/>
    </row>
    <row r="4029" spans="1:11" ht="15.5" thickTop="1" thickBot="1" x14ac:dyDescent="0.4">
      <c r="A4029" s="335" t="s">
        <v>298</v>
      </c>
      <c r="B4029" s="336"/>
      <c r="C4029" s="336"/>
      <c r="D4029" s="336"/>
      <c r="E4029" s="337"/>
      <c r="G4029" s="335" t="s">
        <v>298</v>
      </c>
      <c r="H4029" s="336"/>
      <c r="I4029" s="336"/>
      <c r="J4029" s="336"/>
      <c r="K4029" s="337"/>
    </row>
    <row r="4030" spans="1:11" ht="15.5" thickTop="1" thickBot="1" x14ac:dyDescent="0.4">
      <c r="A4030" s="338">
        <v>45655</v>
      </c>
      <c r="B4030" s="336"/>
      <c r="C4030" s="336"/>
      <c r="D4030" s="336"/>
      <c r="E4030" s="337"/>
      <c r="G4030" s="338">
        <v>45655</v>
      </c>
      <c r="H4030" s="336"/>
      <c r="I4030" s="336"/>
      <c r="J4030" s="336"/>
      <c r="K4030" s="337"/>
    </row>
    <row r="4031" spans="1:11" ht="15" thickTop="1" x14ac:dyDescent="0.35">
      <c r="A4031" s="267" t="s">
        <v>159</v>
      </c>
      <c r="B4031" s="267" t="s">
        <v>299</v>
      </c>
      <c r="C4031" s="267" t="s">
        <v>307</v>
      </c>
      <c r="D4031" s="267" t="s">
        <v>301</v>
      </c>
      <c r="E4031" s="268" t="s">
        <v>308</v>
      </c>
      <c r="G4031" s="267" t="s">
        <v>159</v>
      </c>
      <c r="H4031" s="267" t="s">
        <v>299</v>
      </c>
      <c r="I4031" s="267" t="s">
        <v>307</v>
      </c>
      <c r="J4031" s="267" t="s">
        <v>301</v>
      </c>
      <c r="K4031" s="268" t="s">
        <v>308</v>
      </c>
    </row>
    <row r="4032" spans="1:11" x14ac:dyDescent="0.35">
      <c r="A4032" s="269" t="s">
        <v>316</v>
      </c>
      <c r="B4032" s="270"/>
      <c r="C4032" s="270"/>
      <c r="D4032" s="270"/>
      <c r="E4032" s="270"/>
      <c r="G4032" s="269" t="s">
        <v>316</v>
      </c>
      <c r="H4032" s="270"/>
      <c r="I4032" s="270"/>
      <c r="J4032" s="270"/>
      <c r="K4032" s="270"/>
    </row>
    <row r="4033" spans="1:11" x14ac:dyDescent="0.35">
      <c r="A4033" s="271" t="s">
        <v>309</v>
      </c>
      <c r="B4033" s="272"/>
      <c r="C4033" s="272"/>
      <c r="D4033" s="272"/>
      <c r="E4033" s="272"/>
      <c r="G4033" s="271" t="s">
        <v>309</v>
      </c>
      <c r="H4033" s="272"/>
      <c r="I4033" s="272"/>
      <c r="J4033" s="272"/>
      <c r="K4033" s="272"/>
    </row>
    <row r="4034" spans="1:11" x14ac:dyDescent="0.35">
      <c r="A4034" s="269" t="s">
        <v>310</v>
      </c>
      <c r="B4034" s="270"/>
      <c r="C4034" s="270"/>
      <c r="D4034" s="270"/>
      <c r="E4034" s="270"/>
      <c r="G4034" s="269" t="s">
        <v>310</v>
      </c>
      <c r="H4034" s="270"/>
      <c r="I4034" s="270"/>
      <c r="J4034" s="270"/>
      <c r="K4034" s="270"/>
    </row>
    <row r="4035" spans="1:11" x14ac:dyDescent="0.35">
      <c r="A4035" s="271" t="s">
        <v>317</v>
      </c>
      <c r="B4035" s="272"/>
      <c r="C4035" s="272"/>
      <c r="D4035" s="272"/>
      <c r="E4035" s="272"/>
      <c r="G4035" s="271" t="s">
        <v>317</v>
      </c>
      <c r="H4035" s="272"/>
      <c r="I4035" s="272"/>
      <c r="J4035" s="272"/>
      <c r="K4035" s="272"/>
    </row>
    <row r="4036" spans="1:11" x14ac:dyDescent="0.35">
      <c r="A4036" s="269" t="s">
        <v>311</v>
      </c>
      <c r="B4036" s="270"/>
      <c r="C4036" s="270"/>
      <c r="D4036" s="270"/>
      <c r="E4036" s="270"/>
      <c r="G4036" s="269" t="s">
        <v>311</v>
      </c>
      <c r="H4036" s="270"/>
      <c r="I4036" s="270"/>
      <c r="J4036" s="270"/>
      <c r="K4036" s="270"/>
    </row>
    <row r="4037" spans="1:11" x14ac:dyDescent="0.35">
      <c r="A4037" s="271" t="s">
        <v>312</v>
      </c>
      <c r="B4037" s="272"/>
      <c r="C4037" s="272"/>
      <c r="D4037" s="272"/>
      <c r="E4037" s="272"/>
      <c r="G4037" s="271" t="s">
        <v>312</v>
      </c>
      <c r="H4037" s="272"/>
      <c r="I4037" s="272"/>
      <c r="J4037" s="272"/>
      <c r="K4037" s="272"/>
    </row>
    <row r="4038" spans="1:11" x14ac:dyDescent="0.35">
      <c r="A4038" s="231" t="s">
        <v>34</v>
      </c>
      <c r="B4038" s="230">
        <f>SUM(B4032:B4037)</f>
        <v>0</v>
      </c>
      <c r="C4038" s="230">
        <f>SUM(C4032:C4037)</f>
        <v>0</v>
      </c>
      <c r="D4038" s="230">
        <f>SUM(D4032:D4037)</f>
        <v>0</v>
      </c>
      <c r="E4038" s="230">
        <f>SUM(E4032:E4037)</f>
        <v>0</v>
      </c>
      <c r="G4038" s="231" t="s">
        <v>34</v>
      </c>
      <c r="H4038" s="230">
        <f>SUM(H4032:H4037)</f>
        <v>0</v>
      </c>
      <c r="I4038" s="230">
        <f>SUM(I4032:I4037)</f>
        <v>0</v>
      </c>
      <c r="J4038" s="230">
        <f>SUM(J4032:J4037)</f>
        <v>0</v>
      </c>
      <c r="K4038" s="230">
        <f>SUM(K4032:K4037)</f>
        <v>0</v>
      </c>
    </row>
    <row r="4039" spans="1:11" ht="15" thickBot="1" x14ac:dyDescent="0.4">
      <c r="A4039" s="231" t="s">
        <v>313</v>
      </c>
      <c r="B4039" s="230">
        <f>+B4038+C4038+D4038+E4038</f>
        <v>0</v>
      </c>
      <c r="C4039" s="230"/>
      <c r="D4039" s="230"/>
      <c r="E4039" s="230"/>
      <c r="G4039" s="231" t="s">
        <v>313</v>
      </c>
      <c r="H4039" s="230">
        <f>+H4038+I4038+J4038+K4038</f>
        <v>0</v>
      </c>
      <c r="I4039" s="230"/>
      <c r="J4039" s="230"/>
      <c r="K4039" s="230"/>
    </row>
    <row r="4040" spans="1:11" ht="15.5" thickTop="1" thickBot="1" x14ac:dyDescent="0.4">
      <c r="A4040" s="335" t="s">
        <v>298</v>
      </c>
      <c r="B4040" s="336"/>
      <c r="C4040" s="336"/>
      <c r="D4040" s="336"/>
      <c r="E4040" s="337"/>
      <c r="G4040" s="335" t="s">
        <v>298</v>
      </c>
      <c r="H4040" s="336"/>
      <c r="I4040" s="336"/>
      <c r="J4040" s="336"/>
      <c r="K4040" s="337"/>
    </row>
    <row r="4041" spans="1:11" ht="15.5" thickTop="1" thickBot="1" x14ac:dyDescent="0.4">
      <c r="A4041" s="338">
        <v>45656</v>
      </c>
      <c r="B4041" s="336"/>
      <c r="C4041" s="336"/>
      <c r="D4041" s="336"/>
      <c r="E4041" s="337"/>
      <c r="G4041" s="338">
        <v>45656</v>
      </c>
      <c r="H4041" s="336"/>
      <c r="I4041" s="336"/>
      <c r="J4041" s="336"/>
      <c r="K4041" s="337"/>
    </row>
    <row r="4042" spans="1:11" ht="15" thickTop="1" x14ac:dyDescent="0.35">
      <c r="A4042" s="267" t="s">
        <v>159</v>
      </c>
      <c r="B4042" s="267" t="s">
        <v>299</v>
      </c>
      <c r="C4042" s="267" t="s">
        <v>307</v>
      </c>
      <c r="D4042" s="267" t="s">
        <v>301</v>
      </c>
      <c r="E4042" s="268" t="s">
        <v>308</v>
      </c>
      <c r="G4042" s="267" t="s">
        <v>159</v>
      </c>
      <c r="H4042" s="267" t="s">
        <v>299</v>
      </c>
      <c r="I4042" s="267" t="s">
        <v>307</v>
      </c>
      <c r="J4042" s="267" t="s">
        <v>301</v>
      </c>
      <c r="K4042" s="268" t="s">
        <v>308</v>
      </c>
    </row>
    <row r="4043" spans="1:11" x14ac:dyDescent="0.35">
      <c r="A4043" s="269" t="s">
        <v>316</v>
      </c>
      <c r="B4043" s="270"/>
      <c r="C4043" s="270"/>
      <c r="D4043" s="270"/>
      <c r="E4043" s="270"/>
      <c r="G4043" s="269" t="s">
        <v>316</v>
      </c>
      <c r="H4043" s="270"/>
      <c r="I4043" s="270"/>
      <c r="J4043" s="270"/>
      <c r="K4043" s="270"/>
    </row>
    <row r="4044" spans="1:11" x14ac:dyDescent="0.35">
      <c r="A4044" s="271" t="s">
        <v>309</v>
      </c>
      <c r="B4044" s="272"/>
      <c r="C4044" s="272"/>
      <c r="D4044" s="272"/>
      <c r="E4044" s="272"/>
      <c r="G4044" s="271" t="s">
        <v>309</v>
      </c>
      <c r="H4044" s="272"/>
      <c r="I4044" s="272"/>
      <c r="J4044" s="272"/>
      <c r="K4044" s="272"/>
    </row>
    <row r="4045" spans="1:11" x14ac:dyDescent="0.35">
      <c r="A4045" s="269" t="s">
        <v>310</v>
      </c>
      <c r="B4045" s="270"/>
      <c r="C4045" s="270"/>
      <c r="D4045" s="270"/>
      <c r="E4045" s="270"/>
      <c r="G4045" s="269" t="s">
        <v>310</v>
      </c>
      <c r="H4045" s="270"/>
      <c r="I4045" s="270"/>
      <c r="J4045" s="270"/>
      <c r="K4045" s="270"/>
    </row>
    <row r="4046" spans="1:11" x14ac:dyDescent="0.35">
      <c r="A4046" s="271" t="s">
        <v>317</v>
      </c>
      <c r="B4046" s="272"/>
      <c r="C4046" s="272"/>
      <c r="D4046" s="272"/>
      <c r="E4046" s="272"/>
      <c r="G4046" s="271" t="s">
        <v>317</v>
      </c>
      <c r="H4046" s="272"/>
      <c r="I4046" s="272"/>
      <c r="J4046" s="272"/>
      <c r="K4046" s="272"/>
    </row>
    <row r="4047" spans="1:11" x14ac:dyDescent="0.35">
      <c r="A4047" s="269" t="s">
        <v>311</v>
      </c>
      <c r="B4047" s="270"/>
      <c r="C4047" s="270"/>
      <c r="D4047" s="270"/>
      <c r="E4047" s="270"/>
      <c r="G4047" s="269" t="s">
        <v>311</v>
      </c>
      <c r="H4047" s="270"/>
      <c r="I4047" s="270"/>
      <c r="J4047" s="270"/>
      <c r="K4047" s="270"/>
    </row>
    <row r="4048" spans="1:11" x14ac:dyDescent="0.35">
      <c r="A4048" s="271" t="s">
        <v>312</v>
      </c>
      <c r="B4048" s="272"/>
      <c r="C4048" s="272"/>
      <c r="D4048" s="272"/>
      <c r="E4048" s="272"/>
      <c r="G4048" s="271" t="s">
        <v>312</v>
      </c>
      <c r="H4048" s="272"/>
      <c r="I4048" s="272"/>
      <c r="J4048" s="272"/>
      <c r="K4048" s="272"/>
    </row>
    <row r="4049" spans="1:13" x14ac:dyDescent="0.35">
      <c r="A4049" s="231" t="s">
        <v>34</v>
      </c>
      <c r="B4049" s="230">
        <f>SUM(B4043:B4048)</f>
        <v>0</v>
      </c>
      <c r="C4049" s="230">
        <f>SUM(C4043:C4048)</f>
        <v>0</v>
      </c>
      <c r="D4049" s="230">
        <f>SUM(D4043:D4048)</f>
        <v>0</v>
      </c>
      <c r="E4049" s="230">
        <f>SUM(E4043:E4048)</f>
        <v>0</v>
      </c>
      <c r="G4049" s="231" t="s">
        <v>34</v>
      </c>
      <c r="H4049" s="230">
        <f>SUM(H4043:H4048)</f>
        <v>0</v>
      </c>
      <c r="I4049" s="230">
        <f>SUM(I4043:I4048)</f>
        <v>0</v>
      </c>
      <c r="J4049" s="230">
        <f>SUM(J4043:J4048)</f>
        <v>0</v>
      </c>
      <c r="K4049" s="230">
        <f>SUM(K4043:K4048)</f>
        <v>0</v>
      </c>
    </row>
    <row r="4050" spans="1:13" ht="15" thickBot="1" x14ac:dyDescent="0.4">
      <c r="A4050" s="231" t="s">
        <v>313</v>
      </c>
      <c r="B4050" s="230">
        <f>+B4049+C4049+D4049+E4049</f>
        <v>0</v>
      </c>
      <c r="C4050" s="230"/>
      <c r="D4050" s="230"/>
      <c r="E4050" s="230"/>
      <c r="G4050" s="231" t="s">
        <v>313</v>
      </c>
      <c r="H4050" s="230">
        <f>+H4049+I4049+J4049+K4049</f>
        <v>0</v>
      </c>
      <c r="I4050" s="230"/>
      <c r="J4050" s="230"/>
      <c r="K4050" s="230"/>
    </row>
    <row r="4051" spans="1:13" ht="15.5" thickTop="1" thickBot="1" x14ac:dyDescent="0.4">
      <c r="A4051" s="335" t="s">
        <v>298</v>
      </c>
      <c r="B4051" s="336"/>
      <c r="C4051" s="336"/>
      <c r="D4051" s="336"/>
      <c r="E4051" s="337"/>
      <c r="G4051" s="335" t="s">
        <v>298</v>
      </c>
      <c r="H4051" s="336"/>
      <c r="I4051" s="336"/>
      <c r="J4051" s="336"/>
      <c r="K4051" s="337"/>
    </row>
    <row r="4052" spans="1:13" ht="15.5" thickTop="1" thickBot="1" x14ac:dyDescent="0.4">
      <c r="A4052" s="338">
        <v>45657</v>
      </c>
      <c r="B4052" s="336"/>
      <c r="C4052" s="336"/>
      <c r="D4052" s="336"/>
      <c r="E4052" s="337"/>
      <c r="G4052" s="338">
        <v>45657</v>
      </c>
      <c r="H4052" s="336"/>
      <c r="I4052" s="336"/>
      <c r="J4052" s="336"/>
      <c r="K4052" s="337"/>
    </row>
    <row r="4053" spans="1:13" ht="15" thickTop="1" x14ac:dyDescent="0.35">
      <c r="A4053" s="267" t="s">
        <v>159</v>
      </c>
      <c r="B4053" s="267" t="s">
        <v>299</v>
      </c>
      <c r="C4053" s="267" t="s">
        <v>307</v>
      </c>
      <c r="D4053" s="267" t="s">
        <v>301</v>
      </c>
      <c r="E4053" s="268" t="s">
        <v>308</v>
      </c>
      <c r="G4053" s="267" t="s">
        <v>159</v>
      </c>
      <c r="H4053" s="267" t="s">
        <v>299</v>
      </c>
      <c r="I4053" s="267" t="s">
        <v>307</v>
      </c>
      <c r="J4053" s="267" t="s">
        <v>301</v>
      </c>
      <c r="K4053" s="268" t="s">
        <v>308</v>
      </c>
    </row>
    <row r="4054" spans="1:13" x14ac:dyDescent="0.35">
      <c r="A4054" s="269" t="s">
        <v>316</v>
      </c>
      <c r="B4054" s="270"/>
      <c r="C4054" s="270"/>
      <c r="D4054" s="270"/>
      <c r="E4054" s="270"/>
      <c r="G4054" s="269" t="s">
        <v>316</v>
      </c>
      <c r="H4054" s="270"/>
      <c r="I4054" s="270"/>
      <c r="J4054" s="270"/>
      <c r="K4054" s="270"/>
    </row>
    <row r="4055" spans="1:13" x14ac:dyDescent="0.35">
      <c r="A4055" s="271" t="s">
        <v>309</v>
      </c>
      <c r="B4055" s="272"/>
      <c r="C4055" s="272"/>
      <c r="D4055" s="272"/>
      <c r="E4055" s="272"/>
      <c r="G4055" s="271" t="s">
        <v>309</v>
      </c>
      <c r="H4055" s="272"/>
      <c r="I4055" s="272"/>
      <c r="J4055" s="272"/>
      <c r="K4055" s="272"/>
    </row>
    <row r="4056" spans="1:13" x14ac:dyDescent="0.35">
      <c r="A4056" s="269" t="s">
        <v>310</v>
      </c>
      <c r="B4056" s="270"/>
      <c r="C4056" s="270"/>
      <c r="D4056" s="270"/>
      <c r="E4056" s="270"/>
      <c r="G4056" s="269" t="s">
        <v>310</v>
      </c>
      <c r="H4056" s="270"/>
      <c r="I4056" s="270"/>
      <c r="J4056" s="270"/>
      <c r="K4056" s="270"/>
    </row>
    <row r="4057" spans="1:13" x14ac:dyDescent="0.35">
      <c r="A4057" s="271" t="s">
        <v>317</v>
      </c>
      <c r="B4057" s="272"/>
      <c r="C4057" s="272"/>
      <c r="D4057" s="272"/>
      <c r="E4057" s="272"/>
      <c r="G4057" s="271" t="s">
        <v>317</v>
      </c>
      <c r="H4057" s="272"/>
      <c r="I4057" s="272"/>
      <c r="J4057" s="272"/>
      <c r="K4057" s="272"/>
    </row>
    <row r="4058" spans="1:13" x14ac:dyDescent="0.35">
      <c r="A4058" s="269" t="s">
        <v>311</v>
      </c>
      <c r="B4058" s="270"/>
      <c r="C4058" s="270"/>
      <c r="D4058" s="270"/>
      <c r="E4058" s="270"/>
      <c r="G4058" s="269" t="s">
        <v>311</v>
      </c>
      <c r="H4058" s="270"/>
      <c r="I4058" s="270"/>
      <c r="J4058" s="270"/>
      <c r="K4058" s="270"/>
    </row>
    <row r="4059" spans="1:13" x14ac:dyDescent="0.35">
      <c r="A4059" s="271" t="s">
        <v>312</v>
      </c>
      <c r="B4059" s="272"/>
      <c r="C4059" s="272"/>
      <c r="D4059" s="272"/>
      <c r="E4059" s="272"/>
      <c r="G4059" s="271" t="s">
        <v>312</v>
      </c>
      <c r="H4059" s="272"/>
      <c r="I4059" s="272"/>
      <c r="J4059" s="272"/>
      <c r="K4059" s="272"/>
    </row>
    <row r="4060" spans="1:13" x14ac:dyDescent="0.35">
      <c r="A4060" s="231" t="s">
        <v>34</v>
      </c>
      <c r="B4060" s="230">
        <f>SUM(B4054:B4059)</f>
        <v>0</v>
      </c>
      <c r="C4060" s="230">
        <f>SUM(C4054:C4059)</f>
        <v>0</v>
      </c>
      <c r="D4060" s="230">
        <f>SUM(D4054:D4059)</f>
        <v>0</v>
      </c>
      <c r="E4060" s="230">
        <f>SUM(E4054:E4059)</f>
        <v>0</v>
      </c>
      <c r="G4060" s="231" t="s">
        <v>34</v>
      </c>
      <c r="H4060" s="230">
        <f>SUM(H4054:H4059)</f>
        <v>0</v>
      </c>
      <c r="I4060" s="230">
        <f>SUM(I4054:I4059)</f>
        <v>0</v>
      </c>
      <c r="J4060" s="230">
        <f>SUM(J4054:J4059)</f>
        <v>0</v>
      </c>
      <c r="K4060" s="230">
        <f>SUM(K4054:K4059)</f>
        <v>0</v>
      </c>
    </row>
    <row r="4061" spans="1:13" x14ac:dyDescent="0.35">
      <c r="A4061" s="231" t="s">
        <v>313</v>
      </c>
      <c r="B4061" s="230">
        <f>+B4060+C4060+D4060+E4060</f>
        <v>0</v>
      </c>
      <c r="C4061" s="230"/>
      <c r="D4061" s="230"/>
      <c r="E4061" s="230"/>
      <c r="G4061" s="231" t="s">
        <v>313</v>
      </c>
      <c r="H4061" s="230">
        <f>+H4060+I4060+J4060+K4060</f>
        <v>0</v>
      </c>
      <c r="I4061" s="230"/>
      <c r="J4061" s="230"/>
      <c r="K4061" s="230"/>
    </row>
    <row r="4062" spans="1:13" ht="15" thickBot="1" x14ac:dyDescent="0.4"/>
    <row r="4063" spans="1:13" ht="35" customHeight="1" thickBot="1" x14ac:dyDescent="0.4">
      <c r="A4063" s="327" t="s">
        <v>331</v>
      </c>
      <c r="B4063" s="328"/>
      <c r="C4063" s="328"/>
      <c r="D4063" s="328"/>
      <c r="E4063" s="328"/>
      <c r="F4063" s="329"/>
      <c r="G4063" s="330">
        <f>SUMIF($A$3388:M3723,"*"&amp;K4063&amp;"*",$B$3723:N4061)</f>
        <v>0</v>
      </c>
      <c r="H4063" s="331"/>
      <c r="I4063" s="331"/>
      <c r="J4063" s="332"/>
      <c r="K4063" s="333" t="s">
        <v>313</v>
      </c>
      <c r="L4063" s="334"/>
      <c r="M4063" s="233">
        <f>+G4063</f>
        <v>0</v>
      </c>
    </row>
  </sheetData>
  <mergeCells count="1496">
    <mergeCell ref="G4063:J4063"/>
    <mergeCell ref="K4063:L4063"/>
    <mergeCell ref="G4041:K4041"/>
    <mergeCell ref="G4051:K4051"/>
    <mergeCell ref="G4052:K4052"/>
    <mergeCell ref="A2015:F2015"/>
    <mergeCell ref="G2015:J2015"/>
    <mergeCell ref="K2015:L2015"/>
    <mergeCell ref="A2360:F2360"/>
    <mergeCell ref="G2360:J2360"/>
    <mergeCell ref="K2360:L2360"/>
    <mergeCell ref="A2704:F2704"/>
    <mergeCell ref="G2704:J2704"/>
    <mergeCell ref="K2704:L2704"/>
    <mergeCell ref="A3039:F3039"/>
    <mergeCell ref="G3039:J3039"/>
    <mergeCell ref="K3039:L3039"/>
    <mergeCell ref="A3384:F3384"/>
    <mergeCell ref="G3384:J3384"/>
    <mergeCell ref="K3384:L3384"/>
    <mergeCell ref="A3718:F3718"/>
    <mergeCell ref="G3718:J3718"/>
    <mergeCell ref="K3718:L3718"/>
    <mergeCell ref="G3996:K3996"/>
    <mergeCell ref="G3997:K3997"/>
    <mergeCell ref="G4007:K4007"/>
    <mergeCell ref="G4008:K4008"/>
    <mergeCell ref="G4018:K4018"/>
    <mergeCell ref="G4019:K4019"/>
    <mergeCell ref="G4029:K4029"/>
    <mergeCell ref="G4030:K4030"/>
    <mergeCell ref="G4040:K4040"/>
    <mergeCell ref="G3942:K3942"/>
    <mergeCell ref="G3952:K3952"/>
    <mergeCell ref="G3953:K3953"/>
    <mergeCell ref="G3963:K3963"/>
    <mergeCell ref="G3964:K3964"/>
    <mergeCell ref="G3974:K3974"/>
    <mergeCell ref="G3975:K3975"/>
    <mergeCell ref="G3985:K3985"/>
    <mergeCell ref="G3986:K3986"/>
    <mergeCell ref="G3897:K3897"/>
    <mergeCell ref="G3898:K3898"/>
    <mergeCell ref="G3908:K3908"/>
    <mergeCell ref="G3909:K3909"/>
    <mergeCell ref="G3919:K3919"/>
    <mergeCell ref="G3920:K3920"/>
    <mergeCell ref="G3930:K3930"/>
    <mergeCell ref="G3931:K3931"/>
    <mergeCell ref="G3941:K3941"/>
    <mergeCell ref="G3843:K3843"/>
    <mergeCell ref="G3853:K3853"/>
    <mergeCell ref="G3854:K3854"/>
    <mergeCell ref="G3864:K3864"/>
    <mergeCell ref="G3865:K3865"/>
    <mergeCell ref="G3875:K3875"/>
    <mergeCell ref="G3876:K3876"/>
    <mergeCell ref="G3886:K3886"/>
    <mergeCell ref="G3887:K3887"/>
    <mergeCell ref="G3798:K3798"/>
    <mergeCell ref="G3799:K3799"/>
    <mergeCell ref="G3809:K3809"/>
    <mergeCell ref="G3810:K3810"/>
    <mergeCell ref="G3820:K3820"/>
    <mergeCell ref="G3821:K3821"/>
    <mergeCell ref="G3831:K3831"/>
    <mergeCell ref="G3832:K3832"/>
    <mergeCell ref="G3842:K3842"/>
    <mergeCell ref="G3744:K3744"/>
    <mergeCell ref="G3754:K3754"/>
    <mergeCell ref="G3755:K3755"/>
    <mergeCell ref="G3765:K3765"/>
    <mergeCell ref="G3766:K3766"/>
    <mergeCell ref="G3776:K3776"/>
    <mergeCell ref="G3777:K3777"/>
    <mergeCell ref="G3787:K3787"/>
    <mergeCell ref="G3788:K3788"/>
    <mergeCell ref="G3695:K3695"/>
    <mergeCell ref="G3696:K3696"/>
    <mergeCell ref="G3706:K3706"/>
    <mergeCell ref="G3707:K3707"/>
    <mergeCell ref="G3721:K3721"/>
    <mergeCell ref="G3722:K3722"/>
    <mergeCell ref="G3732:K3732"/>
    <mergeCell ref="G3733:K3733"/>
    <mergeCell ref="G3743:K3743"/>
    <mergeCell ref="G3641:K3641"/>
    <mergeCell ref="G3651:K3651"/>
    <mergeCell ref="G3652:K3652"/>
    <mergeCell ref="G3662:K3662"/>
    <mergeCell ref="G3663:K3663"/>
    <mergeCell ref="G3673:K3673"/>
    <mergeCell ref="G3674:K3674"/>
    <mergeCell ref="G3684:K3684"/>
    <mergeCell ref="G3685:K3685"/>
    <mergeCell ref="G3596:K3596"/>
    <mergeCell ref="G3597:K3597"/>
    <mergeCell ref="G3607:K3607"/>
    <mergeCell ref="G3608:K3608"/>
    <mergeCell ref="G3618:K3618"/>
    <mergeCell ref="G3619:K3619"/>
    <mergeCell ref="G3629:K3629"/>
    <mergeCell ref="G3630:K3630"/>
    <mergeCell ref="G3640:K3640"/>
    <mergeCell ref="G3542:K3542"/>
    <mergeCell ref="G3552:K3552"/>
    <mergeCell ref="G3553:K3553"/>
    <mergeCell ref="G3563:K3563"/>
    <mergeCell ref="G3564:K3564"/>
    <mergeCell ref="G3574:K3574"/>
    <mergeCell ref="G3575:K3575"/>
    <mergeCell ref="G3585:K3585"/>
    <mergeCell ref="G3586:K3586"/>
    <mergeCell ref="G3497:K3497"/>
    <mergeCell ref="G3498:K3498"/>
    <mergeCell ref="G3508:K3508"/>
    <mergeCell ref="G3509:K3509"/>
    <mergeCell ref="G3519:K3519"/>
    <mergeCell ref="G3520:K3520"/>
    <mergeCell ref="G3530:K3530"/>
    <mergeCell ref="G3531:K3531"/>
    <mergeCell ref="G3541:K3541"/>
    <mergeCell ref="G3453:K3453"/>
    <mergeCell ref="G3454:K3454"/>
    <mergeCell ref="G3464:K3464"/>
    <mergeCell ref="G3465:K3465"/>
    <mergeCell ref="G3475:K3475"/>
    <mergeCell ref="G3476:K3476"/>
    <mergeCell ref="G3486:K3486"/>
    <mergeCell ref="G3487:K3487"/>
    <mergeCell ref="G3398:K3398"/>
    <mergeCell ref="G3399:K3399"/>
    <mergeCell ref="G3409:K3409"/>
    <mergeCell ref="G3410:K3410"/>
    <mergeCell ref="G3420:K3420"/>
    <mergeCell ref="G3421:K3421"/>
    <mergeCell ref="G3431:K3431"/>
    <mergeCell ref="G3432:K3432"/>
    <mergeCell ref="G3442:K3442"/>
    <mergeCell ref="G3351:K3351"/>
    <mergeCell ref="G3361:K3361"/>
    <mergeCell ref="G3362:K3362"/>
    <mergeCell ref="G3372:K3372"/>
    <mergeCell ref="G3373:K3373"/>
    <mergeCell ref="G3387:K3387"/>
    <mergeCell ref="G3388:K3388"/>
    <mergeCell ref="G3306:K3306"/>
    <mergeCell ref="G3307:K3307"/>
    <mergeCell ref="G3317:K3317"/>
    <mergeCell ref="G3318:K3318"/>
    <mergeCell ref="G3328:K3328"/>
    <mergeCell ref="G3329:K3329"/>
    <mergeCell ref="G3339:K3339"/>
    <mergeCell ref="G3340:K3340"/>
    <mergeCell ref="G3350:K3350"/>
    <mergeCell ref="G3443:K3443"/>
    <mergeCell ref="G3252:K3252"/>
    <mergeCell ref="G3262:K3262"/>
    <mergeCell ref="G3263:K3263"/>
    <mergeCell ref="G3273:K3273"/>
    <mergeCell ref="G3274:K3274"/>
    <mergeCell ref="G3284:K3284"/>
    <mergeCell ref="G3285:K3285"/>
    <mergeCell ref="G3295:K3295"/>
    <mergeCell ref="G3296:K3296"/>
    <mergeCell ref="G3207:K3207"/>
    <mergeCell ref="G3208:K3208"/>
    <mergeCell ref="G3218:K3218"/>
    <mergeCell ref="G3219:K3219"/>
    <mergeCell ref="G3229:K3229"/>
    <mergeCell ref="G3230:K3230"/>
    <mergeCell ref="G3240:K3240"/>
    <mergeCell ref="G3241:K3241"/>
    <mergeCell ref="G3251:K3251"/>
    <mergeCell ref="G3153:K3153"/>
    <mergeCell ref="G3163:K3163"/>
    <mergeCell ref="G3164:K3164"/>
    <mergeCell ref="G3174:K3174"/>
    <mergeCell ref="G3175:K3175"/>
    <mergeCell ref="G3185:K3185"/>
    <mergeCell ref="G3186:K3186"/>
    <mergeCell ref="G3196:K3196"/>
    <mergeCell ref="G3197:K3197"/>
    <mergeCell ref="G3108:K3108"/>
    <mergeCell ref="G3109:K3109"/>
    <mergeCell ref="G3119:K3119"/>
    <mergeCell ref="G3120:K3120"/>
    <mergeCell ref="G3130:K3130"/>
    <mergeCell ref="G3131:K3131"/>
    <mergeCell ref="G3141:K3141"/>
    <mergeCell ref="G3142:K3142"/>
    <mergeCell ref="G3152:K3152"/>
    <mergeCell ref="G3054:K3054"/>
    <mergeCell ref="G3064:K3064"/>
    <mergeCell ref="G3065:K3065"/>
    <mergeCell ref="G3075:K3075"/>
    <mergeCell ref="G3076:K3076"/>
    <mergeCell ref="G3086:K3086"/>
    <mergeCell ref="G3087:K3087"/>
    <mergeCell ref="G3097:K3097"/>
    <mergeCell ref="G3098:K3098"/>
    <mergeCell ref="G2993:K2993"/>
    <mergeCell ref="G2994:K2994"/>
    <mergeCell ref="G3004:K3004"/>
    <mergeCell ref="G3005:K3005"/>
    <mergeCell ref="G3015:K3015"/>
    <mergeCell ref="G3016:K3016"/>
    <mergeCell ref="G3042:K3042"/>
    <mergeCell ref="G3043:K3043"/>
    <mergeCell ref="G3053:K3053"/>
    <mergeCell ref="G3027:K3027"/>
    <mergeCell ref="G2939:K2939"/>
    <mergeCell ref="G2949:K2949"/>
    <mergeCell ref="G2950:K2950"/>
    <mergeCell ref="G2960:K2960"/>
    <mergeCell ref="G2961:K2961"/>
    <mergeCell ref="G2971:K2971"/>
    <mergeCell ref="G2972:K2972"/>
    <mergeCell ref="G2982:K2982"/>
    <mergeCell ref="G2983:K2983"/>
    <mergeCell ref="G2894:K2894"/>
    <mergeCell ref="G2895:K2895"/>
    <mergeCell ref="G2905:K2905"/>
    <mergeCell ref="G2906:K2906"/>
    <mergeCell ref="G2916:K2916"/>
    <mergeCell ref="G2917:K2917"/>
    <mergeCell ref="G2927:K2927"/>
    <mergeCell ref="G2928:K2928"/>
    <mergeCell ref="G2938:K2938"/>
    <mergeCell ref="G2840:K2840"/>
    <mergeCell ref="G2850:K2850"/>
    <mergeCell ref="G2851:K2851"/>
    <mergeCell ref="G2861:K2861"/>
    <mergeCell ref="G2862:K2862"/>
    <mergeCell ref="G2872:K2872"/>
    <mergeCell ref="G2873:K2873"/>
    <mergeCell ref="G2883:K2883"/>
    <mergeCell ref="G2884:K2884"/>
    <mergeCell ref="G2795:K2795"/>
    <mergeCell ref="G2796:K2796"/>
    <mergeCell ref="G2806:K2806"/>
    <mergeCell ref="G2807:K2807"/>
    <mergeCell ref="G2817:K2817"/>
    <mergeCell ref="G2818:K2818"/>
    <mergeCell ref="G2828:K2828"/>
    <mergeCell ref="G2829:K2829"/>
    <mergeCell ref="G2839:K2839"/>
    <mergeCell ref="G2741:K2741"/>
    <mergeCell ref="G2751:K2751"/>
    <mergeCell ref="G2752:K2752"/>
    <mergeCell ref="G2762:K2762"/>
    <mergeCell ref="G2763:K2763"/>
    <mergeCell ref="G2773:K2773"/>
    <mergeCell ref="G2774:K2774"/>
    <mergeCell ref="G2784:K2784"/>
    <mergeCell ref="G2785:K2785"/>
    <mergeCell ref="G2692:K2692"/>
    <mergeCell ref="G2693:K2693"/>
    <mergeCell ref="G2707:K2707"/>
    <mergeCell ref="G2708:K2708"/>
    <mergeCell ref="G2718:K2718"/>
    <mergeCell ref="G2719:K2719"/>
    <mergeCell ref="G2729:K2729"/>
    <mergeCell ref="G2730:K2730"/>
    <mergeCell ref="G2740:K2740"/>
    <mergeCell ref="G2638:K2638"/>
    <mergeCell ref="G2648:K2648"/>
    <mergeCell ref="G2649:K2649"/>
    <mergeCell ref="G2659:K2659"/>
    <mergeCell ref="G2660:K2660"/>
    <mergeCell ref="G2670:K2670"/>
    <mergeCell ref="G2671:K2671"/>
    <mergeCell ref="G2681:K2681"/>
    <mergeCell ref="G2682:K2682"/>
    <mergeCell ref="G2593:K2593"/>
    <mergeCell ref="G2594:K2594"/>
    <mergeCell ref="G2604:K2604"/>
    <mergeCell ref="G2605:K2605"/>
    <mergeCell ref="G2615:K2615"/>
    <mergeCell ref="G2616:K2616"/>
    <mergeCell ref="G2626:K2626"/>
    <mergeCell ref="G2627:K2627"/>
    <mergeCell ref="G2637:K2637"/>
    <mergeCell ref="G2539:K2539"/>
    <mergeCell ref="G2549:K2549"/>
    <mergeCell ref="G2550:K2550"/>
    <mergeCell ref="G2560:K2560"/>
    <mergeCell ref="G2561:K2561"/>
    <mergeCell ref="G2571:K2571"/>
    <mergeCell ref="G2572:K2572"/>
    <mergeCell ref="G2582:K2582"/>
    <mergeCell ref="G2583:K2583"/>
    <mergeCell ref="G2494:K2494"/>
    <mergeCell ref="G2495:K2495"/>
    <mergeCell ref="G2505:K2505"/>
    <mergeCell ref="G2506:K2506"/>
    <mergeCell ref="G2516:K2516"/>
    <mergeCell ref="G2517:K2517"/>
    <mergeCell ref="G2527:K2527"/>
    <mergeCell ref="G2528:K2528"/>
    <mergeCell ref="G2538:K2538"/>
    <mergeCell ref="G2440:K2440"/>
    <mergeCell ref="G2450:K2450"/>
    <mergeCell ref="G2451:K2451"/>
    <mergeCell ref="G2461:K2461"/>
    <mergeCell ref="G2462:K2462"/>
    <mergeCell ref="G2472:K2472"/>
    <mergeCell ref="G2473:K2473"/>
    <mergeCell ref="G2483:K2483"/>
    <mergeCell ref="G2484:K2484"/>
    <mergeCell ref="G2395:K2395"/>
    <mergeCell ref="G2396:K2396"/>
    <mergeCell ref="G2406:K2406"/>
    <mergeCell ref="G2407:K2407"/>
    <mergeCell ref="G2417:K2417"/>
    <mergeCell ref="G2418:K2418"/>
    <mergeCell ref="G2428:K2428"/>
    <mergeCell ref="G2429:K2429"/>
    <mergeCell ref="G2439:K2439"/>
    <mergeCell ref="G2338:K2338"/>
    <mergeCell ref="G2348:K2348"/>
    <mergeCell ref="G2349:K2349"/>
    <mergeCell ref="G2362:K2362"/>
    <mergeCell ref="G2363:K2363"/>
    <mergeCell ref="G2373:K2373"/>
    <mergeCell ref="G2374:K2374"/>
    <mergeCell ref="G2384:K2384"/>
    <mergeCell ref="G2385:K2385"/>
    <mergeCell ref="G2293:K2293"/>
    <mergeCell ref="G2294:K2294"/>
    <mergeCell ref="G2304:K2304"/>
    <mergeCell ref="G2305:K2305"/>
    <mergeCell ref="G2315:K2315"/>
    <mergeCell ref="G2316:K2316"/>
    <mergeCell ref="G2326:K2326"/>
    <mergeCell ref="G2327:K2327"/>
    <mergeCell ref="G2337:K2337"/>
    <mergeCell ref="G2239:K2239"/>
    <mergeCell ref="G2249:K2249"/>
    <mergeCell ref="G2250:K2250"/>
    <mergeCell ref="G2260:K2260"/>
    <mergeCell ref="G2261:K2261"/>
    <mergeCell ref="G2271:K2271"/>
    <mergeCell ref="G2272:K2272"/>
    <mergeCell ref="G2282:K2282"/>
    <mergeCell ref="G2283:K2283"/>
    <mergeCell ref="G2194:K2194"/>
    <mergeCell ref="G2195:K2195"/>
    <mergeCell ref="G2205:K2205"/>
    <mergeCell ref="G2206:K2206"/>
    <mergeCell ref="G2216:K2216"/>
    <mergeCell ref="G2217:K2217"/>
    <mergeCell ref="G2227:K2227"/>
    <mergeCell ref="G2228:K2228"/>
    <mergeCell ref="G2238:K2238"/>
    <mergeCell ref="G2140:K2140"/>
    <mergeCell ref="G2150:K2150"/>
    <mergeCell ref="G2151:K2151"/>
    <mergeCell ref="G2161:K2161"/>
    <mergeCell ref="G2162:K2162"/>
    <mergeCell ref="G2172:K2172"/>
    <mergeCell ref="G2173:K2173"/>
    <mergeCell ref="G2183:K2183"/>
    <mergeCell ref="G2184:K2184"/>
    <mergeCell ref="G2095:K2095"/>
    <mergeCell ref="G2096:K2096"/>
    <mergeCell ref="G2106:K2106"/>
    <mergeCell ref="G2107:K2107"/>
    <mergeCell ref="G2117:K2117"/>
    <mergeCell ref="G2118:K2118"/>
    <mergeCell ref="G2128:K2128"/>
    <mergeCell ref="G2129:K2129"/>
    <mergeCell ref="G2139:K2139"/>
    <mergeCell ref="G2041:K2041"/>
    <mergeCell ref="G2051:K2051"/>
    <mergeCell ref="G2052:K2052"/>
    <mergeCell ref="G2062:K2062"/>
    <mergeCell ref="G2063:K2063"/>
    <mergeCell ref="G2073:K2073"/>
    <mergeCell ref="G2074:K2074"/>
    <mergeCell ref="G2084:K2084"/>
    <mergeCell ref="G2085:K2085"/>
    <mergeCell ref="G1992:K1992"/>
    <mergeCell ref="G1993:K1993"/>
    <mergeCell ref="G2003:K2003"/>
    <mergeCell ref="G2004:K2004"/>
    <mergeCell ref="G2018:K2018"/>
    <mergeCell ref="G2019:K2019"/>
    <mergeCell ref="G2029:K2029"/>
    <mergeCell ref="G2030:K2030"/>
    <mergeCell ref="G2040:K2040"/>
    <mergeCell ref="G1938:K1938"/>
    <mergeCell ref="G1948:K1948"/>
    <mergeCell ref="G1949:K1949"/>
    <mergeCell ref="G1959:K1959"/>
    <mergeCell ref="G1960:K1960"/>
    <mergeCell ref="G1970:K1970"/>
    <mergeCell ref="G1971:K1971"/>
    <mergeCell ref="G1981:K1981"/>
    <mergeCell ref="G1982:K1982"/>
    <mergeCell ref="G1893:K1893"/>
    <mergeCell ref="G1894:K1894"/>
    <mergeCell ref="G1904:K1904"/>
    <mergeCell ref="G1905:K1905"/>
    <mergeCell ref="G1915:K1915"/>
    <mergeCell ref="G1916:K1916"/>
    <mergeCell ref="G1926:K1926"/>
    <mergeCell ref="G1927:K1927"/>
    <mergeCell ref="G1937:K1937"/>
    <mergeCell ref="G1849:K1849"/>
    <mergeCell ref="G1850:K1850"/>
    <mergeCell ref="G1860:K1860"/>
    <mergeCell ref="G1861:K1861"/>
    <mergeCell ref="G1871:K1871"/>
    <mergeCell ref="G1872:K1872"/>
    <mergeCell ref="G1882:K1882"/>
    <mergeCell ref="G1883:K1883"/>
    <mergeCell ref="G1794:K1794"/>
    <mergeCell ref="G1795:K1795"/>
    <mergeCell ref="G1805:K1805"/>
    <mergeCell ref="G1806:K1806"/>
    <mergeCell ref="G1816:K1816"/>
    <mergeCell ref="G1817:K1817"/>
    <mergeCell ref="G1827:K1827"/>
    <mergeCell ref="G1828:K1828"/>
    <mergeCell ref="G1838:K1838"/>
    <mergeCell ref="A3920:E3920"/>
    <mergeCell ref="A3930:E3930"/>
    <mergeCell ref="A3931:E3931"/>
    <mergeCell ref="A3941:E3941"/>
    <mergeCell ref="A3942:E3942"/>
    <mergeCell ref="A3952:E3952"/>
    <mergeCell ref="A3953:E3953"/>
    <mergeCell ref="A3963:E3963"/>
    <mergeCell ref="A3964:E3964"/>
    <mergeCell ref="A3875:E3875"/>
    <mergeCell ref="A3876:E3876"/>
    <mergeCell ref="A3886:E3886"/>
    <mergeCell ref="A3887:E3887"/>
    <mergeCell ref="A3897:E3897"/>
    <mergeCell ref="G1695:K1695"/>
    <mergeCell ref="G1696:K1696"/>
    <mergeCell ref="G1706:K1706"/>
    <mergeCell ref="G1707:K1707"/>
    <mergeCell ref="G1717:K1717"/>
    <mergeCell ref="G1718:K1718"/>
    <mergeCell ref="G1728:K1728"/>
    <mergeCell ref="G1729:K1729"/>
    <mergeCell ref="G1739:K1739"/>
    <mergeCell ref="G1740:K1740"/>
    <mergeCell ref="G1750:K1750"/>
    <mergeCell ref="G1751:K1751"/>
    <mergeCell ref="G1761:K1761"/>
    <mergeCell ref="G1762:K1762"/>
    <mergeCell ref="G1772:K1772"/>
    <mergeCell ref="G1773:K1773"/>
    <mergeCell ref="G1783:K1783"/>
    <mergeCell ref="G1839:K1839"/>
    <mergeCell ref="A4063:F4063"/>
    <mergeCell ref="A4019:E4019"/>
    <mergeCell ref="A4029:E4029"/>
    <mergeCell ref="A4030:E4030"/>
    <mergeCell ref="A4040:E4040"/>
    <mergeCell ref="A4041:E4041"/>
    <mergeCell ref="A4051:E4051"/>
    <mergeCell ref="A4052:E4052"/>
    <mergeCell ref="A3974:E3974"/>
    <mergeCell ref="A3975:E3975"/>
    <mergeCell ref="A3985:E3985"/>
    <mergeCell ref="A3986:E3986"/>
    <mergeCell ref="A3996:E3996"/>
    <mergeCell ref="A3997:E3997"/>
    <mergeCell ref="A4007:E4007"/>
    <mergeCell ref="A4008:E4008"/>
    <mergeCell ref="A4018:E4018"/>
    <mergeCell ref="A3898:E3898"/>
    <mergeCell ref="A3908:E3908"/>
    <mergeCell ref="A3909:E3909"/>
    <mergeCell ref="A3919:E3919"/>
    <mergeCell ref="A3821:E3821"/>
    <mergeCell ref="A3831:E3831"/>
    <mergeCell ref="A3832:E3832"/>
    <mergeCell ref="A3842:E3842"/>
    <mergeCell ref="A3843:E3843"/>
    <mergeCell ref="A3853:E3853"/>
    <mergeCell ref="A3854:E3854"/>
    <mergeCell ref="A3864:E3864"/>
    <mergeCell ref="A3865:E3865"/>
    <mergeCell ref="A3776:E3776"/>
    <mergeCell ref="A3777:E3777"/>
    <mergeCell ref="A3787:E3787"/>
    <mergeCell ref="A3788:E3788"/>
    <mergeCell ref="A3798:E3798"/>
    <mergeCell ref="A3799:E3799"/>
    <mergeCell ref="A3809:E3809"/>
    <mergeCell ref="A3810:E3810"/>
    <mergeCell ref="A3820:E3820"/>
    <mergeCell ref="A3722:E3722"/>
    <mergeCell ref="A3732:E3732"/>
    <mergeCell ref="A3733:E3733"/>
    <mergeCell ref="A3743:E3743"/>
    <mergeCell ref="A3744:E3744"/>
    <mergeCell ref="A3754:E3754"/>
    <mergeCell ref="A3755:E3755"/>
    <mergeCell ref="A3765:E3765"/>
    <mergeCell ref="A3766:E3766"/>
    <mergeCell ref="A3673:E3673"/>
    <mergeCell ref="A3674:E3674"/>
    <mergeCell ref="A3684:E3684"/>
    <mergeCell ref="A3685:E3685"/>
    <mergeCell ref="A3695:E3695"/>
    <mergeCell ref="A3696:E3696"/>
    <mergeCell ref="A3706:E3706"/>
    <mergeCell ref="A3707:E3707"/>
    <mergeCell ref="A3721:E3721"/>
    <mergeCell ref="A3619:E3619"/>
    <mergeCell ref="A3629:E3629"/>
    <mergeCell ref="A3630:E3630"/>
    <mergeCell ref="A3640:E3640"/>
    <mergeCell ref="A3641:E3641"/>
    <mergeCell ref="A3651:E3651"/>
    <mergeCell ref="A3652:E3652"/>
    <mergeCell ref="A3662:E3662"/>
    <mergeCell ref="A3663:E3663"/>
    <mergeCell ref="A3574:E3574"/>
    <mergeCell ref="A3575:E3575"/>
    <mergeCell ref="A3585:E3585"/>
    <mergeCell ref="A3586:E3586"/>
    <mergeCell ref="A3596:E3596"/>
    <mergeCell ref="A3597:E3597"/>
    <mergeCell ref="A3607:E3607"/>
    <mergeCell ref="A3608:E3608"/>
    <mergeCell ref="A3618:E3618"/>
    <mergeCell ref="A3530:E3530"/>
    <mergeCell ref="A3531:E3531"/>
    <mergeCell ref="A3541:E3541"/>
    <mergeCell ref="A3542:E3542"/>
    <mergeCell ref="A3552:E3552"/>
    <mergeCell ref="A3553:E3553"/>
    <mergeCell ref="A3563:E3563"/>
    <mergeCell ref="A3564:E3564"/>
    <mergeCell ref="A3475:E3475"/>
    <mergeCell ref="A3476:E3476"/>
    <mergeCell ref="A3486:E3486"/>
    <mergeCell ref="A3487:E3487"/>
    <mergeCell ref="A3497:E3497"/>
    <mergeCell ref="A3498:E3498"/>
    <mergeCell ref="A3508:E3508"/>
    <mergeCell ref="A3509:E3509"/>
    <mergeCell ref="A3519:E3519"/>
    <mergeCell ref="A3421:E3421"/>
    <mergeCell ref="A3431:E3431"/>
    <mergeCell ref="A3432:E3432"/>
    <mergeCell ref="A3442:E3442"/>
    <mergeCell ref="A3443:E3443"/>
    <mergeCell ref="A3453:E3453"/>
    <mergeCell ref="A3454:E3454"/>
    <mergeCell ref="A3464:E3464"/>
    <mergeCell ref="A3465:E3465"/>
    <mergeCell ref="A3387:E3387"/>
    <mergeCell ref="A3388:E3388"/>
    <mergeCell ref="A3398:E3398"/>
    <mergeCell ref="A3399:E3399"/>
    <mergeCell ref="A3409:E3409"/>
    <mergeCell ref="A3410:E3410"/>
    <mergeCell ref="A3420:E3420"/>
    <mergeCell ref="A3520:E3520"/>
    <mergeCell ref="A3329:E3329"/>
    <mergeCell ref="A3339:E3339"/>
    <mergeCell ref="A3340:E3340"/>
    <mergeCell ref="A3350:E3350"/>
    <mergeCell ref="A3351:E3351"/>
    <mergeCell ref="A3361:E3361"/>
    <mergeCell ref="A3362:E3362"/>
    <mergeCell ref="A3372:E3372"/>
    <mergeCell ref="A3373:E3373"/>
    <mergeCell ref="A3284:E3284"/>
    <mergeCell ref="A3285:E3285"/>
    <mergeCell ref="A3295:E3295"/>
    <mergeCell ref="A3296:E3296"/>
    <mergeCell ref="A3306:E3306"/>
    <mergeCell ref="A3307:E3307"/>
    <mergeCell ref="A3317:E3317"/>
    <mergeCell ref="A3318:E3318"/>
    <mergeCell ref="A3328:E3328"/>
    <mergeCell ref="A3230:E3230"/>
    <mergeCell ref="A3240:E3240"/>
    <mergeCell ref="A3241:E3241"/>
    <mergeCell ref="A3251:E3251"/>
    <mergeCell ref="A3252:E3252"/>
    <mergeCell ref="A3262:E3262"/>
    <mergeCell ref="A3263:E3263"/>
    <mergeCell ref="A3273:E3273"/>
    <mergeCell ref="A3274:E3274"/>
    <mergeCell ref="A3185:E3185"/>
    <mergeCell ref="A3186:E3186"/>
    <mergeCell ref="A3196:E3196"/>
    <mergeCell ref="A3197:E3197"/>
    <mergeCell ref="A3207:E3207"/>
    <mergeCell ref="A3208:E3208"/>
    <mergeCell ref="A3218:E3218"/>
    <mergeCell ref="A3219:E3219"/>
    <mergeCell ref="A3229:E3229"/>
    <mergeCell ref="A3131:E3131"/>
    <mergeCell ref="A3141:E3141"/>
    <mergeCell ref="A3142:E3142"/>
    <mergeCell ref="A3152:E3152"/>
    <mergeCell ref="A3153:E3153"/>
    <mergeCell ref="A3163:E3163"/>
    <mergeCell ref="A3164:E3164"/>
    <mergeCell ref="A3174:E3174"/>
    <mergeCell ref="A3175:E3175"/>
    <mergeCell ref="A3086:E3086"/>
    <mergeCell ref="A3087:E3087"/>
    <mergeCell ref="A3097:E3097"/>
    <mergeCell ref="A3098:E3098"/>
    <mergeCell ref="A3108:E3108"/>
    <mergeCell ref="A3109:E3109"/>
    <mergeCell ref="A3119:E3119"/>
    <mergeCell ref="A3120:E3120"/>
    <mergeCell ref="A3130:E3130"/>
    <mergeCell ref="A3016:E3016"/>
    <mergeCell ref="A3042:E3042"/>
    <mergeCell ref="A3043:E3043"/>
    <mergeCell ref="A3053:E3053"/>
    <mergeCell ref="A3054:E3054"/>
    <mergeCell ref="A3064:E3064"/>
    <mergeCell ref="A3065:E3065"/>
    <mergeCell ref="A3075:E3075"/>
    <mergeCell ref="A3076:E3076"/>
    <mergeCell ref="A2971:E2971"/>
    <mergeCell ref="A2972:E2972"/>
    <mergeCell ref="A2982:E2982"/>
    <mergeCell ref="A2983:E2983"/>
    <mergeCell ref="A2993:E2993"/>
    <mergeCell ref="A2994:E2994"/>
    <mergeCell ref="A3004:E3004"/>
    <mergeCell ref="A3005:E3005"/>
    <mergeCell ref="A3015:E3015"/>
    <mergeCell ref="A3027:E3027"/>
    <mergeCell ref="A2917:E2917"/>
    <mergeCell ref="A2927:E2927"/>
    <mergeCell ref="A2928:E2928"/>
    <mergeCell ref="A2938:E2938"/>
    <mergeCell ref="A2939:E2939"/>
    <mergeCell ref="A2949:E2949"/>
    <mergeCell ref="A2950:E2950"/>
    <mergeCell ref="A2960:E2960"/>
    <mergeCell ref="A2961:E2961"/>
    <mergeCell ref="A2872:E2872"/>
    <mergeCell ref="A2873:E2873"/>
    <mergeCell ref="A2883:E2883"/>
    <mergeCell ref="A2884:E2884"/>
    <mergeCell ref="A2894:E2894"/>
    <mergeCell ref="A2895:E2895"/>
    <mergeCell ref="A2905:E2905"/>
    <mergeCell ref="A2906:E2906"/>
    <mergeCell ref="A2916:E2916"/>
    <mergeCell ref="A2818:E2818"/>
    <mergeCell ref="A2828:E2828"/>
    <mergeCell ref="A2829:E2829"/>
    <mergeCell ref="A2839:E2839"/>
    <mergeCell ref="A2840:E2840"/>
    <mergeCell ref="A2850:E2850"/>
    <mergeCell ref="A2851:E2851"/>
    <mergeCell ref="A2861:E2861"/>
    <mergeCell ref="A2862:E2862"/>
    <mergeCell ref="A2773:E2773"/>
    <mergeCell ref="A2774:E2774"/>
    <mergeCell ref="A2784:E2784"/>
    <mergeCell ref="A2785:E2785"/>
    <mergeCell ref="A2795:E2795"/>
    <mergeCell ref="A2796:E2796"/>
    <mergeCell ref="A2806:E2806"/>
    <mergeCell ref="A2807:E2807"/>
    <mergeCell ref="A2817:E2817"/>
    <mergeCell ref="A2719:E2719"/>
    <mergeCell ref="A2729:E2729"/>
    <mergeCell ref="A2730:E2730"/>
    <mergeCell ref="A2740:E2740"/>
    <mergeCell ref="A2741:E2741"/>
    <mergeCell ref="A2751:E2751"/>
    <mergeCell ref="A2752:E2752"/>
    <mergeCell ref="A2762:E2762"/>
    <mergeCell ref="A2763:E2763"/>
    <mergeCell ref="A2670:E2670"/>
    <mergeCell ref="A2671:E2671"/>
    <mergeCell ref="A2681:E2681"/>
    <mergeCell ref="A2682:E2682"/>
    <mergeCell ref="A2692:E2692"/>
    <mergeCell ref="A2693:E2693"/>
    <mergeCell ref="A2707:E2707"/>
    <mergeCell ref="A2708:E2708"/>
    <mergeCell ref="A2718:E2718"/>
    <mergeCell ref="A2616:E2616"/>
    <mergeCell ref="A2626:E2626"/>
    <mergeCell ref="A2627:E2627"/>
    <mergeCell ref="A2637:E2637"/>
    <mergeCell ref="A2638:E2638"/>
    <mergeCell ref="A2648:E2648"/>
    <mergeCell ref="A2649:E2649"/>
    <mergeCell ref="A2659:E2659"/>
    <mergeCell ref="A2660:E2660"/>
    <mergeCell ref="A2571:E2571"/>
    <mergeCell ref="A2572:E2572"/>
    <mergeCell ref="A2582:E2582"/>
    <mergeCell ref="A2583:E2583"/>
    <mergeCell ref="A2593:E2593"/>
    <mergeCell ref="A2594:E2594"/>
    <mergeCell ref="A2604:E2604"/>
    <mergeCell ref="A2605:E2605"/>
    <mergeCell ref="A2615:E2615"/>
    <mergeCell ref="A2517:E2517"/>
    <mergeCell ref="A2527:E2527"/>
    <mergeCell ref="A2528:E2528"/>
    <mergeCell ref="A2538:E2538"/>
    <mergeCell ref="A2539:E2539"/>
    <mergeCell ref="A2549:E2549"/>
    <mergeCell ref="A2550:E2550"/>
    <mergeCell ref="A2560:E2560"/>
    <mergeCell ref="A2561:E2561"/>
    <mergeCell ref="A2472:E2472"/>
    <mergeCell ref="A2473:E2473"/>
    <mergeCell ref="A2483:E2483"/>
    <mergeCell ref="A2484:E2484"/>
    <mergeCell ref="A2494:E2494"/>
    <mergeCell ref="A2495:E2495"/>
    <mergeCell ref="A2505:E2505"/>
    <mergeCell ref="A2506:E2506"/>
    <mergeCell ref="A2516:E2516"/>
    <mergeCell ref="A2418:E2418"/>
    <mergeCell ref="A2428:E2428"/>
    <mergeCell ref="A2429:E2429"/>
    <mergeCell ref="A2439:E2439"/>
    <mergeCell ref="A2440:E2440"/>
    <mergeCell ref="A2450:E2450"/>
    <mergeCell ref="A2451:E2451"/>
    <mergeCell ref="A2461:E2461"/>
    <mergeCell ref="A2462:E2462"/>
    <mergeCell ref="A2373:E2373"/>
    <mergeCell ref="A2374:E2374"/>
    <mergeCell ref="A2384:E2384"/>
    <mergeCell ref="A2385:E2385"/>
    <mergeCell ref="A2395:E2395"/>
    <mergeCell ref="A2396:E2396"/>
    <mergeCell ref="A2406:E2406"/>
    <mergeCell ref="A2407:E2407"/>
    <mergeCell ref="A2417:E2417"/>
    <mergeCell ref="A2316:E2316"/>
    <mergeCell ref="A2326:E2326"/>
    <mergeCell ref="A2327:E2327"/>
    <mergeCell ref="A2337:E2337"/>
    <mergeCell ref="A2338:E2338"/>
    <mergeCell ref="A2348:E2348"/>
    <mergeCell ref="A2349:E2349"/>
    <mergeCell ref="A2362:E2362"/>
    <mergeCell ref="A2363:E2363"/>
    <mergeCell ref="A2271:E2271"/>
    <mergeCell ref="A2272:E2272"/>
    <mergeCell ref="A2282:E2282"/>
    <mergeCell ref="A2283:E2283"/>
    <mergeCell ref="A2293:E2293"/>
    <mergeCell ref="A2294:E2294"/>
    <mergeCell ref="A2304:E2304"/>
    <mergeCell ref="A2305:E2305"/>
    <mergeCell ref="A2315:E2315"/>
    <mergeCell ref="A2217:E2217"/>
    <mergeCell ref="A2227:E2227"/>
    <mergeCell ref="A2228:E2228"/>
    <mergeCell ref="A2238:E2238"/>
    <mergeCell ref="A2239:E2239"/>
    <mergeCell ref="A2249:E2249"/>
    <mergeCell ref="A2250:E2250"/>
    <mergeCell ref="A2260:E2260"/>
    <mergeCell ref="A2261:E2261"/>
    <mergeCell ref="A2172:E2172"/>
    <mergeCell ref="A2173:E2173"/>
    <mergeCell ref="A2183:E2183"/>
    <mergeCell ref="A2184:E2184"/>
    <mergeCell ref="A2194:E2194"/>
    <mergeCell ref="A2195:E2195"/>
    <mergeCell ref="A2205:E2205"/>
    <mergeCell ref="A2206:E2206"/>
    <mergeCell ref="A2216:E2216"/>
    <mergeCell ref="A2118:E2118"/>
    <mergeCell ref="A2128:E2128"/>
    <mergeCell ref="A2129:E2129"/>
    <mergeCell ref="A2139:E2139"/>
    <mergeCell ref="A2140:E2140"/>
    <mergeCell ref="A2150:E2150"/>
    <mergeCell ref="A2151:E2151"/>
    <mergeCell ref="A2161:E2161"/>
    <mergeCell ref="A2162:E2162"/>
    <mergeCell ref="A2073:E2073"/>
    <mergeCell ref="A2074:E2074"/>
    <mergeCell ref="A2084:E2084"/>
    <mergeCell ref="A2085:E2085"/>
    <mergeCell ref="A2095:E2095"/>
    <mergeCell ref="A2096:E2096"/>
    <mergeCell ref="A2106:E2106"/>
    <mergeCell ref="A2107:E2107"/>
    <mergeCell ref="A2117:E2117"/>
    <mergeCell ref="A2019:E2019"/>
    <mergeCell ref="A2029:E2029"/>
    <mergeCell ref="A2030:E2030"/>
    <mergeCell ref="A2040:E2040"/>
    <mergeCell ref="A2041:E2041"/>
    <mergeCell ref="A2051:E2051"/>
    <mergeCell ref="A2052:E2052"/>
    <mergeCell ref="A2062:E2062"/>
    <mergeCell ref="A2063:E2063"/>
    <mergeCell ref="A1970:E1970"/>
    <mergeCell ref="A1971:E1971"/>
    <mergeCell ref="A1981:E1981"/>
    <mergeCell ref="A1982:E1982"/>
    <mergeCell ref="A1992:E1992"/>
    <mergeCell ref="A1993:E1993"/>
    <mergeCell ref="A2003:E2003"/>
    <mergeCell ref="A2004:E2004"/>
    <mergeCell ref="A2018:E2018"/>
    <mergeCell ref="A1916:E1916"/>
    <mergeCell ref="A1926:E1926"/>
    <mergeCell ref="A1927:E1927"/>
    <mergeCell ref="A1937:E1937"/>
    <mergeCell ref="A1938:E1938"/>
    <mergeCell ref="A1948:E1948"/>
    <mergeCell ref="A1949:E1949"/>
    <mergeCell ref="A1959:E1959"/>
    <mergeCell ref="A1960:E1960"/>
    <mergeCell ref="A1871:E1871"/>
    <mergeCell ref="A1872:E1872"/>
    <mergeCell ref="A1882:E1882"/>
    <mergeCell ref="A1883:E1883"/>
    <mergeCell ref="A1893:E1893"/>
    <mergeCell ref="A1894:E1894"/>
    <mergeCell ref="A1904:E1904"/>
    <mergeCell ref="A1905:E1905"/>
    <mergeCell ref="A1915:E1915"/>
    <mergeCell ref="A1827:E1827"/>
    <mergeCell ref="A1828:E1828"/>
    <mergeCell ref="A1838:E1838"/>
    <mergeCell ref="A1839:E1839"/>
    <mergeCell ref="A1849:E1849"/>
    <mergeCell ref="A1850:E1850"/>
    <mergeCell ref="A1860:E1860"/>
    <mergeCell ref="A1861:E1861"/>
    <mergeCell ref="A1772:E1772"/>
    <mergeCell ref="A1773:E1773"/>
    <mergeCell ref="A1783:E1783"/>
    <mergeCell ref="A1784:E1784"/>
    <mergeCell ref="A1794:E1794"/>
    <mergeCell ref="A1795:E1795"/>
    <mergeCell ref="A1805:E1805"/>
    <mergeCell ref="A1806:E1806"/>
    <mergeCell ref="A1816:E1816"/>
    <mergeCell ref="A1729:E1729"/>
    <mergeCell ref="A1739:E1739"/>
    <mergeCell ref="A1740:E1740"/>
    <mergeCell ref="A1750:E1750"/>
    <mergeCell ref="A1751:E1751"/>
    <mergeCell ref="A1761:E1761"/>
    <mergeCell ref="A1762:E1762"/>
    <mergeCell ref="A1684:E1684"/>
    <mergeCell ref="G1684:K1684"/>
    <mergeCell ref="A1685:E1685"/>
    <mergeCell ref="G1685:K1685"/>
    <mergeCell ref="A1695:E1695"/>
    <mergeCell ref="A1696:E1696"/>
    <mergeCell ref="A1706:E1706"/>
    <mergeCell ref="A1707:E1707"/>
    <mergeCell ref="A1717:E1717"/>
    <mergeCell ref="A1817:E1817"/>
    <mergeCell ref="G1784:K1784"/>
    <mergeCell ref="G1313:K1313"/>
    <mergeCell ref="G1323:K1323"/>
    <mergeCell ref="G1324:K1324"/>
    <mergeCell ref="A1336:F1336"/>
    <mergeCell ref="G1336:J1336"/>
    <mergeCell ref="K1336:L1336"/>
    <mergeCell ref="G1247:K1247"/>
    <mergeCell ref="G1257:K1257"/>
    <mergeCell ref="G1258:K1258"/>
    <mergeCell ref="G1268:K1268"/>
    <mergeCell ref="G1269:K1269"/>
    <mergeCell ref="G1279:K1279"/>
    <mergeCell ref="G1280:K1280"/>
    <mergeCell ref="G1290:K1290"/>
    <mergeCell ref="G1291:K1291"/>
    <mergeCell ref="A1718:E1718"/>
    <mergeCell ref="A1728:E1728"/>
    <mergeCell ref="A1340:E1340"/>
    <mergeCell ref="G1340:K1340"/>
    <mergeCell ref="A1350:E1350"/>
    <mergeCell ref="A1351:E1351"/>
    <mergeCell ref="A1361:E1361"/>
    <mergeCell ref="A1362:E1362"/>
    <mergeCell ref="A1372:E1372"/>
    <mergeCell ref="A1373:E1373"/>
    <mergeCell ref="A1383:E1383"/>
    <mergeCell ref="A1384:E1384"/>
    <mergeCell ref="A1394:E1394"/>
    <mergeCell ref="A1395:E1395"/>
    <mergeCell ref="A1405:E1405"/>
    <mergeCell ref="A1406:E1406"/>
    <mergeCell ref="A1416:E1416"/>
    <mergeCell ref="G1224:K1224"/>
    <mergeCell ref="G1225:K1225"/>
    <mergeCell ref="G1235:K1235"/>
    <mergeCell ref="G1236:K1236"/>
    <mergeCell ref="G1246:K1246"/>
    <mergeCell ref="G1148:K1148"/>
    <mergeCell ref="G1158:K1158"/>
    <mergeCell ref="G1159:K1159"/>
    <mergeCell ref="G1169:K1169"/>
    <mergeCell ref="G1170:K1170"/>
    <mergeCell ref="G1180:K1180"/>
    <mergeCell ref="G1181:K1181"/>
    <mergeCell ref="G1191:K1191"/>
    <mergeCell ref="G1192:K1192"/>
    <mergeCell ref="G1301:K1301"/>
    <mergeCell ref="G1302:K1302"/>
    <mergeCell ref="G1312:K1312"/>
    <mergeCell ref="G1103:K1103"/>
    <mergeCell ref="G1104:K1104"/>
    <mergeCell ref="G1114:K1114"/>
    <mergeCell ref="G1115:K1115"/>
    <mergeCell ref="G1125:K1125"/>
    <mergeCell ref="G1126:K1126"/>
    <mergeCell ref="G1136:K1136"/>
    <mergeCell ref="G1137:K1137"/>
    <mergeCell ref="G1147:K1147"/>
    <mergeCell ref="A1290:E1290"/>
    <mergeCell ref="A1291:E1291"/>
    <mergeCell ref="A1301:E1301"/>
    <mergeCell ref="A1302:E1302"/>
    <mergeCell ref="A1312:E1312"/>
    <mergeCell ref="A1313:E1313"/>
    <mergeCell ref="A1323:E1323"/>
    <mergeCell ref="A1324:E1324"/>
    <mergeCell ref="A1246:E1246"/>
    <mergeCell ref="A1247:E1247"/>
    <mergeCell ref="A1257:E1257"/>
    <mergeCell ref="A1258:E1258"/>
    <mergeCell ref="A1268:E1268"/>
    <mergeCell ref="A1269:E1269"/>
    <mergeCell ref="A1279:E1279"/>
    <mergeCell ref="A1280:E1280"/>
    <mergeCell ref="A1170:E1170"/>
    <mergeCell ref="A1180:E1180"/>
    <mergeCell ref="A1181:E1181"/>
    <mergeCell ref="G1202:K1202"/>
    <mergeCell ref="G1203:K1203"/>
    <mergeCell ref="G1213:K1213"/>
    <mergeCell ref="G1214:K1214"/>
    <mergeCell ref="G1015:K1015"/>
    <mergeCell ref="G1016:K1016"/>
    <mergeCell ref="G1026:K1026"/>
    <mergeCell ref="G1027:K1027"/>
    <mergeCell ref="G1037:K1037"/>
    <mergeCell ref="G1038:K1038"/>
    <mergeCell ref="G1048:K1048"/>
    <mergeCell ref="G1049:K1049"/>
    <mergeCell ref="G1059:K1059"/>
    <mergeCell ref="G1060:K1060"/>
    <mergeCell ref="G1070:K1070"/>
    <mergeCell ref="G1071:K1071"/>
    <mergeCell ref="G1081:K1081"/>
    <mergeCell ref="G1082:K1082"/>
    <mergeCell ref="G1092:K1092"/>
    <mergeCell ref="G1093:K1093"/>
    <mergeCell ref="A1236:E1236"/>
    <mergeCell ref="A1191:E1191"/>
    <mergeCell ref="A1192:E1192"/>
    <mergeCell ref="A1202:E1202"/>
    <mergeCell ref="A1203:E1203"/>
    <mergeCell ref="A1213:E1213"/>
    <mergeCell ref="A1214:E1214"/>
    <mergeCell ref="A1224:E1224"/>
    <mergeCell ref="A1225:E1225"/>
    <mergeCell ref="A1235:E1235"/>
    <mergeCell ref="A1137:E1137"/>
    <mergeCell ref="A1147:E1147"/>
    <mergeCell ref="A1148:E1148"/>
    <mergeCell ref="A1158:E1158"/>
    <mergeCell ref="A1159:E1159"/>
    <mergeCell ref="A1169:E1169"/>
    <mergeCell ref="A989:E989"/>
    <mergeCell ref="A944:E944"/>
    <mergeCell ref="A945:E945"/>
    <mergeCell ref="A955:E955"/>
    <mergeCell ref="A956:E956"/>
    <mergeCell ref="A966:E966"/>
    <mergeCell ref="A967:E967"/>
    <mergeCell ref="A1092:E1092"/>
    <mergeCell ref="A1093:E1093"/>
    <mergeCell ref="A1103:E1103"/>
    <mergeCell ref="A1104:E1104"/>
    <mergeCell ref="A1114:E1114"/>
    <mergeCell ref="A1115:E1115"/>
    <mergeCell ref="A1125:E1125"/>
    <mergeCell ref="A1126:E1126"/>
    <mergeCell ref="A1136:E1136"/>
    <mergeCell ref="A1038:E1038"/>
    <mergeCell ref="A1048:E1048"/>
    <mergeCell ref="A1049:E1049"/>
    <mergeCell ref="A1059:E1059"/>
    <mergeCell ref="A1060:E1060"/>
    <mergeCell ref="A1070:E1070"/>
    <mergeCell ref="A1071:E1071"/>
    <mergeCell ref="A1081:E1081"/>
    <mergeCell ref="A1082:E1082"/>
    <mergeCell ref="A912:E912"/>
    <mergeCell ref="A922:E922"/>
    <mergeCell ref="A923:E923"/>
    <mergeCell ref="A933:E933"/>
    <mergeCell ref="A934:E934"/>
    <mergeCell ref="A878:E878"/>
    <mergeCell ref="A879:E879"/>
    <mergeCell ref="A1004:E1004"/>
    <mergeCell ref="G1004:K1004"/>
    <mergeCell ref="A1005:E1005"/>
    <mergeCell ref="G1005:K1005"/>
    <mergeCell ref="A1015:E1015"/>
    <mergeCell ref="A1016:E1016"/>
    <mergeCell ref="A1026:E1026"/>
    <mergeCell ref="A1027:E1027"/>
    <mergeCell ref="A1037:E1037"/>
    <mergeCell ref="G977:K977"/>
    <mergeCell ref="G978:K978"/>
    <mergeCell ref="G988:K988"/>
    <mergeCell ref="G989:K989"/>
    <mergeCell ref="A1001:F1001"/>
    <mergeCell ref="G1001:J1001"/>
    <mergeCell ref="K1001:L1001"/>
    <mergeCell ref="G944:K944"/>
    <mergeCell ref="G945:K945"/>
    <mergeCell ref="G955:K955"/>
    <mergeCell ref="G956:K956"/>
    <mergeCell ref="G966:K966"/>
    <mergeCell ref="G967:K967"/>
    <mergeCell ref="A977:E977"/>
    <mergeCell ref="A978:E978"/>
    <mergeCell ref="A988:E988"/>
    <mergeCell ref="G911:K911"/>
    <mergeCell ref="G912:K912"/>
    <mergeCell ref="G922:K922"/>
    <mergeCell ref="G923:K923"/>
    <mergeCell ref="G933:K933"/>
    <mergeCell ref="G934:K934"/>
    <mergeCell ref="G878:K878"/>
    <mergeCell ref="G879:K879"/>
    <mergeCell ref="G889:K889"/>
    <mergeCell ref="G890:K890"/>
    <mergeCell ref="G900:K900"/>
    <mergeCell ref="G901:K901"/>
    <mergeCell ref="G845:K845"/>
    <mergeCell ref="G846:K846"/>
    <mergeCell ref="G856:K856"/>
    <mergeCell ref="G857:K857"/>
    <mergeCell ref="G867:K867"/>
    <mergeCell ref="G868:K868"/>
    <mergeCell ref="A890:E890"/>
    <mergeCell ref="A900:E900"/>
    <mergeCell ref="A901:E901"/>
    <mergeCell ref="A845:E845"/>
    <mergeCell ref="A846:E846"/>
    <mergeCell ref="A856:E856"/>
    <mergeCell ref="A857:E857"/>
    <mergeCell ref="A867:E867"/>
    <mergeCell ref="A868:E868"/>
    <mergeCell ref="G724:K724"/>
    <mergeCell ref="G725:K725"/>
    <mergeCell ref="G735:K735"/>
    <mergeCell ref="G736:K736"/>
    <mergeCell ref="G680:K680"/>
    <mergeCell ref="G681:K681"/>
    <mergeCell ref="G691:K691"/>
    <mergeCell ref="G692:K692"/>
    <mergeCell ref="G702:K702"/>
    <mergeCell ref="G703:K703"/>
    <mergeCell ref="A680:E680"/>
    <mergeCell ref="A681:E681"/>
    <mergeCell ref="A691:E691"/>
    <mergeCell ref="A692:E692"/>
    <mergeCell ref="A702:E702"/>
    <mergeCell ref="A703:E703"/>
    <mergeCell ref="G746:K746"/>
    <mergeCell ref="G747:K747"/>
    <mergeCell ref="G757:K757"/>
    <mergeCell ref="G758:K758"/>
    <mergeCell ref="G768:K768"/>
    <mergeCell ref="G769:K769"/>
    <mergeCell ref="A769:E769"/>
    <mergeCell ref="G779:K779"/>
    <mergeCell ref="G780:K780"/>
    <mergeCell ref="G790:K790"/>
    <mergeCell ref="G791:K791"/>
    <mergeCell ref="G801:K801"/>
    <mergeCell ref="G802:K802"/>
    <mergeCell ref="A658:E658"/>
    <mergeCell ref="G658:K658"/>
    <mergeCell ref="A659:E659"/>
    <mergeCell ref="G659:K659"/>
    <mergeCell ref="A669:E669"/>
    <mergeCell ref="A670:E670"/>
    <mergeCell ref="G669:K669"/>
    <mergeCell ref="G670:K670"/>
    <mergeCell ref="A713:E713"/>
    <mergeCell ref="G713:K713"/>
    <mergeCell ref="A889:E889"/>
    <mergeCell ref="A1339:E1339"/>
    <mergeCell ref="G1339:K1339"/>
    <mergeCell ref="A824:E824"/>
    <mergeCell ref="A834:E834"/>
    <mergeCell ref="A835:E835"/>
    <mergeCell ref="A779:E779"/>
    <mergeCell ref="A780:E780"/>
    <mergeCell ref="A790:E790"/>
    <mergeCell ref="A791:E791"/>
    <mergeCell ref="A801:E801"/>
    <mergeCell ref="A802:E802"/>
    <mergeCell ref="A746:E746"/>
    <mergeCell ref="A747:E747"/>
    <mergeCell ref="A757:E757"/>
    <mergeCell ref="A758:E758"/>
    <mergeCell ref="A768:E768"/>
    <mergeCell ref="A714:E714"/>
    <mergeCell ref="A724:E724"/>
    <mergeCell ref="A725:E725"/>
    <mergeCell ref="A735:E735"/>
    <mergeCell ref="A736:E736"/>
    <mergeCell ref="G714:K714"/>
    <mergeCell ref="A911:E911"/>
    <mergeCell ref="A812:E812"/>
    <mergeCell ref="A813:E813"/>
    <mergeCell ref="A823:E823"/>
    <mergeCell ref="G812:K812"/>
    <mergeCell ref="G813:K813"/>
    <mergeCell ref="G823:K823"/>
    <mergeCell ref="G824:K824"/>
    <mergeCell ref="G834:K834"/>
    <mergeCell ref="G835:K835"/>
    <mergeCell ref="A1417:E1417"/>
    <mergeCell ref="A1427:E1427"/>
    <mergeCell ref="G1395:K1395"/>
    <mergeCell ref="G1405:K1405"/>
    <mergeCell ref="G1406:K1406"/>
    <mergeCell ref="G1416:K1416"/>
    <mergeCell ref="G1417:K1417"/>
    <mergeCell ref="G1427:K1427"/>
    <mergeCell ref="A1428:E1428"/>
    <mergeCell ref="A1438:E1438"/>
    <mergeCell ref="A1439:E1439"/>
    <mergeCell ref="A1449:E1449"/>
    <mergeCell ref="A1450:E1450"/>
    <mergeCell ref="A1460:E1460"/>
    <mergeCell ref="A1461:E1461"/>
    <mergeCell ref="A1471:E1471"/>
    <mergeCell ref="A1559:E1559"/>
    <mergeCell ref="G1493:K1493"/>
    <mergeCell ref="G1494:K1494"/>
    <mergeCell ref="G1504:K1504"/>
    <mergeCell ref="G1505:K1505"/>
    <mergeCell ref="G1515:K1515"/>
    <mergeCell ref="G1516:K1516"/>
    <mergeCell ref="G1526:K1526"/>
    <mergeCell ref="G1527:K1527"/>
    <mergeCell ref="A1560:E1560"/>
    <mergeCell ref="A1570:E1570"/>
    <mergeCell ref="A1472:E1472"/>
    <mergeCell ref="A1482:E1482"/>
    <mergeCell ref="A1483:E1483"/>
    <mergeCell ref="A1493:E1493"/>
    <mergeCell ref="A1494:E1494"/>
    <mergeCell ref="A1504:E1504"/>
    <mergeCell ref="A1505:E1505"/>
    <mergeCell ref="A1515:E1515"/>
    <mergeCell ref="A1516:E1516"/>
    <mergeCell ref="G1428:K1428"/>
    <mergeCell ref="G1438:K1438"/>
    <mergeCell ref="G1439:K1439"/>
    <mergeCell ref="A1526:E1526"/>
    <mergeCell ref="A1527:E1527"/>
    <mergeCell ref="A1537:E1537"/>
    <mergeCell ref="A1538:E1538"/>
    <mergeCell ref="A1548:E1548"/>
    <mergeCell ref="A1549:E1549"/>
    <mergeCell ref="G1350:K1350"/>
    <mergeCell ref="G1351:K1351"/>
    <mergeCell ref="G1361:K1361"/>
    <mergeCell ref="G1362:K1362"/>
    <mergeCell ref="G1372:K1372"/>
    <mergeCell ref="G1373:K1373"/>
    <mergeCell ref="G1383:K1383"/>
    <mergeCell ref="G1384:K1384"/>
    <mergeCell ref="G1394:K1394"/>
    <mergeCell ref="G1461:K1461"/>
    <mergeCell ref="G1471:K1471"/>
    <mergeCell ref="G1472:K1472"/>
    <mergeCell ref="G1482:K1482"/>
    <mergeCell ref="G1483:K1483"/>
    <mergeCell ref="G1449:K1449"/>
    <mergeCell ref="G1450:K1450"/>
    <mergeCell ref="G1460:K1460"/>
    <mergeCell ref="G1581:K1581"/>
    <mergeCell ref="G1582:K1582"/>
    <mergeCell ref="G1592:K1592"/>
    <mergeCell ref="G1593:K1593"/>
    <mergeCell ref="G1603:K1603"/>
    <mergeCell ref="G1604:K1604"/>
    <mergeCell ref="G1659:K1659"/>
    <mergeCell ref="G1669:K1669"/>
    <mergeCell ref="G1670:K1670"/>
    <mergeCell ref="A1625:E1625"/>
    <mergeCell ref="A1626:E1626"/>
    <mergeCell ref="A1636:E1636"/>
    <mergeCell ref="A1637:E1637"/>
    <mergeCell ref="A1647:E1647"/>
    <mergeCell ref="A1648:E1648"/>
    <mergeCell ref="A1571:E1571"/>
    <mergeCell ref="A1581:E1581"/>
    <mergeCell ref="A1582:E1582"/>
    <mergeCell ref="A1592:E1592"/>
    <mergeCell ref="A1593:E1593"/>
    <mergeCell ref="A1603:E1603"/>
    <mergeCell ref="A1604:E1604"/>
    <mergeCell ref="A1614:E1614"/>
    <mergeCell ref="A1615:E1615"/>
    <mergeCell ref="A1:E1"/>
    <mergeCell ref="G1:K1"/>
    <mergeCell ref="A2:E2"/>
    <mergeCell ref="G2:K2"/>
    <mergeCell ref="A12:E12"/>
    <mergeCell ref="A13:E13"/>
    <mergeCell ref="A23:E23"/>
    <mergeCell ref="A24:E24"/>
    <mergeCell ref="A34:E34"/>
    <mergeCell ref="A35:E35"/>
    <mergeCell ref="A45:E45"/>
    <mergeCell ref="A46:E46"/>
    <mergeCell ref="A56:E56"/>
    <mergeCell ref="A57:E57"/>
    <mergeCell ref="A67:E67"/>
    <mergeCell ref="A68:E68"/>
    <mergeCell ref="A78:E78"/>
    <mergeCell ref="G12:K12"/>
    <mergeCell ref="G13:K13"/>
    <mergeCell ref="G23:K23"/>
    <mergeCell ref="G24:K24"/>
    <mergeCell ref="G34:K34"/>
    <mergeCell ref="G35:K35"/>
    <mergeCell ref="G45:K45"/>
    <mergeCell ref="G46:K46"/>
    <mergeCell ref="G56:K56"/>
    <mergeCell ref="G57:K57"/>
    <mergeCell ref="G67:K67"/>
    <mergeCell ref="G68:K68"/>
    <mergeCell ref="G78:K78"/>
    <mergeCell ref="A79:E79"/>
    <mergeCell ref="A89:E89"/>
    <mergeCell ref="A90:E90"/>
    <mergeCell ref="A100:E100"/>
    <mergeCell ref="A101:E101"/>
    <mergeCell ref="A111:E111"/>
    <mergeCell ref="A112:E112"/>
    <mergeCell ref="A122:E122"/>
    <mergeCell ref="A123:E123"/>
    <mergeCell ref="A133:E133"/>
    <mergeCell ref="A134:E134"/>
    <mergeCell ref="A144:E144"/>
    <mergeCell ref="A145:E145"/>
    <mergeCell ref="A155:E155"/>
    <mergeCell ref="A156:E156"/>
    <mergeCell ref="A166:E166"/>
    <mergeCell ref="A167:E167"/>
    <mergeCell ref="A177:E177"/>
    <mergeCell ref="A178:E178"/>
    <mergeCell ref="A188:E188"/>
    <mergeCell ref="A189:E189"/>
    <mergeCell ref="A199:E199"/>
    <mergeCell ref="A200:E200"/>
    <mergeCell ref="A210:E210"/>
    <mergeCell ref="A211:E211"/>
    <mergeCell ref="A221:E221"/>
    <mergeCell ref="A222:E222"/>
    <mergeCell ref="A232:E232"/>
    <mergeCell ref="A233:E233"/>
    <mergeCell ref="A243:E243"/>
    <mergeCell ref="A244:E244"/>
    <mergeCell ref="A254:E254"/>
    <mergeCell ref="A255:E255"/>
    <mergeCell ref="A265:E265"/>
    <mergeCell ref="A266:E266"/>
    <mergeCell ref="A276:E276"/>
    <mergeCell ref="A277:E277"/>
    <mergeCell ref="A287:E287"/>
    <mergeCell ref="A288:E288"/>
    <mergeCell ref="A298:E298"/>
    <mergeCell ref="A299:E299"/>
    <mergeCell ref="A309:E309"/>
    <mergeCell ref="A310:E310"/>
    <mergeCell ref="A320:E320"/>
    <mergeCell ref="A321:E321"/>
    <mergeCell ref="A331:E331"/>
    <mergeCell ref="A332:E332"/>
    <mergeCell ref="A346:E346"/>
    <mergeCell ref="A347:E347"/>
    <mergeCell ref="A344:F344"/>
    <mergeCell ref="G344:J344"/>
    <mergeCell ref="G276:K276"/>
    <mergeCell ref="G277:K277"/>
    <mergeCell ref="G287:K287"/>
    <mergeCell ref="G288:K288"/>
    <mergeCell ref="G298:K298"/>
    <mergeCell ref="G299:K299"/>
    <mergeCell ref="G309:K309"/>
    <mergeCell ref="G310:K310"/>
    <mergeCell ref="G320:K320"/>
    <mergeCell ref="G321:K321"/>
    <mergeCell ref="G331:K331"/>
    <mergeCell ref="G332:K332"/>
    <mergeCell ref="G346:K346"/>
    <mergeCell ref="G347:K347"/>
    <mergeCell ref="K344:L344"/>
    <mergeCell ref="G79:K79"/>
    <mergeCell ref="G89:K89"/>
    <mergeCell ref="G90:K90"/>
    <mergeCell ref="G100:K100"/>
    <mergeCell ref="G101:K101"/>
    <mergeCell ref="G111:K111"/>
    <mergeCell ref="G112:K112"/>
    <mergeCell ref="G122:K122"/>
    <mergeCell ref="G123:K123"/>
    <mergeCell ref="G133:K133"/>
    <mergeCell ref="G134:K134"/>
    <mergeCell ref="G144:K144"/>
    <mergeCell ref="G145:K145"/>
    <mergeCell ref="G155:K155"/>
    <mergeCell ref="G156:K156"/>
    <mergeCell ref="G166:K166"/>
    <mergeCell ref="G167:K167"/>
    <mergeCell ref="G177:K177"/>
    <mergeCell ref="G178:K178"/>
    <mergeCell ref="G188:K188"/>
    <mergeCell ref="G189:K189"/>
    <mergeCell ref="G199:K199"/>
    <mergeCell ref="G200:K200"/>
    <mergeCell ref="G210:K210"/>
    <mergeCell ref="G211:K211"/>
    <mergeCell ref="G221:K221"/>
    <mergeCell ref="G222:K222"/>
    <mergeCell ref="G232:K232"/>
    <mergeCell ref="G233:K233"/>
    <mergeCell ref="G243:K243"/>
    <mergeCell ref="G244:K244"/>
    <mergeCell ref="G254:K254"/>
    <mergeCell ref="G255:K255"/>
    <mergeCell ref="G265:K265"/>
    <mergeCell ref="G266:K266"/>
    <mergeCell ref="A357:E357"/>
    <mergeCell ref="A358:E358"/>
    <mergeCell ref="A368:E368"/>
    <mergeCell ref="A369:E369"/>
    <mergeCell ref="A379:E379"/>
    <mergeCell ref="A380:E380"/>
    <mergeCell ref="A390:E390"/>
    <mergeCell ref="A391:E391"/>
    <mergeCell ref="A401:E401"/>
    <mergeCell ref="A402:E402"/>
    <mergeCell ref="A412:E412"/>
    <mergeCell ref="A413:E413"/>
    <mergeCell ref="A423:E423"/>
    <mergeCell ref="A424:E424"/>
    <mergeCell ref="A434:E434"/>
    <mergeCell ref="A435:E435"/>
    <mergeCell ref="G357:K357"/>
    <mergeCell ref="G358:K358"/>
    <mergeCell ref="G368:K368"/>
    <mergeCell ref="G369:K369"/>
    <mergeCell ref="G379:K379"/>
    <mergeCell ref="G380:K380"/>
    <mergeCell ref="G390:K390"/>
    <mergeCell ref="G391:K391"/>
    <mergeCell ref="G401:K401"/>
    <mergeCell ref="G402:K402"/>
    <mergeCell ref="G412:K412"/>
    <mergeCell ref="G413:K413"/>
    <mergeCell ref="G423:K423"/>
    <mergeCell ref="G424:K424"/>
    <mergeCell ref="G434:K434"/>
    <mergeCell ref="A632:E632"/>
    <mergeCell ref="A446:E446"/>
    <mergeCell ref="A456:E456"/>
    <mergeCell ref="A457:E457"/>
    <mergeCell ref="A467:E467"/>
    <mergeCell ref="A468:E468"/>
    <mergeCell ref="A478:E478"/>
    <mergeCell ref="A479:E479"/>
    <mergeCell ref="A489:E489"/>
    <mergeCell ref="A490:E490"/>
    <mergeCell ref="A500:E500"/>
    <mergeCell ref="A501:E501"/>
    <mergeCell ref="A511:E511"/>
    <mergeCell ref="A512:E512"/>
    <mergeCell ref="A522:E522"/>
    <mergeCell ref="A523:E523"/>
    <mergeCell ref="A533:E533"/>
    <mergeCell ref="A534:E534"/>
    <mergeCell ref="A544:E544"/>
    <mergeCell ref="A545:E545"/>
    <mergeCell ref="A555:E555"/>
    <mergeCell ref="A556:E556"/>
    <mergeCell ref="A566:E566"/>
    <mergeCell ref="A567:E567"/>
    <mergeCell ref="A577:E577"/>
    <mergeCell ref="A445:E445"/>
    <mergeCell ref="A578:E578"/>
    <mergeCell ref="A588:E588"/>
    <mergeCell ref="A589:E589"/>
    <mergeCell ref="A599:E599"/>
    <mergeCell ref="A600:E600"/>
    <mergeCell ref="A610:E610"/>
    <mergeCell ref="A611:E611"/>
    <mergeCell ref="A621:E621"/>
    <mergeCell ref="A622:E622"/>
    <mergeCell ref="G435:K435"/>
    <mergeCell ref="G445:K445"/>
    <mergeCell ref="G501:K501"/>
    <mergeCell ref="G511:K511"/>
    <mergeCell ref="G512:K512"/>
    <mergeCell ref="G522:K522"/>
    <mergeCell ref="G523:K523"/>
    <mergeCell ref="G533:K533"/>
    <mergeCell ref="G534:K534"/>
    <mergeCell ref="G544:K544"/>
    <mergeCell ref="G545:K545"/>
    <mergeCell ref="G555:K555"/>
    <mergeCell ref="G556:K556"/>
    <mergeCell ref="G566:K566"/>
    <mergeCell ref="G567:K567"/>
    <mergeCell ref="G577:K577"/>
    <mergeCell ref="G578:K578"/>
    <mergeCell ref="G446:K446"/>
    <mergeCell ref="G456:K456"/>
    <mergeCell ref="G457:K457"/>
    <mergeCell ref="G467:K467"/>
    <mergeCell ref="G468:K468"/>
    <mergeCell ref="G478:K478"/>
    <mergeCell ref="G479:K479"/>
    <mergeCell ref="G489:K489"/>
    <mergeCell ref="G490:K490"/>
    <mergeCell ref="G500:K500"/>
    <mergeCell ref="G588:K588"/>
    <mergeCell ref="G589:K589"/>
    <mergeCell ref="G599:K599"/>
    <mergeCell ref="G600:K600"/>
    <mergeCell ref="G610:K610"/>
    <mergeCell ref="G611:K611"/>
    <mergeCell ref="G621:K621"/>
    <mergeCell ref="G622:K622"/>
    <mergeCell ref="G632:K632"/>
    <mergeCell ref="G633:K633"/>
    <mergeCell ref="G643:K643"/>
    <mergeCell ref="G644:K644"/>
    <mergeCell ref="A656:F656"/>
    <mergeCell ref="G656:J656"/>
    <mergeCell ref="K656:L656"/>
    <mergeCell ref="A3026:E3026"/>
    <mergeCell ref="G3026:K3026"/>
    <mergeCell ref="A633:E633"/>
    <mergeCell ref="A643:E643"/>
    <mergeCell ref="A644:E644"/>
    <mergeCell ref="A1681:F1681"/>
    <mergeCell ref="G1681:J1681"/>
    <mergeCell ref="K1681:L1681"/>
    <mergeCell ref="G1614:K1614"/>
    <mergeCell ref="G1615:K1615"/>
    <mergeCell ref="G1625:K1625"/>
    <mergeCell ref="G1626:K1626"/>
    <mergeCell ref="G1636:K1636"/>
    <mergeCell ref="G1637:K1637"/>
    <mergeCell ref="G1647:K1647"/>
    <mergeCell ref="G1648:K1648"/>
    <mergeCell ref="G1658:K1658"/>
    <mergeCell ref="A1670:E1670"/>
    <mergeCell ref="A1658:E1658"/>
    <mergeCell ref="A1659:E1659"/>
    <mergeCell ref="A1669:E1669"/>
    <mergeCell ref="G1537:K1537"/>
    <mergeCell ref="G1538:K1538"/>
    <mergeCell ref="G1548:K1548"/>
    <mergeCell ref="G1549:K1549"/>
    <mergeCell ref="G1559:K1559"/>
    <mergeCell ref="G1560:K1560"/>
    <mergeCell ref="G1570:K1570"/>
    <mergeCell ref="G1571:K15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</vt:lpstr>
      <vt:lpstr>P.F.A.E.</vt:lpstr>
      <vt:lpstr>IVA</vt:lpstr>
      <vt:lpstr>T ISR</vt:lpstr>
      <vt:lpstr>ING</vt:lpstr>
      <vt:lpstr>EGR</vt:lpstr>
      <vt:lpstr>ISR ANUAL</vt:lpstr>
      <vt:lpstr>D.A.M</vt:lpstr>
      <vt:lpstr>D.P.A</vt:lpstr>
      <vt:lpstr>control p.y g.</vt:lpstr>
      <vt:lpstr>ganancia</vt:lpstr>
      <vt:lpstr>GASTO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VAZQUEZ</dc:creator>
  <cp:lastModifiedBy>SEBASTIAN VAZQUEZ</cp:lastModifiedBy>
  <dcterms:created xsi:type="dcterms:W3CDTF">2023-02-07T19:18:40Z</dcterms:created>
  <dcterms:modified xsi:type="dcterms:W3CDTF">2026-01-25T01:46:26Z</dcterms:modified>
</cp:coreProperties>
</file>