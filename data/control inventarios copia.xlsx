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8D02B9DA-AB92-46AE-949D-4BD9231A1A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tas menudeo y stock" sheetId="1" r:id="rId1"/>
    <sheet name="perdidas o ganancias" sheetId="3" r:id="rId2"/>
    <sheet name="ventas mayoreo y credit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N18" i="2" s="1"/>
  <c r="P19" i="2"/>
  <c r="P20" i="2"/>
  <c r="P21" i="2"/>
  <c r="P22" i="2"/>
  <c r="P23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E22" i="2"/>
  <c r="E23" i="2"/>
  <c r="M22" i="2"/>
  <c r="M23" i="2"/>
  <c r="M3" i="2"/>
  <c r="N3" i="2" s="1"/>
  <c r="M4" i="2"/>
  <c r="M5" i="2"/>
  <c r="M6" i="2"/>
  <c r="M7" i="2"/>
  <c r="M8" i="2"/>
  <c r="N8" i="2" s="1"/>
  <c r="M9" i="2"/>
  <c r="N9" i="2" s="1"/>
  <c r="M10" i="2"/>
  <c r="M11" i="2"/>
  <c r="N11" i="2" s="1"/>
  <c r="M12" i="2"/>
  <c r="N12" i="2" s="1"/>
  <c r="M13" i="2"/>
  <c r="N13" i="2" s="1"/>
  <c r="M14" i="2"/>
  <c r="M15" i="2"/>
  <c r="M16" i="2"/>
  <c r="N16" i="2" s="1"/>
  <c r="M17" i="2"/>
  <c r="N17" i="2" s="1"/>
  <c r="M18" i="2"/>
  <c r="M19" i="2"/>
  <c r="M20" i="2"/>
  <c r="N20" i="2" s="1"/>
  <c r="M21" i="2"/>
  <c r="N21" i="2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E3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L79" i="1"/>
  <c r="L3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T3" i="1"/>
  <c r="T4" i="1"/>
  <c r="T5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N19" i="2" l="1"/>
  <c r="N15" i="2"/>
  <c r="N7" i="2"/>
  <c r="N4" i="2"/>
  <c r="N23" i="2"/>
  <c r="N5" i="2"/>
  <c r="N10" i="2"/>
  <c r="N14" i="2"/>
  <c r="N6" i="2"/>
  <c r="N22" i="2"/>
  <c r="G103" i="1"/>
  <c r="G99" i="1"/>
  <c r="G95" i="1"/>
  <c r="G91" i="1"/>
  <c r="G87" i="1"/>
  <c r="G83" i="1"/>
  <c r="G79" i="1"/>
  <c r="G75" i="1"/>
  <c r="G71" i="1"/>
  <c r="G67" i="1"/>
  <c r="G63" i="1"/>
  <c r="G59" i="1"/>
  <c r="G55" i="1"/>
  <c r="G51" i="1"/>
  <c r="G47" i="1"/>
  <c r="G43" i="1"/>
  <c r="G39" i="1"/>
  <c r="G35" i="1"/>
  <c r="G31" i="1"/>
  <c r="G27" i="1"/>
  <c r="G23" i="1"/>
  <c r="G19" i="1"/>
  <c r="G15" i="1"/>
  <c r="G11" i="1"/>
  <c r="G7" i="1"/>
  <c r="G3" i="1"/>
  <c r="G102" i="1"/>
  <c r="G98" i="1"/>
  <c r="G94" i="1"/>
  <c r="G90" i="1"/>
  <c r="G86" i="1"/>
  <c r="G82" i="1"/>
  <c r="G78" i="1"/>
  <c r="G74" i="1"/>
  <c r="G70" i="1"/>
  <c r="G66" i="1"/>
  <c r="G62" i="1"/>
  <c r="G58" i="1"/>
  <c r="G54" i="1"/>
  <c r="G50" i="1"/>
  <c r="G46" i="1"/>
  <c r="G42" i="1"/>
  <c r="G38" i="1"/>
  <c r="G34" i="1"/>
  <c r="G30" i="1"/>
  <c r="G26" i="1"/>
  <c r="G22" i="1"/>
  <c r="G18" i="1"/>
  <c r="G14" i="1"/>
  <c r="G10" i="1"/>
  <c r="G6" i="1"/>
  <c r="G105" i="1"/>
  <c r="G101" i="1"/>
  <c r="G97" i="1"/>
  <c r="G93" i="1"/>
  <c r="G89" i="1"/>
  <c r="G85" i="1"/>
  <c r="G81" i="1"/>
  <c r="G77" i="1"/>
  <c r="G73" i="1"/>
  <c r="G69" i="1"/>
  <c r="G65" i="1"/>
  <c r="G61" i="1"/>
  <c r="G57" i="1"/>
  <c r="G53" i="1"/>
  <c r="G49" i="1"/>
  <c r="G45" i="1"/>
  <c r="G41" i="1"/>
  <c r="G37" i="1"/>
  <c r="G33" i="1"/>
  <c r="G29" i="1"/>
  <c r="G25" i="1"/>
  <c r="G21" i="1"/>
  <c r="G17" i="1"/>
  <c r="G13" i="1"/>
  <c r="G9" i="1"/>
  <c r="G5" i="1"/>
  <c r="G104" i="1"/>
  <c r="G100" i="1"/>
  <c r="G96" i="1"/>
  <c r="G92" i="1"/>
  <c r="G88" i="1"/>
  <c r="G84" i="1"/>
  <c r="G80" i="1"/>
  <c r="G76" i="1"/>
  <c r="G72" i="1"/>
  <c r="G68" i="1"/>
  <c r="G64" i="1"/>
  <c r="G60" i="1"/>
  <c r="G56" i="1"/>
  <c r="G52" i="1"/>
  <c r="G48" i="1"/>
  <c r="G44" i="1"/>
  <c r="G40" i="1"/>
  <c r="G36" i="1"/>
  <c r="G32" i="1"/>
  <c r="G28" i="1"/>
  <c r="G24" i="1"/>
  <c r="G20" i="1"/>
  <c r="G16" i="1"/>
  <c r="G12" i="1"/>
  <c r="G8" i="1"/>
  <c r="G4" i="1"/>
</calcChain>
</file>

<file path=xl/sharedStrings.xml><?xml version="1.0" encoding="utf-8"?>
<sst xmlns="http://schemas.openxmlformats.org/spreadsheetml/2006/main" count="240" uniqueCount="214">
  <si>
    <t>INVENTARIO DE PRODUCTOS</t>
  </si>
  <si>
    <t>Codigo de producto</t>
  </si>
  <si>
    <t xml:space="preserve">Descripcion </t>
  </si>
  <si>
    <t>Existencias iniciales</t>
  </si>
  <si>
    <t>Entradas</t>
  </si>
  <si>
    <t>Stock</t>
  </si>
  <si>
    <t>N°factura</t>
  </si>
  <si>
    <t>Fecha</t>
  </si>
  <si>
    <t>Descripcion</t>
  </si>
  <si>
    <t>Cantidad</t>
  </si>
  <si>
    <t>Precio</t>
  </si>
  <si>
    <t>Salidas menudeo</t>
  </si>
  <si>
    <t>A001</t>
  </si>
  <si>
    <t>A002</t>
  </si>
  <si>
    <t>A003</t>
  </si>
  <si>
    <t>A004</t>
  </si>
  <si>
    <t>A005</t>
  </si>
  <si>
    <t>A006</t>
  </si>
  <si>
    <t>Ventas menudeo</t>
  </si>
  <si>
    <t>Salidas Mayoreo</t>
  </si>
  <si>
    <t>Cliente</t>
  </si>
  <si>
    <t>Salidas mayoreo2</t>
  </si>
  <si>
    <t>Abono 1</t>
  </si>
  <si>
    <t>Abono 2</t>
  </si>
  <si>
    <t>Abono 3</t>
  </si>
  <si>
    <t>fecha abono2</t>
  </si>
  <si>
    <t>fecha abono3</t>
  </si>
  <si>
    <t>fecha abono1</t>
  </si>
  <si>
    <t>PEDRO VARGAZ HERNANDEZ</t>
  </si>
  <si>
    <t>Abono total</t>
  </si>
  <si>
    <t>Estatus</t>
  </si>
  <si>
    <t>JUAN PEREZ</t>
  </si>
  <si>
    <t>LUIS MIGUEL</t>
  </si>
  <si>
    <t>Precio U.</t>
  </si>
  <si>
    <t>Importe</t>
  </si>
  <si>
    <t>SALSA INGLEA</t>
  </si>
  <si>
    <t>35</t>
  </si>
  <si>
    <t>45</t>
  </si>
  <si>
    <t>34</t>
  </si>
  <si>
    <t>55</t>
  </si>
  <si>
    <t>10404</t>
  </si>
  <si>
    <t>10403</t>
  </si>
  <si>
    <t>10201</t>
  </si>
  <si>
    <t>90</t>
  </si>
  <si>
    <t>220</t>
  </si>
  <si>
    <t>251</t>
  </si>
  <si>
    <t>125</t>
  </si>
  <si>
    <t>260</t>
  </si>
  <si>
    <t>130</t>
  </si>
  <si>
    <t>26</t>
  </si>
  <si>
    <t>36</t>
  </si>
  <si>
    <t>41</t>
  </si>
  <si>
    <t>215</t>
  </si>
  <si>
    <t>250</t>
  </si>
  <si>
    <t>110</t>
  </si>
  <si>
    <t>180</t>
  </si>
  <si>
    <t>1</t>
  </si>
  <si>
    <t>160</t>
  </si>
  <si>
    <t>360</t>
  </si>
  <si>
    <t>100</t>
  </si>
  <si>
    <t>50</t>
  </si>
  <si>
    <t>252</t>
  </si>
  <si>
    <t>181</t>
  </si>
  <si>
    <t>17</t>
  </si>
  <si>
    <t>30</t>
  </si>
  <si>
    <t>95</t>
  </si>
  <si>
    <t>161</t>
  </si>
  <si>
    <t>15</t>
  </si>
  <si>
    <t>32</t>
  </si>
  <si>
    <t>31</t>
  </si>
  <si>
    <t>10304</t>
  </si>
  <si>
    <t>13</t>
  </si>
  <si>
    <t>10405</t>
  </si>
  <si>
    <t>20303</t>
  </si>
  <si>
    <t>64</t>
  </si>
  <si>
    <t>136</t>
  </si>
  <si>
    <t>20304</t>
  </si>
  <si>
    <t>20204</t>
  </si>
  <si>
    <t>18</t>
  </si>
  <si>
    <t>60</t>
  </si>
  <si>
    <t>37</t>
  </si>
  <si>
    <t>10</t>
  </si>
  <si>
    <t>57</t>
  </si>
  <si>
    <t>42</t>
  </si>
  <si>
    <t>M</t>
  </si>
  <si>
    <t>216</t>
  </si>
  <si>
    <t>210</t>
  </si>
  <si>
    <t>101</t>
  </si>
  <si>
    <t>102</t>
  </si>
  <si>
    <t>40</t>
  </si>
  <si>
    <t>20</t>
  </si>
  <si>
    <t>22</t>
  </si>
  <si>
    <t>71</t>
  </si>
  <si>
    <t>6</t>
  </si>
  <si>
    <t>2025</t>
  </si>
  <si>
    <t>91</t>
  </si>
  <si>
    <t>115</t>
  </si>
  <si>
    <t>430</t>
  </si>
  <si>
    <t>230</t>
  </si>
  <si>
    <t>200303</t>
  </si>
  <si>
    <t>25</t>
  </si>
  <si>
    <t>290</t>
  </si>
  <si>
    <t>10302</t>
  </si>
  <si>
    <t>10401</t>
  </si>
  <si>
    <t>10303</t>
  </si>
  <si>
    <t>20305</t>
  </si>
  <si>
    <t>10301</t>
  </si>
  <si>
    <t>10305</t>
  </si>
  <si>
    <t>20306</t>
  </si>
  <si>
    <t>56</t>
  </si>
  <si>
    <t>70</t>
  </si>
  <si>
    <t>54</t>
  </si>
  <si>
    <t>39</t>
  </si>
  <si>
    <t>109</t>
  </si>
  <si>
    <t>33</t>
  </si>
  <si>
    <t>135</t>
  </si>
  <si>
    <t>30201</t>
  </si>
  <si>
    <t>5</t>
  </si>
  <si>
    <t>1005</t>
  </si>
  <si>
    <t>7</t>
  </si>
  <si>
    <t>10102</t>
  </si>
  <si>
    <t>21</t>
  </si>
  <si>
    <t>20102</t>
  </si>
  <si>
    <t>20101</t>
  </si>
  <si>
    <t xml:space="preserve"> Inglesa 290ml</t>
  </si>
  <si>
    <t>Aceite Olivo 125 Ml</t>
  </si>
  <si>
    <t>Aceite Olivo 250 Ml</t>
  </si>
  <si>
    <t>Almeja Chirla</t>
  </si>
  <si>
    <t>Almeja Chocolata</t>
  </si>
  <si>
    <t>Atun Dolores Aceite</t>
  </si>
  <si>
    <t>Atun Dolores Agua</t>
  </si>
  <si>
    <t>Bufalo</t>
  </si>
  <si>
    <t>Caja De Galleta</t>
  </si>
  <si>
    <t>Caja Galleta 200 Paquetin</t>
  </si>
  <si>
    <t>Caja Tostada Horfi</t>
  </si>
  <si>
    <t>Calamar Medio Kilo</t>
  </si>
  <si>
    <t>Camaron Cocido Nacional Kg</t>
  </si>
  <si>
    <t>Camaron Cocido Nacional Medio Kg</t>
  </si>
  <si>
    <t>Camaron Crudo 26</t>
  </si>
  <si>
    <t>Camaron Crudo 36</t>
  </si>
  <si>
    <t>Camaron Crudo 41</t>
  </si>
  <si>
    <t>Camaron Crudo Con Cabeza</t>
  </si>
  <si>
    <t>Camaron Empanizado</t>
  </si>
  <si>
    <t>Camaron Importado 100/200</t>
  </si>
  <si>
    <t>Camaron Importado 41/50</t>
  </si>
  <si>
    <t>Camaron Importado 51/60</t>
  </si>
  <si>
    <t>Camaron Importado 61-70</t>
  </si>
  <si>
    <t>Camaron Seco</t>
  </si>
  <si>
    <t>Ceviche Kg</t>
  </si>
  <si>
    <t>Ceviche Medio Kg</t>
  </si>
  <si>
    <t>Coco Camaron Empanizado</t>
  </si>
  <si>
    <t>Dedos De Queso</t>
  </si>
  <si>
    <t>Embasa Chica</t>
  </si>
  <si>
    <t>Embasa Grande</t>
  </si>
  <si>
    <t>Filete Basa 100%</t>
  </si>
  <si>
    <t>Filete Cazon</t>
  </si>
  <si>
    <t>Galletas Saladitas</t>
  </si>
  <si>
    <t>Habanera Roja</t>
  </si>
  <si>
    <t>Habanera Verde</t>
  </si>
  <si>
    <t>Huichol Clasica</t>
  </si>
  <si>
    <t>Huichol Habanera</t>
  </si>
  <si>
    <t>Huichol Negra</t>
  </si>
  <si>
    <t>Inglesa 145ml</t>
  </si>
  <si>
    <t>Inglesa Grande</t>
  </si>
  <si>
    <t>Jaiba</t>
  </si>
  <si>
    <t>Jugo Sazonador</t>
  </si>
  <si>
    <t>Kermato 413</t>
  </si>
  <si>
    <t>Kermato Ch</t>
  </si>
  <si>
    <t>Kermato Grande Lt</t>
  </si>
  <si>
    <t>Kermato Mediano</t>
  </si>
  <si>
    <t>Knorr</t>
  </si>
  <si>
    <t>La Chilte-Pica</t>
  </si>
  <si>
    <t>Maggi</t>
  </si>
  <si>
    <t>Mariscada</t>
  </si>
  <si>
    <t>Marlin Ahumado Lizarraga</t>
  </si>
  <si>
    <t>Medallon De Atun</t>
  </si>
  <si>
    <t>Mojara Nacional</t>
  </si>
  <si>
    <t>Nugguets De Pollo</t>
  </si>
  <si>
    <t>Ostion En Bolsa</t>
  </si>
  <si>
    <t>Ostion En Concha</t>
  </si>
  <si>
    <t>Pan Molido Corn Flakes</t>
  </si>
  <si>
    <t>Papa  Ala Francesa Con Sal</t>
  </si>
  <si>
    <t>Pata De Mula</t>
  </si>
  <si>
    <t>Pescado Sierra</t>
  </si>
  <si>
    <t>Posta De Basa</t>
  </si>
  <si>
    <t>Pulpo Cuarto</t>
  </si>
  <si>
    <t>Pulpo Kg</t>
  </si>
  <si>
    <t>Pulpo Medio Kg</t>
  </si>
  <si>
    <t>Sal Con Ajo</t>
  </si>
  <si>
    <t>Saladitas</t>
  </si>
  <si>
    <t>Salmon Posta</t>
  </si>
  <si>
    <t>Salsa Aguachilera</t>
  </si>
  <si>
    <t>Salsa Bruja</t>
  </si>
  <si>
    <t>Salsa Chiltepin</t>
  </si>
  <si>
    <t>Salsa Inglesa</t>
  </si>
  <si>
    <t>Salsa La Mitotera</t>
  </si>
  <si>
    <t>Salsa Negra Va</t>
  </si>
  <si>
    <t>Sazonador Sabroseador</t>
  </si>
  <si>
    <t>Seemilla 1/2</t>
  </si>
  <si>
    <t>Semilla Grande</t>
  </si>
  <si>
    <t>Servilletas Chica</t>
  </si>
  <si>
    <t>Servilletas Grande</t>
  </si>
  <si>
    <t>Surimi</t>
  </si>
  <si>
    <t>Tajin</t>
  </si>
  <si>
    <t>Tilapia</t>
  </si>
  <si>
    <t>Tostada Ajonjoli</t>
  </si>
  <si>
    <t>Tostada Guadalupe Individual</t>
  </si>
  <si>
    <t>Tostada Leon</t>
  </si>
  <si>
    <t>Tostada Marisquera</t>
  </si>
  <si>
    <t>Valentina Chica Amarilla</t>
  </si>
  <si>
    <t>Valentina Chica Negra</t>
  </si>
  <si>
    <t>Valentina Negra Lt.</t>
  </si>
  <si>
    <t>Valentina Roja Lt.</t>
  </si>
  <si>
    <t>a35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</si>
</sst>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 applyAlignment="1">
      <alignment horizontal="center" wrapText="1"/>
    </xf>
    <xf numFmtId="44" fontId="0" fillId="0" borderId="0" xfId="1" applyFont="1" applyAlignment="1">
      <alignment horizontal="center" wrapText="1"/>
    </xf>
    <xf numFmtId="44" fontId="0" fillId="0" borderId="0" xfId="1" applyFont="1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44" fontId="0" fillId="0" borderId="0" xfId="1" applyFont="1" applyAlignment="1">
      <alignment horizontal="left" vertical="top" wrapText="1"/>
    </xf>
    <xf numFmtId="0" fontId="3" fillId="2" borderId="0" xfId="0" applyFont="1" applyFill="1" applyAlignment="1">
      <alignment vertical="top"/>
    </xf>
    <xf numFmtId="44" fontId="0" fillId="0" borderId="0" xfId="0" applyNumberFormat="1" applyAlignment="1">
      <alignment horizontal="center" wrapText="1"/>
    </xf>
    <xf numFmtId="44" fontId="0" fillId="0" borderId="0" xfId="0" applyNumberFormat="1"/>
    <xf numFmtId="14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  <xf numFmtId="44" fontId="0" fillId="0" borderId="0" xfId="1" applyFont="1" applyAlignment="1">
      <alignment vertical="top" wrapText="1"/>
    </xf>
    <xf numFmtId="44" fontId="0" fillId="0" borderId="0" xfId="1" applyFont="1" applyAlignment="1">
      <alignment wrapText="1"/>
    </xf>
    <xf numFmtId="44" fontId="0" fillId="0" borderId="0" xfId="1" applyFont="1" applyAlignment="1"/>
    <xf numFmtId="44" fontId="0" fillId="0" borderId="0" xfId="1" applyFont="1" applyAlignment="1">
      <alignment horizontal="left" wrapText="1"/>
    </xf>
    <xf numFmtId="44" fontId="0" fillId="0" borderId="0" xfId="1" applyFont="1" applyAlignment="1">
      <alignment horizontal="left"/>
    </xf>
    <xf numFmtId="0" fontId="3" fillId="0" borderId="4" xfId="0" applyFont="1" applyBorder="1" applyAlignment="1">
      <alignment horizontal="left" vertical="top" wrapText="1"/>
    </xf>
    <xf numFmtId="0" fontId="3" fillId="0" borderId="6" xfId="0" applyFont="1" applyBorder="1"/>
    <xf numFmtId="0" fontId="3" fillId="0" borderId="8" xfId="0" applyFont="1" applyBorder="1"/>
    <xf numFmtId="0" fontId="3" fillId="0" borderId="0" xfId="0" applyFont="1"/>
    <xf numFmtId="0" fontId="3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-&quot;$&quot;* #,##0.00_-;\-&quot;$&quot;* #,##0.00_-;_-&quot;$&quot;* &quot;-&quot;??_-;_-@_-"/>
      <alignment horizontal="left" textRotation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textRotation="0" indent="0" justifyLastLine="0" shrinkToFit="0" readingOrder="0"/>
    </dxf>
    <dxf>
      <numFmt numFmtId="34" formatCode="_-&quot;$&quot;* #,##0.00_-;\-&quot;$&quot;* #,##0.00_-;_-&quot;$&quot;* &quot;-&quot;??_-;_-@_-"/>
    </dxf>
    <dxf>
      <alignment horizontal="general" textRotation="0" indent="0" justifyLastLine="0" shrinkToFit="0" readingOrder="0"/>
    </dxf>
    <dxf>
      <numFmt numFmtId="0" formatCode="General"/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0" formatCode="General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numFmt numFmtId="0" formatCode="General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roductos" displayName="productos" ref="A2:G105" totalsRowShown="0" headerRowDxfId="32" headerRowBorderDxfId="31" tableBorderDxfId="30" totalsRowBorderDxfId="29">
  <autoFilter ref="A2:G105" xr:uid="{00000000-0009-0000-0100-000002000000}"/>
  <tableColumns count="7">
    <tableColumn id="1" xr3:uid="{00000000-0010-0000-0000-000001000000}" name="Codigo de producto" dataDxfId="28"/>
    <tableColumn id="2" xr3:uid="{00000000-0010-0000-0000-000002000000}" name="Descripcion " dataDxfId="27"/>
    <tableColumn id="3" xr3:uid="{00000000-0010-0000-0000-000003000000}" name="Existencias iniciales" dataDxfId="26"/>
    <tableColumn id="4" xr3:uid="{00000000-0010-0000-0000-000004000000}" name="Entradas" dataDxfId="25">
      <calculatedColumnFormula>SUMIF(entradas[Codigo de producto],productos[[#This Row],[Codigo de producto]],entradas[Cantidad])</calculatedColumnFormula>
    </tableColumn>
    <tableColumn id="5" xr3:uid="{00000000-0010-0000-0000-000005000000}" name="Salidas menudeo" dataDxfId="24">
      <calculatedColumnFormula>SUMIF(salidas[Codigo de producto],productos[[#This Row],[Codigo de producto]],salidas[Cantidad])</calculatedColumnFormula>
    </tableColumn>
    <tableColumn id="7" xr3:uid="{D1EE32D1-60D0-4D86-BFD3-ACE02D5FB21C}" name="Salidas mayoreo2" dataDxfId="23">
      <calculatedColumnFormula>SUMIF(salidas2[Codigo de producto],productos[[#This Row],[Codigo de producto]],salidas2[Cantidad])</calculatedColumnFormula>
    </tableColumn>
    <tableColumn id="6" xr3:uid="{00000000-0010-0000-0000-000006000000}" name="Stock" dataDxfId="22">
      <calculatedColumnFormula>+productos[[#This Row],[Entradas]]+productos[[#This Row],[Existencias iniciales]]-productos[[#This Row],[Salidas menudeo]]-productos[[#This Row],[Salidas mayoreo2]]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alidas" displayName="salidas" ref="I2:O1000" totalsRowShown="0" headerRowDxfId="21">
  <autoFilter ref="I2:O1000" xr:uid="{00000000-0009-0000-0100-000003000000}"/>
  <tableColumns count="7">
    <tableColumn id="1" xr3:uid="{00000000-0010-0000-0100-000001000000}" name="N°factura" dataDxfId="20"/>
    <tableColumn id="2" xr3:uid="{00000000-0010-0000-0100-000002000000}" name="Fecha" dataDxfId="19"/>
    <tableColumn id="3" xr3:uid="{00000000-0010-0000-0100-000003000000}" name="Codigo de producto" dataDxfId="18"/>
    <tableColumn id="4" xr3:uid="{00000000-0010-0000-0100-000004000000}" name="Descripcion" dataDxfId="17">
      <calculatedColumnFormula>VLOOKUP(salidas[[#This Row],[Codigo de producto]],productos[],2,FALSE)</calculatedColumnFormula>
    </tableColumn>
    <tableColumn id="6" xr3:uid="{9553EC4D-7C14-4071-9CB6-3EABD5788E21}" name="Precio U." dataCellStyle="Moneda"/>
    <tableColumn id="7" xr3:uid="{D84E5530-CBB1-4846-8FAC-D609BC465486}" name="Importe" dataDxfId="16" dataCellStyle="Moneda">
      <calculatedColumnFormula>+salidas[[#This Row],[Cantidad]]*salidas[[#This Row],[Precio U.]]</calculatedColumnFormula>
    </tableColumn>
    <tableColumn id="5" xr3:uid="{00000000-0010-0000-0100-000005000000}" name="Cantidad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entradas" displayName="entradas" ref="Q2:U1000" totalsRowShown="0" headerRowDxfId="15">
  <autoFilter ref="Q2:U1000" xr:uid="{00000000-0009-0000-0100-000004000000}"/>
  <tableColumns count="5">
    <tableColumn id="1" xr3:uid="{00000000-0010-0000-0200-000001000000}" name="N°factura" dataDxfId="14"/>
    <tableColumn id="2" xr3:uid="{00000000-0010-0000-0200-000002000000}" name="Fecha" dataDxfId="13"/>
    <tableColumn id="3" xr3:uid="{00000000-0010-0000-0200-000003000000}" name="Codigo de producto" dataDxfId="12"/>
    <tableColumn id="4" xr3:uid="{00000000-0010-0000-0200-000004000000}" name="Descripcion" dataDxfId="11">
      <calculatedColumnFormula>VLOOKUP(entradas[[#This Row],[Codigo de producto]],productos[],2,FALSE)</calculatedColumnFormula>
    </tableColumn>
    <tableColumn id="5" xr3:uid="{00000000-0010-0000-0200-000005000000}" name="Cantidad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842C1D-5C02-4D8D-B382-98268687F683}" name="salidas2" displayName="salidas2" ref="B2:Q23" totalsRowShown="0" headerRowDxfId="10">
  <autoFilter ref="B2:Q23" xr:uid="{8C842C1D-5C02-4D8D-B382-98268687F683}"/>
  <tableColumns count="16">
    <tableColumn id="1" xr3:uid="{861498D2-7A95-41B1-A9F7-3065D89DE0C9}" name="N°factura" dataDxfId="9"/>
    <tableColumn id="2" xr3:uid="{7F2877E7-8FA9-4C17-81B7-2A1614464547}" name="Fecha"/>
    <tableColumn id="3" xr3:uid="{093B7D6B-2579-435F-B0B8-C56C7856F7F5}" name="Codigo de producto" dataDxfId="8"/>
    <tableColumn id="4" xr3:uid="{BC2F85B2-5A73-4A0A-AAEF-689547DF924C}" name="Descripcion" dataDxfId="7">
      <calculatedColumnFormula>VLOOKUP(salidas2[[#This Row],[Codigo de producto]],productos[],2,FALSE)</calculatedColumnFormula>
    </tableColumn>
    <tableColumn id="7" xr3:uid="{07045A8A-DDF7-4976-B4D5-5F782A153813}" name="Cliente" dataDxfId="6"/>
    <tableColumn id="13" xr3:uid="{31917755-994F-4117-87B6-E0FA211DA76F}" name="fecha abono1"/>
    <tableColumn id="11" xr3:uid="{4167A4A3-C56B-4D1C-B805-3EDB4E4940AF}" name="Abono 1" dataCellStyle="Moneda"/>
    <tableColumn id="14" xr3:uid="{29677A5F-F8D8-4E70-8A9B-F6E4297D403F}" name="fecha abono2"/>
    <tableColumn id="10" xr3:uid="{F283EB56-5010-485A-BFAE-5389F0C53EF2}" name="Abono 2" dataCellStyle="Moneda"/>
    <tableColumn id="15" xr3:uid="{E1E262CE-0A9C-48AF-95E9-CA467CBE90BA}" name="fecha abono3"/>
    <tableColumn id="9" xr3:uid="{5C94FF49-688F-404F-8B5A-4F3FE41C4CD9}" name="Abono 3" dataCellStyle="Moneda"/>
    <tableColumn id="12" xr3:uid="{7D1474E7-9E23-4BDC-BBC3-E8094FECFF59}" name="Abono total" dataDxfId="5">
      <calculatedColumnFormula>+salidas2[[#This Row],[Abono 1]]+salidas2[[#This Row],[Abono 2]]+salidas2[[#This Row],[Abono 3]]</calculatedColumnFormula>
    </tableColumn>
    <tableColumn id="16" xr3:uid="{2B80E5B7-B731-4F6D-8F8D-D0FAFF2CE808}" name="Estatus" dataDxfId="4">
      <calculatedColumnFormula>IF(P3&lt;=0,"*",IF(salidas2[[#This Row],[Abono total]]=salidas2[[#This Row],[Precio]],"PAGADO",IF(salidas2[[#This Row],[Abono total]]&lt;salidas2[[#This Row],[Precio]],"DEUDA")))</calculatedColumnFormula>
    </tableColumn>
    <tableColumn id="8" xr3:uid="{DC240F92-4FB7-412C-9CC9-CE69373826B1}" name="Precio U." dataDxfId="3" dataCellStyle="Moneda"/>
    <tableColumn id="6" xr3:uid="{CFA9AC7C-053E-4C0D-BD5A-ABC321C7C649}" name="Precio" dataDxfId="2" dataCellStyle="Moneda">
      <calculatedColumnFormula>+salidas2[[#This Row],[Precio U.]]*salidas2[[#This Row],[Cantidad]]</calculatedColumnFormula>
    </tableColumn>
    <tableColumn id="5" xr3:uid="{84092426-E1C3-4F96-B9A2-96783E2CC0C5}" name="Cantidad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zoomScale="95" zoomScaleNormal="95" workbookViewId="0">
      <pane ySplit="2" topLeftCell="A3" activePane="bottomLeft" state="frozen"/>
      <selection pane="bottomLeft" activeCell="U5" sqref="U5"/>
    </sheetView>
  </sheetViews>
  <sheetFormatPr baseColWidth="10" defaultRowHeight="14.5" x14ac:dyDescent="0.35"/>
  <cols>
    <col min="1" max="1" width="6.453125" customWidth="1"/>
    <col min="2" max="2" width="30.6328125" bestFit="1" customWidth="1"/>
    <col min="3" max="3" width="10.26953125" customWidth="1"/>
    <col min="4" max="4" width="8.26953125" customWidth="1"/>
    <col min="5" max="6" width="7.26953125" customWidth="1"/>
    <col min="7" max="7" width="6.453125" style="35" customWidth="1"/>
    <col min="8" max="8" width="2.7265625" customWidth="1"/>
    <col min="9" max="9" width="10.26953125" style="26" customWidth="1"/>
    <col min="10" max="10" width="10.81640625" style="26" customWidth="1"/>
    <col min="11" max="11" width="10.7265625" style="26" customWidth="1"/>
    <col min="12" max="12" width="13" customWidth="1"/>
    <col min="13" max="13" width="9.54296875" style="10" customWidth="1"/>
    <col min="14" max="14" width="10.7265625" style="10" customWidth="1"/>
    <col min="15" max="15" width="7.26953125" customWidth="1"/>
    <col min="16" max="16" width="2.7265625" customWidth="1"/>
    <col min="17" max="17" width="10.26953125" customWidth="1"/>
    <col min="18" max="18" width="11.453125"/>
    <col min="19" max="19" width="10.54296875" customWidth="1"/>
    <col min="20" max="20" width="13.453125" customWidth="1"/>
    <col min="22" max="22" width="2.7265625" customWidth="1"/>
  </cols>
  <sheetData>
    <row r="1" spans="1:22" ht="31.5" customHeight="1" x14ac:dyDescent="0.35">
      <c r="A1" s="38" t="s">
        <v>0</v>
      </c>
      <c r="B1" s="38"/>
      <c r="C1" s="38"/>
      <c r="D1" s="38"/>
      <c r="E1" s="38"/>
      <c r="F1" s="38"/>
      <c r="G1" s="38"/>
      <c r="H1" s="16"/>
      <c r="I1" s="36" t="s">
        <v>18</v>
      </c>
      <c r="J1" s="36"/>
      <c r="K1" s="36"/>
      <c r="L1" s="36"/>
      <c r="M1" s="36"/>
      <c r="N1" s="36"/>
      <c r="O1" s="36"/>
      <c r="P1" s="16"/>
      <c r="Q1" s="37" t="s">
        <v>4</v>
      </c>
      <c r="R1" s="37"/>
      <c r="S1" s="37"/>
      <c r="T1" s="37"/>
      <c r="U1" s="37"/>
      <c r="V1" s="1"/>
    </row>
    <row r="2" spans="1:22" ht="33" customHeight="1" x14ac:dyDescent="0.35">
      <c r="A2" s="11" t="s">
        <v>1</v>
      </c>
      <c r="B2" s="12" t="s">
        <v>2</v>
      </c>
      <c r="C2" s="12" t="s">
        <v>3</v>
      </c>
      <c r="D2" s="12" t="s">
        <v>4</v>
      </c>
      <c r="E2" s="12" t="s">
        <v>11</v>
      </c>
      <c r="F2" s="12" t="s">
        <v>21</v>
      </c>
      <c r="G2" s="32" t="s">
        <v>5</v>
      </c>
      <c r="H2" s="13"/>
      <c r="I2" s="14" t="s">
        <v>6</v>
      </c>
      <c r="J2" s="14" t="s">
        <v>7</v>
      </c>
      <c r="K2" s="14" t="s">
        <v>1</v>
      </c>
      <c r="L2" s="14" t="s">
        <v>8</v>
      </c>
      <c r="M2" s="15" t="s">
        <v>33</v>
      </c>
      <c r="N2" s="15" t="s">
        <v>34</v>
      </c>
      <c r="O2" s="14" t="s">
        <v>9</v>
      </c>
      <c r="P2" s="13"/>
      <c r="Q2" s="20" t="s">
        <v>6</v>
      </c>
      <c r="R2" s="20" t="s">
        <v>7</v>
      </c>
      <c r="S2" s="20" t="s">
        <v>1</v>
      </c>
      <c r="T2" s="14" t="s">
        <v>8</v>
      </c>
      <c r="U2" s="14" t="s">
        <v>9</v>
      </c>
      <c r="V2" s="1"/>
    </row>
    <row r="3" spans="1:22" x14ac:dyDescent="0.35">
      <c r="A3" s="3" t="s">
        <v>35</v>
      </c>
      <c r="B3" s="4" t="s">
        <v>124</v>
      </c>
      <c r="C3" s="4"/>
      <c r="D3" s="4">
        <f>SUMIF(entradas[Codigo de producto],productos[[#This Row],[Codigo de producto]],entradas[Cantidad])</f>
        <v>0</v>
      </c>
      <c r="E3" s="4">
        <f>SUMIF(salidas[Codigo de producto],productos[[#This Row],[Codigo de producto]],salidas[Cantidad])</f>
        <v>0</v>
      </c>
      <c r="F3" s="4">
        <f>SUMIF(salidas2[Codigo de producto],productos[[#This Row],[Codigo de producto]],salidas2[Cantidad])</f>
        <v>0</v>
      </c>
      <c r="G3" s="33">
        <f>+productos[[#This Row],[Entradas]]+productos[[#This Row],[Existencias iniciales]]-productos[[#This Row],[Salidas menudeo]]-productos[[#This Row],[Salidas mayoreo2]]</f>
        <v>0</v>
      </c>
      <c r="H3" s="1"/>
      <c r="I3" s="14" t="s">
        <v>213</v>
      </c>
      <c r="J3" s="25">
        <v>46030</v>
      </c>
      <c r="K3" s="14">
        <v>35</v>
      </c>
      <c r="L3" s="2" t="e">
        <f>VLOOKUP(salidas[[#This Row],[Codigo de producto]],productos[],2,FALSE)</f>
        <v>#N/A</v>
      </c>
      <c r="M3" s="9">
        <v>1</v>
      </c>
      <c r="N3" s="9">
        <f>+salidas[[#This Row],[Cantidad]]*salidas[[#This Row],[Precio U.]]</f>
        <v>20</v>
      </c>
      <c r="O3" s="2">
        <v>20</v>
      </c>
      <c r="P3" s="1"/>
      <c r="Q3" s="21">
        <v>1</v>
      </c>
      <c r="R3" s="22">
        <v>46030</v>
      </c>
      <c r="S3" s="21">
        <v>35</v>
      </c>
      <c r="T3" s="2" t="e">
        <f>VLOOKUP(entradas[[#This Row],[Codigo de producto]],productos[],2,FALSE)</f>
        <v>#N/A</v>
      </c>
      <c r="U3" s="2">
        <v>25</v>
      </c>
      <c r="V3" s="1"/>
    </row>
    <row r="4" spans="1:22" x14ac:dyDescent="0.35">
      <c r="A4" s="3" t="s">
        <v>36</v>
      </c>
      <c r="B4" s="4" t="s">
        <v>125</v>
      </c>
      <c r="C4" s="4"/>
      <c r="D4" s="4">
        <f>SUMIF(entradas[Codigo de producto],productos[[#This Row],[Codigo de producto]],entradas[Cantidad])</f>
        <v>25</v>
      </c>
      <c r="E4" s="4">
        <f>SUMIF(salidas[Codigo de producto],productos[[#This Row],[Codigo de producto]],salidas[Cantidad])</f>
        <v>20</v>
      </c>
      <c r="F4" s="5">
        <f>SUMIF(salidas2[Codigo de producto],productos[[#This Row],[Codigo de producto]],salidas2[Cantidad])</f>
        <v>0</v>
      </c>
      <c r="G4" s="33">
        <f>+productos[[#This Row],[Entradas]]+productos[[#This Row],[Existencias iniciales]]-productos[[#This Row],[Salidas menudeo]]-productos[[#This Row],[Salidas mayoreo2]]</f>
        <v>5</v>
      </c>
      <c r="H4" s="1"/>
      <c r="I4" s="14"/>
      <c r="J4" s="25"/>
      <c r="L4" t="e">
        <f>VLOOKUP(salidas[[#This Row],[Codigo de producto]],productos[],2,FALSE)</f>
        <v>#N/A</v>
      </c>
      <c r="N4" s="10">
        <f>+salidas[[#This Row],[Cantidad]]*salidas[[#This Row],[Precio U.]]</f>
        <v>0</v>
      </c>
      <c r="P4" s="1"/>
      <c r="Q4" s="21">
        <v>2</v>
      </c>
      <c r="R4" s="22">
        <v>45681</v>
      </c>
      <c r="S4">
        <v>45</v>
      </c>
      <c r="T4" t="e">
        <f>VLOOKUP(entradas[[#This Row],[Codigo de producto]],productos[],2,FALSE)</f>
        <v>#N/A</v>
      </c>
      <c r="U4">
        <v>20</v>
      </c>
      <c r="V4" s="1"/>
    </row>
    <row r="5" spans="1:22" x14ac:dyDescent="0.35">
      <c r="A5" s="3" t="s">
        <v>37</v>
      </c>
      <c r="B5" s="4" t="s">
        <v>126</v>
      </c>
      <c r="C5" s="4"/>
      <c r="D5" s="4">
        <f>SUMIF(entradas[Codigo de producto],productos[[#This Row],[Codigo de producto]],entradas[Cantidad])</f>
        <v>20</v>
      </c>
      <c r="E5" s="4">
        <f>SUMIF(salidas[Codigo de producto],productos[[#This Row],[Codigo de producto]],salidas[Cantidad])</f>
        <v>0</v>
      </c>
      <c r="F5" s="5">
        <f>SUMIF(salidas2[Codigo de producto],productos[[#This Row],[Codigo de producto]],salidas2[Cantidad])</f>
        <v>0</v>
      </c>
      <c r="G5" s="33">
        <f>+productos[[#This Row],[Entradas]]+productos[[#This Row],[Existencias iniciales]]-productos[[#This Row],[Salidas menudeo]]-productos[[#This Row],[Salidas mayoreo2]]</f>
        <v>20</v>
      </c>
      <c r="H5" s="1"/>
      <c r="I5" s="14"/>
      <c r="J5" s="25"/>
      <c r="L5" t="e">
        <f>VLOOKUP(salidas[[#This Row],[Codigo de producto]],productos[],2,FALSE)</f>
        <v>#N/A</v>
      </c>
      <c r="N5" s="10">
        <f>+salidas[[#This Row],[Cantidad]]*salidas[[#This Row],[Precio U.]]</f>
        <v>0</v>
      </c>
      <c r="P5" s="1"/>
      <c r="Q5" s="21"/>
      <c r="R5" s="22"/>
      <c r="S5" s="21"/>
      <c r="T5" t="e">
        <f>VLOOKUP(entradas[[#This Row],[Codigo de producto]],productos[],2,FALSE)</f>
        <v>#N/A</v>
      </c>
      <c r="V5" s="1"/>
    </row>
    <row r="6" spans="1:22" x14ac:dyDescent="0.35">
      <c r="A6" s="3" t="s">
        <v>38</v>
      </c>
      <c r="B6" s="4" t="s">
        <v>127</v>
      </c>
      <c r="C6" s="4"/>
      <c r="D6" s="4">
        <f>SUMIF(entradas[Codigo de producto],productos[[#This Row],[Codigo de producto]],entradas[Cantidad])</f>
        <v>0</v>
      </c>
      <c r="E6" s="4">
        <f>SUMIF(salidas[Codigo de producto],productos[[#This Row],[Codigo de producto]],salidas[Cantidad])</f>
        <v>0</v>
      </c>
      <c r="F6" s="5">
        <f>SUMIF(salidas2[Codigo de producto],productos[[#This Row],[Codigo de producto]],salidas2[Cantidad])</f>
        <v>0</v>
      </c>
      <c r="G6" s="33">
        <f>+productos[[#This Row],[Entradas]]+productos[[#This Row],[Existencias iniciales]]-productos[[#This Row],[Salidas menudeo]]-productos[[#This Row],[Salidas mayoreo2]]</f>
        <v>0</v>
      </c>
      <c r="H6" s="1"/>
      <c r="I6" s="14"/>
      <c r="J6" s="25"/>
      <c r="L6" t="e">
        <f>VLOOKUP(salidas[[#This Row],[Codigo de producto]],productos[],2,FALSE)</f>
        <v>#N/A</v>
      </c>
      <c r="N6" s="10">
        <f>+salidas[[#This Row],[Cantidad]]*salidas[[#This Row],[Precio U.]]</f>
        <v>0</v>
      </c>
      <c r="P6" s="1"/>
      <c r="Q6" s="21"/>
      <c r="R6" s="22"/>
      <c r="T6" t="e">
        <f>VLOOKUP(entradas[[#This Row],[Codigo de producto]],productos[],2,FALSE)</f>
        <v>#N/A</v>
      </c>
      <c r="V6" s="1"/>
    </row>
    <row r="7" spans="1:22" x14ac:dyDescent="0.35">
      <c r="A7" s="3" t="s">
        <v>39</v>
      </c>
      <c r="B7" s="4" t="s">
        <v>128</v>
      </c>
      <c r="C7" s="4"/>
      <c r="D7" s="4">
        <f>SUMIF(entradas[Codigo de producto],productos[[#This Row],[Codigo de producto]],entradas[Cantidad])</f>
        <v>0</v>
      </c>
      <c r="E7" s="4">
        <f>SUMIF(salidas[Codigo de producto],productos[[#This Row],[Codigo de producto]],salidas[Cantidad])</f>
        <v>0</v>
      </c>
      <c r="F7" s="5">
        <f>SUMIF(salidas2[Codigo de producto],productos[[#This Row],[Codigo de producto]],salidas2[Cantidad])</f>
        <v>0</v>
      </c>
      <c r="G7" s="33">
        <f>+productos[[#This Row],[Entradas]]+productos[[#This Row],[Existencias iniciales]]-productos[[#This Row],[Salidas menudeo]]-productos[[#This Row],[Salidas mayoreo2]]</f>
        <v>0</v>
      </c>
      <c r="H7" s="1"/>
      <c r="I7" s="14"/>
      <c r="J7" s="25"/>
      <c r="L7" t="e">
        <f>VLOOKUP(salidas[[#This Row],[Codigo de producto]],productos[],2,FALSE)</f>
        <v>#N/A</v>
      </c>
      <c r="N7" s="10">
        <f>+salidas[[#This Row],[Cantidad]]*salidas[[#This Row],[Precio U.]]</f>
        <v>0</v>
      </c>
      <c r="P7" s="1"/>
      <c r="R7" s="19"/>
      <c r="S7" s="21"/>
      <c r="T7" t="e">
        <f>VLOOKUP(entradas[[#This Row],[Codigo de producto]],productos[],2,FALSE)</f>
        <v>#N/A</v>
      </c>
      <c r="V7" s="1"/>
    </row>
    <row r="8" spans="1:22" x14ac:dyDescent="0.35">
      <c r="A8" s="3" t="s">
        <v>40</v>
      </c>
      <c r="B8" s="4" t="s">
        <v>129</v>
      </c>
      <c r="C8" s="4"/>
      <c r="D8" s="4">
        <f>SUMIF(entradas[Codigo de producto],productos[[#This Row],[Codigo de producto]],entradas[Cantidad])</f>
        <v>0</v>
      </c>
      <c r="E8" s="4">
        <f>SUMIF(salidas[Codigo de producto],productos[[#This Row],[Codigo de producto]],salidas[Cantidad])</f>
        <v>0</v>
      </c>
      <c r="F8" s="5">
        <f>SUMIF(salidas2[Codigo de producto],productos[[#This Row],[Codigo de producto]],salidas2[Cantidad])</f>
        <v>0</v>
      </c>
      <c r="G8" s="33">
        <f>+productos[[#This Row],[Entradas]]+productos[[#This Row],[Existencias iniciales]]-productos[[#This Row],[Salidas menudeo]]-productos[[#This Row],[Salidas mayoreo2]]</f>
        <v>0</v>
      </c>
      <c r="H8" s="1"/>
      <c r="I8" s="14"/>
      <c r="J8" s="25"/>
      <c r="L8" t="e">
        <f>VLOOKUP(salidas[[#This Row],[Codigo de producto]],productos[],2,FALSE)</f>
        <v>#N/A</v>
      </c>
      <c r="N8" s="10">
        <f>+salidas[[#This Row],[Cantidad]]*salidas[[#This Row],[Precio U.]]</f>
        <v>0</v>
      </c>
      <c r="P8" s="1"/>
      <c r="R8" s="19"/>
      <c r="T8" t="e">
        <f>VLOOKUP(entradas[[#This Row],[Codigo de producto]],productos[],2,FALSE)</f>
        <v>#N/A</v>
      </c>
      <c r="V8" s="1"/>
    </row>
    <row r="9" spans="1:22" x14ac:dyDescent="0.35">
      <c r="A9" s="3" t="s">
        <v>41</v>
      </c>
      <c r="B9" s="4" t="s">
        <v>130</v>
      </c>
      <c r="C9" s="4"/>
      <c r="D9" s="4">
        <f>SUMIF(entradas[Codigo de producto],productos[[#This Row],[Codigo de producto]],entradas[Cantidad])</f>
        <v>0</v>
      </c>
      <c r="E9" s="4">
        <f>SUMIF(salidas[Codigo de producto],productos[[#This Row],[Codigo de producto]],salidas[Cantidad])</f>
        <v>0</v>
      </c>
      <c r="F9" s="5">
        <f>SUMIF(salidas2[Codigo de producto],productos[[#This Row],[Codigo de producto]],salidas2[Cantidad])</f>
        <v>0</v>
      </c>
      <c r="G9" s="33">
        <f>+productos[[#This Row],[Entradas]]+productos[[#This Row],[Existencias iniciales]]-productos[[#This Row],[Salidas menudeo]]-productos[[#This Row],[Salidas mayoreo2]]</f>
        <v>0</v>
      </c>
      <c r="H9" s="1"/>
      <c r="J9" s="25"/>
      <c r="L9" t="e">
        <f>VLOOKUP(salidas[[#This Row],[Codigo de producto]],productos[],2,FALSE)</f>
        <v>#N/A</v>
      </c>
      <c r="N9" s="10">
        <f>+salidas[[#This Row],[Cantidad]]*salidas[[#This Row],[Precio U.]]</f>
        <v>0</v>
      </c>
      <c r="P9" s="1"/>
      <c r="R9" s="19"/>
      <c r="T9" t="e">
        <f>VLOOKUP(entradas[[#This Row],[Codigo de producto]],productos[],2,FALSE)</f>
        <v>#N/A</v>
      </c>
      <c r="V9" s="1"/>
    </row>
    <row r="10" spans="1:22" x14ac:dyDescent="0.35">
      <c r="A10" s="3" t="s">
        <v>42</v>
      </c>
      <c r="B10" s="4" t="s">
        <v>131</v>
      </c>
      <c r="C10" s="4"/>
      <c r="D10" s="4">
        <f>SUMIF(entradas[Codigo de producto],productos[[#This Row],[Codigo de producto]],entradas[Cantidad])</f>
        <v>0</v>
      </c>
      <c r="E10" s="4">
        <f>SUMIF(salidas[Codigo de producto],productos[[#This Row],[Codigo de producto]],salidas[Cantidad])</f>
        <v>0</v>
      </c>
      <c r="F10" s="5">
        <f>SUMIF(salidas2[Codigo de producto],productos[[#This Row],[Codigo de producto]],salidas2[Cantidad])</f>
        <v>0</v>
      </c>
      <c r="G10" s="33">
        <f>+productos[[#This Row],[Entradas]]+productos[[#This Row],[Existencias iniciales]]-productos[[#This Row],[Salidas menudeo]]-productos[[#This Row],[Salidas mayoreo2]]</f>
        <v>0</v>
      </c>
      <c r="H10" s="1"/>
      <c r="I10" s="14"/>
      <c r="J10" s="25"/>
      <c r="K10" s="14"/>
      <c r="L10" t="e">
        <f>VLOOKUP(salidas[[#This Row],[Codigo de producto]],productos[],2,FALSE)</f>
        <v>#N/A</v>
      </c>
      <c r="N10" s="10">
        <f>+salidas[[#This Row],[Cantidad]]*salidas[[#This Row],[Precio U.]]</f>
        <v>0</v>
      </c>
      <c r="P10" s="1"/>
      <c r="Q10" s="21"/>
      <c r="R10" s="22"/>
      <c r="S10" s="21"/>
      <c r="T10" t="e">
        <f>VLOOKUP(entradas[[#This Row],[Codigo de producto]],productos[],2,FALSE)</f>
        <v>#N/A</v>
      </c>
      <c r="V10" s="1"/>
    </row>
    <row r="11" spans="1:22" x14ac:dyDescent="0.35">
      <c r="A11" s="3" t="s">
        <v>43</v>
      </c>
      <c r="B11" s="4" t="s">
        <v>132</v>
      </c>
      <c r="C11" s="4"/>
      <c r="D11" s="4">
        <f>SUMIF(entradas[Codigo de producto],productos[[#This Row],[Codigo de producto]],entradas[Cantidad])</f>
        <v>0</v>
      </c>
      <c r="E11" s="4">
        <f>SUMIF(salidas[Codigo de producto],productos[[#This Row],[Codigo de producto]],salidas[Cantidad])</f>
        <v>0</v>
      </c>
      <c r="F11" s="5">
        <f>SUMIF(salidas2[Codigo de producto],productos[[#This Row],[Codigo de producto]],salidas2[Cantidad])</f>
        <v>0</v>
      </c>
      <c r="G11" s="33">
        <f>+productos[[#This Row],[Entradas]]+productos[[#This Row],[Existencias iniciales]]-productos[[#This Row],[Salidas menudeo]]-productos[[#This Row],[Salidas mayoreo2]]</f>
        <v>0</v>
      </c>
      <c r="H11" s="1"/>
      <c r="J11" s="25"/>
      <c r="L11" t="e">
        <f>VLOOKUP(salidas[[#This Row],[Codigo de producto]],productos[],2,FALSE)</f>
        <v>#N/A</v>
      </c>
      <c r="N11" s="10">
        <f>+salidas[[#This Row],[Cantidad]]*salidas[[#This Row],[Precio U.]]</f>
        <v>0</v>
      </c>
      <c r="P11" s="1"/>
      <c r="T11" t="e">
        <f>VLOOKUP(entradas[[#This Row],[Codigo de producto]],productos[],2,FALSE)</f>
        <v>#N/A</v>
      </c>
      <c r="V11" s="1"/>
    </row>
    <row r="12" spans="1:22" x14ac:dyDescent="0.35">
      <c r="A12" s="3" t="s">
        <v>44</v>
      </c>
      <c r="B12" s="4" t="s">
        <v>133</v>
      </c>
      <c r="C12" s="4"/>
      <c r="D12" s="4">
        <f>SUMIF(entradas[Codigo de producto],productos[[#This Row],[Codigo de producto]],entradas[Cantidad])</f>
        <v>0</v>
      </c>
      <c r="E12" s="4">
        <f>SUMIF(salidas[Codigo de producto],productos[[#This Row],[Codigo de producto]],salidas[Cantidad])</f>
        <v>0</v>
      </c>
      <c r="F12" s="5">
        <f>SUMIF(salidas2[Codigo de producto],productos[[#This Row],[Codigo de producto]],salidas2[Cantidad])</f>
        <v>0</v>
      </c>
      <c r="G12" s="33">
        <f>+productos[[#This Row],[Entradas]]+productos[[#This Row],[Existencias iniciales]]-productos[[#This Row],[Salidas menudeo]]-productos[[#This Row],[Salidas mayoreo2]]</f>
        <v>0</v>
      </c>
      <c r="H12" s="1"/>
      <c r="J12" s="25"/>
      <c r="L12" t="e">
        <f>VLOOKUP(salidas[[#This Row],[Codigo de producto]],productos[],2,FALSE)</f>
        <v>#N/A</v>
      </c>
      <c r="N12" s="10">
        <f>+salidas[[#This Row],[Cantidad]]*salidas[[#This Row],[Precio U.]]</f>
        <v>0</v>
      </c>
      <c r="P12" s="1"/>
      <c r="T12" t="e">
        <f>VLOOKUP(entradas[[#This Row],[Codigo de producto]],productos[],2,FALSE)</f>
        <v>#N/A</v>
      </c>
      <c r="V12" s="1"/>
    </row>
    <row r="13" spans="1:22" x14ac:dyDescent="0.35">
      <c r="A13" s="3" t="s">
        <v>45</v>
      </c>
      <c r="B13" s="4" t="s">
        <v>134</v>
      </c>
      <c r="C13" s="4"/>
      <c r="D13" s="4">
        <f>SUMIF(entradas[Codigo de producto],productos[[#This Row],[Codigo de producto]],entradas[Cantidad])</f>
        <v>0</v>
      </c>
      <c r="E13" s="4">
        <f>SUMIF(salidas[Codigo de producto],productos[[#This Row],[Codigo de producto]],salidas[Cantidad])</f>
        <v>0</v>
      </c>
      <c r="F13" s="5">
        <f>SUMIF(salidas2[Codigo de producto],productos[[#This Row],[Codigo de producto]],salidas2[Cantidad])</f>
        <v>0</v>
      </c>
      <c r="G13" s="33">
        <f>+productos[[#This Row],[Entradas]]+productos[[#This Row],[Existencias iniciales]]-productos[[#This Row],[Salidas menudeo]]-productos[[#This Row],[Salidas mayoreo2]]</f>
        <v>0</v>
      </c>
      <c r="H13" s="1"/>
      <c r="J13" s="25"/>
      <c r="L13" t="e">
        <f>VLOOKUP(salidas[[#This Row],[Codigo de producto]],productos[],2,FALSE)</f>
        <v>#N/A</v>
      </c>
      <c r="N13" s="10">
        <f>+salidas[[#This Row],[Cantidad]]*salidas[[#This Row],[Precio U.]]</f>
        <v>0</v>
      </c>
      <c r="P13" s="1"/>
      <c r="T13" t="e">
        <f>VLOOKUP(entradas[[#This Row],[Codigo de producto]],productos[],2,FALSE)</f>
        <v>#N/A</v>
      </c>
      <c r="V13" s="1"/>
    </row>
    <row r="14" spans="1:22" x14ac:dyDescent="0.35">
      <c r="A14" s="3" t="s">
        <v>46</v>
      </c>
      <c r="B14" s="4" t="s">
        <v>135</v>
      </c>
      <c r="C14" s="4"/>
      <c r="D14" s="4">
        <f>SUMIF(entradas[Codigo de producto],productos[[#This Row],[Codigo de producto]],entradas[Cantidad])</f>
        <v>0</v>
      </c>
      <c r="E14" s="4">
        <f>SUMIF(salidas[Codigo de producto],productos[[#This Row],[Codigo de producto]],salidas[Cantidad])</f>
        <v>0</v>
      </c>
      <c r="F14" s="5">
        <f>SUMIF(salidas2[Codigo de producto],productos[[#This Row],[Codigo de producto]],salidas2[Cantidad])</f>
        <v>0</v>
      </c>
      <c r="G14" s="33">
        <f>+productos[[#This Row],[Entradas]]+productos[[#This Row],[Existencias iniciales]]-productos[[#This Row],[Salidas menudeo]]-productos[[#This Row],[Salidas mayoreo2]]</f>
        <v>0</v>
      </c>
      <c r="H14" s="1"/>
      <c r="L14" t="e">
        <f>VLOOKUP(salidas[[#This Row],[Codigo de producto]],productos[],2,FALSE)</f>
        <v>#N/A</v>
      </c>
      <c r="N14" s="10">
        <f>+salidas[[#This Row],[Cantidad]]*salidas[[#This Row],[Precio U.]]</f>
        <v>0</v>
      </c>
      <c r="P14" s="1"/>
      <c r="T14" t="e">
        <f>VLOOKUP(entradas[[#This Row],[Codigo de producto]],productos[],2,FALSE)</f>
        <v>#N/A</v>
      </c>
      <c r="V14" s="1"/>
    </row>
    <row r="15" spans="1:22" x14ac:dyDescent="0.35">
      <c r="A15" s="3" t="s">
        <v>47</v>
      </c>
      <c r="B15" s="4" t="s">
        <v>136</v>
      </c>
      <c r="C15" s="4"/>
      <c r="D15" s="4">
        <f>SUMIF(entradas[Codigo de producto],productos[[#This Row],[Codigo de producto]],entradas[Cantidad])</f>
        <v>0</v>
      </c>
      <c r="E15" s="4">
        <f>SUMIF(salidas[Codigo de producto],productos[[#This Row],[Codigo de producto]],salidas[Cantidad])</f>
        <v>0</v>
      </c>
      <c r="F15" s="5">
        <f>SUMIF(salidas2[Codigo de producto],productos[[#This Row],[Codigo de producto]],salidas2[Cantidad])</f>
        <v>0</v>
      </c>
      <c r="G15" s="33">
        <f>+productos[[#This Row],[Entradas]]+productos[[#This Row],[Existencias iniciales]]-productos[[#This Row],[Salidas menudeo]]-productos[[#This Row],[Salidas mayoreo2]]</f>
        <v>0</v>
      </c>
      <c r="H15" s="1"/>
      <c r="L15" t="e">
        <f>VLOOKUP(salidas[[#This Row],[Codigo de producto]],productos[],2,FALSE)</f>
        <v>#N/A</v>
      </c>
      <c r="N15" s="10">
        <f>+salidas[[#This Row],[Cantidad]]*salidas[[#This Row],[Precio U.]]</f>
        <v>0</v>
      </c>
      <c r="P15" s="1"/>
      <c r="T15" t="e">
        <f>VLOOKUP(entradas[[#This Row],[Codigo de producto]],productos[],2,FALSE)</f>
        <v>#N/A</v>
      </c>
      <c r="V15" s="1"/>
    </row>
    <row r="16" spans="1:22" x14ac:dyDescent="0.35">
      <c r="A16" s="3" t="s">
        <v>48</v>
      </c>
      <c r="B16" s="4" t="s">
        <v>137</v>
      </c>
      <c r="C16" s="4"/>
      <c r="D16" s="4">
        <f>SUMIF(entradas[Codigo de producto],productos[[#This Row],[Codigo de producto]],entradas[Cantidad])</f>
        <v>0</v>
      </c>
      <c r="E16" s="4">
        <f>SUMIF(salidas[Codigo de producto],productos[[#This Row],[Codigo de producto]],salidas[Cantidad])</f>
        <v>0</v>
      </c>
      <c r="F16" s="5">
        <f>SUMIF(salidas2[Codigo de producto],productos[[#This Row],[Codigo de producto]],salidas2[Cantidad])</f>
        <v>0</v>
      </c>
      <c r="G16" s="33">
        <f>+productos[[#This Row],[Entradas]]+productos[[#This Row],[Existencias iniciales]]-productos[[#This Row],[Salidas menudeo]]-productos[[#This Row],[Salidas mayoreo2]]</f>
        <v>0</v>
      </c>
      <c r="H16" s="1"/>
      <c r="L16" t="e">
        <f>VLOOKUP(salidas[[#This Row],[Codigo de producto]],productos[],2,FALSE)</f>
        <v>#N/A</v>
      </c>
      <c r="N16" s="10">
        <f>+salidas[[#This Row],[Cantidad]]*salidas[[#This Row],[Precio U.]]</f>
        <v>0</v>
      </c>
      <c r="P16" s="1"/>
      <c r="T16" t="e">
        <f>VLOOKUP(entradas[[#This Row],[Codigo de producto]],productos[],2,FALSE)</f>
        <v>#N/A</v>
      </c>
      <c r="V16" s="1"/>
    </row>
    <row r="17" spans="1:22" x14ac:dyDescent="0.35">
      <c r="A17" s="3" t="s">
        <v>49</v>
      </c>
      <c r="B17" s="4" t="s">
        <v>138</v>
      </c>
      <c r="C17" s="4"/>
      <c r="D17" s="4">
        <f>SUMIF(entradas[Codigo de producto],productos[[#This Row],[Codigo de producto]],entradas[Cantidad])</f>
        <v>0</v>
      </c>
      <c r="E17" s="4">
        <f>SUMIF(salidas[Codigo de producto],productos[[#This Row],[Codigo de producto]],salidas[Cantidad])</f>
        <v>0</v>
      </c>
      <c r="F17" s="5">
        <f>SUMIF(salidas2[Codigo de producto],productos[[#This Row],[Codigo de producto]],salidas2[Cantidad])</f>
        <v>0</v>
      </c>
      <c r="G17" s="33">
        <f>+productos[[#This Row],[Entradas]]+productos[[#This Row],[Existencias iniciales]]-productos[[#This Row],[Salidas menudeo]]-productos[[#This Row],[Salidas mayoreo2]]</f>
        <v>0</v>
      </c>
      <c r="H17" s="1"/>
      <c r="L17" t="e">
        <f>VLOOKUP(salidas[[#This Row],[Codigo de producto]],productos[],2,FALSE)</f>
        <v>#N/A</v>
      </c>
      <c r="N17" s="10">
        <f>+salidas[[#This Row],[Cantidad]]*salidas[[#This Row],[Precio U.]]</f>
        <v>0</v>
      </c>
      <c r="P17" s="1"/>
      <c r="T17" t="e">
        <f>VLOOKUP(entradas[[#This Row],[Codigo de producto]],productos[],2,FALSE)</f>
        <v>#N/A</v>
      </c>
      <c r="V17" s="1"/>
    </row>
    <row r="18" spans="1:22" x14ac:dyDescent="0.35">
      <c r="A18" s="3" t="s">
        <v>50</v>
      </c>
      <c r="B18" s="4" t="s">
        <v>139</v>
      </c>
      <c r="C18" s="4"/>
      <c r="D18" s="4">
        <f>SUMIF(entradas[Codigo de producto],productos[[#This Row],[Codigo de producto]],entradas[Cantidad])</f>
        <v>0</v>
      </c>
      <c r="E18" s="4">
        <f>SUMIF(salidas[Codigo de producto],productos[[#This Row],[Codigo de producto]],salidas[Cantidad])</f>
        <v>0</v>
      </c>
      <c r="F18" s="5">
        <f>SUMIF(salidas2[Codigo de producto],productos[[#This Row],[Codigo de producto]],salidas2[Cantidad])</f>
        <v>0</v>
      </c>
      <c r="G18" s="33">
        <f>+productos[[#This Row],[Entradas]]+productos[[#This Row],[Existencias iniciales]]-productos[[#This Row],[Salidas menudeo]]-productos[[#This Row],[Salidas mayoreo2]]</f>
        <v>0</v>
      </c>
      <c r="H18" s="1"/>
      <c r="L18" t="e">
        <f>VLOOKUP(salidas[[#This Row],[Codigo de producto]],productos[],2,FALSE)</f>
        <v>#N/A</v>
      </c>
      <c r="N18" s="10">
        <f>+salidas[[#This Row],[Cantidad]]*salidas[[#This Row],[Precio U.]]</f>
        <v>0</v>
      </c>
      <c r="P18" s="1"/>
      <c r="T18" t="e">
        <f>VLOOKUP(entradas[[#This Row],[Codigo de producto]],productos[],2,FALSE)</f>
        <v>#N/A</v>
      </c>
      <c r="V18" s="1"/>
    </row>
    <row r="19" spans="1:22" x14ac:dyDescent="0.35">
      <c r="A19" s="3" t="s">
        <v>51</v>
      </c>
      <c r="B19" s="4" t="s">
        <v>140</v>
      </c>
      <c r="C19" s="4"/>
      <c r="D19" s="4">
        <f>SUMIF(entradas[Codigo de producto],productos[[#This Row],[Codigo de producto]],entradas[Cantidad])</f>
        <v>0</v>
      </c>
      <c r="E19" s="4">
        <f>SUMIF(salidas[Codigo de producto],productos[[#This Row],[Codigo de producto]],salidas[Cantidad])</f>
        <v>0</v>
      </c>
      <c r="F19" s="5">
        <f>SUMIF(salidas2[Codigo de producto],productos[[#This Row],[Codigo de producto]],salidas2[Cantidad])</f>
        <v>0</v>
      </c>
      <c r="G19" s="33">
        <f>+productos[[#This Row],[Entradas]]+productos[[#This Row],[Existencias iniciales]]-productos[[#This Row],[Salidas menudeo]]-productos[[#This Row],[Salidas mayoreo2]]</f>
        <v>0</v>
      </c>
      <c r="H19" s="1"/>
      <c r="L19" t="e">
        <f>VLOOKUP(salidas[[#This Row],[Codigo de producto]],productos[],2,FALSE)</f>
        <v>#N/A</v>
      </c>
      <c r="N19" s="10">
        <f>+salidas[[#This Row],[Cantidad]]*salidas[[#This Row],[Precio U.]]</f>
        <v>0</v>
      </c>
      <c r="P19" s="1"/>
      <c r="T19" t="e">
        <f>VLOOKUP(entradas[[#This Row],[Codigo de producto]],productos[],2,FALSE)</f>
        <v>#N/A</v>
      </c>
      <c r="V19" s="1"/>
    </row>
    <row r="20" spans="1:22" x14ac:dyDescent="0.35">
      <c r="A20" s="3" t="s">
        <v>52</v>
      </c>
      <c r="B20" s="4" t="s">
        <v>141</v>
      </c>
      <c r="C20" s="4"/>
      <c r="D20" s="4">
        <f>SUMIF(entradas[Codigo de producto],productos[[#This Row],[Codigo de producto]],entradas[Cantidad])</f>
        <v>0</v>
      </c>
      <c r="E20" s="4">
        <f>SUMIF(salidas[Codigo de producto],productos[[#This Row],[Codigo de producto]],salidas[Cantidad])</f>
        <v>0</v>
      </c>
      <c r="F20" s="5">
        <f>SUMIF(salidas2[Codigo de producto],productos[[#This Row],[Codigo de producto]],salidas2[Cantidad])</f>
        <v>0</v>
      </c>
      <c r="G20" s="33">
        <f>+productos[[#This Row],[Entradas]]+productos[[#This Row],[Existencias iniciales]]-productos[[#This Row],[Salidas menudeo]]-productos[[#This Row],[Salidas mayoreo2]]</f>
        <v>0</v>
      </c>
      <c r="H20" s="1"/>
      <c r="L20" t="e">
        <f>VLOOKUP(salidas[[#This Row],[Codigo de producto]],productos[],2,FALSE)</f>
        <v>#N/A</v>
      </c>
      <c r="N20" s="10">
        <f>+salidas[[#This Row],[Cantidad]]*salidas[[#This Row],[Precio U.]]</f>
        <v>0</v>
      </c>
      <c r="P20" s="1"/>
      <c r="T20" t="e">
        <f>VLOOKUP(entradas[[#This Row],[Codigo de producto]],productos[],2,FALSE)</f>
        <v>#N/A</v>
      </c>
      <c r="V20" s="1"/>
    </row>
    <row r="21" spans="1:22" x14ac:dyDescent="0.35">
      <c r="A21" s="3" t="s">
        <v>53</v>
      </c>
      <c r="B21" s="4" t="s">
        <v>142</v>
      </c>
      <c r="C21" s="6"/>
      <c r="D21" s="4">
        <f>SUMIF(entradas[Codigo de producto],productos[[#This Row],[Codigo de producto]],entradas[Cantidad])</f>
        <v>0</v>
      </c>
      <c r="E21" s="6">
        <f>SUMIF(salidas[Codigo de producto],productos[[#This Row],[Codigo de producto]],salidas[Cantidad])</f>
        <v>0</v>
      </c>
      <c r="F21" s="7">
        <f>SUMIF(salidas2[Codigo de producto],productos[[#This Row],[Codigo de producto]],salidas2[Cantidad])</f>
        <v>0</v>
      </c>
      <c r="G21" s="34">
        <f>+productos[[#This Row],[Entradas]]+productos[[#This Row],[Existencias iniciales]]-productos[[#This Row],[Salidas menudeo]]-productos[[#This Row],[Salidas mayoreo2]]</f>
        <v>0</v>
      </c>
      <c r="H21" s="1"/>
      <c r="L21" t="e">
        <f>VLOOKUP(salidas[[#This Row],[Codigo de producto]],productos[],2,FALSE)</f>
        <v>#N/A</v>
      </c>
      <c r="N21" s="10">
        <f>+salidas[[#This Row],[Cantidad]]*salidas[[#This Row],[Precio U.]]</f>
        <v>0</v>
      </c>
      <c r="P21" s="1"/>
      <c r="T21" t="e">
        <f>VLOOKUP(entradas[[#This Row],[Codigo de producto]],productos[],2,FALSE)</f>
        <v>#N/A</v>
      </c>
      <c r="V21" s="1"/>
    </row>
    <row r="22" spans="1:22" x14ac:dyDescent="0.35">
      <c r="A22" s="3" t="s">
        <v>54</v>
      </c>
      <c r="B22" s="4" t="s">
        <v>143</v>
      </c>
      <c r="C22" s="4"/>
      <c r="D22" s="4">
        <f>SUMIF(entradas[Codigo de producto],productos[[#This Row],[Codigo de producto]],entradas[Cantidad])</f>
        <v>0</v>
      </c>
      <c r="E22" s="4">
        <f>SUMIF(salidas[Codigo de producto],productos[[#This Row],[Codigo de producto]],salidas[Cantidad])</f>
        <v>0</v>
      </c>
      <c r="F22" s="5">
        <f>SUMIF(salidas2[Codigo de producto],productos[[#This Row],[Codigo de producto]],salidas2[Cantidad])</f>
        <v>0</v>
      </c>
      <c r="G22" s="33">
        <f>+productos[[#This Row],[Entradas]]+productos[[#This Row],[Existencias iniciales]]-productos[[#This Row],[Salidas menudeo]]-productos[[#This Row],[Salidas mayoreo2]]</f>
        <v>0</v>
      </c>
      <c r="H22" s="1"/>
      <c r="L22" t="e">
        <f>VLOOKUP(salidas[[#This Row],[Codigo de producto]],productos[],2,FALSE)</f>
        <v>#N/A</v>
      </c>
      <c r="N22" s="10">
        <f>+salidas[[#This Row],[Cantidad]]*salidas[[#This Row],[Precio U.]]</f>
        <v>0</v>
      </c>
      <c r="P22" s="1"/>
      <c r="T22" t="e">
        <f>VLOOKUP(entradas[[#This Row],[Codigo de producto]],productos[],2,FALSE)</f>
        <v>#N/A</v>
      </c>
      <c r="V22" s="1"/>
    </row>
    <row r="23" spans="1:22" x14ac:dyDescent="0.35">
      <c r="A23" s="3" t="s">
        <v>55</v>
      </c>
      <c r="B23" s="4" t="s">
        <v>144</v>
      </c>
      <c r="C23" s="4"/>
      <c r="D23" s="4">
        <f>SUMIF(entradas[Codigo de producto],productos[[#This Row],[Codigo de producto]],entradas[Cantidad])</f>
        <v>0</v>
      </c>
      <c r="E23" s="4">
        <f>SUMIF(salidas[Codigo de producto],productos[[#This Row],[Codigo de producto]],salidas[Cantidad])</f>
        <v>0</v>
      </c>
      <c r="F23" s="5">
        <f>SUMIF(salidas2[Codigo de producto],productos[[#This Row],[Codigo de producto]],salidas2[Cantidad])</f>
        <v>0</v>
      </c>
      <c r="G23" s="33">
        <f>+productos[[#This Row],[Entradas]]+productos[[#This Row],[Existencias iniciales]]-productos[[#This Row],[Salidas menudeo]]-productos[[#This Row],[Salidas mayoreo2]]</f>
        <v>0</v>
      </c>
      <c r="H23" s="1"/>
      <c r="L23" t="e">
        <f>VLOOKUP(salidas[[#This Row],[Codigo de producto]],productos[],2,FALSE)</f>
        <v>#N/A</v>
      </c>
      <c r="N23" s="10">
        <f>+salidas[[#This Row],[Cantidad]]*salidas[[#This Row],[Precio U.]]</f>
        <v>0</v>
      </c>
      <c r="P23" s="1"/>
      <c r="T23" t="e">
        <f>VLOOKUP(entradas[[#This Row],[Codigo de producto]],productos[],2,FALSE)</f>
        <v>#N/A</v>
      </c>
      <c r="V23" s="1"/>
    </row>
    <row r="24" spans="1:22" x14ac:dyDescent="0.35">
      <c r="A24" s="3" t="s">
        <v>56</v>
      </c>
      <c r="B24" s="4" t="s">
        <v>145</v>
      </c>
      <c r="C24" s="4"/>
      <c r="D24" s="4">
        <f>SUMIF(entradas[Codigo de producto],productos[[#This Row],[Codigo de producto]],entradas[Cantidad])</f>
        <v>0</v>
      </c>
      <c r="E24" s="4">
        <f>SUMIF(salidas[Codigo de producto],productos[[#This Row],[Codigo de producto]],salidas[Cantidad])</f>
        <v>0</v>
      </c>
      <c r="F24" s="5">
        <f>SUMIF(salidas2[Codigo de producto],productos[[#This Row],[Codigo de producto]],salidas2[Cantidad])</f>
        <v>0</v>
      </c>
      <c r="G24" s="33">
        <f>+productos[[#This Row],[Entradas]]+productos[[#This Row],[Existencias iniciales]]-productos[[#This Row],[Salidas menudeo]]-productos[[#This Row],[Salidas mayoreo2]]</f>
        <v>0</v>
      </c>
      <c r="H24" s="1"/>
      <c r="L24" t="e">
        <f>VLOOKUP(salidas[[#This Row],[Codigo de producto]],productos[],2,FALSE)</f>
        <v>#N/A</v>
      </c>
      <c r="N24" s="10">
        <f>+salidas[[#This Row],[Cantidad]]*salidas[[#This Row],[Precio U.]]</f>
        <v>0</v>
      </c>
      <c r="P24" s="1"/>
      <c r="T24" t="e">
        <f>VLOOKUP(entradas[[#This Row],[Codigo de producto]],productos[],2,FALSE)</f>
        <v>#N/A</v>
      </c>
      <c r="V24" s="1"/>
    </row>
    <row r="25" spans="1:22" x14ac:dyDescent="0.35">
      <c r="A25" s="3" t="s">
        <v>57</v>
      </c>
      <c r="B25" s="4" t="s">
        <v>146</v>
      </c>
      <c r="C25" s="4"/>
      <c r="D25" s="4">
        <f>SUMIF(entradas[Codigo de producto],productos[[#This Row],[Codigo de producto]],entradas[Cantidad])</f>
        <v>0</v>
      </c>
      <c r="E25" s="4">
        <f>SUMIF(salidas[Codigo de producto],productos[[#This Row],[Codigo de producto]],salidas[Cantidad])</f>
        <v>0</v>
      </c>
      <c r="F25" s="5">
        <f>SUMIF(salidas2[Codigo de producto],productos[[#This Row],[Codigo de producto]],salidas2[Cantidad])</f>
        <v>0</v>
      </c>
      <c r="G25" s="33">
        <f>+productos[[#This Row],[Entradas]]+productos[[#This Row],[Existencias iniciales]]-productos[[#This Row],[Salidas menudeo]]-productos[[#This Row],[Salidas mayoreo2]]</f>
        <v>0</v>
      </c>
      <c r="H25" s="1"/>
      <c r="L25" t="e">
        <f>VLOOKUP(salidas[[#This Row],[Codigo de producto]],productos[],2,FALSE)</f>
        <v>#N/A</v>
      </c>
      <c r="N25" s="10">
        <f>+salidas[[#This Row],[Cantidad]]*salidas[[#This Row],[Precio U.]]</f>
        <v>0</v>
      </c>
      <c r="P25" s="1"/>
      <c r="T25" t="e">
        <f>VLOOKUP(entradas[[#This Row],[Codigo de producto]],productos[],2,FALSE)</f>
        <v>#N/A</v>
      </c>
      <c r="V25" s="1"/>
    </row>
    <row r="26" spans="1:22" x14ac:dyDescent="0.35">
      <c r="A26" s="3" t="s">
        <v>58</v>
      </c>
      <c r="B26" s="4" t="s">
        <v>147</v>
      </c>
      <c r="C26" s="4"/>
      <c r="D26" s="4">
        <f>SUMIF(entradas[Codigo de producto],productos[[#This Row],[Codigo de producto]],entradas[Cantidad])</f>
        <v>0</v>
      </c>
      <c r="E26" s="4">
        <f>SUMIF(salidas[Codigo de producto],productos[[#This Row],[Codigo de producto]],salidas[Cantidad])</f>
        <v>0</v>
      </c>
      <c r="F26" s="5">
        <f>SUMIF(salidas2[Codigo de producto],productos[[#This Row],[Codigo de producto]],salidas2[Cantidad])</f>
        <v>0</v>
      </c>
      <c r="G26" s="33">
        <f>+productos[[#This Row],[Entradas]]+productos[[#This Row],[Existencias iniciales]]-productos[[#This Row],[Salidas menudeo]]-productos[[#This Row],[Salidas mayoreo2]]</f>
        <v>0</v>
      </c>
      <c r="H26" s="1"/>
      <c r="L26" t="e">
        <f>VLOOKUP(salidas[[#This Row],[Codigo de producto]],productos[],2,FALSE)</f>
        <v>#N/A</v>
      </c>
      <c r="N26" s="10">
        <f>+salidas[[#This Row],[Cantidad]]*salidas[[#This Row],[Precio U.]]</f>
        <v>0</v>
      </c>
      <c r="P26" s="1"/>
      <c r="T26" t="e">
        <f>VLOOKUP(entradas[[#This Row],[Codigo de producto]],productos[],2,FALSE)</f>
        <v>#N/A</v>
      </c>
      <c r="V26" s="1"/>
    </row>
    <row r="27" spans="1:22" x14ac:dyDescent="0.35">
      <c r="A27" s="3" t="s">
        <v>59</v>
      </c>
      <c r="B27" s="4" t="s">
        <v>148</v>
      </c>
      <c r="C27" s="4"/>
      <c r="D27" s="4">
        <f>SUMIF(entradas[Codigo de producto],productos[[#This Row],[Codigo de producto]],entradas[Cantidad])</f>
        <v>0</v>
      </c>
      <c r="E27" s="4">
        <f>SUMIF(salidas[Codigo de producto],productos[[#This Row],[Codigo de producto]],salidas[Cantidad])</f>
        <v>0</v>
      </c>
      <c r="F27" s="5">
        <f>SUMIF(salidas2[Codigo de producto],productos[[#This Row],[Codigo de producto]],salidas2[Cantidad])</f>
        <v>0</v>
      </c>
      <c r="G27" s="33">
        <f>+productos[[#This Row],[Entradas]]+productos[[#This Row],[Existencias iniciales]]-productos[[#This Row],[Salidas menudeo]]-productos[[#This Row],[Salidas mayoreo2]]</f>
        <v>0</v>
      </c>
      <c r="H27" s="1"/>
      <c r="L27" t="e">
        <f>VLOOKUP(salidas[[#This Row],[Codigo de producto]],productos[],2,FALSE)</f>
        <v>#N/A</v>
      </c>
      <c r="N27" s="10">
        <f>+salidas[[#This Row],[Cantidad]]*salidas[[#This Row],[Precio U.]]</f>
        <v>0</v>
      </c>
      <c r="P27" s="1"/>
      <c r="T27" t="e">
        <f>VLOOKUP(entradas[[#This Row],[Codigo de producto]],productos[],2,FALSE)</f>
        <v>#N/A</v>
      </c>
      <c r="V27" s="1"/>
    </row>
    <row r="28" spans="1:22" x14ac:dyDescent="0.35">
      <c r="A28" s="3" t="s">
        <v>60</v>
      </c>
      <c r="B28" s="4" t="s">
        <v>149</v>
      </c>
      <c r="C28" s="4"/>
      <c r="D28" s="4">
        <f>SUMIF(entradas[Codigo de producto],productos[[#This Row],[Codigo de producto]],entradas[Cantidad])</f>
        <v>0</v>
      </c>
      <c r="E28" s="4">
        <f>SUMIF(salidas[Codigo de producto],productos[[#This Row],[Codigo de producto]],salidas[Cantidad])</f>
        <v>0</v>
      </c>
      <c r="F28" s="5">
        <f>SUMIF(salidas2[Codigo de producto],productos[[#This Row],[Codigo de producto]],salidas2[Cantidad])</f>
        <v>0</v>
      </c>
      <c r="G28" s="33">
        <f>+productos[[#This Row],[Entradas]]+productos[[#This Row],[Existencias iniciales]]-productos[[#This Row],[Salidas menudeo]]-productos[[#This Row],[Salidas mayoreo2]]</f>
        <v>0</v>
      </c>
      <c r="H28" s="1"/>
      <c r="L28" t="e">
        <f>VLOOKUP(salidas[[#This Row],[Codigo de producto]],productos[],2,FALSE)</f>
        <v>#N/A</v>
      </c>
      <c r="N28" s="10">
        <f>+salidas[[#This Row],[Cantidad]]*salidas[[#This Row],[Precio U.]]</f>
        <v>0</v>
      </c>
      <c r="P28" s="1"/>
      <c r="T28" t="e">
        <f>VLOOKUP(entradas[[#This Row],[Codigo de producto]],productos[],2,FALSE)</f>
        <v>#N/A</v>
      </c>
      <c r="V28" s="1"/>
    </row>
    <row r="29" spans="1:22" x14ac:dyDescent="0.35">
      <c r="A29" s="3" t="s">
        <v>61</v>
      </c>
      <c r="B29" s="4" t="s">
        <v>150</v>
      </c>
      <c r="C29" s="4"/>
      <c r="D29" s="4">
        <f>SUMIF(entradas[Codigo de producto],productos[[#This Row],[Codigo de producto]],entradas[Cantidad])</f>
        <v>0</v>
      </c>
      <c r="E29" s="4">
        <f>SUMIF(salidas[Codigo de producto],productos[[#This Row],[Codigo de producto]],salidas[Cantidad])</f>
        <v>0</v>
      </c>
      <c r="F29" s="5">
        <f>SUMIF(salidas2[Codigo de producto],productos[[#This Row],[Codigo de producto]],salidas2[Cantidad])</f>
        <v>0</v>
      </c>
      <c r="G29" s="33">
        <f>+productos[[#This Row],[Entradas]]+productos[[#This Row],[Existencias iniciales]]-productos[[#This Row],[Salidas menudeo]]-productos[[#This Row],[Salidas mayoreo2]]</f>
        <v>0</v>
      </c>
      <c r="H29" s="1"/>
      <c r="L29" t="e">
        <f>VLOOKUP(salidas[[#This Row],[Codigo de producto]],productos[],2,FALSE)</f>
        <v>#N/A</v>
      </c>
      <c r="N29" s="10">
        <f>+salidas[[#This Row],[Cantidad]]*salidas[[#This Row],[Precio U.]]</f>
        <v>0</v>
      </c>
      <c r="P29" s="1"/>
      <c r="T29" t="e">
        <f>VLOOKUP(entradas[[#This Row],[Codigo de producto]],productos[],2,FALSE)</f>
        <v>#N/A</v>
      </c>
      <c r="V29" s="1"/>
    </row>
    <row r="30" spans="1:22" x14ac:dyDescent="0.35">
      <c r="A30" s="3" t="s">
        <v>62</v>
      </c>
      <c r="B30" s="4" t="s">
        <v>151</v>
      </c>
      <c r="C30" s="4"/>
      <c r="D30" s="4">
        <f>SUMIF(entradas[Codigo de producto],productos[[#This Row],[Codigo de producto]],entradas[Cantidad])</f>
        <v>0</v>
      </c>
      <c r="E30" s="4">
        <f>SUMIF(salidas[Codigo de producto],productos[[#This Row],[Codigo de producto]],salidas[Cantidad])</f>
        <v>0</v>
      </c>
      <c r="F30" s="5">
        <f>SUMIF(salidas2[Codigo de producto],productos[[#This Row],[Codigo de producto]],salidas2[Cantidad])</f>
        <v>0</v>
      </c>
      <c r="G30" s="33">
        <f>+productos[[#This Row],[Entradas]]+productos[[#This Row],[Existencias iniciales]]-productos[[#This Row],[Salidas menudeo]]-productos[[#This Row],[Salidas mayoreo2]]</f>
        <v>0</v>
      </c>
      <c r="H30" s="1"/>
      <c r="L30" t="e">
        <f>VLOOKUP(salidas[[#This Row],[Codigo de producto]],productos[],2,FALSE)</f>
        <v>#N/A</v>
      </c>
      <c r="N30" s="10">
        <f>+salidas[[#This Row],[Cantidad]]*salidas[[#This Row],[Precio U.]]</f>
        <v>0</v>
      </c>
      <c r="P30" s="1"/>
      <c r="T30" t="e">
        <f>VLOOKUP(entradas[[#This Row],[Codigo de producto]],productos[],2,FALSE)</f>
        <v>#N/A</v>
      </c>
      <c r="V30" s="1"/>
    </row>
    <row r="31" spans="1:22" x14ac:dyDescent="0.35">
      <c r="A31" s="3" t="s">
        <v>63</v>
      </c>
      <c r="B31" s="4" t="s">
        <v>152</v>
      </c>
      <c r="C31" s="4"/>
      <c r="D31" s="4">
        <f>SUMIF(entradas[Codigo de producto],productos[[#This Row],[Codigo de producto]],entradas[Cantidad])</f>
        <v>0</v>
      </c>
      <c r="E31" s="4">
        <f>SUMIF(salidas[Codigo de producto],productos[[#This Row],[Codigo de producto]],salidas[Cantidad])</f>
        <v>0</v>
      </c>
      <c r="F31" s="5">
        <f>SUMIF(salidas2[Codigo de producto],productos[[#This Row],[Codigo de producto]],salidas2[Cantidad])</f>
        <v>0</v>
      </c>
      <c r="G31" s="33">
        <f>+productos[[#This Row],[Entradas]]+productos[[#This Row],[Existencias iniciales]]-productos[[#This Row],[Salidas menudeo]]-productos[[#This Row],[Salidas mayoreo2]]</f>
        <v>0</v>
      </c>
      <c r="H31" s="1"/>
      <c r="L31" t="e">
        <f>VLOOKUP(salidas[[#This Row],[Codigo de producto]],productos[],2,FALSE)</f>
        <v>#N/A</v>
      </c>
      <c r="N31" s="10">
        <f>+salidas[[#This Row],[Cantidad]]*salidas[[#This Row],[Precio U.]]</f>
        <v>0</v>
      </c>
      <c r="P31" s="1"/>
      <c r="T31" t="e">
        <f>VLOOKUP(entradas[[#This Row],[Codigo de producto]],productos[],2,FALSE)</f>
        <v>#N/A</v>
      </c>
      <c r="V31" s="1"/>
    </row>
    <row r="32" spans="1:22" x14ac:dyDescent="0.35">
      <c r="A32" s="3" t="s">
        <v>64</v>
      </c>
      <c r="B32" s="4" t="s">
        <v>153</v>
      </c>
      <c r="C32" s="4"/>
      <c r="D32" s="4">
        <f>SUMIF(entradas[Codigo de producto],productos[[#This Row],[Codigo de producto]],entradas[Cantidad])</f>
        <v>0</v>
      </c>
      <c r="E32" s="4">
        <f>SUMIF(salidas[Codigo de producto],productos[[#This Row],[Codigo de producto]],salidas[Cantidad])</f>
        <v>0</v>
      </c>
      <c r="F32" s="5">
        <f>SUMIF(salidas2[Codigo de producto],productos[[#This Row],[Codigo de producto]],salidas2[Cantidad])</f>
        <v>0</v>
      </c>
      <c r="G32" s="33">
        <f>+productos[[#This Row],[Entradas]]+productos[[#This Row],[Existencias iniciales]]-productos[[#This Row],[Salidas menudeo]]-productos[[#This Row],[Salidas mayoreo2]]</f>
        <v>0</v>
      </c>
      <c r="H32" s="1"/>
      <c r="L32" t="e">
        <f>VLOOKUP(salidas[[#This Row],[Codigo de producto]],productos[],2,FALSE)</f>
        <v>#N/A</v>
      </c>
      <c r="N32" s="10">
        <f>+salidas[[#This Row],[Cantidad]]*salidas[[#This Row],[Precio U.]]</f>
        <v>0</v>
      </c>
      <c r="P32" s="1"/>
      <c r="T32" t="e">
        <f>VLOOKUP(entradas[[#This Row],[Codigo de producto]],productos[],2,FALSE)</f>
        <v>#N/A</v>
      </c>
      <c r="V32" s="1"/>
    </row>
    <row r="33" spans="1:22" x14ac:dyDescent="0.35">
      <c r="A33" s="3" t="s">
        <v>65</v>
      </c>
      <c r="B33" s="4" t="s">
        <v>154</v>
      </c>
      <c r="C33" s="4"/>
      <c r="D33" s="4">
        <f>SUMIF(entradas[Codigo de producto],productos[[#This Row],[Codigo de producto]],entradas[Cantidad])</f>
        <v>0</v>
      </c>
      <c r="E33" s="4">
        <f>SUMIF(salidas[Codigo de producto],productos[[#This Row],[Codigo de producto]],salidas[Cantidad])</f>
        <v>0</v>
      </c>
      <c r="F33" s="5">
        <f>SUMIF(salidas2[Codigo de producto],productos[[#This Row],[Codigo de producto]],salidas2[Cantidad])</f>
        <v>0</v>
      </c>
      <c r="G33" s="33">
        <f>+productos[[#This Row],[Entradas]]+productos[[#This Row],[Existencias iniciales]]-productos[[#This Row],[Salidas menudeo]]-productos[[#This Row],[Salidas mayoreo2]]</f>
        <v>0</v>
      </c>
      <c r="H33" s="1"/>
      <c r="L33" t="e">
        <f>VLOOKUP(salidas[[#This Row],[Codigo de producto]],productos[],2,FALSE)</f>
        <v>#N/A</v>
      </c>
      <c r="N33" s="10">
        <f>+salidas[[#This Row],[Cantidad]]*salidas[[#This Row],[Precio U.]]</f>
        <v>0</v>
      </c>
      <c r="P33" s="1"/>
      <c r="T33" t="e">
        <f>VLOOKUP(entradas[[#This Row],[Codigo de producto]],productos[],2,FALSE)</f>
        <v>#N/A</v>
      </c>
      <c r="V33" s="1"/>
    </row>
    <row r="34" spans="1:22" x14ac:dyDescent="0.35">
      <c r="A34" s="3" t="s">
        <v>66</v>
      </c>
      <c r="B34" s="4" t="s">
        <v>155</v>
      </c>
      <c r="C34" s="4"/>
      <c r="D34" s="4">
        <f>SUMIF(entradas[Codigo de producto],productos[[#This Row],[Codigo de producto]],entradas[Cantidad])</f>
        <v>0</v>
      </c>
      <c r="E34" s="4">
        <f>SUMIF(salidas[Codigo de producto],productos[[#This Row],[Codigo de producto]],salidas[Cantidad])</f>
        <v>0</v>
      </c>
      <c r="F34" s="5">
        <f>SUMIF(salidas2[Codigo de producto],productos[[#This Row],[Codigo de producto]],salidas2[Cantidad])</f>
        <v>0</v>
      </c>
      <c r="G34" s="33">
        <f>+productos[[#This Row],[Entradas]]+productos[[#This Row],[Existencias iniciales]]-productos[[#This Row],[Salidas menudeo]]-productos[[#This Row],[Salidas mayoreo2]]</f>
        <v>0</v>
      </c>
      <c r="H34" s="1"/>
      <c r="L34" t="e">
        <f>VLOOKUP(salidas[[#This Row],[Codigo de producto]],productos[],2,FALSE)</f>
        <v>#N/A</v>
      </c>
      <c r="N34" s="10">
        <f>+salidas[[#This Row],[Cantidad]]*salidas[[#This Row],[Precio U.]]</f>
        <v>0</v>
      </c>
      <c r="P34" s="1"/>
      <c r="T34" t="e">
        <f>VLOOKUP(entradas[[#This Row],[Codigo de producto]],productos[],2,FALSE)</f>
        <v>#N/A</v>
      </c>
      <c r="V34" s="1"/>
    </row>
    <row r="35" spans="1:22" x14ac:dyDescent="0.35">
      <c r="A35" s="3" t="s">
        <v>67</v>
      </c>
      <c r="B35" s="4" t="s">
        <v>156</v>
      </c>
      <c r="C35" s="4"/>
      <c r="D35" s="4">
        <f>SUMIF(entradas[Codigo de producto],productos[[#This Row],[Codigo de producto]],entradas[Cantidad])</f>
        <v>0</v>
      </c>
      <c r="E35" s="4">
        <f>SUMIF(salidas[Codigo de producto],productos[[#This Row],[Codigo de producto]],salidas[Cantidad])</f>
        <v>0</v>
      </c>
      <c r="F35" s="5">
        <f>SUMIF(salidas2[Codigo de producto],productos[[#This Row],[Codigo de producto]],salidas2[Cantidad])</f>
        <v>0</v>
      </c>
      <c r="G35" s="33">
        <f>+productos[[#This Row],[Entradas]]+productos[[#This Row],[Existencias iniciales]]-productos[[#This Row],[Salidas menudeo]]-productos[[#This Row],[Salidas mayoreo2]]</f>
        <v>0</v>
      </c>
      <c r="H35" s="1"/>
      <c r="L35" t="e">
        <f>VLOOKUP(salidas[[#This Row],[Codigo de producto]],productos[],2,FALSE)</f>
        <v>#N/A</v>
      </c>
      <c r="N35" s="10">
        <f>+salidas[[#This Row],[Cantidad]]*salidas[[#This Row],[Precio U.]]</f>
        <v>0</v>
      </c>
      <c r="P35" s="1"/>
      <c r="T35" t="e">
        <f>VLOOKUP(entradas[[#This Row],[Codigo de producto]],productos[],2,FALSE)</f>
        <v>#N/A</v>
      </c>
      <c r="V35" s="1"/>
    </row>
    <row r="36" spans="1:22" x14ac:dyDescent="0.35">
      <c r="A36" s="3" t="s">
        <v>68</v>
      </c>
      <c r="B36" s="4" t="s">
        <v>157</v>
      </c>
      <c r="C36" s="4"/>
      <c r="D36" s="4">
        <f>SUMIF(entradas[Codigo de producto],productos[[#This Row],[Codigo de producto]],entradas[Cantidad])</f>
        <v>0</v>
      </c>
      <c r="E36" s="4">
        <f>SUMIF(salidas[Codigo de producto],productos[[#This Row],[Codigo de producto]],salidas[Cantidad])</f>
        <v>0</v>
      </c>
      <c r="F36" s="5">
        <f>SUMIF(salidas2[Codigo de producto],productos[[#This Row],[Codigo de producto]],salidas2[Cantidad])</f>
        <v>0</v>
      </c>
      <c r="G36" s="33">
        <f>+productos[[#This Row],[Entradas]]+productos[[#This Row],[Existencias iniciales]]-productos[[#This Row],[Salidas menudeo]]-productos[[#This Row],[Salidas mayoreo2]]</f>
        <v>0</v>
      </c>
      <c r="H36" s="1"/>
      <c r="L36" t="e">
        <f>VLOOKUP(salidas[[#This Row],[Codigo de producto]],productos[],2,FALSE)</f>
        <v>#N/A</v>
      </c>
      <c r="N36" s="10">
        <f>+salidas[[#This Row],[Cantidad]]*salidas[[#This Row],[Precio U.]]</f>
        <v>0</v>
      </c>
      <c r="P36" s="1"/>
      <c r="T36" t="e">
        <f>VLOOKUP(entradas[[#This Row],[Codigo de producto]],productos[],2,FALSE)</f>
        <v>#N/A</v>
      </c>
      <c r="V36" s="1"/>
    </row>
    <row r="37" spans="1:22" x14ac:dyDescent="0.35">
      <c r="A37" s="3" t="s">
        <v>69</v>
      </c>
      <c r="B37" s="4" t="s">
        <v>158</v>
      </c>
      <c r="C37" s="4"/>
      <c r="D37" s="4">
        <f>SUMIF(entradas[Codigo de producto],productos[[#This Row],[Codigo de producto]],entradas[Cantidad])</f>
        <v>0</v>
      </c>
      <c r="E37" s="4">
        <f>SUMIF(salidas[Codigo de producto],productos[[#This Row],[Codigo de producto]],salidas[Cantidad])</f>
        <v>0</v>
      </c>
      <c r="F37" s="5">
        <f>SUMIF(salidas2[Codigo de producto],productos[[#This Row],[Codigo de producto]],salidas2[Cantidad])</f>
        <v>0</v>
      </c>
      <c r="G37" s="33">
        <f>+productos[[#This Row],[Entradas]]+productos[[#This Row],[Existencias iniciales]]-productos[[#This Row],[Salidas menudeo]]-productos[[#This Row],[Salidas mayoreo2]]</f>
        <v>0</v>
      </c>
      <c r="H37" s="1"/>
      <c r="L37" t="e">
        <f>VLOOKUP(salidas[[#This Row],[Codigo de producto]],productos[],2,FALSE)</f>
        <v>#N/A</v>
      </c>
      <c r="N37" s="10">
        <f>+salidas[[#This Row],[Cantidad]]*salidas[[#This Row],[Precio U.]]</f>
        <v>0</v>
      </c>
      <c r="P37" s="1"/>
      <c r="T37" t="e">
        <f>VLOOKUP(entradas[[#This Row],[Codigo de producto]],productos[],2,FALSE)</f>
        <v>#N/A</v>
      </c>
      <c r="V37" s="1"/>
    </row>
    <row r="38" spans="1:22" x14ac:dyDescent="0.35">
      <c r="A38" s="3" t="s">
        <v>70</v>
      </c>
      <c r="B38" s="4" t="s">
        <v>159</v>
      </c>
      <c r="C38" s="4"/>
      <c r="D38" s="4">
        <f>SUMIF(entradas[Codigo de producto],productos[[#This Row],[Codigo de producto]],entradas[Cantidad])</f>
        <v>0</v>
      </c>
      <c r="E38" s="4">
        <f>SUMIF(salidas[Codigo de producto],productos[[#This Row],[Codigo de producto]],salidas[Cantidad])</f>
        <v>0</v>
      </c>
      <c r="F38" s="5">
        <f>SUMIF(salidas2[Codigo de producto],productos[[#This Row],[Codigo de producto]],salidas2[Cantidad])</f>
        <v>0</v>
      </c>
      <c r="G38" s="33">
        <f>+productos[[#This Row],[Entradas]]+productos[[#This Row],[Existencias iniciales]]-productos[[#This Row],[Salidas menudeo]]-productos[[#This Row],[Salidas mayoreo2]]</f>
        <v>0</v>
      </c>
      <c r="H38" s="1"/>
      <c r="L38" t="e">
        <f>VLOOKUP(salidas[[#This Row],[Codigo de producto]],productos[],2,FALSE)</f>
        <v>#N/A</v>
      </c>
      <c r="N38" s="10">
        <f>+salidas[[#This Row],[Cantidad]]*salidas[[#This Row],[Precio U.]]</f>
        <v>0</v>
      </c>
      <c r="P38" s="1"/>
      <c r="T38" t="e">
        <f>VLOOKUP(entradas[[#This Row],[Codigo de producto]],productos[],2,FALSE)</f>
        <v>#N/A</v>
      </c>
      <c r="V38" s="1"/>
    </row>
    <row r="39" spans="1:22" x14ac:dyDescent="0.35">
      <c r="A39" s="3" t="s">
        <v>71</v>
      </c>
      <c r="B39" s="4" t="s">
        <v>160</v>
      </c>
      <c r="C39" s="4"/>
      <c r="D39" s="4">
        <f>SUMIF(entradas[Codigo de producto],productos[[#This Row],[Codigo de producto]],entradas[Cantidad])</f>
        <v>0</v>
      </c>
      <c r="E39" s="4">
        <f>SUMIF(salidas[Codigo de producto],productos[[#This Row],[Codigo de producto]],salidas[Cantidad])</f>
        <v>0</v>
      </c>
      <c r="F39" s="5">
        <f>SUMIF(salidas2[Codigo de producto],productos[[#This Row],[Codigo de producto]],salidas2[Cantidad])</f>
        <v>0</v>
      </c>
      <c r="G39" s="33">
        <f>+productos[[#This Row],[Entradas]]+productos[[#This Row],[Existencias iniciales]]-productos[[#This Row],[Salidas menudeo]]-productos[[#This Row],[Salidas mayoreo2]]</f>
        <v>0</v>
      </c>
      <c r="H39" s="1"/>
      <c r="L39" t="e">
        <f>VLOOKUP(salidas[[#This Row],[Codigo de producto]],productos[],2,FALSE)</f>
        <v>#N/A</v>
      </c>
      <c r="N39" s="10">
        <f>+salidas[[#This Row],[Cantidad]]*salidas[[#This Row],[Precio U.]]</f>
        <v>0</v>
      </c>
      <c r="P39" s="1"/>
      <c r="T39" t="e">
        <f>VLOOKUP(entradas[[#This Row],[Codigo de producto]],productos[],2,FALSE)</f>
        <v>#N/A</v>
      </c>
      <c r="V39" s="1"/>
    </row>
    <row r="40" spans="1:22" x14ac:dyDescent="0.35">
      <c r="A40" s="3" t="s">
        <v>72</v>
      </c>
      <c r="B40" s="4" t="s">
        <v>161</v>
      </c>
      <c r="C40" s="4"/>
      <c r="D40" s="4">
        <f>SUMIF(entradas[Codigo de producto],productos[[#This Row],[Codigo de producto]],entradas[Cantidad])</f>
        <v>0</v>
      </c>
      <c r="E40" s="4">
        <f>SUMIF(salidas[Codigo de producto],productos[[#This Row],[Codigo de producto]],salidas[Cantidad])</f>
        <v>0</v>
      </c>
      <c r="F40" s="5">
        <f>SUMIF(salidas2[Codigo de producto],productos[[#This Row],[Codigo de producto]],salidas2[Cantidad])</f>
        <v>0</v>
      </c>
      <c r="G40" s="33">
        <f>+productos[[#This Row],[Entradas]]+productos[[#This Row],[Existencias iniciales]]-productos[[#This Row],[Salidas menudeo]]-productos[[#This Row],[Salidas mayoreo2]]</f>
        <v>0</v>
      </c>
      <c r="H40" s="1"/>
      <c r="L40" t="e">
        <f>VLOOKUP(salidas[[#This Row],[Codigo de producto]],productos[],2,FALSE)</f>
        <v>#N/A</v>
      </c>
      <c r="N40" s="10">
        <f>+salidas[[#This Row],[Cantidad]]*salidas[[#This Row],[Precio U.]]</f>
        <v>0</v>
      </c>
      <c r="P40" s="1"/>
      <c r="T40" t="e">
        <f>VLOOKUP(entradas[[#This Row],[Codigo de producto]],productos[],2,FALSE)</f>
        <v>#N/A</v>
      </c>
      <c r="V40" s="1"/>
    </row>
    <row r="41" spans="1:22" x14ac:dyDescent="0.35">
      <c r="A41" s="3" t="s">
        <v>73</v>
      </c>
      <c r="B41" s="4" t="s">
        <v>162</v>
      </c>
      <c r="C41" s="4"/>
      <c r="D41" s="4">
        <f>SUMIF(entradas[Codigo de producto],productos[[#This Row],[Codigo de producto]],entradas[Cantidad])</f>
        <v>0</v>
      </c>
      <c r="E41" s="4">
        <f>SUMIF(salidas[Codigo de producto],productos[[#This Row],[Codigo de producto]],salidas[Cantidad])</f>
        <v>0</v>
      </c>
      <c r="F41" s="5">
        <f>SUMIF(salidas2[Codigo de producto],productos[[#This Row],[Codigo de producto]],salidas2[Cantidad])</f>
        <v>0</v>
      </c>
      <c r="G41" s="33">
        <f>+productos[[#This Row],[Entradas]]+productos[[#This Row],[Existencias iniciales]]-productos[[#This Row],[Salidas menudeo]]-productos[[#This Row],[Salidas mayoreo2]]</f>
        <v>0</v>
      </c>
      <c r="H41" s="1"/>
      <c r="L41" t="e">
        <f>VLOOKUP(salidas[[#This Row],[Codigo de producto]],productos[],2,FALSE)</f>
        <v>#N/A</v>
      </c>
      <c r="N41" s="10">
        <f>+salidas[[#This Row],[Cantidad]]*salidas[[#This Row],[Precio U.]]</f>
        <v>0</v>
      </c>
      <c r="P41" s="1"/>
      <c r="T41" t="e">
        <f>VLOOKUP(entradas[[#This Row],[Codigo de producto]],productos[],2,FALSE)</f>
        <v>#N/A</v>
      </c>
      <c r="V41" s="1"/>
    </row>
    <row r="42" spans="1:22" x14ac:dyDescent="0.35">
      <c r="A42" s="3" t="s">
        <v>74</v>
      </c>
      <c r="B42" s="4" t="s">
        <v>163</v>
      </c>
      <c r="C42" s="4"/>
      <c r="D42" s="4">
        <f>SUMIF(entradas[Codigo de producto],productos[[#This Row],[Codigo de producto]],entradas[Cantidad])</f>
        <v>0</v>
      </c>
      <c r="E42" s="4">
        <f>SUMIF(salidas[Codigo de producto],productos[[#This Row],[Codigo de producto]],salidas[Cantidad])</f>
        <v>0</v>
      </c>
      <c r="F42" s="5">
        <f>SUMIF(salidas2[Codigo de producto],productos[[#This Row],[Codigo de producto]],salidas2[Cantidad])</f>
        <v>0</v>
      </c>
      <c r="G42" s="33">
        <f>+productos[[#This Row],[Entradas]]+productos[[#This Row],[Existencias iniciales]]-productos[[#This Row],[Salidas menudeo]]-productos[[#This Row],[Salidas mayoreo2]]</f>
        <v>0</v>
      </c>
      <c r="H42" s="1"/>
      <c r="L42" t="e">
        <f>VLOOKUP(salidas[[#This Row],[Codigo de producto]],productos[],2,FALSE)</f>
        <v>#N/A</v>
      </c>
      <c r="N42" s="10">
        <f>+salidas[[#This Row],[Cantidad]]*salidas[[#This Row],[Precio U.]]</f>
        <v>0</v>
      </c>
      <c r="P42" s="1"/>
      <c r="T42" t="e">
        <f>VLOOKUP(entradas[[#This Row],[Codigo de producto]],productos[],2,FALSE)</f>
        <v>#N/A</v>
      </c>
      <c r="V42" s="1"/>
    </row>
    <row r="43" spans="1:22" x14ac:dyDescent="0.35">
      <c r="A43" s="3" t="s">
        <v>75</v>
      </c>
      <c r="B43" s="4" t="s">
        <v>164</v>
      </c>
      <c r="C43" s="4"/>
      <c r="D43" s="4">
        <f>SUMIF(entradas[Codigo de producto],productos[[#This Row],[Codigo de producto]],entradas[Cantidad])</f>
        <v>0</v>
      </c>
      <c r="E43" s="4">
        <f>SUMIF(salidas[Codigo de producto],productos[[#This Row],[Codigo de producto]],salidas[Cantidad])</f>
        <v>0</v>
      </c>
      <c r="F43" s="5">
        <f>SUMIF(salidas2[Codigo de producto],productos[[#This Row],[Codigo de producto]],salidas2[Cantidad])</f>
        <v>0</v>
      </c>
      <c r="G43" s="33">
        <f>+productos[[#This Row],[Entradas]]+productos[[#This Row],[Existencias iniciales]]-productos[[#This Row],[Salidas menudeo]]-productos[[#This Row],[Salidas mayoreo2]]</f>
        <v>0</v>
      </c>
      <c r="H43" s="1"/>
      <c r="L43" t="e">
        <f>VLOOKUP(salidas[[#This Row],[Codigo de producto]],productos[],2,FALSE)</f>
        <v>#N/A</v>
      </c>
      <c r="N43" s="10">
        <f>+salidas[[#This Row],[Cantidad]]*salidas[[#This Row],[Precio U.]]</f>
        <v>0</v>
      </c>
      <c r="P43" s="1"/>
      <c r="T43" t="e">
        <f>VLOOKUP(entradas[[#This Row],[Codigo de producto]],productos[],2,FALSE)</f>
        <v>#N/A</v>
      </c>
      <c r="V43" s="1"/>
    </row>
    <row r="44" spans="1:22" x14ac:dyDescent="0.35">
      <c r="A44" s="3" t="s">
        <v>76</v>
      </c>
      <c r="B44" s="4" t="s">
        <v>165</v>
      </c>
      <c r="C44" s="4"/>
      <c r="D44" s="4">
        <f>SUMIF(entradas[Codigo de producto],productos[[#This Row],[Codigo de producto]],entradas[Cantidad])</f>
        <v>0</v>
      </c>
      <c r="E44" s="4">
        <f>SUMIF(salidas[Codigo de producto],productos[[#This Row],[Codigo de producto]],salidas[Cantidad])</f>
        <v>0</v>
      </c>
      <c r="F44" s="5">
        <f>SUMIF(salidas2[Codigo de producto],productos[[#This Row],[Codigo de producto]],salidas2[Cantidad])</f>
        <v>0</v>
      </c>
      <c r="G44" s="33">
        <f>+productos[[#This Row],[Entradas]]+productos[[#This Row],[Existencias iniciales]]-productos[[#This Row],[Salidas menudeo]]-productos[[#This Row],[Salidas mayoreo2]]</f>
        <v>0</v>
      </c>
      <c r="H44" s="1"/>
      <c r="L44" t="e">
        <f>VLOOKUP(salidas[[#This Row],[Codigo de producto]],productos[],2,FALSE)</f>
        <v>#N/A</v>
      </c>
      <c r="N44" s="10">
        <f>+salidas[[#This Row],[Cantidad]]*salidas[[#This Row],[Precio U.]]</f>
        <v>0</v>
      </c>
      <c r="P44" s="1"/>
      <c r="T44" t="e">
        <f>VLOOKUP(entradas[[#This Row],[Codigo de producto]],productos[],2,FALSE)</f>
        <v>#N/A</v>
      </c>
      <c r="V44" s="1"/>
    </row>
    <row r="45" spans="1:22" x14ac:dyDescent="0.35">
      <c r="A45" s="3" t="s">
        <v>77</v>
      </c>
      <c r="B45" s="4" t="s">
        <v>166</v>
      </c>
      <c r="C45" s="4"/>
      <c r="D45" s="4">
        <f>SUMIF(entradas[Codigo de producto],productos[[#This Row],[Codigo de producto]],entradas[Cantidad])</f>
        <v>0</v>
      </c>
      <c r="E45" s="4">
        <f>SUMIF(salidas[Codigo de producto],productos[[#This Row],[Codigo de producto]],salidas[Cantidad])</f>
        <v>0</v>
      </c>
      <c r="F45" s="5">
        <f>SUMIF(salidas2[Codigo de producto],productos[[#This Row],[Codigo de producto]],salidas2[Cantidad])</f>
        <v>0</v>
      </c>
      <c r="G45" s="33">
        <f>+productos[[#This Row],[Entradas]]+productos[[#This Row],[Existencias iniciales]]-productos[[#This Row],[Salidas menudeo]]-productos[[#This Row],[Salidas mayoreo2]]</f>
        <v>0</v>
      </c>
      <c r="H45" s="1"/>
      <c r="L45" t="e">
        <f>VLOOKUP(salidas[[#This Row],[Codigo de producto]],productos[],2,FALSE)</f>
        <v>#N/A</v>
      </c>
      <c r="N45" s="10">
        <f>+salidas[[#This Row],[Cantidad]]*salidas[[#This Row],[Precio U.]]</f>
        <v>0</v>
      </c>
      <c r="P45" s="1"/>
      <c r="T45" t="e">
        <f>VLOOKUP(entradas[[#This Row],[Codigo de producto]],productos[],2,FALSE)</f>
        <v>#N/A</v>
      </c>
      <c r="V45" s="1"/>
    </row>
    <row r="46" spans="1:22" x14ac:dyDescent="0.35">
      <c r="A46" s="3" t="s">
        <v>78</v>
      </c>
      <c r="B46" s="4" t="s">
        <v>167</v>
      </c>
      <c r="C46" s="4"/>
      <c r="D46" s="4">
        <f>SUMIF(entradas[Codigo de producto],productos[[#This Row],[Codigo de producto]],entradas[Cantidad])</f>
        <v>0</v>
      </c>
      <c r="E46" s="4">
        <f>SUMIF(salidas[Codigo de producto],productos[[#This Row],[Codigo de producto]],salidas[Cantidad])</f>
        <v>0</v>
      </c>
      <c r="F46" s="5">
        <f>SUMIF(salidas2[Codigo de producto],productos[[#This Row],[Codigo de producto]],salidas2[Cantidad])</f>
        <v>0</v>
      </c>
      <c r="G46" s="33">
        <f>+productos[[#This Row],[Entradas]]+productos[[#This Row],[Existencias iniciales]]-productos[[#This Row],[Salidas menudeo]]-productos[[#This Row],[Salidas mayoreo2]]</f>
        <v>0</v>
      </c>
      <c r="H46" s="1"/>
      <c r="L46" t="e">
        <f>VLOOKUP(salidas[[#This Row],[Codigo de producto]],productos[],2,FALSE)</f>
        <v>#N/A</v>
      </c>
      <c r="N46" s="10">
        <f>+salidas[[#This Row],[Cantidad]]*salidas[[#This Row],[Precio U.]]</f>
        <v>0</v>
      </c>
      <c r="P46" s="1"/>
      <c r="T46" t="e">
        <f>VLOOKUP(entradas[[#This Row],[Codigo de producto]],productos[],2,FALSE)</f>
        <v>#N/A</v>
      </c>
      <c r="V46" s="1"/>
    </row>
    <row r="47" spans="1:22" x14ac:dyDescent="0.35">
      <c r="A47" s="3" t="s">
        <v>79</v>
      </c>
      <c r="B47" s="4" t="s">
        <v>168</v>
      </c>
      <c r="C47" s="4"/>
      <c r="D47" s="4">
        <f>SUMIF(entradas[Codigo de producto],productos[[#This Row],[Codigo de producto]],entradas[Cantidad])</f>
        <v>0</v>
      </c>
      <c r="E47" s="4">
        <f>SUMIF(salidas[Codigo de producto],productos[[#This Row],[Codigo de producto]],salidas[Cantidad])</f>
        <v>0</v>
      </c>
      <c r="F47" s="5">
        <f>SUMIF(salidas2[Codigo de producto],productos[[#This Row],[Codigo de producto]],salidas2[Cantidad])</f>
        <v>0</v>
      </c>
      <c r="G47" s="33">
        <f>+productos[[#This Row],[Entradas]]+productos[[#This Row],[Existencias iniciales]]-productos[[#This Row],[Salidas menudeo]]-productos[[#This Row],[Salidas mayoreo2]]</f>
        <v>0</v>
      </c>
      <c r="H47" s="1"/>
      <c r="L47" t="e">
        <f>VLOOKUP(salidas[[#This Row],[Codigo de producto]],productos[],2,FALSE)</f>
        <v>#N/A</v>
      </c>
      <c r="N47" s="10">
        <f>+salidas[[#This Row],[Cantidad]]*salidas[[#This Row],[Precio U.]]</f>
        <v>0</v>
      </c>
      <c r="P47" s="1"/>
      <c r="T47" t="e">
        <f>VLOOKUP(entradas[[#This Row],[Codigo de producto]],productos[],2,FALSE)</f>
        <v>#N/A</v>
      </c>
      <c r="V47" s="1"/>
    </row>
    <row r="48" spans="1:22" x14ac:dyDescent="0.35">
      <c r="A48" s="3" t="s">
        <v>80</v>
      </c>
      <c r="B48" s="4" t="s">
        <v>169</v>
      </c>
      <c r="C48" s="4"/>
      <c r="D48" s="4">
        <f>SUMIF(entradas[Codigo de producto],productos[[#This Row],[Codigo de producto]],entradas[Cantidad])</f>
        <v>0</v>
      </c>
      <c r="E48" s="4">
        <f>SUMIF(salidas[Codigo de producto],productos[[#This Row],[Codigo de producto]],salidas[Cantidad])</f>
        <v>0</v>
      </c>
      <c r="F48" s="5">
        <f>SUMIF(salidas2[Codigo de producto],productos[[#This Row],[Codigo de producto]],salidas2[Cantidad])</f>
        <v>0</v>
      </c>
      <c r="G48" s="33">
        <f>+productos[[#This Row],[Entradas]]+productos[[#This Row],[Existencias iniciales]]-productos[[#This Row],[Salidas menudeo]]-productos[[#This Row],[Salidas mayoreo2]]</f>
        <v>0</v>
      </c>
      <c r="H48" s="1"/>
      <c r="L48" t="e">
        <f>VLOOKUP(salidas[[#This Row],[Codigo de producto]],productos[],2,FALSE)</f>
        <v>#N/A</v>
      </c>
      <c r="N48" s="10">
        <f>+salidas[[#This Row],[Cantidad]]*salidas[[#This Row],[Precio U.]]</f>
        <v>0</v>
      </c>
      <c r="P48" s="1"/>
      <c r="T48" t="e">
        <f>VLOOKUP(entradas[[#This Row],[Codigo de producto]],productos[],2,FALSE)</f>
        <v>#N/A</v>
      </c>
      <c r="V48" s="1"/>
    </row>
    <row r="49" spans="1:22" x14ac:dyDescent="0.35">
      <c r="A49" s="3" t="s">
        <v>81</v>
      </c>
      <c r="B49" s="4" t="s">
        <v>170</v>
      </c>
      <c r="C49" s="4"/>
      <c r="D49" s="4">
        <f>SUMIF(entradas[Codigo de producto],productos[[#This Row],[Codigo de producto]],entradas[Cantidad])</f>
        <v>0</v>
      </c>
      <c r="E49" s="4">
        <f>SUMIF(salidas[Codigo de producto],productos[[#This Row],[Codigo de producto]],salidas[Cantidad])</f>
        <v>0</v>
      </c>
      <c r="F49" s="5">
        <f>SUMIF(salidas2[Codigo de producto],productos[[#This Row],[Codigo de producto]],salidas2[Cantidad])</f>
        <v>0</v>
      </c>
      <c r="G49" s="33">
        <f>+productos[[#This Row],[Entradas]]+productos[[#This Row],[Existencias iniciales]]-productos[[#This Row],[Salidas menudeo]]-productos[[#This Row],[Salidas mayoreo2]]</f>
        <v>0</v>
      </c>
      <c r="H49" s="1"/>
      <c r="L49" t="e">
        <f>VLOOKUP(salidas[[#This Row],[Codigo de producto]],productos[],2,FALSE)</f>
        <v>#N/A</v>
      </c>
      <c r="N49" s="10">
        <f>+salidas[[#This Row],[Cantidad]]*salidas[[#This Row],[Precio U.]]</f>
        <v>0</v>
      </c>
      <c r="P49" s="1"/>
      <c r="T49" t="e">
        <f>VLOOKUP(entradas[[#This Row],[Codigo de producto]],productos[],2,FALSE)</f>
        <v>#N/A</v>
      </c>
      <c r="V49" s="1"/>
    </row>
    <row r="50" spans="1:22" x14ac:dyDescent="0.35">
      <c r="A50" s="3" t="s">
        <v>82</v>
      </c>
      <c r="B50" s="4" t="s">
        <v>171</v>
      </c>
      <c r="C50" s="4"/>
      <c r="D50" s="4">
        <f>SUMIF(entradas[Codigo de producto],productos[[#This Row],[Codigo de producto]],entradas[Cantidad])</f>
        <v>0</v>
      </c>
      <c r="E50" s="4">
        <f>SUMIF(salidas[Codigo de producto],productos[[#This Row],[Codigo de producto]],salidas[Cantidad])</f>
        <v>0</v>
      </c>
      <c r="F50" s="5">
        <f>SUMIF(salidas2[Codigo de producto],productos[[#This Row],[Codigo de producto]],salidas2[Cantidad])</f>
        <v>0</v>
      </c>
      <c r="G50" s="33">
        <f>+productos[[#This Row],[Entradas]]+productos[[#This Row],[Existencias iniciales]]-productos[[#This Row],[Salidas menudeo]]-productos[[#This Row],[Salidas mayoreo2]]</f>
        <v>0</v>
      </c>
      <c r="H50" s="1"/>
      <c r="L50" t="e">
        <f>VLOOKUP(salidas[[#This Row],[Codigo de producto]],productos[],2,FALSE)</f>
        <v>#N/A</v>
      </c>
      <c r="N50" s="10">
        <f>+salidas[[#This Row],[Cantidad]]*salidas[[#This Row],[Precio U.]]</f>
        <v>0</v>
      </c>
      <c r="P50" s="1"/>
      <c r="T50" t="e">
        <f>VLOOKUP(entradas[[#This Row],[Codigo de producto]],productos[],2,FALSE)</f>
        <v>#N/A</v>
      </c>
      <c r="V50" s="1"/>
    </row>
    <row r="51" spans="1:22" x14ac:dyDescent="0.35">
      <c r="A51" s="3" t="s">
        <v>83</v>
      </c>
      <c r="B51" s="4" t="s">
        <v>172</v>
      </c>
      <c r="C51" s="4"/>
      <c r="D51" s="4">
        <f>SUMIF(entradas[Codigo de producto],productos[[#This Row],[Codigo de producto]],entradas[Cantidad])</f>
        <v>0</v>
      </c>
      <c r="E51" s="4">
        <f>SUMIF(salidas[Codigo de producto],productos[[#This Row],[Codigo de producto]],salidas[Cantidad])</f>
        <v>0</v>
      </c>
      <c r="F51" s="5">
        <f>SUMIF(salidas2[Codigo de producto],productos[[#This Row],[Codigo de producto]],salidas2[Cantidad])</f>
        <v>0</v>
      </c>
      <c r="G51" s="33">
        <f>+productos[[#This Row],[Entradas]]+productos[[#This Row],[Existencias iniciales]]-productos[[#This Row],[Salidas menudeo]]-productos[[#This Row],[Salidas mayoreo2]]</f>
        <v>0</v>
      </c>
      <c r="H51" s="1"/>
      <c r="L51" t="e">
        <f>VLOOKUP(salidas[[#This Row],[Codigo de producto]],productos[],2,FALSE)</f>
        <v>#N/A</v>
      </c>
      <c r="N51" s="10">
        <f>+salidas[[#This Row],[Cantidad]]*salidas[[#This Row],[Precio U.]]</f>
        <v>0</v>
      </c>
      <c r="P51" s="1"/>
      <c r="T51" t="e">
        <f>VLOOKUP(entradas[[#This Row],[Codigo de producto]],productos[],2,FALSE)</f>
        <v>#N/A</v>
      </c>
      <c r="V51" s="1"/>
    </row>
    <row r="52" spans="1:22" x14ac:dyDescent="0.35">
      <c r="A52" s="3" t="s">
        <v>84</v>
      </c>
      <c r="B52" s="4" t="s">
        <v>173</v>
      </c>
      <c r="C52" s="4"/>
      <c r="D52" s="4">
        <f>SUMIF(entradas[Codigo de producto],productos[[#This Row],[Codigo de producto]],entradas[Cantidad])</f>
        <v>0</v>
      </c>
      <c r="E52" s="4">
        <f>SUMIF(salidas[Codigo de producto],productos[[#This Row],[Codigo de producto]],salidas[Cantidad])</f>
        <v>0</v>
      </c>
      <c r="F52" s="5">
        <f>SUMIF(salidas2[Codigo de producto],productos[[#This Row],[Codigo de producto]],salidas2[Cantidad])</f>
        <v>0</v>
      </c>
      <c r="G52" s="33">
        <f>+productos[[#This Row],[Entradas]]+productos[[#This Row],[Existencias iniciales]]-productos[[#This Row],[Salidas menudeo]]-productos[[#This Row],[Salidas mayoreo2]]</f>
        <v>0</v>
      </c>
      <c r="H52" s="1"/>
      <c r="L52" t="e">
        <f>VLOOKUP(salidas[[#This Row],[Codigo de producto]],productos[],2,FALSE)</f>
        <v>#N/A</v>
      </c>
      <c r="N52" s="10">
        <f>+salidas[[#This Row],[Cantidad]]*salidas[[#This Row],[Precio U.]]</f>
        <v>0</v>
      </c>
      <c r="P52" s="1"/>
      <c r="T52" t="e">
        <f>VLOOKUP(entradas[[#This Row],[Codigo de producto]],productos[],2,FALSE)</f>
        <v>#N/A</v>
      </c>
      <c r="V52" s="1"/>
    </row>
    <row r="53" spans="1:22" x14ac:dyDescent="0.35">
      <c r="A53" s="3" t="s">
        <v>85</v>
      </c>
      <c r="B53" s="4" t="s">
        <v>174</v>
      </c>
      <c r="C53" s="4"/>
      <c r="D53" s="4">
        <f>SUMIF(entradas[Codigo de producto],productos[[#This Row],[Codigo de producto]],entradas[Cantidad])</f>
        <v>0</v>
      </c>
      <c r="E53" s="4">
        <f>SUMIF(salidas[Codigo de producto],productos[[#This Row],[Codigo de producto]],salidas[Cantidad])</f>
        <v>0</v>
      </c>
      <c r="F53" s="5">
        <f>SUMIF(salidas2[Codigo de producto],productos[[#This Row],[Codigo de producto]],salidas2[Cantidad])</f>
        <v>0</v>
      </c>
      <c r="G53" s="33">
        <f>+productos[[#This Row],[Entradas]]+productos[[#This Row],[Existencias iniciales]]-productos[[#This Row],[Salidas menudeo]]-productos[[#This Row],[Salidas mayoreo2]]</f>
        <v>0</v>
      </c>
      <c r="H53" s="1"/>
      <c r="L53" t="e">
        <f>VLOOKUP(salidas[[#This Row],[Codigo de producto]],productos[],2,FALSE)</f>
        <v>#N/A</v>
      </c>
      <c r="N53" s="10">
        <f>+salidas[[#This Row],[Cantidad]]*salidas[[#This Row],[Precio U.]]</f>
        <v>0</v>
      </c>
      <c r="P53" s="1"/>
      <c r="T53" t="e">
        <f>VLOOKUP(entradas[[#This Row],[Codigo de producto]],productos[],2,FALSE)</f>
        <v>#N/A</v>
      </c>
      <c r="V53" s="1"/>
    </row>
    <row r="54" spans="1:22" x14ac:dyDescent="0.35">
      <c r="A54" s="3" t="s">
        <v>86</v>
      </c>
      <c r="B54" s="4" t="s">
        <v>175</v>
      </c>
      <c r="C54" s="4"/>
      <c r="D54" s="4">
        <f>SUMIF(entradas[Codigo de producto],productos[[#This Row],[Codigo de producto]],entradas[Cantidad])</f>
        <v>0</v>
      </c>
      <c r="E54" s="4">
        <f>SUMIF(salidas[Codigo de producto],productos[[#This Row],[Codigo de producto]],salidas[Cantidad])</f>
        <v>0</v>
      </c>
      <c r="F54" s="5">
        <f>SUMIF(salidas2[Codigo de producto],productos[[#This Row],[Codigo de producto]],salidas2[Cantidad])</f>
        <v>0</v>
      </c>
      <c r="G54" s="33">
        <f>+productos[[#This Row],[Entradas]]+productos[[#This Row],[Existencias iniciales]]-productos[[#This Row],[Salidas menudeo]]-productos[[#This Row],[Salidas mayoreo2]]</f>
        <v>0</v>
      </c>
      <c r="H54" s="1"/>
      <c r="L54" t="e">
        <f>VLOOKUP(salidas[[#This Row],[Codigo de producto]],productos[],2,FALSE)</f>
        <v>#N/A</v>
      </c>
      <c r="N54" s="10">
        <f>+salidas[[#This Row],[Cantidad]]*salidas[[#This Row],[Precio U.]]</f>
        <v>0</v>
      </c>
      <c r="P54" s="1"/>
      <c r="T54" t="e">
        <f>VLOOKUP(entradas[[#This Row],[Codigo de producto]],productos[],2,FALSE)</f>
        <v>#N/A</v>
      </c>
      <c r="V54" s="1"/>
    </row>
    <row r="55" spans="1:22" x14ac:dyDescent="0.35">
      <c r="A55" s="3" t="s">
        <v>87</v>
      </c>
      <c r="B55" s="4" t="s">
        <v>176</v>
      </c>
      <c r="C55" s="4"/>
      <c r="D55" s="4">
        <f>SUMIF(entradas[Codigo de producto],productos[[#This Row],[Codigo de producto]],entradas[Cantidad])</f>
        <v>0</v>
      </c>
      <c r="E55" s="4">
        <f>SUMIF(salidas[Codigo de producto],productos[[#This Row],[Codigo de producto]],salidas[Cantidad])</f>
        <v>0</v>
      </c>
      <c r="F55" s="5">
        <f>SUMIF(salidas2[Codigo de producto],productos[[#This Row],[Codigo de producto]],salidas2[Cantidad])</f>
        <v>0</v>
      </c>
      <c r="G55" s="33">
        <f>+productos[[#This Row],[Entradas]]+productos[[#This Row],[Existencias iniciales]]-productos[[#This Row],[Salidas menudeo]]-productos[[#This Row],[Salidas mayoreo2]]</f>
        <v>0</v>
      </c>
      <c r="H55" s="1"/>
      <c r="L55" t="e">
        <f>VLOOKUP(salidas[[#This Row],[Codigo de producto]],productos[],2,FALSE)</f>
        <v>#N/A</v>
      </c>
      <c r="N55" s="10">
        <f>+salidas[[#This Row],[Cantidad]]*salidas[[#This Row],[Precio U.]]</f>
        <v>0</v>
      </c>
      <c r="P55" s="1"/>
      <c r="T55" t="e">
        <f>VLOOKUP(entradas[[#This Row],[Codigo de producto]],productos[],2,FALSE)</f>
        <v>#N/A</v>
      </c>
      <c r="V55" s="1"/>
    </row>
    <row r="56" spans="1:22" x14ac:dyDescent="0.35">
      <c r="A56" s="3" t="s">
        <v>88</v>
      </c>
      <c r="B56" s="4" t="s">
        <v>177</v>
      </c>
      <c r="C56" s="4"/>
      <c r="D56" s="4">
        <f>SUMIF(entradas[Codigo de producto],productos[[#This Row],[Codigo de producto]],entradas[Cantidad])</f>
        <v>0</v>
      </c>
      <c r="E56" s="4">
        <f>SUMIF(salidas[Codigo de producto],productos[[#This Row],[Codigo de producto]],salidas[Cantidad])</f>
        <v>0</v>
      </c>
      <c r="F56" s="5">
        <f>SUMIF(salidas2[Codigo de producto],productos[[#This Row],[Codigo de producto]],salidas2[Cantidad])</f>
        <v>0</v>
      </c>
      <c r="G56" s="33">
        <f>+productos[[#This Row],[Entradas]]+productos[[#This Row],[Existencias iniciales]]-productos[[#This Row],[Salidas menudeo]]-productos[[#This Row],[Salidas mayoreo2]]</f>
        <v>0</v>
      </c>
      <c r="H56" s="1"/>
      <c r="L56" t="e">
        <f>VLOOKUP(salidas[[#This Row],[Codigo de producto]],productos[],2,FALSE)</f>
        <v>#N/A</v>
      </c>
      <c r="N56" s="10">
        <f>+salidas[[#This Row],[Cantidad]]*salidas[[#This Row],[Precio U.]]</f>
        <v>0</v>
      </c>
      <c r="P56" s="1"/>
      <c r="T56" t="e">
        <f>VLOOKUP(entradas[[#This Row],[Codigo de producto]],productos[],2,FALSE)</f>
        <v>#N/A</v>
      </c>
      <c r="V56" s="1"/>
    </row>
    <row r="57" spans="1:22" x14ac:dyDescent="0.35">
      <c r="A57" s="3" t="s">
        <v>89</v>
      </c>
      <c r="B57" s="4" t="s">
        <v>178</v>
      </c>
      <c r="C57" s="4"/>
      <c r="D57" s="4">
        <f>SUMIF(entradas[Codigo de producto],productos[[#This Row],[Codigo de producto]],entradas[Cantidad])</f>
        <v>0</v>
      </c>
      <c r="E57" s="4">
        <f>SUMIF(salidas[Codigo de producto],productos[[#This Row],[Codigo de producto]],salidas[Cantidad])</f>
        <v>0</v>
      </c>
      <c r="F57" s="5">
        <f>SUMIF(salidas2[Codigo de producto],productos[[#This Row],[Codigo de producto]],salidas2[Cantidad])</f>
        <v>0</v>
      </c>
      <c r="G57" s="33">
        <f>+productos[[#This Row],[Entradas]]+productos[[#This Row],[Existencias iniciales]]-productos[[#This Row],[Salidas menudeo]]-productos[[#This Row],[Salidas mayoreo2]]</f>
        <v>0</v>
      </c>
      <c r="H57" s="1"/>
      <c r="L57" t="e">
        <f>VLOOKUP(salidas[[#This Row],[Codigo de producto]],productos[],2,FALSE)</f>
        <v>#N/A</v>
      </c>
      <c r="N57" s="10">
        <f>+salidas[[#This Row],[Cantidad]]*salidas[[#This Row],[Precio U.]]</f>
        <v>0</v>
      </c>
      <c r="P57" s="1"/>
      <c r="T57" t="e">
        <f>VLOOKUP(entradas[[#This Row],[Codigo de producto]],productos[],2,FALSE)</f>
        <v>#N/A</v>
      </c>
      <c r="V57" s="1"/>
    </row>
    <row r="58" spans="1:22" x14ac:dyDescent="0.35">
      <c r="A58" s="3" t="s">
        <v>90</v>
      </c>
      <c r="B58" s="4" t="s">
        <v>179</v>
      </c>
      <c r="C58" s="4"/>
      <c r="D58" s="4">
        <f>SUMIF(entradas[Codigo de producto],productos[[#This Row],[Codigo de producto]],entradas[Cantidad])</f>
        <v>0</v>
      </c>
      <c r="E58" s="4">
        <f>SUMIF(salidas[Codigo de producto],productos[[#This Row],[Codigo de producto]],salidas[Cantidad])</f>
        <v>0</v>
      </c>
      <c r="F58" s="5">
        <f>SUMIF(salidas2[Codigo de producto],productos[[#This Row],[Codigo de producto]],salidas2[Cantidad])</f>
        <v>0</v>
      </c>
      <c r="G58" s="33">
        <f>+productos[[#This Row],[Entradas]]+productos[[#This Row],[Existencias iniciales]]-productos[[#This Row],[Salidas menudeo]]-productos[[#This Row],[Salidas mayoreo2]]</f>
        <v>0</v>
      </c>
      <c r="H58" s="1"/>
      <c r="L58" t="e">
        <f>VLOOKUP(salidas[[#This Row],[Codigo de producto]],productos[],2,FALSE)</f>
        <v>#N/A</v>
      </c>
      <c r="N58" s="10">
        <f>+salidas[[#This Row],[Cantidad]]*salidas[[#This Row],[Precio U.]]</f>
        <v>0</v>
      </c>
      <c r="P58" s="1"/>
      <c r="T58" t="e">
        <f>VLOOKUP(entradas[[#This Row],[Codigo de producto]],productos[],2,FALSE)</f>
        <v>#N/A</v>
      </c>
      <c r="V58" s="1"/>
    </row>
    <row r="59" spans="1:22" x14ac:dyDescent="0.35">
      <c r="A59" s="3" t="s">
        <v>91</v>
      </c>
      <c r="B59" s="4" t="s">
        <v>180</v>
      </c>
      <c r="C59" s="4"/>
      <c r="D59" s="4">
        <f>SUMIF(entradas[Codigo de producto],productos[[#This Row],[Codigo de producto]],entradas[Cantidad])</f>
        <v>0</v>
      </c>
      <c r="E59" s="4">
        <f>SUMIF(salidas[Codigo de producto],productos[[#This Row],[Codigo de producto]],salidas[Cantidad])</f>
        <v>0</v>
      </c>
      <c r="F59" s="5">
        <f>SUMIF(salidas2[Codigo de producto],productos[[#This Row],[Codigo de producto]],salidas2[Cantidad])</f>
        <v>0</v>
      </c>
      <c r="G59" s="33">
        <f>+productos[[#This Row],[Entradas]]+productos[[#This Row],[Existencias iniciales]]-productos[[#This Row],[Salidas menudeo]]-productos[[#This Row],[Salidas mayoreo2]]</f>
        <v>0</v>
      </c>
      <c r="H59" s="1"/>
      <c r="L59" t="e">
        <f>VLOOKUP(salidas[[#This Row],[Codigo de producto]],productos[],2,FALSE)</f>
        <v>#N/A</v>
      </c>
      <c r="N59" s="10">
        <f>+salidas[[#This Row],[Cantidad]]*salidas[[#This Row],[Precio U.]]</f>
        <v>0</v>
      </c>
      <c r="P59" s="1"/>
      <c r="T59" t="e">
        <f>VLOOKUP(entradas[[#This Row],[Codigo de producto]],productos[],2,FALSE)</f>
        <v>#N/A</v>
      </c>
      <c r="V59" s="1"/>
    </row>
    <row r="60" spans="1:22" x14ac:dyDescent="0.35">
      <c r="A60" s="3" t="s">
        <v>92</v>
      </c>
      <c r="B60" s="4" t="s">
        <v>181</v>
      </c>
      <c r="C60" s="4"/>
      <c r="D60" s="4">
        <f>SUMIF(entradas[Codigo de producto],productos[[#This Row],[Codigo de producto]],entradas[Cantidad])</f>
        <v>0</v>
      </c>
      <c r="E60" s="4">
        <f>SUMIF(salidas[Codigo de producto],productos[[#This Row],[Codigo de producto]],salidas[Cantidad])</f>
        <v>0</v>
      </c>
      <c r="F60" s="5">
        <f>SUMIF(salidas2[Codigo de producto],productos[[#This Row],[Codigo de producto]],salidas2[Cantidad])</f>
        <v>0</v>
      </c>
      <c r="G60" s="33">
        <f>+productos[[#This Row],[Entradas]]+productos[[#This Row],[Existencias iniciales]]-productos[[#This Row],[Salidas menudeo]]-productos[[#This Row],[Salidas mayoreo2]]</f>
        <v>0</v>
      </c>
      <c r="H60" s="1"/>
      <c r="L60" t="e">
        <f>VLOOKUP(salidas[[#This Row],[Codigo de producto]],productos[],2,FALSE)</f>
        <v>#N/A</v>
      </c>
      <c r="N60" s="10">
        <f>+salidas[[#This Row],[Cantidad]]*salidas[[#This Row],[Precio U.]]</f>
        <v>0</v>
      </c>
      <c r="P60" s="1"/>
      <c r="T60" t="e">
        <f>VLOOKUP(entradas[[#This Row],[Codigo de producto]],productos[],2,FALSE)</f>
        <v>#N/A</v>
      </c>
      <c r="V60" s="1"/>
    </row>
    <row r="61" spans="1:22" x14ac:dyDescent="0.35">
      <c r="A61" s="3" t="s">
        <v>93</v>
      </c>
      <c r="B61" s="4" t="s">
        <v>182</v>
      </c>
      <c r="C61" s="4"/>
      <c r="D61" s="4">
        <f>SUMIF(entradas[Codigo de producto],productos[[#This Row],[Codigo de producto]],entradas[Cantidad])</f>
        <v>0</v>
      </c>
      <c r="E61" s="4">
        <f>SUMIF(salidas[Codigo de producto],productos[[#This Row],[Codigo de producto]],salidas[Cantidad])</f>
        <v>0</v>
      </c>
      <c r="F61" s="5">
        <f>SUMIF(salidas2[Codigo de producto],productos[[#This Row],[Codigo de producto]],salidas2[Cantidad])</f>
        <v>0</v>
      </c>
      <c r="G61" s="33">
        <f>+productos[[#This Row],[Entradas]]+productos[[#This Row],[Existencias iniciales]]-productos[[#This Row],[Salidas menudeo]]-productos[[#This Row],[Salidas mayoreo2]]</f>
        <v>0</v>
      </c>
      <c r="H61" s="1"/>
      <c r="L61" t="e">
        <f>VLOOKUP(salidas[[#This Row],[Codigo de producto]],productos[],2,FALSE)</f>
        <v>#N/A</v>
      </c>
      <c r="N61" s="10">
        <f>+salidas[[#This Row],[Cantidad]]*salidas[[#This Row],[Precio U.]]</f>
        <v>0</v>
      </c>
      <c r="P61" s="1"/>
      <c r="T61" t="e">
        <f>VLOOKUP(entradas[[#This Row],[Codigo de producto]],productos[],2,FALSE)</f>
        <v>#N/A</v>
      </c>
      <c r="V61" s="1"/>
    </row>
    <row r="62" spans="1:22" x14ac:dyDescent="0.35">
      <c r="A62" s="3" t="s">
        <v>94</v>
      </c>
      <c r="B62" s="4" t="s">
        <v>183</v>
      </c>
      <c r="C62" s="4"/>
      <c r="D62" s="4">
        <f>SUMIF(entradas[Codigo de producto],productos[[#This Row],[Codigo de producto]],entradas[Cantidad])</f>
        <v>0</v>
      </c>
      <c r="E62" s="4">
        <f>SUMIF(salidas[Codigo de producto],productos[[#This Row],[Codigo de producto]],salidas[Cantidad])</f>
        <v>0</v>
      </c>
      <c r="F62" s="5">
        <f>SUMIF(salidas2[Codigo de producto],productos[[#This Row],[Codigo de producto]],salidas2[Cantidad])</f>
        <v>0</v>
      </c>
      <c r="G62" s="33">
        <f>+productos[[#This Row],[Entradas]]+productos[[#This Row],[Existencias iniciales]]-productos[[#This Row],[Salidas menudeo]]-productos[[#This Row],[Salidas mayoreo2]]</f>
        <v>0</v>
      </c>
      <c r="H62" s="1"/>
      <c r="L62" t="e">
        <f>VLOOKUP(salidas[[#This Row],[Codigo de producto]],productos[],2,FALSE)</f>
        <v>#N/A</v>
      </c>
      <c r="N62" s="10">
        <f>+salidas[[#This Row],[Cantidad]]*salidas[[#This Row],[Precio U.]]</f>
        <v>0</v>
      </c>
      <c r="P62" s="1"/>
      <c r="T62" t="e">
        <f>VLOOKUP(entradas[[#This Row],[Codigo de producto]],productos[],2,FALSE)</f>
        <v>#N/A</v>
      </c>
      <c r="V62" s="1"/>
    </row>
    <row r="63" spans="1:22" x14ac:dyDescent="0.35">
      <c r="A63" s="3" t="s">
        <v>95</v>
      </c>
      <c r="B63" s="4" t="s">
        <v>184</v>
      </c>
      <c r="C63" s="4"/>
      <c r="D63" s="4">
        <f>SUMIF(entradas[Codigo de producto],productos[[#This Row],[Codigo de producto]],entradas[Cantidad])</f>
        <v>0</v>
      </c>
      <c r="E63" s="4">
        <f>SUMIF(salidas[Codigo de producto],productos[[#This Row],[Codigo de producto]],salidas[Cantidad])</f>
        <v>0</v>
      </c>
      <c r="F63" s="5">
        <f>SUMIF(salidas2[Codigo de producto],productos[[#This Row],[Codigo de producto]],salidas2[Cantidad])</f>
        <v>0</v>
      </c>
      <c r="G63" s="33">
        <f>+productos[[#This Row],[Entradas]]+productos[[#This Row],[Existencias iniciales]]-productos[[#This Row],[Salidas menudeo]]-productos[[#This Row],[Salidas mayoreo2]]</f>
        <v>0</v>
      </c>
      <c r="H63" s="1"/>
      <c r="L63" t="e">
        <f>VLOOKUP(salidas[[#This Row],[Codigo de producto]],productos[],2,FALSE)</f>
        <v>#N/A</v>
      </c>
      <c r="N63" s="10">
        <f>+salidas[[#This Row],[Cantidad]]*salidas[[#This Row],[Precio U.]]</f>
        <v>0</v>
      </c>
      <c r="P63" s="1"/>
      <c r="T63" t="e">
        <f>VLOOKUP(entradas[[#This Row],[Codigo de producto]],productos[],2,FALSE)</f>
        <v>#N/A</v>
      </c>
      <c r="V63" s="1"/>
    </row>
    <row r="64" spans="1:22" x14ac:dyDescent="0.35">
      <c r="A64" s="3" t="s">
        <v>96</v>
      </c>
      <c r="B64" s="4" t="s">
        <v>185</v>
      </c>
      <c r="C64" s="4"/>
      <c r="D64" s="4">
        <f>SUMIF(entradas[Codigo de producto],productos[[#This Row],[Codigo de producto]],entradas[Cantidad])</f>
        <v>0</v>
      </c>
      <c r="E64" s="4">
        <f>SUMIF(salidas[Codigo de producto],productos[[#This Row],[Codigo de producto]],salidas[Cantidad])</f>
        <v>0</v>
      </c>
      <c r="F64" s="5">
        <f>SUMIF(salidas2[Codigo de producto],productos[[#This Row],[Codigo de producto]],salidas2[Cantidad])</f>
        <v>0</v>
      </c>
      <c r="G64" s="33">
        <f>+productos[[#This Row],[Entradas]]+productos[[#This Row],[Existencias iniciales]]-productos[[#This Row],[Salidas menudeo]]-productos[[#This Row],[Salidas mayoreo2]]</f>
        <v>0</v>
      </c>
      <c r="H64" s="1"/>
      <c r="L64" t="e">
        <f>VLOOKUP(salidas[[#This Row],[Codigo de producto]],productos[],2,FALSE)</f>
        <v>#N/A</v>
      </c>
      <c r="N64" s="10">
        <f>+salidas[[#This Row],[Cantidad]]*salidas[[#This Row],[Precio U.]]</f>
        <v>0</v>
      </c>
      <c r="P64" s="1"/>
      <c r="T64" t="e">
        <f>VLOOKUP(entradas[[#This Row],[Codigo de producto]],productos[],2,FALSE)</f>
        <v>#N/A</v>
      </c>
      <c r="V64" s="1"/>
    </row>
    <row r="65" spans="1:22" x14ac:dyDescent="0.35">
      <c r="A65" s="3" t="s">
        <v>97</v>
      </c>
      <c r="B65" s="4" t="s">
        <v>186</v>
      </c>
      <c r="C65" s="4"/>
      <c r="D65" s="4">
        <f>SUMIF(entradas[Codigo de producto],productos[[#This Row],[Codigo de producto]],entradas[Cantidad])</f>
        <v>0</v>
      </c>
      <c r="E65" s="4">
        <f>SUMIF(salidas[Codigo de producto],productos[[#This Row],[Codigo de producto]],salidas[Cantidad])</f>
        <v>0</v>
      </c>
      <c r="F65" s="5">
        <f>SUMIF(salidas2[Codigo de producto],productos[[#This Row],[Codigo de producto]],salidas2[Cantidad])</f>
        <v>0</v>
      </c>
      <c r="G65" s="33">
        <f>+productos[[#This Row],[Entradas]]+productos[[#This Row],[Existencias iniciales]]-productos[[#This Row],[Salidas menudeo]]-productos[[#This Row],[Salidas mayoreo2]]</f>
        <v>0</v>
      </c>
      <c r="H65" s="1"/>
      <c r="L65" t="e">
        <f>VLOOKUP(salidas[[#This Row],[Codigo de producto]],productos[],2,FALSE)</f>
        <v>#N/A</v>
      </c>
      <c r="N65" s="10">
        <f>+salidas[[#This Row],[Cantidad]]*salidas[[#This Row],[Precio U.]]</f>
        <v>0</v>
      </c>
      <c r="P65" s="1"/>
      <c r="T65" t="e">
        <f>VLOOKUP(entradas[[#This Row],[Codigo de producto]],productos[],2,FALSE)</f>
        <v>#N/A</v>
      </c>
      <c r="V65" s="1"/>
    </row>
    <row r="66" spans="1:22" x14ac:dyDescent="0.35">
      <c r="A66" s="3" t="s">
        <v>98</v>
      </c>
      <c r="B66" s="4" t="s">
        <v>187</v>
      </c>
      <c r="C66" s="4"/>
      <c r="D66" s="4">
        <f>SUMIF(entradas[Codigo de producto],productos[[#This Row],[Codigo de producto]],entradas[Cantidad])</f>
        <v>0</v>
      </c>
      <c r="E66" s="4">
        <f>SUMIF(salidas[Codigo de producto],productos[[#This Row],[Codigo de producto]],salidas[Cantidad])</f>
        <v>0</v>
      </c>
      <c r="F66" s="5">
        <f>SUMIF(salidas2[Codigo de producto],productos[[#This Row],[Codigo de producto]],salidas2[Cantidad])</f>
        <v>0</v>
      </c>
      <c r="G66" s="33">
        <f>+productos[[#This Row],[Entradas]]+productos[[#This Row],[Existencias iniciales]]-productos[[#This Row],[Salidas menudeo]]-productos[[#This Row],[Salidas mayoreo2]]</f>
        <v>0</v>
      </c>
      <c r="H66" s="1"/>
      <c r="L66" t="e">
        <f>VLOOKUP(salidas[[#This Row],[Codigo de producto]],productos[],2,FALSE)</f>
        <v>#N/A</v>
      </c>
      <c r="N66" s="10">
        <f>+salidas[[#This Row],[Cantidad]]*salidas[[#This Row],[Precio U.]]</f>
        <v>0</v>
      </c>
      <c r="P66" s="1"/>
      <c r="T66" t="e">
        <f>VLOOKUP(entradas[[#This Row],[Codigo de producto]],productos[],2,FALSE)</f>
        <v>#N/A</v>
      </c>
      <c r="V66" s="1"/>
    </row>
    <row r="67" spans="1:22" x14ac:dyDescent="0.35">
      <c r="A67" s="3" t="s">
        <v>99</v>
      </c>
      <c r="B67" s="4" t="s">
        <v>188</v>
      </c>
      <c r="C67" s="4"/>
      <c r="D67" s="4">
        <f>SUMIF(entradas[Codigo de producto],productos[[#This Row],[Codigo de producto]],entradas[Cantidad])</f>
        <v>0</v>
      </c>
      <c r="E67" s="4">
        <f>SUMIF(salidas[Codigo de producto],productos[[#This Row],[Codigo de producto]],salidas[Cantidad])</f>
        <v>0</v>
      </c>
      <c r="F67" s="5">
        <f>SUMIF(salidas2[Codigo de producto],productos[[#This Row],[Codigo de producto]],salidas2[Cantidad])</f>
        <v>0</v>
      </c>
      <c r="G67" s="33">
        <f>+productos[[#This Row],[Entradas]]+productos[[#This Row],[Existencias iniciales]]-productos[[#This Row],[Salidas menudeo]]-productos[[#This Row],[Salidas mayoreo2]]</f>
        <v>0</v>
      </c>
      <c r="H67" s="1"/>
      <c r="L67" t="e">
        <f>VLOOKUP(salidas[[#This Row],[Codigo de producto]],productos[],2,FALSE)</f>
        <v>#N/A</v>
      </c>
      <c r="N67" s="10">
        <f>+salidas[[#This Row],[Cantidad]]*salidas[[#This Row],[Precio U.]]</f>
        <v>0</v>
      </c>
      <c r="P67" s="1"/>
      <c r="T67" t="e">
        <f>VLOOKUP(entradas[[#This Row],[Codigo de producto]],productos[],2,FALSE)</f>
        <v>#N/A</v>
      </c>
      <c r="V67" s="1"/>
    </row>
    <row r="68" spans="1:22" x14ac:dyDescent="0.35">
      <c r="A68" s="3" t="s">
        <v>100</v>
      </c>
      <c r="B68" s="4" t="s">
        <v>189</v>
      </c>
      <c r="C68" s="4"/>
      <c r="D68" s="4">
        <f>SUMIF(entradas[Codigo de producto],productos[[#This Row],[Codigo de producto]],entradas[Cantidad])</f>
        <v>0</v>
      </c>
      <c r="E68" s="4">
        <f>SUMIF(salidas[Codigo de producto],productos[[#This Row],[Codigo de producto]],salidas[Cantidad])</f>
        <v>0</v>
      </c>
      <c r="F68" s="5">
        <f>SUMIF(salidas2[Codigo de producto],productos[[#This Row],[Codigo de producto]],salidas2[Cantidad])</f>
        <v>0</v>
      </c>
      <c r="G68" s="33">
        <f>+productos[[#This Row],[Entradas]]+productos[[#This Row],[Existencias iniciales]]-productos[[#This Row],[Salidas menudeo]]-productos[[#This Row],[Salidas mayoreo2]]</f>
        <v>0</v>
      </c>
      <c r="H68" s="1"/>
      <c r="L68" t="e">
        <f>VLOOKUP(salidas[[#This Row],[Codigo de producto]],productos[],2,FALSE)</f>
        <v>#N/A</v>
      </c>
      <c r="N68" s="10">
        <f>+salidas[[#This Row],[Cantidad]]*salidas[[#This Row],[Precio U.]]</f>
        <v>0</v>
      </c>
      <c r="P68" s="1"/>
      <c r="T68" t="e">
        <f>VLOOKUP(entradas[[#This Row],[Codigo de producto]],productos[],2,FALSE)</f>
        <v>#N/A</v>
      </c>
      <c r="V68" s="1"/>
    </row>
    <row r="69" spans="1:22" x14ac:dyDescent="0.35">
      <c r="A69" s="3" t="s">
        <v>101</v>
      </c>
      <c r="B69" s="4" t="s">
        <v>190</v>
      </c>
      <c r="C69" s="4"/>
      <c r="D69" s="4">
        <f>SUMIF(entradas[Codigo de producto],productos[[#This Row],[Codigo de producto]],entradas[Cantidad])</f>
        <v>0</v>
      </c>
      <c r="E69" s="4">
        <f>SUMIF(salidas[Codigo de producto],productos[[#This Row],[Codigo de producto]],salidas[Cantidad])</f>
        <v>0</v>
      </c>
      <c r="F69" s="5">
        <f>SUMIF(salidas2[Codigo de producto],productos[[#This Row],[Codigo de producto]],salidas2[Cantidad])</f>
        <v>0</v>
      </c>
      <c r="G69" s="33">
        <f>+productos[[#This Row],[Entradas]]+productos[[#This Row],[Existencias iniciales]]-productos[[#This Row],[Salidas menudeo]]-productos[[#This Row],[Salidas mayoreo2]]</f>
        <v>0</v>
      </c>
      <c r="H69" s="1"/>
      <c r="L69" t="e">
        <f>VLOOKUP(salidas[[#This Row],[Codigo de producto]],productos[],2,FALSE)</f>
        <v>#N/A</v>
      </c>
      <c r="N69" s="10">
        <f>+salidas[[#This Row],[Cantidad]]*salidas[[#This Row],[Precio U.]]</f>
        <v>0</v>
      </c>
      <c r="P69" s="1"/>
      <c r="T69" t="e">
        <f>VLOOKUP(entradas[[#This Row],[Codigo de producto]],productos[],2,FALSE)</f>
        <v>#N/A</v>
      </c>
      <c r="V69" s="1"/>
    </row>
    <row r="70" spans="1:22" x14ac:dyDescent="0.35">
      <c r="A70" s="3" t="s">
        <v>102</v>
      </c>
      <c r="B70" s="4" t="s">
        <v>191</v>
      </c>
      <c r="C70" s="4"/>
      <c r="D70" s="4">
        <f>SUMIF(entradas[Codigo de producto],productos[[#This Row],[Codigo de producto]],entradas[Cantidad])</f>
        <v>0</v>
      </c>
      <c r="E70" s="4">
        <f>SUMIF(salidas[Codigo de producto],productos[[#This Row],[Codigo de producto]],salidas[Cantidad])</f>
        <v>0</v>
      </c>
      <c r="F70" s="5">
        <f>SUMIF(salidas2[Codigo de producto],productos[[#This Row],[Codigo de producto]],salidas2[Cantidad])</f>
        <v>0</v>
      </c>
      <c r="G70" s="33">
        <f>+productos[[#This Row],[Entradas]]+productos[[#This Row],[Existencias iniciales]]-productos[[#This Row],[Salidas menudeo]]-productos[[#This Row],[Salidas mayoreo2]]</f>
        <v>0</v>
      </c>
      <c r="H70" s="1"/>
      <c r="L70" t="e">
        <f>VLOOKUP(salidas[[#This Row],[Codigo de producto]],productos[],2,FALSE)</f>
        <v>#N/A</v>
      </c>
      <c r="N70" s="10">
        <f>+salidas[[#This Row],[Cantidad]]*salidas[[#This Row],[Precio U.]]</f>
        <v>0</v>
      </c>
      <c r="P70" s="1"/>
      <c r="T70" t="e">
        <f>VLOOKUP(entradas[[#This Row],[Codigo de producto]],productos[],2,FALSE)</f>
        <v>#N/A</v>
      </c>
      <c r="V70" s="1"/>
    </row>
    <row r="71" spans="1:22" x14ac:dyDescent="0.35">
      <c r="A71" s="3" t="s">
        <v>103</v>
      </c>
      <c r="B71" s="4" t="s">
        <v>192</v>
      </c>
      <c r="C71" s="4"/>
      <c r="D71" s="4">
        <f>SUMIF(entradas[Codigo de producto],productos[[#This Row],[Codigo de producto]],entradas[Cantidad])</f>
        <v>0</v>
      </c>
      <c r="E71" s="4">
        <f>SUMIF(salidas[Codigo de producto],productos[[#This Row],[Codigo de producto]],salidas[Cantidad])</f>
        <v>0</v>
      </c>
      <c r="F71" s="5">
        <f>SUMIF(salidas2[Codigo de producto],productos[[#This Row],[Codigo de producto]],salidas2[Cantidad])</f>
        <v>0</v>
      </c>
      <c r="G71" s="33">
        <f>+productos[[#This Row],[Entradas]]+productos[[#This Row],[Existencias iniciales]]-productos[[#This Row],[Salidas menudeo]]-productos[[#This Row],[Salidas mayoreo2]]</f>
        <v>0</v>
      </c>
      <c r="H71" s="1"/>
      <c r="L71" t="e">
        <f>VLOOKUP(salidas[[#This Row],[Codigo de producto]],productos[],2,FALSE)</f>
        <v>#N/A</v>
      </c>
      <c r="N71" s="10">
        <f>+salidas[[#This Row],[Cantidad]]*salidas[[#This Row],[Precio U.]]</f>
        <v>0</v>
      </c>
      <c r="P71" s="1"/>
      <c r="T71" t="e">
        <f>VLOOKUP(entradas[[#This Row],[Codigo de producto]],productos[],2,FALSE)</f>
        <v>#N/A</v>
      </c>
      <c r="V71" s="1"/>
    </row>
    <row r="72" spans="1:22" x14ac:dyDescent="0.35">
      <c r="A72" s="3" t="s">
        <v>104</v>
      </c>
      <c r="B72" s="4" t="s">
        <v>193</v>
      </c>
      <c r="C72" s="4"/>
      <c r="D72" s="4">
        <f>SUMIF(entradas[Codigo de producto],productos[[#This Row],[Codigo de producto]],entradas[Cantidad])</f>
        <v>0</v>
      </c>
      <c r="E72" s="4">
        <f>SUMIF(salidas[Codigo de producto],productos[[#This Row],[Codigo de producto]],salidas[Cantidad])</f>
        <v>0</v>
      </c>
      <c r="F72" s="5">
        <f>SUMIF(salidas2[Codigo de producto],productos[[#This Row],[Codigo de producto]],salidas2[Cantidad])</f>
        <v>0</v>
      </c>
      <c r="G72" s="33">
        <f>+productos[[#This Row],[Entradas]]+productos[[#This Row],[Existencias iniciales]]-productos[[#This Row],[Salidas menudeo]]-productos[[#This Row],[Salidas mayoreo2]]</f>
        <v>0</v>
      </c>
      <c r="H72" s="1"/>
      <c r="L72" t="e">
        <f>VLOOKUP(salidas[[#This Row],[Codigo de producto]],productos[],2,FALSE)</f>
        <v>#N/A</v>
      </c>
      <c r="N72" s="10">
        <f>+salidas[[#This Row],[Cantidad]]*salidas[[#This Row],[Precio U.]]</f>
        <v>0</v>
      </c>
      <c r="P72" s="1"/>
      <c r="T72" t="e">
        <f>VLOOKUP(entradas[[#This Row],[Codigo de producto]],productos[],2,FALSE)</f>
        <v>#N/A</v>
      </c>
      <c r="V72" s="1"/>
    </row>
    <row r="73" spans="1:22" x14ac:dyDescent="0.35">
      <c r="A73" s="3" t="s">
        <v>105</v>
      </c>
      <c r="B73" s="4" t="s">
        <v>194</v>
      </c>
      <c r="C73" s="4"/>
      <c r="D73" s="4">
        <f>SUMIF(entradas[Codigo de producto],productos[[#This Row],[Codigo de producto]],entradas[Cantidad])</f>
        <v>0</v>
      </c>
      <c r="E73" s="4">
        <f>SUMIF(salidas[Codigo de producto],productos[[#This Row],[Codigo de producto]],salidas[Cantidad])</f>
        <v>0</v>
      </c>
      <c r="F73" s="5">
        <f>SUMIF(salidas2[Codigo de producto],productos[[#This Row],[Codigo de producto]],salidas2[Cantidad])</f>
        <v>0</v>
      </c>
      <c r="G73" s="33">
        <f>+productos[[#This Row],[Entradas]]+productos[[#This Row],[Existencias iniciales]]-productos[[#This Row],[Salidas menudeo]]-productos[[#This Row],[Salidas mayoreo2]]</f>
        <v>0</v>
      </c>
      <c r="H73" s="1"/>
      <c r="L73" t="e">
        <f>VLOOKUP(salidas[[#This Row],[Codigo de producto]],productos[],2,FALSE)</f>
        <v>#N/A</v>
      </c>
      <c r="N73" s="10">
        <f>+salidas[[#This Row],[Cantidad]]*salidas[[#This Row],[Precio U.]]</f>
        <v>0</v>
      </c>
      <c r="P73" s="1"/>
      <c r="T73" t="e">
        <f>VLOOKUP(entradas[[#This Row],[Codigo de producto]],productos[],2,FALSE)</f>
        <v>#N/A</v>
      </c>
      <c r="V73" s="1"/>
    </row>
    <row r="74" spans="1:22" x14ac:dyDescent="0.35">
      <c r="A74" s="3" t="s">
        <v>106</v>
      </c>
      <c r="B74" s="4" t="s">
        <v>195</v>
      </c>
      <c r="C74" s="4"/>
      <c r="D74" s="4">
        <f>SUMIF(entradas[Codigo de producto],productos[[#This Row],[Codigo de producto]],entradas[Cantidad])</f>
        <v>0</v>
      </c>
      <c r="E74" s="4">
        <f>SUMIF(salidas[Codigo de producto],productos[[#This Row],[Codigo de producto]],salidas[Cantidad])</f>
        <v>0</v>
      </c>
      <c r="F74" s="5">
        <f>SUMIF(salidas2[Codigo de producto],productos[[#This Row],[Codigo de producto]],salidas2[Cantidad])</f>
        <v>0</v>
      </c>
      <c r="G74" s="33">
        <f>+productos[[#This Row],[Entradas]]+productos[[#This Row],[Existencias iniciales]]-productos[[#This Row],[Salidas menudeo]]-productos[[#This Row],[Salidas mayoreo2]]</f>
        <v>0</v>
      </c>
      <c r="H74" s="1"/>
      <c r="L74" t="e">
        <f>VLOOKUP(salidas[[#This Row],[Codigo de producto]],productos[],2,FALSE)</f>
        <v>#N/A</v>
      </c>
      <c r="N74" s="10">
        <f>+salidas[[#This Row],[Cantidad]]*salidas[[#This Row],[Precio U.]]</f>
        <v>0</v>
      </c>
      <c r="P74" s="1"/>
      <c r="T74" t="e">
        <f>VLOOKUP(entradas[[#This Row],[Codigo de producto]],productos[],2,FALSE)</f>
        <v>#N/A</v>
      </c>
      <c r="V74" s="1"/>
    </row>
    <row r="75" spans="1:22" x14ac:dyDescent="0.35">
      <c r="A75" s="3" t="s">
        <v>107</v>
      </c>
      <c r="B75" s="4" t="s">
        <v>196</v>
      </c>
      <c r="C75" s="4"/>
      <c r="D75" s="4">
        <f>SUMIF(entradas[Codigo de producto],productos[[#This Row],[Codigo de producto]],entradas[Cantidad])</f>
        <v>0</v>
      </c>
      <c r="E75" s="4">
        <f>SUMIF(salidas[Codigo de producto],productos[[#This Row],[Codigo de producto]],salidas[Cantidad])</f>
        <v>0</v>
      </c>
      <c r="F75" s="5">
        <f>SUMIF(salidas2[Codigo de producto],productos[[#This Row],[Codigo de producto]],salidas2[Cantidad])</f>
        <v>0</v>
      </c>
      <c r="G75" s="33">
        <f>+productos[[#This Row],[Entradas]]+productos[[#This Row],[Existencias iniciales]]-productos[[#This Row],[Salidas menudeo]]-productos[[#This Row],[Salidas mayoreo2]]</f>
        <v>0</v>
      </c>
      <c r="H75" s="1"/>
      <c r="L75" t="e">
        <f>VLOOKUP(salidas[[#This Row],[Codigo de producto]],productos[],2,FALSE)</f>
        <v>#N/A</v>
      </c>
      <c r="N75" s="10">
        <f>+salidas[[#This Row],[Cantidad]]*salidas[[#This Row],[Precio U.]]</f>
        <v>0</v>
      </c>
      <c r="P75" s="1"/>
      <c r="T75" t="e">
        <f>VLOOKUP(entradas[[#This Row],[Codigo de producto]],productos[],2,FALSE)</f>
        <v>#N/A</v>
      </c>
      <c r="V75" s="1"/>
    </row>
    <row r="76" spans="1:22" x14ac:dyDescent="0.35">
      <c r="A76" s="3" t="s">
        <v>108</v>
      </c>
      <c r="B76" s="4" t="s">
        <v>197</v>
      </c>
      <c r="C76" s="4"/>
      <c r="D76" s="4">
        <f>SUMIF(entradas[Codigo de producto],productos[[#This Row],[Codigo de producto]],entradas[Cantidad])</f>
        <v>0</v>
      </c>
      <c r="E76" s="4">
        <f>SUMIF(salidas[Codigo de producto],productos[[#This Row],[Codigo de producto]],salidas[Cantidad])</f>
        <v>0</v>
      </c>
      <c r="F76" s="5">
        <f>SUMIF(salidas2[Codigo de producto],productos[[#This Row],[Codigo de producto]],salidas2[Cantidad])</f>
        <v>0</v>
      </c>
      <c r="G76" s="33">
        <f>+productos[[#This Row],[Entradas]]+productos[[#This Row],[Existencias iniciales]]-productos[[#This Row],[Salidas menudeo]]-productos[[#This Row],[Salidas mayoreo2]]</f>
        <v>0</v>
      </c>
      <c r="H76" s="1"/>
      <c r="L76" t="e">
        <f>VLOOKUP(salidas[[#This Row],[Codigo de producto]],productos[],2,FALSE)</f>
        <v>#N/A</v>
      </c>
      <c r="N76" s="10">
        <f>+salidas[[#This Row],[Cantidad]]*salidas[[#This Row],[Precio U.]]</f>
        <v>0</v>
      </c>
      <c r="P76" s="1"/>
      <c r="T76" t="e">
        <f>VLOOKUP(entradas[[#This Row],[Codigo de producto]],productos[],2,FALSE)</f>
        <v>#N/A</v>
      </c>
      <c r="V76" s="1"/>
    </row>
    <row r="77" spans="1:22" x14ac:dyDescent="0.35">
      <c r="A77" s="3" t="s">
        <v>109</v>
      </c>
      <c r="B77" s="4" t="s">
        <v>198</v>
      </c>
      <c r="C77" s="4"/>
      <c r="D77" s="4">
        <f>SUMIF(entradas[Codigo de producto],productos[[#This Row],[Codigo de producto]],entradas[Cantidad])</f>
        <v>0</v>
      </c>
      <c r="E77" s="4">
        <f>SUMIF(salidas[Codigo de producto],productos[[#This Row],[Codigo de producto]],salidas[Cantidad])</f>
        <v>0</v>
      </c>
      <c r="F77" s="5">
        <f>SUMIF(salidas2[Codigo de producto],productos[[#This Row],[Codigo de producto]],salidas2[Cantidad])</f>
        <v>0</v>
      </c>
      <c r="G77" s="33">
        <f>+productos[[#This Row],[Entradas]]+productos[[#This Row],[Existencias iniciales]]-productos[[#This Row],[Salidas menudeo]]-productos[[#This Row],[Salidas mayoreo2]]</f>
        <v>0</v>
      </c>
      <c r="H77" s="1"/>
      <c r="L77" t="e">
        <f>VLOOKUP(salidas[[#This Row],[Codigo de producto]],productos[],2,FALSE)</f>
        <v>#N/A</v>
      </c>
      <c r="N77" s="10">
        <f>+salidas[[#This Row],[Cantidad]]*salidas[[#This Row],[Precio U.]]</f>
        <v>0</v>
      </c>
      <c r="P77" s="1"/>
      <c r="T77" t="e">
        <f>VLOOKUP(entradas[[#This Row],[Codigo de producto]],productos[],2,FALSE)</f>
        <v>#N/A</v>
      </c>
      <c r="V77" s="1"/>
    </row>
    <row r="78" spans="1:22" x14ac:dyDescent="0.35">
      <c r="A78" s="3" t="s">
        <v>110</v>
      </c>
      <c r="B78" s="4" t="s">
        <v>199</v>
      </c>
      <c r="C78" s="4"/>
      <c r="D78" s="4">
        <f>SUMIF(entradas[Codigo de producto],productos[[#This Row],[Codigo de producto]],entradas[Cantidad])</f>
        <v>0</v>
      </c>
      <c r="E78" s="4">
        <f>SUMIF(salidas[Codigo de producto],productos[[#This Row],[Codigo de producto]],salidas[Cantidad])</f>
        <v>0</v>
      </c>
      <c r="F78" s="5">
        <f>SUMIF(salidas2[Codigo de producto],productos[[#This Row],[Codigo de producto]],salidas2[Cantidad])</f>
        <v>0</v>
      </c>
      <c r="G78" s="33">
        <f>+productos[[#This Row],[Entradas]]+productos[[#This Row],[Existencias iniciales]]-productos[[#This Row],[Salidas menudeo]]-productos[[#This Row],[Salidas mayoreo2]]</f>
        <v>0</v>
      </c>
      <c r="H78" s="1"/>
      <c r="L78" t="e">
        <f>VLOOKUP(salidas[[#This Row],[Codigo de producto]],productos[],2,FALSE)</f>
        <v>#N/A</v>
      </c>
      <c r="N78" s="10">
        <f>+salidas[[#This Row],[Cantidad]]*salidas[[#This Row],[Precio U.]]</f>
        <v>0</v>
      </c>
      <c r="P78" s="1"/>
      <c r="T78" t="e">
        <f>VLOOKUP(entradas[[#This Row],[Codigo de producto]],productos[],2,FALSE)</f>
        <v>#N/A</v>
      </c>
      <c r="V78" s="1"/>
    </row>
    <row r="79" spans="1:22" x14ac:dyDescent="0.35">
      <c r="A79" s="3" t="s">
        <v>111</v>
      </c>
      <c r="B79" s="4" t="s">
        <v>200</v>
      </c>
      <c r="C79" s="4"/>
      <c r="D79" s="4">
        <f>SUMIF(entradas[Codigo de producto],productos[[#This Row],[Codigo de producto]],entradas[Cantidad])</f>
        <v>0</v>
      </c>
      <c r="E79" s="4">
        <f>SUMIF(salidas[Codigo de producto],productos[[#This Row],[Codigo de producto]],salidas[Cantidad])</f>
        <v>0</v>
      </c>
      <c r="F79" s="5">
        <f>SUMIF(salidas2[Codigo de producto],productos[[#This Row],[Codigo de producto]],salidas2[Cantidad])</f>
        <v>0</v>
      </c>
      <c r="G79" s="33">
        <f>+productos[[#This Row],[Entradas]]+productos[[#This Row],[Existencias iniciales]]-productos[[#This Row],[Salidas menudeo]]-productos[[#This Row],[Salidas mayoreo2]]</f>
        <v>0</v>
      </c>
      <c r="H79" s="1"/>
      <c r="L79" t="e">
        <f>VLOOKUP(salidas[[#This Row],[Codigo de producto]],productos[],2,FALSE)</f>
        <v>#N/A</v>
      </c>
      <c r="N79" s="10">
        <f>+salidas[[#This Row],[Cantidad]]*salidas[[#This Row],[Precio U.]]</f>
        <v>0</v>
      </c>
      <c r="P79" s="1"/>
      <c r="T79" t="e">
        <f>VLOOKUP(entradas[[#This Row],[Codigo de producto]],productos[],2,FALSE)</f>
        <v>#N/A</v>
      </c>
      <c r="V79" s="1"/>
    </row>
    <row r="80" spans="1:22" x14ac:dyDescent="0.35">
      <c r="A80" s="3" t="s">
        <v>112</v>
      </c>
      <c r="B80" s="4" t="s">
        <v>201</v>
      </c>
      <c r="C80" s="4"/>
      <c r="D80" s="4">
        <f>SUMIF(entradas[Codigo de producto],productos[[#This Row],[Codigo de producto]],entradas[Cantidad])</f>
        <v>0</v>
      </c>
      <c r="E80" s="4">
        <f>SUMIF(salidas[Codigo de producto],productos[[#This Row],[Codigo de producto]],salidas[Cantidad])</f>
        <v>0</v>
      </c>
      <c r="F80" s="5">
        <f>SUMIF(salidas2[Codigo de producto],productos[[#This Row],[Codigo de producto]],salidas2[Cantidad])</f>
        <v>0</v>
      </c>
      <c r="G80" s="33">
        <f>+productos[[#This Row],[Entradas]]+productos[[#This Row],[Existencias iniciales]]-productos[[#This Row],[Salidas menudeo]]-productos[[#This Row],[Salidas mayoreo2]]</f>
        <v>0</v>
      </c>
      <c r="H80" s="1"/>
      <c r="L80" t="e">
        <f>VLOOKUP(salidas[[#This Row],[Codigo de producto]],productos[],2,FALSE)</f>
        <v>#N/A</v>
      </c>
      <c r="N80" s="10">
        <f>+salidas[[#This Row],[Cantidad]]*salidas[[#This Row],[Precio U.]]</f>
        <v>0</v>
      </c>
      <c r="P80" s="1"/>
      <c r="T80" t="e">
        <f>VLOOKUP(entradas[[#This Row],[Codigo de producto]],productos[],2,FALSE)</f>
        <v>#N/A</v>
      </c>
      <c r="V80" s="1"/>
    </row>
    <row r="81" spans="1:22" x14ac:dyDescent="0.35">
      <c r="A81" s="3" t="s">
        <v>113</v>
      </c>
      <c r="B81" s="4" t="s">
        <v>202</v>
      </c>
      <c r="C81" s="4"/>
      <c r="D81" s="4">
        <f>SUMIF(entradas[Codigo de producto],productos[[#This Row],[Codigo de producto]],entradas[Cantidad])</f>
        <v>0</v>
      </c>
      <c r="E81" s="4">
        <f>SUMIF(salidas[Codigo de producto],productos[[#This Row],[Codigo de producto]],salidas[Cantidad])</f>
        <v>0</v>
      </c>
      <c r="F81" s="5">
        <f>SUMIF(salidas2[Codigo de producto],productos[[#This Row],[Codigo de producto]],salidas2[Cantidad])</f>
        <v>0</v>
      </c>
      <c r="G81" s="33">
        <f>+productos[[#This Row],[Entradas]]+productos[[#This Row],[Existencias iniciales]]-productos[[#This Row],[Salidas menudeo]]-productos[[#This Row],[Salidas mayoreo2]]</f>
        <v>0</v>
      </c>
      <c r="H81" s="1"/>
      <c r="L81" t="e">
        <f>VLOOKUP(salidas[[#This Row],[Codigo de producto]],productos[],2,FALSE)</f>
        <v>#N/A</v>
      </c>
      <c r="N81" s="10">
        <f>+salidas[[#This Row],[Cantidad]]*salidas[[#This Row],[Precio U.]]</f>
        <v>0</v>
      </c>
      <c r="P81" s="1"/>
      <c r="T81" t="e">
        <f>VLOOKUP(entradas[[#This Row],[Codigo de producto]],productos[],2,FALSE)</f>
        <v>#N/A</v>
      </c>
      <c r="V81" s="1"/>
    </row>
    <row r="82" spans="1:22" x14ac:dyDescent="0.35">
      <c r="A82" s="3" t="s">
        <v>114</v>
      </c>
      <c r="B82" s="4" t="s">
        <v>203</v>
      </c>
      <c r="C82" s="4"/>
      <c r="D82" s="4">
        <f>SUMIF(entradas[Codigo de producto],productos[[#This Row],[Codigo de producto]],entradas[Cantidad])</f>
        <v>0</v>
      </c>
      <c r="E82" s="4">
        <f>SUMIF(salidas[Codigo de producto],productos[[#This Row],[Codigo de producto]],salidas[Cantidad])</f>
        <v>0</v>
      </c>
      <c r="F82" s="5">
        <f>SUMIF(salidas2[Codigo de producto],productos[[#This Row],[Codigo de producto]],salidas2[Cantidad])</f>
        <v>0</v>
      </c>
      <c r="G82" s="33">
        <f>+productos[[#This Row],[Entradas]]+productos[[#This Row],[Existencias iniciales]]-productos[[#This Row],[Salidas menudeo]]-productos[[#This Row],[Salidas mayoreo2]]</f>
        <v>0</v>
      </c>
      <c r="H82" s="1"/>
      <c r="L82" t="e">
        <f>VLOOKUP(salidas[[#This Row],[Codigo de producto]],productos[],2,FALSE)</f>
        <v>#N/A</v>
      </c>
      <c r="N82" s="10">
        <f>+salidas[[#This Row],[Cantidad]]*salidas[[#This Row],[Precio U.]]</f>
        <v>0</v>
      </c>
      <c r="P82" s="1"/>
      <c r="T82" t="e">
        <f>VLOOKUP(entradas[[#This Row],[Codigo de producto]],productos[],2,FALSE)</f>
        <v>#N/A</v>
      </c>
      <c r="V82" s="1"/>
    </row>
    <row r="83" spans="1:22" x14ac:dyDescent="0.35">
      <c r="A83" s="3" t="s">
        <v>115</v>
      </c>
      <c r="B83" s="4" t="s">
        <v>204</v>
      </c>
      <c r="C83" s="4"/>
      <c r="D83" s="4">
        <f>SUMIF(entradas[Codigo de producto],productos[[#This Row],[Codigo de producto]],entradas[Cantidad])</f>
        <v>0</v>
      </c>
      <c r="E83" s="4">
        <f>SUMIF(salidas[Codigo de producto],productos[[#This Row],[Codigo de producto]],salidas[Cantidad])</f>
        <v>0</v>
      </c>
      <c r="F83" s="5">
        <f>SUMIF(salidas2[Codigo de producto],productos[[#This Row],[Codigo de producto]],salidas2[Cantidad])</f>
        <v>0</v>
      </c>
      <c r="G83" s="33">
        <f>+productos[[#This Row],[Entradas]]+productos[[#This Row],[Existencias iniciales]]-productos[[#This Row],[Salidas menudeo]]-productos[[#This Row],[Salidas mayoreo2]]</f>
        <v>0</v>
      </c>
      <c r="H83" s="1"/>
      <c r="L83" t="e">
        <f>VLOOKUP(salidas[[#This Row],[Codigo de producto]],productos[],2,FALSE)</f>
        <v>#N/A</v>
      </c>
      <c r="N83" s="10">
        <f>+salidas[[#This Row],[Cantidad]]*salidas[[#This Row],[Precio U.]]</f>
        <v>0</v>
      </c>
      <c r="P83" s="1"/>
      <c r="T83" t="e">
        <f>VLOOKUP(entradas[[#This Row],[Codigo de producto]],productos[],2,FALSE)</f>
        <v>#N/A</v>
      </c>
      <c r="V83" s="1"/>
    </row>
    <row r="84" spans="1:22" x14ac:dyDescent="0.35">
      <c r="A84" s="3" t="s">
        <v>116</v>
      </c>
      <c r="B84" s="4" t="s">
        <v>205</v>
      </c>
      <c r="C84" s="4"/>
      <c r="D84" s="4">
        <f>SUMIF(entradas[Codigo de producto],productos[[#This Row],[Codigo de producto]],entradas[Cantidad])</f>
        <v>0</v>
      </c>
      <c r="E84" s="4">
        <f>SUMIF(salidas[Codigo de producto],productos[[#This Row],[Codigo de producto]],salidas[Cantidad])</f>
        <v>0</v>
      </c>
      <c r="F84" s="5">
        <f>SUMIF(salidas2[Codigo de producto],productos[[#This Row],[Codigo de producto]],salidas2[Cantidad])</f>
        <v>0</v>
      </c>
      <c r="G84" s="33">
        <f>+productos[[#This Row],[Entradas]]+productos[[#This Row],[Existencias iniciales]]-productos[[#This Row],[Salidas menudeo]]-productos[[#This Row],[Salidas mayoreo2]]</f>
        <v>0</v>
      </c>
      <c r="H84" s="1"/>
      <c r="L84" t="e">
        <f>VLOOKUP(salidas[[#This Row],[Codigo de producto]],productos[],2,FALSE)</f>
        <v>#N/A</v>
      </c>
      <c r="N84" s="10">
        <f>+salidas[[#This Row],[Cantidad]]*salidas[[#This Row],[Precio U.]]</f>
        <v>0</v>
      </c>
      <c r="P84" s="1"/>
      <c r="T84" t="e">
        <f>VLOOKUP(entradas[[#This Row],[Codigo de producto]],productos[],2,FALSE)</f>
        <v>#N/A</v>
      </c>
      <c r="V84" s="1"/>
    </row>
    <row r="85" spans="1:22" x14ac:dyDescent="0.35">
      <c r="A85" s="3" t="s">
        <v>117</v>
      </c>
      <c r="B85" s="4" t="s">
        <v>206</v>
      </c>
      <c r="C85" s="4"/>
      <c r="D85" s="4">
        <f>SUMIF(entradas[Codigo de producto],productos[[#This Row],[Codigo de producto]],entradas[Cantidad])</f>
        <v>0</v>
      </c>
      <c r="E85" s="4">
        <f>SUMIF(salidas[Codigo de producto],productos[[#This Row],[Codigo de producto]],salidas[Cantidad])</f>
        <v>0</v>
      </c>
      <c r="F85" s="5">
        <f>SUMIF(salidas2[Codigo de producto],productos[[#This Row],[Codigo de producto]],salidas2[Cantidad])</f>
        <v>0</v>
      </c>
      <c r="G85" s="33">
        <f>+productos[[#This Row],[Entradas]]+productos[[#This Row],[Existencias iniciales]]-productos[[#This Row],[Salidas menudeo]]-productos[[#This Row],[Salidas mayoreo2]]</f>
        <v>0</v>
      </c>
      <c r="H85" s="1"/>
      <c r="L85" t="e">
        <f>VLOOKUP(salidas[[#This Row],[Codigo de producto]],productos[],2,FALSE)</f>
        <v>#N/A</v>
      </c>
      <c r="N85" s="10">
        <f>+salidas[[#This Row],[Cantidad]]*salidas[[#This Row],[Precio U.]]</f>
        <v>0</v>
      </c>
      <c r="P85" s="1"/>
      <c r="T85" t="e">
        <f>VLOOKUP(entradas[[#This Row],[Codigo de producto]],productos[],2,FALSE)</f>
        <v>#N/A</v>
      </c>
      <c r="V85" s="1"/>
    </row>
    <row r="86" spans="1:22" x14ac:dyDescent="0.35">
      <c r="A86" s="3" t="s">
        <v>118</v>
      </c>
      <c r="B86" s="4" t="s">
        <v>207</v>
      </c>
      <c r="C86" s="4"/>
      <c r="D86" s="4">
        <f>SUMIF(entradas[Codigo de producto],productos[[#This Row],[Codigo de producto]],entradas[Cantidad])</f>
        <v>0</v>
      </c>
      <c r="E86" s="4">
        <f>SUMIF(salidas[Codigo de producto],productos[[#This Row],[Codigo de producto]],salidas[Cantidad])</f>
        <v>0</v>
      </c>
      <c r="F86" s="5">
        <f>SUMIF(salidas2[Codigo de producto],productos[[#This Row],[Codigo de producto]],salidas2[Cantidad])</f>
        <v>0</v>
      </c>
      <c r="G86" s="33">
        <f>+productos[[#This Row],[Entradas]]+productos[[#This Row],[Existencias iniciales]]-productos[[#This Row],[Salidas menudeo]]-productos[[#This Row],[Salidas mayoreo2]]</f>
        <v>0</v>
      </c>
      <c r="H86" s="1"/>
      <c r="L86" t="e">
        <f>VLOOKUP(salidas[[#This Row],[Codigo de producto]],productos[],2,FALSE)</f>
        <v>#N/A</v>
      </c>
      <c r="N86" s="10">
        <f>+salidas[[#This Row],[Cantidad]]*salidas[[#This Row],[Precio U.]]</f>
        <v>0</v>
      </c>
      <c r="P86" s="1"/>
      <c r="T86" t="e">
        <f>VLOOKUP(entradas[[#This Row],[Codigo de producto]],productos[],2,FALSE)</f>
        <v>#N/A</v>
      </c>
      <c r="V86" s="1"/>
    </row>
    <row r="87" spans="1:22" x14ac:dyDescent="0.35">
      <c r="A87" s="3" t="s">
        <v>119</v>
      </c>
      <c r="B87" s="4" t="s">
        <v>208</v>
      </c>
      <c r="C87" s="4"/>
      <c r="D87" s="4">
        <f>SUMIF(entradas[Codigo de producto],productos[[#This Row],[Codigo de producto]],entradas[Cantidad])</f>
        <v>0</v>
      </c>
      <c r="E87" s="4">
        <f>SUMIF(salidas[Codigo de producto],productos[[#This Row],[Codigo de producto]],salidas[Cantidad])</f>
        <v>0</v>
      </c>
      <c r="F87" s="5">
        <f>SUMIF(salidas2[Codigo de producto],productos[[#This Row],[Codigo de producto]],salidas2[Cantidad])</f>
        <v>0</v>
      </c>
      <c r="G87" s="33">
        <f>+productos[[#This Row],[Entradas]]+productos[[#This Row],[Existencias iniciales]]-productos[[#This Row],[Salidas menudeo]]-productos[[#This Row],[Salidas mayoreo2]]</f>
        <v>0</v>
      </c>
      <c r="H87" s="1"/>
      <c r="L87" t="e">
        <f>VLOOKUP(salidas[[#This Row],[Codigo de producto]],productos[],2,FALSE)</f>
        <v>#N/A</v>
      </c>
      <c r="N87" s="10">
        <f>+salidas[[#This Row],[Cantidad]]*salidas[[#This Row],[Precio U.]]</f>
        <v>0</v>
      </c>
      <c r="P87" s="1"/>
      <c r="T87" t="e">
        <f>VLOOKUP(entradas[[#This Row],[Codigo de producto]],productos[],2,FALSE)</f>
        <v>#N/A</v>
      </c>
      <c r="V87" s="1"/>
    </row>
    <row r="88" spans="1:22" x14ac:dyDescent="0.35">
      <c r="A88" s="3" t="s">
        <v>120</v>
      </c>
      <c r="B88" s="4" t="s">
        <v>209</v>
      </c>
      <c r="C88" s="4"/>
      <c r="D88" s="4">
        <f>SUMIF(entradas[Codigo de producto],productos[[#This Row],[Codigo de producto]],entradas[Cantidad])</f>
        <v>0</v>
      </c>
      <c r="E88" s="4">
        <f>SUMIF(salidas[Codigo de producto],productos[[#This Row],[Codigo de producto]],salidas[Cantidad])</f>
        <v>0</v>
      </c>
      <c r="F88" s="5">
        <f>SUMIF(salidas2[Codigo de producto],productos[[#This Row],[Codigo de producto]],salidas2[Cantidad])</f>
        <v>0</v>
      </c>
      <c r="G88" s="33">
        <f>+productos[[#This Row],[Entradas]]+productos[[#This Row],[Existencias iniciales]]-productos[[#This Row],[Salidas menudeo]]-productos[[#This Row],[Salidas mayoreo2]]</f>
        <v>0</v>
      </c>
      <c r="H88" s="1"/>
      <c r="L88" t="e">
        <f>VLOOKUP(salidas[[#This Row],[Codigo de producto]],productos[],2,FALSE)</f>
        <v>#N/A</v>
      </c>
      <c r="N88" s="10">
        <f>+salidas[[#This Row],[Cantidad]]*salidas[[#This Row],[Precio U.]]</f>
        <v>0</v>
      </c>
      <c r="P88" s="1"/>
      <c r="T88" t="e">
        <f>VLOOKUP(entradas[[#This Row],[Codigo de producto]],productos[],2,FALSE)</f>
        <v>#N/A</v>
      </c>
      <c r="V88" s="1"/>
    </row>
    <row r="89" spans="1:22" x14ac:dyDescent="0.35">
      <c r="A89" s="3" t="s">
        <v>121</v>
      </c>
      <c r="B89" s="4" t="s">
        <v>210</v>
      </c>
      <c r="C89" s="4"/>
      <c r="D89" s="4">
        <f>SUMIF(entradas[Codigo de producto],productos[[#This Row],[Codigo de producto]],entradas[Cantidad])</f>
        <v>0</v>
      </c>
      <c r="E89" s="4">
        <f>SUMIF(salidas[Codigo de producto],productos[[#This Row],[Codigo de producto]],salidas[Cantidad])</f>
        <v>0</v>
      </c>
      <c r="F89" s="5">
        <f>SUMIF(salidas2[Codigo de producto],productos[[#This Row],[Codigo de producto]],salidas2[Cantidad])</f>
        <v>0</v>
      </c>
      <c r="G89" s="33">
        <f>+productos[[#This Row],[Entradas]]+productos[[#This Row],[Existencias iniciales]]-productos[[#This Row],[Salidas menudeo]]-productos[[#This Row],[Salidas mayoreo2]]</f>
        <v>0</v>
      </c>
      <c r="H89" s="1"/>
      <c r="L89" t="e">
        <f>VLOOKUP(salidas[[#This Row],[Codigo de producto]],productos[],2,FALSE)</f>
        <v>#N/A</v>
      </c>
      <c r="N89" s="10">
        <f>+salidas[[#This Row],[Cantidad]]*salidas[[#This Row],[Precio U.]]</f>
        <v>0</v>
      </c>
      <c r="P89" s="1"/>
      <c r="T89" t="e">
        <f>VLOOKUP(entradas[[#This Row],[Codigo de producto]],productos[],2,FALSE)</f>
        <v>#N/A</v>
      </c>
      <c r="V89" s="1"/>
    </row>
    <row r="90" spans="1:22" x14ac:dyDescent="0.35">
      <c r="A90" s="3" t="s">
        <v>122</v>
      </c>
      <c r="B90" s="4" t="s">
        <v>211</v>
      </c>
      <c r="C90" s="4"/>
      <c r="D90" s="4">
        <f>SUMIF(entradas[Codigo de producto],productos[[#This Row],[Codigo de producto]],entradas[Cantidad])</f>
        <v>0</v>
      </c>
      <c r="E90" s="4">
        <f>SUMIF(salidas[Codigo de producto],productos[[#This Row],[Codigo de producto]],salidas[Cantidad])</f>
        <v>0</v>
      </c>
      <c r="F90" s="5">
        <f>SUMIF(salidas2[Codigo de producto],productos[[#This Row],[Codigo de producto]],salidas2[Cantidad])</f>
        <v>0</v>
      </c>
      <c r="G90" s="33">
        <f>+productos[[#This Row],[Entradas]]+productos[[#This Row],[Existencias iniciales]]-productos[[#This Row],[Salidas menudeo]]-productos[[#This Row],[Salidas mayoreo2]]</f>
        <v>0</v>
      </c>
      <c r="H90" s="1"/>
      <c r="L90" t="e">
        <f>VLOOKUP(salidas[[#This Row],[Codigo de producto]],productos[],2,FALSE)</f>
        <v>#N/A</v>
      </c>
      <c r="N90" s="10">
        <f>+salidas[[#This Row],[Cantidad]]*salidas[[#This Row],[Precio U.]]</f>
        <v>0</v>
      </c>
      <c r="P90" s="1"/>
      <c r="T90" t="e">
        <f>VLOOKUP(entradas[[#This Row],[Codigo de producto]],productos[],2,FALSE)</f>
        <v>#N/A</v>
      </c>
      <c r="V90" s="1"/>
    </row>
    <row r="91" spans="1:22" x14ac:dyDescent="0.35">
      <c r="A91" s="3" t="s">
        <v>123</v>
      </c>
      <c r="B91" s="4" t="s">
        <v>212</v>
      </c>
      <c r="C91" s="4"/>
      <c r="D91" s="4">
        <f>SUMIF(entradas[Codigo de producto],productos[[#This Row],[Codigo de producto]],entradas[Cantidad])</f>
        <v>0</v>
      </c>
      <c r="E91" s="4">
        <f>SUMIF(salidas[Codigo de producto],productos[[#This Row],[Codigo de producto]],salidas[Cantidad])</f>
        <v>0</v>
      </c>
      <c r="F91" s="5">
        <f>SUMIF(salidas2[Codigo de producto],productos[[#This Row],[Codigo de producto]],salidas2[Cantidad])</f>
        <v>0</v>
      </c>
      <c r="G91" s="33">
        <f>+productos[[#This Row],[Entradas]]+productos[[#This Row],[Existencias iniciales]]-productos[[#This Row],[Salidas menudeo]]-productos[[#This Row],[Salidas mayoreo2]]</f>
        <v>0</v>
      </c>
      <c r="H91" s="1"/>
      <c r="L91" t="e">
        <f>VLOOKUP(salidas[[#This Row],[Codigo de producto]],productos[],2,FALSE)</f>
        <v>#N/A</v>
      </c>
      <c r="N91" s="10">
        <f>+salidas[[#This Row],[Cantidad]]*salidas[[#This Row],[Precio U.]]</f>
        <v>0</v>
      </c>
      <c r="P91" s="1"/>
      <c r="T91" t="e">
        <f>VLOOKUP(entradas[[#This Row],[Codigo de producto]],productos[],2,FALSE)</f>
        <v>#N/A</v>
      </c>
      <c r="V91" s="1"/>
    </row>
    <row r="92" spans="1:22" x14ac:dyDescent="0.35">
      <c r="A92" s="3"/>
      <c r="B92" s="4"/>
      <c r="C92" s="4"/>
      <c r="D92" s="4">
        <f>SUMIF(entradas[Codigo de producto],productos[[#This Row],[Codigo de producto]],entradas[Cantidad])</f>
        <v>0</v>
      </c>
      <c r="E92" s="4">
        <f>SUMIF(salidas[Codigo de producto],productos[[#This Row],[Codigo de producto]],salidas[Cantidad])</f>
        <v>0</v>
      </c>
      <c r="F92" s="5">
        <f>SUMIF(salidas2[Codigo de producto],productos[[#This Row],[Codigo de producto]],salidas2[Cantidad])</f>
        <v>0</v>
      </c>
      <c r="G92" s="33">
        <f>+productos[[#This Row],[Entradas]]+productos[[#This Row],[Existencias iniciales]]-productos[[#This Row],[Salidas menudeo]]-productos[[#This Row],[Salidas mayoreo2]]</f>
        <v>0</v>
      </c>
      <c r="H92" s="1"/>
      <c r="L92" t="e">
        <f>VLOOKUP(salidas[[#This Row],[Codigo de producto]],productos[],2,FALSE)</f>
        <v>#N/A</v>
      </c>
      <c r="N92" s="10">
        <f>+salidas[[#This Row],[Cantidad]]*salidas[[#This Row],[Precio U.]]</f>
        <v>0</v>
      </c>
      <c r="P92" s="1"/>
      <c r="T92" t="e">
        <f>VLOOKUP(entradas[[#This Row],[Codigo de producto]],productos[],2,FALSE)</f>
        <v>#N/A</v>
      </c>
      <c r="V92" s="1"/>
    </row>
    <row r="93" spans="1:22" x14ac:dyDescent="0.35">
      <c r="A93" s="3"/>
      <c r="B93" s="4"/>
      <c r="C93" s="4"/>
      <c r="D93" s="4">
        <f>SUMIF(entradas[Codigo de producto],productos[[#This Row],[Codigo de producto]],entradas[Cantidad])</f>
        <v>0</v>
      </c>
      <c r="E93" s="4">
        <f>SUMIF(salidas[Codigo de producto],productos[[#This Row],[Codigo de producto]],salidas[Cantidad])</f>
        <v>0</v>
      </c>
      <c r="F93" s="5">
        <f>SUMIF(salidas2[Codigo de producto],productos[[#This Row],[Codigo de producto]],salidas2[Cantidad])</f>
        <v>0</v>
      </c>
      <c r="G93" s="33">
        <f>+productos[[#This Row],[Entradas]]+productos[[#This Row],[Existencias iniciales]]-productos[[#This Row],[Salidas menudeo]]-productos[[#This Row],[Salidas mayoreo2]]</f>
        <v>0</v>
      </c>
      <c r="H93" s="1"/>
      <c r="L93" t="e">
        <f>VLOOKUP(salidas[[#This Row],[Codigo de producto]],productos[],2,FALSE)</f>
        <v>#N/A</v>
      </c>
      <c r="N93" s="10">
        <f>+salidas[[#This Row],[Cantidad]]*salidas[[#This Row],[Precio U.]]</f>
        <v>0</v>
      </c>
      <c r="P93" s="1"/>
      <c r="T93" t="e">
        <f>VLOOKUP(entradas[[#This Row],[Codigo de producto]],productos[],2,FALSE)</f>
        <v>#N/A</v>
      </c>
      <c r="V93" s="1"/>
    </row>
    <row r="94" spans="1:22" x14ac:dyDescent="0.35">
      <c r="A94" s="3"/>
      <c r="B94" s="4"/>
      <c r="C94" s="4"/>
      <c r="D94" s="4">
        <f>SUMIF(entradas[Codigo de producto],productos[[#This Row],[Codigo de producto]],entradas[Cantidad])</f>
        <v>0</v>
      </c>
      <c r="E94" s="4">
        <f>SUMIF(salidas[Codigo de producto],productos[[#This Row],[Codigo de producto]],salidas[Cantidad])</f>
        <v>0</v>
      </c>
      <c r="F94" s="5">
        <f>SUMIF(salidas2[Codigo de producto],productos[[#This Row],[Codigo de producto]],salidas2[Cantidad])</f>
        <v>0</v>
      </c>
      <c r="G94" s="33">
        <f>+productos[[#This Row],[Entradas]]+productos[[#This Row],[Existencias iniciales]]-productos[[#This Row],[Salidas menudeo]]-productos[[#This Row],[Salidas mayoreo2]]</f>
        <v>0</v>
      </c>
      <c r="H94" s="1"/>
      <c r="L94" t="e">
        <f>VLOOKUP(salidas[[#This Row],[Codigo de producto]],productos[],2,FALSE)</f>
        <v>#N/A</v>
      </c>
      <c r="N94" s="10">
        <f>+salidas[[#This Row],[Cantidad]]*salidas[[#This Row],[Precio U.]]</f>
        <v>0</v>
      </c>
      <c r="P94" s="1"/>
      <c r="T94" t="e">
        <f>VLOOKUP(entradas[[#This Row],[Codigo de producto]],productos[],2,FALSE)</f>
        <v>#N/A</v>
      </c>
      <c r="V94" s="1"/>
    </row>
    <row r="95" spans="1:22" x14ac:dyDescent="0.35">
      <c r="A95" s="3"/>
      <c r="B95" s="4"/>
      <c r="C95" s="4"/>
      <c r="D95" s="4">
        <f>SUMIF(entradas[Codigo de producto],productos[[#This Row],[Codigo de producto]],entradas[Cantidad])</f>
        <v>0</v>
      </c>
      <c r="E95" s="4">
        <f>SUMIF(salidas[Codigo de producto],productos[[#This Row],[Codigo de producto]],salidas[Cantidad])</f>
        <v>0</v>
      </c>
      <c r="F95" s="5">
        <f>SUMIF(salidas2[Codigo de producto],productos[[#This Row],[Codigo de producto]],salidas2[Cantidad])</f>
        <v>0</v>
      </c>
      <c r="G95" s="33">
        <f>+productos[[#This Row],[Entradas]]+productos[[#This Row],[Existencias iniciales]]-productos[[#This Row],[Salidas menudeo]]-productos[[#This Row],[Salidas mayoreo2]]</f>
        <v>0</v>
      </c>
      <c r="H95" s="1"/>
      <c r="L95" t="e">
        <f>VLOOKUP(salidas[[#This Row],[Codigo de producto]],productos[],2,FALSE)</f>
        <v>#N/A</v>
      </c>
      <c r="N95" s="10">
        <f>+salidas[[#This Row],[Cantidad]]*salidas[[#This Row],[Precio U.]]</f>
        <v>0</v>
      </c>
      <c r="P95" s="1"/>
      <c r="T95" t="e">
        <f>VLOOKUP(entradas[[#This Row],[Codigo de producto]],productos[],2,FALSE)</f>
        <v>#N/A</v>
      </c>
      <c r="V95" s="1"/>
    </row>
    <row r="96" spans="1:22" x14ac:dyDescent="0.35">
      <c r="A96" s="3"/>
      <c r="B96" s="4"/>
      <c r="C96" s="4"/>
      <c r="D96" s="4">
        <f>SUMIF(entradas[Codigo de producto],productos[[#This Row],[Codigo de producto]],entradas[Cantidad])</f>
        <v>0</v>
      </c>
      <c r="E96" s="4">
        <f>SUMIF(salidas[Codigo de producto],productos[[#This Row],[Codigo de producto]],salidas[Cantidad])</f>
        <v>0</v>
      </c>
      <c r="F96" s="5">
        <f>SUMIF(salidas2[Codigo de producto],productos[[#This Row],[Codigo de producto]],salidas2[Cantidad])</f>
        <v>0</v>
      </c>
      <c r="G96" s="33">
        <f>+productos[[#This Row],[Entradas]]+productos[[#This Row],[Existencias iniciales]]-productos[[#This Row],[Salidas menudeo]]-productos[[#This Row],[Salidas mayoreo2]]</f>
        <v>0</v>
      </c>
      <c r="H96" s="1"/>
      <c r="L96" t="e">
        <f>VLOOKUP(salidas[[#This Row],[Codigo de producto]],productos[],2,FALSE)</f>
        <v>#N/A</v>
      </c>
      <c r="N96" s="10">
        <f>+salidas[[#This Row],[Cantidad]]*salidas[[#This Row],[Precio U.]]</f>
        <v>0</v>
      </c>
      <c r="P96" s="1"/>
      <c r="T96" t="e">
        <f>VLOOKUP(entradas[[#This Row],[Codigo de producto]],productos[],2,FALSE)</f>
        <v>#N/A</v>
      </c>
      <c r="V96" s="1"/>
    </row>
    <row r="97" spans="1:22" x14ac:dyDescent="0.35">
      <c r="A97" s="3"/>
      <c r="B97" s="4"/>
      <c r="C97" s="4"/>
      <c r="D97" s="4">
        <f>SUMIF(entradas[Codigo de producto],productos[[#This Row],[Codigo de producto]],entradas[Cantidad])</f>
        <v>0</v>
      </c>
      <c r="E97" s="4">
        <f>SUMIF(salidas[Codigo de producto],productos[[#This Row],[Codigo de producto]],salidas[Cantidad])</f>
        <v>0</v>
      </c>
      <c r="F97" s="5">
        <f>SUMIF(salidas2[Codigo de producto],productos[[#This Row],[Codigo de producto]],salidas2[Cantidad])</f>
        <v>0</v>
      </c>
      <c r="G97" s="33">
        <f>+productos[[#This Row],[Entradas]]+productos[[#This Row],[Existencias iniciales]]-productos[[#This Row],[Salidas menudeo]]-productos[[#This Row],[Salidas mayoreo2]]</f>
        <v>0</v>
      </c>
      <c r="H97" s="1"/>
      <c r="L97" t="e">
        <f>VLOOKUP(salidas[[#This Row],[Codigo de producto]],productos[],2,FALSE)</f>
        <v>#N/A</v>
      </c>
      <c r="N97" s="10">
        <f>+salidas[[#This Row],[Cantidad]]*salidas[[#This Row],[Precio U.]]</f>
        <v>0</v>
      </c>
      <c r="P97" s="1"/>
      <c r="T97" t="e">
        <f>VLOOKUP(entradas[[#This Row],[Codigo de producto]],productos[],2,FALSE)</f>
        <v>#N/A</v>
      </c>
      <c r="V97" s="1"/>
    </row>
    <row r="98" spans="1:22" x14ac:dyDescent="0.35">
      <c r="A98" s="3"/>
      <c r="B98" s="4"/>
      <c r="C98" s="4"/>
      <c r="D98" s="4">
        <f>SUMIF(entradas[Codigo de producto],productos[[#This Row],[Codigo de producto]],entradas[Cantidad])</f>
        <v>0</v>
      </c>
      <c r="E98" s="4">
        <f>SUMIF(salidas[Codigo de producto],productos[[#This Row],[Codigo de producto]],salidas[Cantidad])</f>
        <v>0</v>
      </c>
      <c r="F98" s="5">
        <f>SUMIF(salidas2[Codigo de producto],productos[[#This Row],[Codigo de producto]],salidas2[Cantidad])</f>
        <v>0</v>
      </c>
      <c r="G98" s="33">
        <f>+productos[[#This Row],[Entradas]]+productos[[#This Row],[Existencias iniciales]]-productos[[#This Row],[Salidas menudeo]]-productos[[#This Row],[Salidas mayoreo2]]</f>
        <v>0</v>
      </c>
      <c r="H98" s="1"/>
      <c r="L98" t="e">
        <f>VLOOKUP(salidas[[#This Row],[Codigo de producto]],productos[],2,FALSE)</f>
        <v>#N/A</v>
      </c>
      <c r="N98" s="10">
        <f>+salidas[[#This Row],[Cantidad]]*salidas[[#This Row],[Precio U.]]</f>
        <v>0</v>
      </c>
      <c r="P98" s="1"/>
      <c r="T98" t="e">
        <f>VLOOKUP(entradas[[#This Row],[Codigo de producto]],productos[],2,FALSE)</f>
        <v>#N/A</v>
      </c>
      <c r="V98" s="1"/>
    </row>
    <row r="99" spans="1:22" x14ac:dyDescent="0.35">
      <c r="A99" s="3"/>
      <c r="B99" s="4"/>
      <c r="C99" s="4"/>
      <c r="D99" s="4">
        <f>SUMIF(entradas[Codigo de producto],productos[[#This Row],[Codigo de producto]],entradas[Cantidad])</f>
        <v>0</v>
      </c>
      <c r="E99" s="4">
        <f>SUMIF(salidas[Codigo de producto],productos[[#This Row],[Codigo de producto]],salidas[Cantidad])</f>
        <v>0</v>
      </c>
      <c r="F99" s="5">
        <f>SUMIF(salidas2[Codigo de producto],productos[[#This Row],[Codigo de producto]],salidas2[Cantidad])</f>
        <v>0</v>
      </c>
      <c r="G99" s="33">
        <f>+productos[[#This Row],[Entradas]]+productos[[#This Row],[Existencias iniciales]]-productos[[#This Row],[Salidas menudeo]]-productos[[#This Row],[Salidas mayoreo2]]</f>
        <v>0</v>
      </c>
      <c r="H99" s="1"/>
      <c r="L99" t="e">
        <f>VLOOKUP(salidas[[#This Row],[Codigo de producto]],productos[],2,FALSE)</f>
        <v>#N/A</v>
      </c>
      <c r="N99" s="10">
        <f>+salidas[[#This Row],[Cantidad]]*salidas[[#This Row],[Precio U.]]</f>
        <v>0</v>
      </c>
      <c r="P99" s="1"/>
      <c r="T99" t="e">
        <f>VLOOKUP(entradas[[#This Row],[Codigo de producto]],productos[],2,FALSE)</f>
        <v>#N/A</v>
      </c>
      <c r="V99" s="1"/>
    </row>
    <row r="100" spans="1:22" x14ac:dyDescent="0.35">
      <c r="A100" s="3"/>
      <c r="B100" s="4"/>
      <c r="C100" s="4"/>
      <c r="D100" s="4">
        <f>SUMIF(entradas[Codigo de producto],productos[[#This Row],[Codigo de producto]],entradas[Cantidad])</f>
        <v>0</v>
      </c>
      <c r="E100" s="4">
        <f>SUMIF(salidas[Codigo de producto],productos[[#This Row],[Codigo de producto]],salidas[Cantidad])</f>
        <v>0</v>
      </c>
      <c r="F100" s="5">
        <f>SUMIF(salidas2[Codigo de producto],productos[[#This Row],[Codigo de producto]],salidas2[Cantidad])</f>
        <v>0</v>
      </c>
      <c r="G100" s="33">
        <f>+productos[[#This Row],[Entradas]]+productos[[#This Row],[Existencias iniciales]]-productos[[#This Row],[Salidas menudeo]]-productos[[#This Row],[Salidas mayoreo2]]</f>
        <v>0</v>
      </c>
      <c r="H100" s="1"/>
      <c r="L100" t="e">
        <f>VLOOKUP(salidas[[#This Row],[Codigo de producto]],productos[],2,FALSE)</f>
        <v>#N/A</v>
      </c>
      <c r="N100" s="10">
        <f>+salidas[[#This Row],[Cantidad]]*salidas[[#This Row],[Precio U.]]</f>
        <v>0</v>
      </c>
      <c r="P100" s="1"/>
      <c r="T100" t="e">
        <f>VLOOKUP(entradas[[#This Row],[Codigo de producto]],productos[],2,FALSE)</f>
        <v>#N/A</v>
      </c>
      <c r="V100" s="1"/>
    </row>
    <row r="101" spans="1:22" x14ac:dyDescent="0.35">
      <c r="A101" s="3"/>
      <c r="B101" s="4"/>
      <c r="C101" s="4"/>
      <c r="D101" s="4">
        <f>SUMIF(entradas[Codigo de producto],productos[[#This Row],[Codigo de producto]],entradas[Cantidad])</f>
        <v>0</v>
      </c>
      <c r="E101" s="4">
        <f>SUMIF(salidas[Codigo de producto],productos[[#This Row],[Codigo de producto]],salidas[Cantidad])</f>
        <v>0</v>
      </c>
      <c r="F101" s="5">
        <f>SUMIF(salidas2[Codigo de producto],productos[[#This Row],[Codigo de producto]],salidas2[Cantidad])</f>
        <v>0</v>
      </c>
      <c r="G101" s="33">
        <f>+productos[[#This Row],[Entradas]]+productos[[#This Row],[Existencias iniciales]]-productos[[#This Row],[Salidas menudeo]]-productos[[#This Row],[Salidas mayoreo2]]</f>
        <v>0</v>
      </c>
      <c r="H101" s="1"/>
      <c r="L101" t="e">
        <f>VLOOKUP(salidas[[#This Row],[Codigo de producto]],productos[],2,FALSE)</f>
        <v>#N/A</v>
      </c>
      <c r="N101" s="10">
        <f>+salidas[[#This Row],[Cantidad]]*salidas[[#This Row],[Precio U.]]</f>
        <v>0</v>
      </c>
      <c r="P101" s="1"/>
      <c r="T101" t="e">
        <f>VLOOKUP(entradas[[#This Row],[Codigo de producto]],productos[],2,FALSE)</f>
        <v>#N/A</v>
      </c>
      <c r="V101" s="1"/>
    </row>
    <row r="102" spans="1:22" x14ac:dyDescent="0.35">
      <c r="A102" s="3"/>
      <c r="B102" s="4"/>
      <c r="C102" s="4"/>
      <c r="D102" s="4">
        <f>SUMIF(entradas[Codigo de producto],productos[[#This Row],[Codigo de producto]],entradas[Cantidad])</f>
        <v>0</v>
      </c>
      <c r="E102" s="4">
        <f>SUMIF(salidas[Codigo de producto],productos[[#This Row],[Codigo de producto]],salidas[Cantidad])</f>
        <v>0</v>
      </c>
      <c r="F102" s="5">
        <f>SUMIF(salidas2[Codigo de producto],productos[[#This Row],[Codigo de producto]],salidas2[Cantidad])</f>
        <v>0</v>
      </c>
      <c r="G102" s="33">
        <f>+productos[[#This Row],[Entradas]]+productos[[#This Row],[Existencias iniciales]]-productos[[#This Row],[Salidas menudeo]]-productos[[#This Row],[Salidas mayoreo2]]</f>
        <v>0</v>
      </c>
      <c r="H102" s="1"/>
      <c r="L102" t="e">
        <f>VLOOKUP(salidas[[#This Row],[Codigo de producto]],productos[],2,FALSE)</f>
        <v>#N/A</v>
      </c>
      <c r="N102" s="10">
        <f>+salidas[[#This Row],[Cantidad]]*salidas[[#This Row],[Precio U.]]</f>
        <v>0</v>
      </c>
      <c r="P102" s="1"/>
      <c r="T102" t="e">
        <f>VLOOKUP(entradas[[#This Row],[Codigo de producto]],productos[],2,FALSE)</f>
        <v>#N/A</v>
      </c>
      <c r="V102" s="1"/>
    </row>
    <row r="103" spans="1:22" x14ac:dyDescent="0.35">
      <c r="A103" s="3"/>
      <c r="B103" s="4"/>
      <c r="C103" s="4"/>
      <c r="D103" s="4">
        <f>SUMIF(entradas[Codigo de producto],productos[[#This Row],[Codigo de producto]],entradas[Cantidad])</f>
        <v>0</v>
      </c>
      <c r="E103" s="4">
        <f>SUMIF(salidas[Codigo de producto],productos[[#This Row],[Codigo de producto]],salidas[Cantidad])</f>
        <v>0</v>
      </c>
      <c r="F103" s="5">
        <f>SUMIF(salidas2[Codigo de producto],productos[[#This Row],[Codigo de producto]],salidas2[Cantidad])</f>
        <v>0</v>
      </c>
      <c r="G103" s="33">
        <f>+productos[[#This Row],[Entradas]]+productos[[#This Row],[Existencias iniciales]]-productos[[#This Row],[Salidas menudeo]]-productos[[#This Row],[Salidas mayoreo2]]</f>
        <v>0</v>
      </c>
      <c r="H103" s="1"/>
      <c r="L103" t="e">
        <f>VLOOKUP(salidas[[#This Row],[Codigo de producto]],productos[],2,FALSE)</f>
        <v>#N/A</v>
      </c>
      <c r="N103" s="10">
        <f>+salidas[[#This Row],[Cantidad]]*salidas[[#This Row],[Precio U.]]</f>
        <v>0</v>
      </c>
      <c r="P103" s="1"/>
      <c r="T103" t="e">
        <f>VLOOKUP(entradas[[#This Row],[Codigo de producto]],productos[],2,FALSE)</f>
        <v>#N/A</v>
      </c>
      <c r="V103" s="1"/>
    </row>
    <row r="104" spans="1:22" x14ac:dyDescent="0.35">
      <c r="A104" s="3"/>
      <c r="B104" s="4"/>
      <c r="C104" s="4"/>
      <c r="D104" s="4">
        <f>SUMIF(entradas[Codigo de producto],productos[[#This Row],[Codigo de producto]],entradas[Cantidad])</f>
        <v>0</v>
      </c>
      <c r="E104" s="4">
        <f>SUMIF(salidas[Codigo de producto],productos[[#This Row],[Codigo de producto]],salidas[Cantidad])</f>
        <v>0</v>
      </c>
      <c r="F104" s="5">
        <f>SUMIF(salidas2[Codigo de producto],productos[[#This Row],[Codigo de producto]],salidas2[Cantidad])</f>
        <v>0</v>
      </c>
      <c r="G104" s="33">
        <f>+productos[[#This Row],[Entradas]]+productos[[#This Row],[Existencias iniciales]]-productos[[#This Row],[Salidas menudeo]]-productos[[#This Row],[Salidas mayoreo2]]</f>
        <v>0</v>
      </c>
      <c r="H104" s="1"/>
      <c r="L104" t="e">
        <f>VLOOKUP(salidas[[#This Row],[Codigo de producto]],productos[],2,FALSE)</f>
        <v>#N/A</v>
      </c>
      <c r="N104" s="10">
        <f>+salidas[[#This Row],[Cantidad]]*salidas[[#This Row],[Precio U.]]</f>
        <v>0</v>
      </c>
      <c r="P104" s="1"/>
      <c r="T104" t="e">
        <f>VLOOKUP(entradas[[#This Row],[Codigo de producto]],productos[],2,FALSE)</f>
        <v>#N/A</v>
      </c>
      <c r="V104" s="1"/>
    </row>
    <row r="105" spans="1:22" x14ac:dyDescent="0.35">
      <c r="A105" s="3"/>
      <c r="B105" s="6"/>
      <c r="C105" s="6"/>
      <c r="D105" s="6">
        <f>SUMIF(entradas[Codigo de producto],productos[[#This Row],[Codigo de producto]],entradas[Cantidad])</f>
        <v>0</v>
      </c>
      <c r="E105" s="6">
        <f>SUMIF(salidas[Codigo de producto],productos[[#This Row],[Codigo de producto]],salidas[Cantidad])</f>
        <v>0</v>
      </c>
      <c r="F105" s="7">
        <f>SUMIF(salidas2[Codigo de producto],productos[[#This Row],[Codigo de producto]],salidas2[Cantidad])</f>
        <v>0</v>
      </c>
      <c r="G105" s="34">
        <f>+productos[[#This Row],[Entradas]]+productos[[#This Row],[Existencias iniciales]]-productos[[#This Row],[Salidas menudeo]]-productos[[#This Row],[Salidas mayoreo2]]</f>
        <v>0</v>
      </c>
      <c r="H105" s="1"/>
      <c r="L105" t="e">
        <f>VLOOKUP(salidas[[#This Row],[Codigo de producto]],productos[],2,FALSE)</f>
        <v>#N/A</v>
      </c>
      <c r="N105" s="10">
        <f>+salidas[[#This Row],[Cantidad]]*salidas[[#This Row],[Precio U.]]</f>
        <v>0</v>
      </c>
      <c r="P105" s="1"/>
      <c r="T105" t="e">
        <f>VLOOKUP(entradas[[#This Row],[Codigo de producto]],productos[],2,FALSE)</f>
        <v>#N/A</v>
      </c>
      <c r="V105" s="1"/>
    </row>
    <row r="106" spans="1:22" x14ac:dyDescent="0.35">
      <c r="H106" s="1"/>
      <c r="L106" t="e">
        <f>VLOOKUP(salidas[[#This Row],[Codigo de producto]],productos[],2,FALSE)</f>
        <v>#N/A</v>
      </c>
      <c r="N106" s="10">
        <f>+salidas[[#This Row],[Cantidad]]*salidas[[#This Row],[Precio U.]]</f>
        <v>0</v>
      </c>
      <c r="P106" s="1"/>
      <c r="T106" t="e">
        <f>VLOOKUP(entradas[[#This Row],[Codigo de producto]],productos[],2,FALSE)</f>
        <v>#N/A</v>
      </c>
      <c r="V106" s="1"/>
    </row>
    <row r="107" spans="1:22" x14ac:dyDescent="0.35">
      <c r="H107" s="1"/>
      <c r="L107" t="e">
        <f>VLOOKUP(salidas[[#This Row],[Codigo de producto]],productos[],2,FALSE)</f>
        <v>#N/A</v>
      </c>
      <c r="N107" s="10">
        <f>+salidas[[#This Row],[Cantidad]]*salidas[[#This Row],[Precio U.]]</f>
        <v>0</v>
      </c>
      <c r="P107" s="1"/>
      <c r="T107" t="e">
        <f>VLOOKUP(entradas[[#This Row],[Codigo de producto]],productos[],2,FALSE)</f>
        <v>#N/A</v>
      </c>
      <c r="V107" s="1"/>
    </row>
    <row r="108" spans="1:22" x14ac:dyDescent="0.35">
      <c r="H108" s="1"/>
      <c r="L108" t="e">
        <f>VLOOKUP(salidas[[#This Row],[Codigo de producto]],productos[],2,FALSE)</f>
        <v>#N/A</v>
      </c>
      <c r="N108" s="10">
        <f>+salidas[[#This Row],[Cantidad]]*salidas[[#This Row],[Precio U.]]</f>
        <v>0</v>
      </c>
      <c r="P108" s="1"/>
      <c r="T108" t="e">
        <f>VLOOKUP(entradas[[#This Row],[Codigo de producto]],productos[],2,FALSE)</f>
        <v>#N/A</v>
      </c>
      <c r="V108" s="1"/>
    </row>
    <row r="109" spans="1:22" x14ac:dyDescent="0.35">
      <c r="H109" s="1"/>
      <c r="L109" t="e">
        <f>VLOOKUP(salidas[[#This Row],[Codigo de producto]],productos[],2,FALSE)</f>
        <v>#N/A</v>
      </c>
      <c r="N109" s="10">
        <f>+salidas[[#This Row],[Cantidad]]*salidas[[#This Row],[Precio U.]]</f>
        <v>0</v>
      </c>
      <c r="P109" s="1"/>
      <c r="T109" t="e">
        <f>VLOOKUP(entradas[[#This Row],[Codigo de producto]],productos[],2,FALSE)</f>
        <v>#N/A</v>
      </c>
      <c r="V109" s="1"/>
    </row>
    <row r="110" spans="1:22" x14ac:dyDescent="0.35">
      <c r="H110" s="1"/>
      <c r="L110" t="e">
        <f>VLOOKUP(salidas[[#This Row],[Codigo de producto]],productos[],2,FALSE)</f>
        <v>#N/A</v>
      </c>
      <c r="N110" s="10">
        <f>+salidas[[#This Row],[Cantidad]]*salidas[[#This Row],[Precio U.]]</f>
        <v>0</v>
      </c>
      <c r="P110" s="1"/>
      <c r="T110" t="e">
        <f>VLOOKUP(entradas[[#This Row],[Codigo de producto]],productos[],2,FALSE)</f>
        <v>#N/A</v>
      </c>
      <c r="V110" s="1"/>
    </row>
    <row r="111" spans="1:22" x14ac:dyDescent="0.35">
      <c r="H111" s="1"/>
      <c r="L111" t="e">
        <f>VLOOKUP(salidas[[#This Row],[Codigo de producto]],productos[],2,FALSE)</f>
        <v>#N/A</v>
      </c>
      <c r="N111" s="10">
        <f>+salidas[[#This Row],[Cantidad]]*salidas[[#This Row],[Precio U.]]</f>
        <v>0</v>
      </c>
      <c r="P111" s="1"/>
      <c r="T111" t="e">
        <f>VLOOKUP(entradas[[#This Row],[Codigo de producto]],productos[],2,FALSE)</f>
        <v>#N/A</v>
      </c>
      <c r="V111" s="1"/>
    </row>
    <row r="112" spans="1:22" x14ac:dyDescent="0.35">
      <c r="H112" s="1"/>
      <c r="L112" t="e">
        <f>VLOOKUP(salidas[[#This Row],[Codigo de producto]],productos[],2,FALSE)</f>
        <v>#N/A</v>
      </c>
      <c r="N112" s="10">
        <f>+salidas[[#This Row],[Cantidad]]*salidas[[#This Row],[Precio U.]]</f>
        <v>0</v>
      </c>
      <c r="P112" s="1"/>
      <c r="T112" t="e">
        <f>VLOOKUP(entradas[[#This Row],[Codigo de producto]],productos[],2,FALSE)</f>
        <v>#N/A</v>
      </c>
      <c r="V112" s="1"/>
    </row>
    <row r="113" spans="8:22" x14ac:dyDescent="0.35">
      <c r="H113" s="1"/>
      <c r="L113" t="e">
        <f>VLOOKUP(salidas[[#This Row],[Codigo de producto]],productos[],2,FALSE)</f>
        <v>#N/A</v>
      </c>
      <c r="N113" s="10">
        <f>+salidas[[#This Row],[Cantidad]]*salidas[[#This Row],[Precio U.]]</f>
        <v>0</v>
      </c>
      <c r="P113" s="1"/>
      <c r="T113" t="e">
        <f>VLOOKUP(entradas[[#This Row],[Codigo de producto]],productos[],2,FALSE)</f>
        <v>#N/A</v>
      </c>
      <c r="V113" s="1"/>
    </row>
    <row r="114" spans="8:22" x14ac:dyDescent="0.35">
      <c r="H114" s="1"/>
      <c r="L114" t="e">
        <f>VLOOKUP(salidas[[#This Row],[Codigo de producto]],productos[],2,FALSE)</f>
        <v>#N/A</v>
      </c>
      <c r="N114" s="10">
        <f>+salidas[[#This Row],[Cantidad]]*salidas[[#This Row],[Precio U.]]</f>
        <v>0</v>
      </c>
      <c r="P114" s="1"/>
      <c r="T114" t="e">
        <f>VLOOKUP(entradas[[#This Row],[Codigo de producto]],productos[],2,FALSE)</f>
        <v>#N/A</v>
      </c>
      <c r="V114" s="1"/>
    </row>
    <row r="115" spans="8:22" x14ac:dyDescent="0.35">
      <c r="H115" s="1"/>
      <c r="L115" t="e">
        <f>VLOOKUP(salidas[[#This Row],[Codigo de producto]],productos[],2,FALSE)</f>
        <v>#N/A</v>
      </c>
      <c r="N115" s="10">
        <f>+salidas[[#This Row],[Cantidad]]*salidas[[#This Row],[Precio U.]]</f>
        <v>0</v>
      </c>
      <c r="P115" s="1"/>
      <c r="T115" t="e">
        <f>VLOOKUP(entradas[[#This Row],[Codigo de producto]],productos[],2,FALSE)</f>
        <v>#N/A</v>
      </c>
      <c r="V115" s="1"/>
    </row>
    <row r="116" spans="8:22" x14ac:dyDescent="0.35">
      <c r="H116" s="1"/>
      <c r="L116" t="e">
        <f>VLOOKUP(salidas[[#This Row],[Codigo de producto]],productos[],2,FALSE)</f>
        <v>#N/A</v>
      </c>
      <c r="N116" s="10">
        <f>+salidas[[#This Row],[Cantidad]]*salidas[[#This Row],[Precio U.]]</f>
        <v>0</v>
      </c>
      <c r="P116" s="1"/>
      <c r="T116" t="e">
        <f>VLOOKUP(entradas[[#This Row],[Codigo de producto]],productos[],2,FALSE)</f>
        <v>#N/A</v>
      </c>
      <c r="V116" s="1"/>
    </row>
    <row r="117" spans="8:22" x14ac:dyDescent="0.35">
      <c r="H117" s="1"/>
      <c r="L117" t="e">
        <f>VLOOKUP(salidas[[#This Row],[Codigo de producto]],productos[],2,FALSE)</f>
        <v>#N/A</v>
      </c>
      <c r="N117" s="10">
        <f>+salidas[[#This Row],[Cantidad]]*salidas[[#This Row],[Precio U.]]</f>
        <v>0</v>
      </c>
      <c r="P117" s="1"/>
      <c r="T117" t="e">
        <f>VLOOKUP(entradas[[#This Row],[Codigo de producto]],productos[],2,FALSE)</f>
        <v>#N/A</v>
      </c>
      <c r="V117" s="1"/>
    </row>
    <row r="118" spans="8:22" x14ac:dyDescent="0.35">
      <c r="H118" s="1"/>
      <c r="L118" t="e">
        <f>VLOOKUP(salidas[[#This Row],[Codigo de producto]],productos[],2,FALSE)</f>
        <v>#N/A</v>
      </c>
      <c r="N118" s="10">
        <f>+salidas[[#This Row],[Cantidad]]*salidas[[#This Row],[Precio U.]]</f>
        <v>0</v>
      </c>
      <c r="P118" s="1"/>
      <c r="T118" t="e">
        <f>VLOOKUP(entradas[[#This Row],[Codigo de producto]],productos[],2,FALSE)</f>
        <v>#N/A</v>
      </c>
      <c r="V118" s="1"/>
    </row>
    <row r="119" spans="8:22" x14ac:dyDescent="0.35">
      <c r="H119" s="1"/>
      <c r="L119" t="e">
        <f>VLOOKUP(salidas[[#This Row],[Codigo de producto]],productos[],2,FALSE)</f>
        <v>#N/A</v>
      </c>
      <c r="N119" s="10">
        <f>+salidas[[#This Row],[Cantidad]]*salidas[[#This Row],[Precio U.]]</f>
        <v>0</v>
      </c>
      <c r="P119" s="1"/>
      <c r="T119" t="e">
        <f>VLOOKUP(entradas[[#This Row],[Codigo de producto]],productos[],2,FALSE)</f>
        <v>#N/A</v>
      </c>
      <c r="V119" s="1"/>
    </row>
    <row r="120" spans="8:22" x14ac:dyDescent="0.35">
      <c r="H120" s="1"/>
      <c r="L120" t="e">
        <f>VLOOKUP(salidas[[#This Row],[Codigo de producto]],productos[],2,FALSE)</f>
        <v>#N/A</v>
      </c>
      <c r="N120" s="10">
        <f>+salidas[[#This Row],[Cantidad]]*salidas[[#This Row],[Precio U.]]</f>
        <v>0</v>
      </c>
      <c r="P120" s="1"/>
      <c r="T120" t="e">
        <f>VLOOKUP(entradas[[#This Row],[Codigo de producto]],productos[],2,FALSE)</f>
        <v>#N/A</v>
      </c>
      <c r="V120" s="1"/>
    </row>
    <row r="121" spans="8:22" x14ac:dyDescent="0.35">
      <c r="H121" s="1"/>
      <c r="L121" t="e">
        <f>VLOOKUP(salidas[[#This Row],[Codigo de producto]],productos[],2,FALSE)</f>
        <v>#N/A</v>
      </c>
      <c r="N121" s="10">
        <f>+salidas[[#This Row],[Cantidad]]*salidas[[#This Row],[Precio U.]]</f>
        <v>0</v>
      </c>
      <c r="P121" s="1"/>
      <c r="T121" t="e">
        <f>VLOOKUP(entradas[[#This Row],[Codigo de producto]],productos[],2,FALSE)</f>
        <v>#N/A</v>
      </c>
      <c r="V121" s="1"/>
    </row>
    <row r="122" spans="8:22" x14ac:dyDescent="0.35">
      <c r="H122" s="1"/>
      <c r="L122" t="e">
        <f>VLOOKUP(salidas[[#This Row],[Codigo de producto]],productos[],2,FALSE)</f>
        <v>#N/A</v>
      </c>
      <c r="N122" s="10">
        <f>+salidas[[#This Row],[Cantidad]]*salidas[[#This Row],[Precio U.]]</f>
        <v>0</v>
      </c>
      <c r="P122" s="1"/>
      <c r="T122" t="e">
        <f>VLOOKUP(entradas[[#This Row],[Codigo de producto]],productos[],2,FALSE)</f>
        <v>#N/A</v>
      </c>
      <c r="V122" s="1"/>
    </row>
    <row r="123" spans="8:22" x14ac:dyDescent="0.35">
      <c r="H123" s="1"/>
      <c r="L123" t="e">
        <f>VLOOKUP(salidas[[#This Row],[Codigo de producto]],productos[],2,FALSE)</f>
        <v>#N/A</v>
      </c>
      <c r="N123" s="10">
        <f>+salidas[[#This Row],[Cantidad]]*salidas[[#This Row],[Precio U.]]</f>
        <v>0</v>
      </c>
      <c r="P123" s="1"/>
      <c r="T123" t="e">
        <f>VLOOKUP(entradas[[#This Row],[Codigo de producto]],productos[],2,FALSE)</f>
        <v>#N/A</v>
      </c>
      <c r="V123" s="1"/>
    </row>
    <row r="124" spans="8:22" x14ac:dyDescent="0.35">
      <c r="H124" s="1"/>
      <c r="L124" t="e">
        <f>VLOOKUP(salidas[[#This Row],[Codigo de producto]],productos[],2,FALSE)</f>
        <v>#N/A</v>
      </c>
      <c r="N124" s="10">
        <f>+salidas[[#This Row],[Cantidad]]*salidas[[#This Row],[Precio U.]]</f>
        <v>0</v>
      </c>
      <c r="P124" s="1"/>
      <c r="T124" t="e">
        <f>VLOOKUP(entradas[[#This Row],[Codigo de producto]],productos[],2,FALSE)</f>
        <v>#N/A</v>
      </c>
      <c r="V124" s="1"/>
    </row>
    <row r="125" spans="8:22" x14ac:dyDescent="0.35">
      <c r="H125" s="1"/>
      <c r="L125" t="e">
        <f>VLOOKUP(salidas[[#This Row],[Codigo de producto]],productos[],2,FALSE)</f>
        <v>#N/A</v>
      </c>
      <c r="N125" s="10">
        <f>+salidas[[#This Row],[Cantidad]]*salidas[[#This Row],[Precio U.]]</f>
        <v>0</v>
      </c>
      <c r="P125" s="1"/>
      <c r="T125" t="e">
        <f>VLOOKUP(entradas[[#This Row],[Codigo de producto]],productos[],2,FALSE)</f>
        <v>#N/A</v>
      </c>
      <c r="V125" s="1"/>
    </row>
    <row r="126" spans="8:22" x14ac:dyDescent="0.35">
      <c r="H126" s="1"/>
      <c r="L126" t="e">
        <f>VLOOKUP(salidas[[#This Row],[Codigo de producto]],productos[],2,FALSE)</f>
        <v>#N/A</v>
      </c>
      <c r="N126" s="10">
        <f>+salidas[[#This Row],[Cantidad]]*salidas[[#This Row],[Precio U.]]</f>
        <v>0</v>
      </c>
      <c r="P126" s="1"/>
      <c r="T126" t="e">
        <f>VLOOKUP(entradas[[#This Row],[Codigo de producto]],productos[],2,FALSE)</f>
        <v>#N/A</v>
      </c>
      <c r="V126" s="1"/>
    </row>
    <row r="127" spans="8:22" x14ac:dyDescent="0.35">
      <c r="H127" s="1"/>
      <c r="L127" t="e">
        <f>VLOOKUP(salidas[[#This Row],[Codigo de producto]],productos[],2,FALSE)</f>
        <v>#N/A</v>
      </c>
      <c r="N127" s="10">
        <f>+salidas[[#This Row],[Cantidad]]*salidas[[#This Row],[Precio U.]]</f>
        <v>0</v>
      </c>
      <c r="P127" s="1"/>
      <c r="T127" t="e">
        <f>VLOOKUP(entradas[[#This Row],[Codigo de producto]],productos[],2,FALSE)</f>
        <v>#N/A</v>
      </c>
      <c r="V127" s="1"/>
    </row>
    <row r="128" spans="8:22" x14ac:dyDescent="0.35">
      <c r="H128" s="1"/>
      <c r="L128" t="e">
        <f>VLOOKUP(salidas[[#This Row],[Codigo de producto]],productos[],2,FALSE)</f>
        <v>#N/A</v>
      </c>
      <c r="N128" s="10">
        <f>+salidas[[#This Row],[Cantidad]]*salidas[[#This Row],[Precio U.]]</f>
        <v>0</v>
      </c>
      <c r="P128" s="1"/>
      <c r="T128" t="e">
        <f>VLOOKUP(entradas[[#This Row],[Codigo de producto]],productos[],2,FALSE)</f>
        <v>#N/A</v>
      </c>
      <c r="V128" s="1"/>
    </row>
    <row r="129" spans="8:22" x14ac:dyDescent="0.35">
      <c r="H129" s="1"/>
      <c r="L129" t="e">
        <f>VLOOKUP(salidas[[#This Row],[Codigo de producto]],productos[],2,FALSE)</f>
        <v>#N/A</v>
      </c>
      <c r="N129" s="10">
        <f>+salidas[[#This Row],[Cantidad]]*salidas[[#This Row],[Precio U.]]</f>
        <v>0</v>
      </c>
      <c r="P129" s="1"/>
      <c r="T129" t="e">
        <f>VLOOKUP(entradas[[#This Row],[Codigo de producto]],productos[],2,FALSE)</f>
        <v>#N/A</v>
      </c>
      <c r="V129" s="1"/>
    </row>
    <row r="130" spans="8:22" x14ac:dyDescent="0.35">
      <c r="H130" s="1"/>
      <c r="L130" t="e">
        <f>VLOOKUP(salidas[[#This Row],[Codigo de producto]],productos[],2,FALSE)</f>
        <v>#N/A</v>
      </c>
      <c r="N130" s="10">
        <f>+salidas[[#This Row],[Cantidad]]*salidas[[#This Row],[Precio U.]]</f>
        <v>0</v>
      </c>
      <c r="P130" s="1"/>
      <c r="T130" t="e">
        <f>VLOOKUP(entradas[[#This Row],[Codigo de producto]],productos[],2,FALSE)</f>
        <v>#N/A</v>
      </c>
      <c r="V130" s="1"/>
    </row>
    <row r="131" spans="8:22" x14ac:dyDescent="0.35">
      <c r="H131" s="1"/>
      <c r="L131" t="e">
        <f>VLOOKUP(salidas[[#This Row],[Codigo de producto]],productos[],2,FALSE)</f>
        <v>#N/A</v>
      </c>
      <c r="N131" s="10">
        <f>+salidas[[#This Row],[Cantidad]]*salidas[[#This Row],[Precio U.]]</f>
        <v>0</v>
      </c>
      <c r="P131" s="1"/>
      <c r="T131" t="e">
        <f>VLOOKUP(entradas[[#This Row],[Codigo de producto]],productos[],2,FALSE)</f>
        <v>#N/A</v>
      </c>
      <c r="V131" s="1"/>
    </row>
    <row r="132" spans="8:22" x14ac:dyDescent="0.35">
      <c r="H132" s="1"/>
      <c r="L132" t="e">
        <f>VLOOKUP(salidas[[#This Row],[Codigo de producto]],productos[],2,FALSE)</f>
        <v>#N/A</v>
      </c>
      <c r="N132" s="10">
        <f>+salidas[[#This Row],[Cantidad]]*salidas[[#This Row],[Precio U.]]</f>
        <v>0</v>
      </c>
      <c r="P132" s="1"/>
      <c r="T132" t="e">
        <f>VLOOKUP(entradas[[#This Row],[Codigo de producto]],productos[],2,FALSE)</f>
        <v>#N/A</v>
      </c>
      <c r="V132" s="1"/>
    </row>
    <row r="133" spans="8:22" x14ac:dyDescent="0.35">
      <c r="H133" s="1"/>
      <c r="L133" t="e">
        <f>VLOOKUP(salidas[[#This Row],[Codigo de producto]],productos[],2,FALSE)</f>
        <v>#N/A</v>
      </c>
      <c r="N133" s="10">
        <f>+salidas[[#This Row],[Cantidad]]*salidas[[#This Row],[Precio U.]]</f>
        <v>0</v>
      </c>
      <c r="P133" s="1"/>
      <c r="T133" t="e">
        <f>VLOOKUP(entradas[[#This Row],[Codigo de producto]],productos[],2,FALSE)</f>
        <v>#N/A</v>
      </c>
      <c r="V133" s="1"/>
    </row>
    <row r="134" spans="8:22" x14ac:dyDescent="0.35">
      <c r="H134" s="1"/>
      <c r="L134" t="e">
        <f>VLOOKUP(salidas[[#This Row],[Codigo de producto]],productos[],2,FALSE)</f>
        <v>#N/A</v>
      </c>
      <c r="N134" s="10">
        <f>+salidas[[#This Row],[Cantidad]]*salidas[[#This Row],[Precio U.]]</f>
        <v>0</v>
      </c>
      <c r="P134" s="1"/>
      <c r="T134" t="e">
        <f>VLOOKUP(entradas[[#This Row],[Codigo de producto]],productos[],2,FALSE)</f>
        <v>#N/A</v>
      </c>
      <c r="V134" s="1"/>
    </row>
    <row r="135" spans="8:22" x14ac:dyDescent="0.35">
      <c r="H135" s="1"/>
      <c r="L135" t="e">
        <f>VLOOKUP(salidas[[#This Row],[Codigo de producto]],productos[],2,FALSE)</f>
        <v>#N/A</v>
      </c>
      <c r="N135" s="10">
        <f>+salidas[[#This Row],[Cantidad]]*salidas[[#This Row],[Precio U.]]</f>
        <v>0</v>
      </c>
      <c r="P135" s="1"/>
      <c r="T135" t="e">
        <f>VLOOKUP(entradas[[#This Row],[Codigo de producto]],productos[],2,FALSE)</f>
        <v>#N/A</v>
      </c>
      <c r="V135" s="1"/>
    </row>
    <row r="136" spans="8:22" x14ac:dyDescent="0.35">
      <c r="H136" s="1"/>
      <c r="L136" t="e">
        <f>VLOOKUP(salidas[[#This Row],[Codigo de producto]],productos[],2,FALSE)</f>
        <v>#N/A</v>
      </c>
      <c r="N136" s="10">
        <f>+salidas[[#This Row],[Cantidad]]*salidas[[#This Row],[Precio U.]]</f>
        <v>0</v>
      </c>
      <c r="P136" s="1"/>
      <c r="T136" t="e">
        <f>VLOOKUP(entradas[[#This Row],[Codigo de producto]],productos[],2,FALSE)</f>
        <v>#N/A</v>
      </c>
      <c r="V136" s="1"/>
    </row>
    <row r="137" spans="8:22" x14ac:dyDescent="0.35">
      <c r="H137" s="1"/>
      <c r="L137" t="e">
        <f>VLOOKUP(salidas[[#This Row],[Codigo de producto]],productos[],2,FALSE)</f>
        <v>#N/A</v>
      </c>
      <c r="N137" s="10">
        <f>+salidas[[#This Row],[Cantidad]]*salidas[[#This Row],[Precio U.]]</f>
        <v>0</v>
      </c>
      <c r="P137" s="1"/>
      <c r="T137" t="e">
        <f>VLOOKUP(entradas[[#This Row],[Codigo de producto]],productos[],2,FALSE)</f>
        <v>#N/A</v>
      </c>
      <c r="V137" s="1"/>
    </row>
    <row r="138" spans="8:22" x14ac:dyDescent="0.35">
      <c r="H138" s="1"/>
      <c r="L138" t="e">
        <f>VLOOKUP(salidas[[#This Row],[Codigo de producto]],productos[],2,FALSE)</f>
        <v>#N/A</v>
      </c>
      <c r="N138" s="10">
        <f>+salidas[[#This Row],[Cantidad]]*salidas[[#This Row],[Precio U.]]</f>
        <v>0</v>
      </c>
      <c r="P138" s="1"/>
      <c r="T138" t="e">
        <f>VLOOKUP(entradas[[#This Row],[Codigo de producto]],productos[],2,FALSE)</f>
        <v>#N/A</v>
      </c>
      <c r="V138" s="1"/>
    </row>
    <row r="139" spans="8:22" x14ac:dyDescent="0.35">
      <c r="H139" s="1"/>
      <c r="L139" t="e">
        <f>VLOOKUP(salidas[[#This Row],[Codigo de producto]],productos[],2,FALSE)</f>
        <v>#N/A</v>
      </c>
      <c r="N139" s="10">
        <f>+salidas[[#This Row],[Cantidad]]*salidas[[#This Row],[Precio U.]]</f>
        <v>0</v>
      </c>
      <c r="P139" s="1"/>
      <c r="T139" t="e">
        <f>VLOOKUP(entradas[[#This Row],[Codigo de producto]],productos[],2,FALSE)</f>
        <v>#N/A</v>
      </c>
      <c r="V139" s="1"/>
    </row>
    <row r="140" spans="8:22" x14ac:dyDescent="0.35">
      <c r="H140" s="1"/>
      <c r="L140" t="e">
        <f>VLOOKUP(salidas[[#This Row],[Codigo de producto]],productos[],2,FALSE)</f>
        <v>#N/A</v>
      </c>
      <c r="N140" s="10">
        <f>+salidas[[#This Row],[Cantidad]]*salidas[[#This Row],[Precio U.]]</f>
        <v>0</v>
      </c>
      <c r="P140" s="1"/>
      <c r="T140" t="e">
        <f>VLOOKUP(entradas[[#This Row],[Codigo de producto]],productos[],2,FALSE)</f>
        <v>#N/A</v>
      </c>
      <c r="V140" s="1"/>
    </row>
    <row r="141" spans="8:22" x14ac:dyDescent="0.35">
      <c r="H141" s="1"/>
      <c r="L141" t="e">
        <f>VLOOKUP(salidas[[#This Row],[Codigo de producto]],productos[],2,FALSE)</f>
        <v>#N/A</v>
      </c>
      <c r="N141" s="10">
        <f>+salidas[[#This Row],[Cantidad]]*salidas[[#This Row],[Precio U.]]</f>
        <v>0</v>
      </c>
      <c r="P141" s="1"/>
      <c r="T141" t="e">
        <f>VLOOKUP(entradas[[#This Row],[Codigo de producto]],productos[],2,FALSE)</f>
        <v>#N/A</v>
      </c>
      <c r="V141" s="1"/>
    </row>
    <row r="142" spans="8:22" x14ac:dyDescent="0.35">
      <c r="H142" s="1"/>
      <c r="L142" t="e">
        <f>VLOOKUP(salidas[[#This Row],[Codigo de producto]],productos[],2,FALSE)</f>
        <v>#N/A</v>
      </c>
      <c r="N142" s="10">
        <f>+salidas[[#This Row],[Cantidad]]*salidas[[#This Row],[Precio U.]]</f>
        <v>0</v>
      </c>
      <c r="P142" s="1"/>
      <c r="T142" t="e">
        <f>VLOOKUP(entradas[[#This Row],[Codigo de producto]],productos[],2,FALSE)</f>
        <v>#N/A</v>
      </c>
      <c r="V142" s="1"/>
    </row>
    <row r="143" spans="8:22" x14ac:dyDescent="0.35">
      <c r="H143" s="1"/>
      <c r="L143" t="e">
        <f>VLOOKUP(salidas[[#This Row],[Codigo de producto]],productos[],2,FALSE)</f>
        <v>#N/A</v>
      </c>
      <c r="N143" s="10">
        <f>+salidas[[#This Row],[Cantidad]]*salidas[[#This Row],[Precio U.]]</f>
        <v>0</v>
      </c>
      <c r="P143" s="1"/>
      <c r="T143" t="e">
        <f>VLOOKUP(entradas[[#This Row],[Codigo de producto]],productos[],2,FALSE)</f>
        <v>#N/A</v>
      </c>
      <c r="V143" s="1"/>
    </row>
    <row r="144" spans="8:22" x14ac:dyDescent="0.35">
      <c r="H144" s="1"/>
      <c r="L144" t="e">
        <f>VLOOKUP(salidas[[#This Row],[Codigo de producto]],productos[],2,FALSE)</f>
        <v>#N/A</v>
      </c>
      <c r="N144" s="10">
        <f>+salidas[[#This Row],[Cantidad]]*salidas[[#This Row],[Precio U.]]</f>
        <v>0</v>
      </c>
      <c r="P144" s="1"/>
      <c r="T144" t="e">
        <f>VLOOKUP(entradas[[#This Row],[Codigo de producto]],productos[],2,FALSE)</f>
        <v>#N/A</v>
      </c>
      <c r="V144" s="1"/>
    </row>
    <row r="145" spans="8:22" x14ac:dyDescent="0.35">
      <c r="H145" s="1"/>
      <c r="L145" t="e">
        <f>VLOOKUP(salidas[[#This Row],[Codigo de producto]],productos[],2,FALSE)</f>
        <v>#N/A</v>
      </c>
      <c r="N145" s="10">
        <f>+salidas[[#This Row],[Cantidad]]*salidas[[#This Row],[Precio U.]]</f>
        <v>0</v>
      </c>
      <c r="P145" s="1"/>
      <c r="T145" t="e">
        <f>VLOOKUP(entradas[[#This Row],[Codigo de producto]],productos[],2,FALSE)</f>
        <v>#N/A</v>
      </c>
      <c r="V145" s="1"/>
    </row>
    <row r="146" spans="8:22" x14ac:dyDescent="0.35">
      <c r="H146" s="1"/>
      <c r="L146" t="e">
        <f>VLOOKUP(salidas[[#This Row],[Codigo de producto]],productos[],2,FALSE)</f>
        <v>#N/A</v>
      </c>
      <c r="N146" s="10">
        <f>+salidas[[#This Row],[Cantidad]]*salidas[[#This Row],[Precio U.]]</f>
        <v>0</v>
      </c>
      <c r="P146" s="1"/>
      <c r="T146" t="e">
        <f>VLOOKUP(entradas[[#This Row],[Codigo de producto]],productos[],2,FALSE)</f>
        <v>#N/A</v>
      </c>
      <c r="V146" s="1"/>
    </row>
    <row r="147" spans="8:22" x14ac:dyDescent="0.35">
      <c r="H147" s="1"/>
      <c r="L147" t="e">
        <f>VLOOKUP(salidas[[#This Row],[Codigo de producto]],productos[],2,FALSE)</f>
        <v>#N/A</v>
      </c>
      <c r="N147" s="10">
        <f>+salidas[[#This Row],[Cantidad]]*salidas[[#This Row],[Precio U.]]</f>
        <v>0</v>
      </c>
      <c r="P147" s="1"/>
      <c r="T147" t="e">
        <f>VLOOKUP(entradas[[#This Row],[Codigo de producto]],productos[],2,FALSE)</f>
        <v>#N/A</v>
      </c>
      <c r="V147" s="1"/>
    </row>
    <row r="148" spans="8:22" x14ac:dyDescent="0.35">
      <c r="H148" s="1"/>
      <c r="L148" t="e">
        <f>VLOOKUP(salidas[[#This Row],[Codigo de producto]],productos[],2,FALSE)</f>
        <v>#N/A</v>
      </c>
      <c r="N148" s="10">
        <f>+salidas[[#This Row],[Cantidad]]*salidas[[#This Row],[Precio U.]]</f>
        <v>0</v>
      </c>
      <c r="P148" s="1"/>
      <c r="T148" t="e">
        <f>VLOOKUP(entradas[[#This Row],[Codigo de producto]],productos[],2,FALSE)</f>
        <v>#N/A</v>
      </c>
      <c r="V148" s="1"/>
    </row>
    <row r="149" spans="8:22" x14ac:dyDescent="0.35">
      <c r="H149" s="1"/>
      <c r="L149" t="e">
        <f>VLOOKUP(salidas[[#This Row],[Codigo de producto]],productos[],2,FALSE)</f>
        <v>#N/A</v>
      </c>
      <c r="N149" s="10">
        <f>+salidas[[#This Row],[Cantidad]]*salidas[[#This Row],[Precio U.]]</f>
        <v>0</v>
      </c>
      <c r="P149" s="1"/>
      <c r="T149" t="e">
        <f>VLOOKUP(entradas[[#This Row],[Codigo de producto]],productos[],2,FALSE)</f>
        <v>#N/A</v>
      </c>
      <c r="V149" s="1"/>
    </row>
    <row r="150" spans="8:22" x14ac:dyDescent="0.35">
      <c r="H150" s="1"/>
      <c r="L150" t="e">
        <f>VLOOKUP(salidas[[#This Row],[Codigo de producto]],productos[],2,FALSE)</f>
        <v>#N/A</v>
      </c>
      <c r="N150" s="10">
        <f>+salidas[[#This Row],[Cantidad]]*salidas[[#This Row],[Precio U.]]</f>
        <v>0</v>
      </c>
      <c r="P150" s="1"/>
      <c r="T150" t="e">
        <f>VLOOKUP(entradas[[#This Row],[Codigo de producto]],productos[],2,FALSE)</f>
        <v>#N/A</v>
      </c>
      <c r="V150" s="1"/>
    </row>
    <row r="151" spans="8:22" x14ac:dyDescent="0.35">
      <c r="H151" s="1"/>
      <c r="L151" t="e">
        <f>VLOOKUP(salidas[[#This Row],[Codigo de producto]],productos[],2,FALSE)</f>
        <v>#N/A</v>
      </c>
      <c r="N151" s="10">
        <f>+salidas[[#This Row],[Cantidad]]*salidas[[#This Row],[Precio U.]]</f>
        <v>0</v>
      </c>
      <c r="P151" s="1"/>
      <c r="T151" t="e">
        <f>VLOOKUP(entradas[[#This Row],[Codigo de producto]],productos[],2,FALSE)</f>
        <v>#N/A</v>
      </c>
      <c r="V151" s="1"/>
    </row>
    <row r="152" spans="8:22" x14ac:dyDescent="0.35">
      <c r="H152" s="1"/>
      <c r="L152" t="e">
        <f>VLOOKUP(salidas[[#This Row],[Codigo de producto]],productos[],2,FALSE)</f>
        <v>#N/A</v>
      </c>
      <c r="N152" s="10">
        <f>+salidas[[#This Row],[Cantidad]]*salidas[[#This Row],[Precio U.]]</f>
        <v>0</v>
      </c>
      <c r="P152" s="1"/>
      <c r="T152" t="e">
        <f>VLOOKUP(entradas[[#This Row],[Codigo de producto]],productos[],2,FALSE)</f>
        <v>#N/A</v>
      </c>
      <c r="V152" s="1"/>
    </row>
    <row r="153" spans="8:22" x14ac:dyDescent="0.35">
      <c r="H153" s="1"/>
      <c r="L153" t="e">
        <f>VLOOKUP(salidas[[#This Row],[Codigo de producto]],productos[],2,FALSE)</f>
        <v>#N/A</v>
      </c>
      <c r="N153" s="10">
        <f>+salidas[[#This Row],[Cantidad]]*salidas[[#This Row],[Precio U.]]</f>
        <v>0</v>
      </c>
      <c r="P153" s="1"/>
      <c r="T153" t="e">
        <f>VLOOKUP(entradas[[#This Row],[Codigo de producto]],productos[],2,FALSE)</f>
        <v>#N/A</v>
      </c>
      <c r="V153" s="1"/>
    </row>
    <row r="154" spans="8:22" x14ac:dyDescent="0.35">
      <c r="H154" s="1"/>
      <c r="L154" t="e">
        <f>VLOOKUP(salidas[[#This Row],[Codigo de producto]],productos[],2,FALSE)</f>
        <v>#N/A</v>
      </c>
      <c r="N154" s="10">
        <f>+salidas[[#This Row],[Cantidad]]*salidas[[#This Row],[Precio U.]]</f>
        <v>0</v>
      </c>
      <c r="P154" s="1"/>
      <c r="T154" t="e">
        <f>VLOOKUP(entradas[[#This Row],[Codigo de producto]],productos[],2,FALSE)</f>
        <v>#N/A</v>
      </c>
      <c r="V154" s="1"/>
    </row>
    <row r="155" spans="8:22" x14ac:dyDescent="0.35">
      <c r="H155" s="1"/>
      <c r="L155" t="e">
        <f>VLOOKUP(salidas[[#This Row],[Codigo de producto]],productos[],2,FALSE)</f>
        <v>#N/A</v>
      </c>
      <c r="N155" s="10">
        <f>+salidas[[#This Row],[Cantidad]]*salidas[[#This Row],[Precio U.]]</f>
        <v>0</v>
      </c>
      <c r="P155" s="1"/>
      <c r="T155" t="e">
        <f>VLOOKUP(entradas[[#This Row],[Codigo de producto]],productos[],2,FALSE)</f>
        <v>#N/A</v>
      </c>
      <c r="V155" s="1"/>
    </row>
    <row r="156" spans="8:22" x14ac:dyDescent="0.35">
      <c r="H156" s="1"/>
      <c r="L156" t="e">
        <f>VLOOKUP(salidas[[#This Row],[Codigo de producto]],productos[],2,FALSE)</f>
        <v>#N/A</v>
      </c>
      <c r="N156" s="10">
        <f>+salidas[[#This Row],[Cantidad]]*salidas[[#This Row],[Precio U.]]</f>
        <v>0</v>
      </c>
      <c r="P156" s="1"/>
      <c r="T156" t="e">
        <f>VLOOKUP(entradas[[#This Row],[Codigo de producto]],productos[],2,FALSE)</f>
        <v>#N/A</v>
      </c>
      <c r="V156" s="1"/>
    </row>
    <row r="157" spans="8:22" x14ac:dyDescent="0.35">
      <c r="H157" s="1"/>
      <c r="L157" t="e">
        <f>VLOOKUP(salidas[[#This Row],[Codigo de producto]],productos[],2,FALSE)</f>
        <v>#N/A</v>
      </c>
      <c r="N157" s="10">
        <f>+salidas[[#This Row],[Cantidad]]*salidas[[#This Row],[Precio U.]]</f>
        <v>0</v>
      </c>
      <c r="P157" s="1"/>
      <c r="T157" t="e">
        <f>VLOOKUP(entradas[[#This Row],[Codigo de producto]],productos[],2,FALSE)</f>
        <v>#N/A</v>
      </c>
      <c r="V157" s="1"/>
    </row>
    <row r="158" spans="8:22" x14ac:dyDescent="0.35">
      <c r="H158" s="1"/>
      <c r="L158" t="e">
        <f>VLOOKUP(salidas[[#This Row],[Codigo de producto]],productos[],2,FALSE)</f>
        <v>#N/A</v>
      </c>
      <c r="N158" s="10">
        <f>+salidas[[#This Row],[Cantidad]]*salidas[[#This Row],[Precio U.]]</f>
        <v>0</v>
      </c>
      <c r="P158" s="1"/>
      <c r="T158" t="e">
        <f>VLOOKUP(entradas[[#This Row],[Codigo de producto]],productos[],2,FALSE)</f>
        <v>#N/A</v>
      </c>
      <c r="V158" s="1"/>
    </row>
    <row r="159" spans="8:22" x14ac:dyDescent="0.35">
      <c r="H159" s="1"/>
      <c r="L159" t="e">
        <f>VLOOKUP(salidas[[#This Row],[Codigo de producto]],productos[],2,FALSE)</f>
        <v>#N/A</v>
      </c>
      <c r="N159" s="10">
        <f>+salidas[[#This Row],[Cantidad]]*salidas[[#This Row],[Precio U.]]</f>
        <v>0</v>
      </c>
      <c r="P159" s="1"/>
      <c r="T159" t="e">
        <f>VLOOKUP(entradas[[#This Row],[Codigo de producto]],productos[],2,FALSE)</f>
        <v>#N/A</v>
      </c>
      <c r="V159" s="1"/>
    </row>
    <row r="160" spans="8:22" x14ac:dyDescent="0.35">
      <c r="H160" s="1"/>
      <c r="L160" t="e">
        <f>VLOOKUP(salidas[[#This Row],[Codigo de producto]],productos[],2,FALSE)</f>
        <v>#N/A</v>
      </c>
      <c r="N160" s="10">
        <f>+salidas[[#This Row],[Cantidad]]*salidas[[#This Row],[Precio U.]]</f>
        <v>0</v>
      </c>
      <c r="P160" s="1"/>
      <c r="T160" t="e">
        <f>VLOOKUP(entradas[[#This Row],[Codigo de producto]],productos[],2,FALSE)</f>
        <v>#N/A</v>
      </c>
      <c r="V160" s="1"/>
    </row>
    <row r="161" spans="8:22" x14ac:dyDescent="0.35">
      <c r="H161" s="1"/>
      <c r="L161" t="e">
        <f>VLOOKUP(salidas[[#This Row],[Codigo de producto]],productos[],2,FALSE)</f>
        <v>#N/A</v>
      </c>
      <c r="N161" s="10">
        <f>+salidas[[#This Row],[Cantidad]]*salidas[[#This Row],[Precio U.]]</f>
        <v>0</v>
      </c>
      <c r="P161" s="1"/>
      <c r="T161" t="e">
        <f>VLOOKUP(entradas[[#This Row],[Codigo de producto]],productos[],2,FALSE)</f>
        <v>#N/A</v>
      </c>
      <c r="V161" s="1"/>
    </row>
    <row r="162" spans="8:22" x14ac:dyDescent="0.35">
      <c r="H162" s="1"/>
      <c r="L162" t="e">
        <f>VLOOKUP(salidas[[#This Row],[Codigo de producto]],productos[],2,FALSE)</f>
        <v>#N/A</v>
      </c>
      <c r="N162" s="10">
        <f>+salidas[[#This Row],[Cantidad]]*salidas[[#This Row],[Precio U.]]</f>
        <v>0</v>
      </c>
      <c r="P162" s="1"/>
      <c r="T162" t="e">
        <f>VLOOKUP(entradas[[#This Row],[Codigo de producto]],productos[],2,FALSE)</f>
        <v>#N/A</v>
      </c>
      <c r="V162" s="1"/>
    </row>
    <row r="163" spans="8:22" x14ac:dyDescent="0.35">
      <c r="H163" s="1"/>
      <c r="L163" t="e">
        <f>VLOOKUP(salidas[[#This Row],[Codigo de producto]],productos[],2,FALSE)</f>
        <v>#N/A</v>
      </c>
      <c r="N163" s="10">
        <f>+salidas[[#This Row],[Cantidad]]*salidas[[#This Row],[Precio U.]]</f>
        <v>0</v>
      </c>
      <c r="P163" s="1"/>
      <c r="T163" t="e">
        <f>VLOOKUP(entradas[[#This Row],[Codigo de producto]],productos[],2,FALSE)</f>
        <v>#N/A</v>
      </c>
      <c r="V163" s="1"/>
    </row>
    <row r="164" spans="8:22" x14ac:dyDescent="0.35">
      <c r="H164" s="1"/>
      <c r="L164" t="e">
        <f>VLOOKUP(salidas[[#This Row],[Codigo de producto]],productos[],2,FALSE)</f>
        <v>#N/A</v>
      </c>
      <c r="N164" s="10">
        <f>+salidas[[#This Row],[Cantidad]]*salidas[[#This Row],[Precio U.]]</f>
        <v>0</v>
      </c>
      <c r="P164" s="1"/>
      <c r="T164" t="e">
        <f>VLOOKUP(entradas[[#This Row],[Codigo de producto]],productos[],2,FALSE)</f>
        <v>#N/A</v>
      </c>
      <c r="V164" s="1"/>
    </row>
    <row r="165" spans="8:22" x14ac:dyDescent="0.35">
      <c r="H165" s="1"/>
      <c r="L165" t="e">
        <f>VLOOKUP(salidas[[#This Row],[Codigo de producto]],productos[],2,FALSE)</f>
        <v>#N/A</v>
      </c>
      <c r="N165" s="10">
        <f>+salidas[[#This Row],[Cantidad]]*salidas[[#This Row],[Precio U.]]</f>
        <v>0</v>
      </c>
      <c r="P165" s="1"/>
      <c r="T165" t="e">
        <f>VLOOKUP(entradas[[#This Row],[Codigo de producto]],productos[],2,FALSE)</f>
        <v>#N/A</v>
      </c>
      <c r="V165" s="1"/>
    </row>
    <row r="166" spans="8:22" x14ac:dyDescent="0.35">
      <c r="H166" s="1"/>
      <c r="L166" t="e">
        <f>VLOOKUP(salidas[[#This Row],[Codigo de producto]],productos[],2,FALSE)</f>
        <v>#N/A</v>
      </c>
      <c r="N166" s="10">
        <f>+salidas[[#This Row],[Cantidad]]*salidas[[#This Row],[Precio U.]]</f>
        <v>0</v>
      </c>
      <c r="P166" s="1"/>
      <c r="T166" t="e">
        <f>VLOOKUP(entradas[[#This Row],[Codigo de producto]],productos[],2,FALSE)</f>
        <v>#N/A</v>
      </c>
      <c r="V166" s="1"/>
    </row>
    <row r="167" spans="8:22" x14ac:dyDescent="0.35">
      <c r="H167" s="1"/>
      <c r="L167" t="e">
        <f>VLOOKUP(salidas[[#This Row],[Codigo de producto]],productos[],2,FALSE)</f>
        <v>#N/A</v>
      </c>
      <c r="N167" s="10">
        <f>+salidas[[#This Row],[Cantidad]]*salidas[[#This Row],[Precio U.]]</f>
        <v>0</v>
      </c>
      <c r="P167" s="1"/>
      <c r="T167" t="e">
        <f>VLOOKUP(entradas[[#This Row],[Codigo de producto]],productos[],2,FALSE)</f>
        <v>#N/A</v>
      </c>
      <c r="V167" s="1"/>
    </row>
    <row r="168" spans="8:22" x14ac:dyDescent="0.35">
      <c r="H168" s="1"/>
      <c r="L168" t="e">
        <f>VLOOKUP(salidas[[#This Row],[Codigo de producto]],productos[],2,FALSE)</f>
        <v>#N/A</v>
      </c>
      <c r="N168" s="10">
        <f>+salidas[[#This Row],[Cantidad]]*salidas[[#This Row],[Precio U.]]</f>
        <v>0</v>
      </c>
      <c r="P168" s="1"/>
      <c r="T168" t="e">
        <f>VLOOKUP(entradas[[#This Row],[Codigo de producto]],productos[],2,FALSE)</f>
        <v>#N/A</v>
      </c>
      <c r="V168" s="1"/>
    </row>
    <row r="169" spans="8:22" x14ac:dyDescent="0.35">
      <c r="H169" s="1"/>
      <c r="L169" t="e">
        <f>VLOOKUP(salidas[[#This Row],[Codigo de producto]],productos[],2,FALSE)</f>
        <v>#N/A</v>
      </c>
      <c r="N169" s="10">
        <f>+salidas[[#This Row],[Cantidad]]*salidas[[#This Row],[Precio U.]]</f>
        <v>0</v>
      </c>
      <c r="P169" s="1"/>
      <c r="T169" t="e">
        <f>VLOOKUP(entradas[[#This Row],[Codigo de producto]],productos[],2,FALSE)</f>
        <v>#N/A</v>
      </c>
      <c r="V169" s="1"/>
    </row>
    <row r="170" spans="8:22" x14ac:dyDescent="0.35">
      <c r="H170" s="1"/>
      <c r="L170" t="e">
        <f>VLOOKUP(salidas[[#This Row],[Codigo de producto]],productos[],2,FALSE)</f>
        <v>#N/A</v>
      </c>
      <c r="N170" s="10">
        <f>+salidas[[#This Row],[Cantidad]]*salidas[[#This Row],[Precio U.]]</f>
        <v>0</v>
      </c>
      <c r="P170" s="1"/>
      <c r="T170" t="e">
        <f>VLOOKUP(entradas[[#This Row],[Codigo de producto]],productos[],2,FALSE)</f>
        <v>#N/A</v>
      </c>
      <c r="V170" s="1"/>
    </row>
    <row r="171" spans="8:22" x14ac:dyDescent="0.35">
      <c r="H171" s="1"/>
      <c r="L171" t="e">
        <f>VLOOKUP(salidas[[#This Row],[Codigo de producto]],productos[],2,FALSE)</f>
        <v>#N/A</v>
      </c>
      <c r="N171" s="10">
        <f>+salidas[[#This Row],[Cantidad]]*salidas[[#This Row],[Precio U.]]</f>
        <v>0</v>
      </c>
      <c r="P171" s="1"/>
      <c r="T171" t="e">
        <f>VLOOKUP(entradas[[#This Row],[Codigo de producto]],productos[],2,FALSE)</f>
        <v>#N/A</v>
      </c>
      <c r="V171" s="1"/>
    </row>
    <row r="172" spans="8:22" x14ac:dyDescent="0.35">
      <c r="H172" s="1"/>
      <c r="L172" t="e">
        <f>VLOOKUP(salidas[[#This Row],[Codigo de producto]],productos[],2,FALSE)</f>
        <v>#N/A</v>
      </c>
      <c r="N172" s="10">
        <f>+salidas[[#This Row],[Cantidad]]*salidas[[#This Row],[Precio U.]]</f>
        <v>0</v>
      </c>
      <c r="P172" s="1"/>
      <c r="T172" t="e">
        <f>VLOOKUP(entradas[[#This Row],[Codigo de producto]],productos[],2,FALSE)</f>
        <v>#N/A</v>
      </c>
      <c r="V172" s="1"/>
    </row>
    <row r="173" spans="8:22" x14ac:dyDescent="0.35">
      <c r="H173" s="1"/>
      <c r="L173" t="e">
        <f>VLOOKUP(salidas[[#This Row],[Codigo de producto]],productos[],2,FALSE)</f>
        <v>#N/A</v>
      </c>
      <c r="N173" s="10">
        <f>+salidas[[#This Row],[Cantidad]]*salidas[[#This Row],[Precio U.]]</f>
        <v>0</v>
      </c>
      <c r="P173" s="1"/>
      <c r="T173" t="e">
        <f>VLOOKUP(entradas[[#This Row],[Codigo de producto]],productos[],2,FALSE)</f>
        <v>#N/A</v>
      </c>
      <c r="V173" s="1"/>
    </row>
    <row r="174" spans="8:22" x14ac:dyDescent="0.35">
      <c r="H174" s="1"/>
      <c r="L174" t="e">
        <f>VLOOKUP(salidas[[#This Row],[Codigo de producto]],productos[],2,FALSE)</f>
        <v>#N/A</v>
      </c>
      <c r="N174" s="10">
        <f>+salidas[[#This Row],[Cantidad]]*salidas[[#This Row],[Precio U.]]</f>
        <v>0</v>
      </c>
      <c r="P174" s="1"/>
      <c r="T174" t="e">
        <f>VLOOKUP(entradas[[#This Row],[Codigo de producto]],productos[],2,FALSE)</f>
        <v>#N/A</v>
      </c>
      <c r="V174" s="1"/>
    </row>
    <row r="175" spans="8:22" x14ac:dyDescent="0.35">
      <c r="H175" s="1"/>
      <c r="L175" t="e">
        <f>VLOOKUP(salidas[[#This Row],[Codigo de producto]],productos[],2,FALSE)</f>
        <v>#N/A</v>
      </c>
      <c r="N175" s="10">
        <f>+salidas[[#This Row],[Cantidad]]*salidas[[#This Row],[Precio U.]]</f>
        <v>0</v>
      </c>
      <c r="P175" s="1"/>
      <c r="T175" t="e">
        <f>VLOOKUP(entradas[[#This Row],[Codigo de producto]],productos[],2,FALSE)</f>
        <v>#N/A</v>
      </c>
      <c r="V175" s="1"/>
    </row>
    <row r="176" spans="8:22" x14ac:dyDescent="0.35">
      <c r="H176" s="1"/>
      <c r="L176" t="e">
        <f>VLOOKUP(salidas[[#This Row],[Codigo de producto]],productos[],2,FALSE)</f>
        <v>#N/A</v>
      </c>
      <c r="N176" s="10">
        <f>+salidas[[#This Row],[Cantidad]]*salidas[[#This Row],[Precio U.]]</f>
        <v>0</v>
      </c>
      <c r="P176" s="1"/>
      <c r="T176" t="e">
        <f>VLOOKUP(entradas[[#This Row],[Codigo de producto]],productos[],2,FALSE)</f>
        <v>#N/A</v>
      </c>
      <c r="V176" s="1"/>
    </row>
    <row r="177" spans="8:22" x14ac:dyDescent="0.35">
      <c r="H177" s="1"/>
      <c r="L177" t="e">
        <f>VLOOKUP(salidas[[#This Row],[Codigo de producto]],productos[],2,FALSE)</f>
        <v>#N/A</v>
      </c>
      <c r="N177" s="10">
        <f>+salidas[[#This Row],[Cantidad]]*salidas[[#This Row],[Precio U.]]</f>
        <v>0</v>
      </c>
      <c r="P177" s="1"/>
      <c r="T177" t="e">
        <f>VLOOKUP(entradas[[#This Row],[Codigo de producto]],productos[],2,FALSE)</f>
        <v>#N/A</v>
      </c>
      <c r="V177" s="1"/>
    </row>
    <row r="178" spans="8:22" x14ac:dyDescent="0.35">
      <c r="H178" s="1"/>
      <c r="L178" t="e">
        <f>VLOOKUP(salidas[[#This Row],[Codigo de producto]],productos[],2,FALSE)</f>
        <v>#N/A</v>
      </c>
      <c r="N178" s="10">
        <f>+salidas[[#This Row],[Cantidad]]*salidas[[#This Row],[Precio U.]]</f>
        <v>0</v>
      </c>
      <c r="P178" s="1"/>
      <c r="T178" t="e">
        <f>VLOOKUP(entradas[[#This Row],[Codigo de producto]],productos[],2,FALSE)</f>
        <v>#N/A</v>
      </c>
      <c r="V178" s="1"/>
    </row>
    <row r="179" spans="8:22" x14ac:dyDescent="0.35">
      <c r="H179" s="1"/>
      <c r="L179" t="e">
        <f>VLOOKUP(salidas[[#This Row],[Codigo de producto]],productos[],2,FALSE)</f>
        <v>#N/A</v>
      </c>
      <c r="N179" s="10">
        <f>+salidas[[#This Row],[Cantidad]]*salidas[[#This Row],[Precio U.]]</f>
        <v>0</v>
      </c>
      <c r="P179" s="1"/>
      <c r="T179" t="e">
        <f>VLOOKUP(entradas[[#This Row],[Codigo de producto]],productos[],2,FALSE)</f>
        <v>#N/A</v>
      </c>
      <c r="V179" s="1"/>
    </row>
    <row r="180" spans="8:22" x14ac:dyDescent="0.35">
      <c r="H180" s="1"/>
      <c r="L180" t="e">
        <f>VLOOKUP(salidas[[#This Row],[Codigo de producto]],productos[],2,FALSE)</f>
        <v>#N/A</v>
      </c>
      <c r="N180" s="10">
        <f>+salidas[[#This Row],[Cantidad]]*salidas[[#This Row],[Precio U.]]</f>
        <v>0</v>
      </c>
      <c r="P180" s="1"/>
      <c r="T180" t="e">
        <f>VLOOKUP(entradas[[#This Row],[Codigo de producto]],productos[],2,FALSE)</f>
        <v>#N/A</v>
      </c>
      <c r="V180" s="1"/>
    </row>
    <row r="181" spans="8:22" x14ac:dyDescent="0.35">
      <c r="H181" s="1"/>
      <c r="L181" t="e">
        <f>VLOOKUP(salidas[[#This Row],[Codigo de producto]],productos[],2,FALSE)</f>
        <v>#N/A</v>
      </c>
      <c r="N181" s="10">
        <f>+salidas[[#This Row],[Cantidad]]*salidas[[#This Row],[Precio U.]]</f>
        <v>0</v>
      </c>
      <c r="P181" s="1"/>
      <c r="T181" t="e">
        <f>VLOOKUP(entradas[[#This Row],[Codigo de producto]],productos[],2,FALSE)</f>
        <v>#N/A</v>
      </c>
      <c r="V181" s="1"/>
    </row>
    <row r="182" spans="8:22" x14ac:dyDescent="0.35">
      <c r="H182" s="1"/>
      <c r="L182" t="e">
        <f>VLOOKUP(salidas[[#This Row],[Codigo de producto]],productos[],2,FALSE)</f>
        <v>#N/A</v>
      </c>
      <c r="N182" s="10">
        <f>+salidas[[#This Row],[Cantidad]]*salidas[[#This Row],[Precio U.]]</f>
        <v>0</v>
      </c>
      <c r="P182" s="1"/>
      <c r="T182" t="e">
        <f>VLOOKUP(entradas[[#This Row],[Codigo de producto]],productos[],2,FALSE)</f>
        <v>#N/A</v>
      </c>
      <c r="V182" s="1"/>
    </row>
    <row r="183" spans="8:22" x14ac:dyDescent="0.35">
      <c r="H183" s="1"/>
      <c r="L183" t="e">
        <f>VLOOKUP(salidas[[#This Row],[Codigo de producto]],productos[],2,FALSE)</f>
        <v>#N/A</v>
      </c>
      <c r="N183" s="10">
        <f>+salidas[[#This Row],[Cantidad]]*salidas[[#This Row],[Precio U.]]</f>
        <v>0</v>
      </c>
      <c r="P183" s="1"/>
      <c r="T183" t="e">
        <f>VLOOKUP(entradas[[#This Row],[Codigo de producto]],productos[],2,FALSE)</f>
        <v>#N/A</v>
      </c>
      <c r="V183" s="1"/>
    </row>
    <row r="184" spans="8:22" x14ac:dyDescent="0.35">
      <c r="H184" s="1"/>
      <c r="L184" t="e">
        <f>VLOOKUP(salidas[[#This Row],[Codigo de producto]],productos[],2,FALSE)</f>
        <v>#N/A</v>
      </c>
      <c r="N184" s="10">
        <f>+salidas[[#This Row],[Cantidad]]*salidas[[#This Row],[Precio U.]]</f>
        <v>0</v>
      </c>
      <c r="P184" s="1"/>
      <c r="T184" t="e">
        <f>VLOOKUP(entradas[[#This Row],[Codigo de producto]],productos[],2,FALSE)</f>
        <v>#N/A</v>
      </c>
      <c r="V184" s="1"/>
    </row>
    <row r="185" spans="8:22" x14ac:dyDescent="0.35">
      <c r="H185" s="1"/>
      <c r="L185" t="e">
        <f>VLOOKUP(salidas[[#This Row],[Codigo de producto]],productos[],2,FALSE)</f>
        <v>#N/A</v>
      </c>
      <c r="N185" s="10">
        <f>+salidas[[#This Row],[Cantidad]]*salidas[[#This Row],[Precio U.]]</f>
        <v>0</v>
      </c>
      <c r="P185" s="1"/>
      <c r="T185" t="e">
        <f>VLOOKUP(entradas[[#This Row],[Codigo de producto]],productos[],2,FALSE)</f>
        <v>#N/A</v>
      </c>
      <c r="V185" s="1"/>
    </row>
    <row r="186" spans="8:22" x14ac:dyDescent="0.35">
      <c r="H186" s="1"/>
      <c r="L186" t="e">
        <f>VLOOKUP(salidas[[#This Row],[Codigo de producto]],productos[],2,FALSE)</f>
        <v>#N/A</v>
      </c>
      <c r="N186" s="10">
        <f>+salidas[[#This Row],[Cantidad]]*salidas[[#This Row],[Precio U.]]</f>
        <v>0</v>
      </c>
      <c r="P186" s="1"/>
      <c r="T186" t="e">
        <f>VLOOKUP(entradas[[#This Row],[Codigo de producto]],productos[],2,FALSE)</f>
        <v>#N/A</v>
      </c>
      <c r="V186" s="1"/>
    </row>
    <row r="187" spans="8:22" x14ac:dyDescent="0.35">
      <c r="H187" s="1"/>
      <c r="L187" t="e">
        <f>VLOOKUP(salidas[[#This Row],[Codigo de producto]],productos[],2,FALSE)</f>
        <v>#N/A</v>
      </c>
      <c r="N187" s="10">
        <f>+salidas[[#This Row],[Cantidad]]*salidas[[#This Row],[Precio U.]]</f>
        <v>0</v>
      </c>
      <c r="P187" s="1"/>
      <c r="T187" t="e">
        <f>VLOOKUP(entradas[[#This Row],[Codigo de producto]],productos[],2,FALSE)</f>
        <v>#N/A</v>
      </c>
      <c r="V187" s="1"/>
    </row>
    <row r="188" spans="8:22" x14ac:dyDescent="0.35">
      <c r="H188" s="1"/>
      <c r="L188" t="e">
        <f>VLOOKUP(salidas[[#This Row],[Codigo de producto]],productos[],2,FALSE)</f>
        <v>#N/A</v>
      </c>
      <c r="N188" s="10">
        <f>+salidas[[#This Row],[Cantidad]]*salidas[[#This Row],[Precio U.]]</f>
        <v>0</v>
      </c>
      <c r="P188" s="1"/>
      <c r="T188" t="e">
        <f>VLOOKUP(entradas[[#This Row],[Codigo de producto]],productos[],2,FALSE)</f>
        <v>#N/A</v>
      </c>
      <c r="V188" s="1"/>
    </row>
    <row r="189" spans="8:22" x14ac:dyDescent="0.35">
      <c r="H189" s="1"/>
      <c r="L189" t="e">
        <f>VLOOKUP(salidas[[#This Row],[Codigo de producto]],productos[],2,FALSE)</f>
        <v>#N/A</v>
      </c>
      <c r="N189" s="10">
        <f>+salidas[[#This Row],[Cantidad]]*salidas[[#This Row],[Precio U.]]</f>
        <v>0</v>
      </c>
      <c r="P189" s="1"/>
      <c r="T189" t="e">
        <f>VLOOKUP(entradas[[#This Row],[Codigo de producto]],productos[],2,FALSE)</f>
        <v>#N/A</v>
      </c>
      <c r="V189" s="1"/>
    </row>
    <row r="190" spans="8:22" x14ac:dyDescent="0.35">
      <c r="H190" s="1"/>
      <c r="L190" t="e">
        <f>VLOOKUP(salidas[[#This Row],[Codigo de producto]],productos[],2,FALSE)</f>
        <v>#N/A</v>
      </c>
      <c r="N190" s="10">
        <f>+salidas[[#This Row],[Cantidad]]*salidas[[#This Row],[Precio U.]]</f>
        <v>0</v>
      </c>
      <c r="P190" s="1"/>
      <c r="T190" t="e">
        <f>VLOOKUP(entradas[[#This Row],[Codigo de producto]],productos[],2,FALSE)</f>
        <v>#N/A</v>
      </c>
      <c r="V190" s="1"/>
    </row>
    <row r="191" spans="8:22" x14ac:dyDescent="0.35">
      <c r="H191" s="1"/>
      <c r="L191" t="e">
        <f>VLOOKUP(salidas[[#This Row],[Codigo de producto]],productos[],2,FALSE)</f>
        <v>#N/A</v>
      </c>
      <c r="N191" s="10">
        <f>+salidas[[#This Row],[Cantidad]]*salidas[[#This Row],[Precio U.]]</f>
        <v>0</v>
      </c>
      <c r="P191" s="1"/>
      <c r="T191" t="e">
        <f>VLOOKUP(entradas[[#This Row],[Codigo de producto]],productos[],2,FALSE)</f>
        <v>#N/A</v>
      </c>
      <c r="V191" s="1"/>
    </row>
    <row r="192" spans="8:22" x14ac:dyDescent="0.35">
      <c r="H192" s="1"/>
      <c r="L192" t="e">
        <f>VLOOKUP(salidas[[#This Row],[Codigo de producto]],productos[],2,FALSE)</f>
        <v>#N/A</v>
      </c>
      <c r="N192" s="10">
        <f>+salidas[[#This Row],[Cantidad]]*salidas[[#This Row],[Precio U.]]</f>
        <v>0</v>
      </c>
      <c r="P192" s="1"/>
      <c r="T192" t="e">
        <f>VLOOKUP(entradas[[#This Row],[Codigo de producto]],productos[],2,FALSE)</f>
        <v>#N/A</v>
      </c>
      <c r="V192" s="1"/>
    </row>
    <row r="193" spans="8:22" x14ac:dyDescent="0.35">
      <c r="H193" s="1"/>
      <c r="L193" t="e">
        <f>VLOOKUP(salidas[[#This Row],[Codigo de producto]],productos[],2,FALSE)</f>
        <v>#N/A</v>
      </c>
      <c r="N193" s="10">
        <f>+salidas[[#This Row],[Cantidad]]*salidas[[#This Row],[Precio U.]]</f>
        <v>0</v>
      </c>
      <c r="P193" s="1"/>
      <c r="T193" t="e">
        <f>VLOOKUP(entradas[[#This Row],[Codigo de producto]],productos[],2,FALSE)</f>
        <v>#N/A</v>
      </c>
      <c r="V193" s="1"/>
    </row>
    <row r="194" spans="8:22" x14ac:dyDescent="0.35">
      <c r="H194" s="1"/>
      <c r="L194" t="e">
        <f>VLOOKUP(salidas[[#This Row],[Codigo de producto]],productos[],2,FALSE)</f>
        <v>#N/A</v>
      </c>
      <c r="N194" s="10">
        <f>+salidas[[#This Row],[Cantidad]]*salidas[[#This Row],[Precio U.]]</f>
        <v>0</v>
      </c>
      <c r="P194" s="1"/>
      <c r="T194" t="e">
        <f>VLOOKUP(entradas[[#This Row],[Codigo de producto]],productos[],2,FALSE)</f>
        <v>#N/A</v>
      </c>
      <c r="V194" s="1"/>
    </row>
    <row r="195" spans="8:22" x14ac:dyDescent="0.35">
      <c r="H195" s="1"/>
      <c r="L195" t="e">
        <f>VLOOKUP(salidas[[#This Row],[Codigo de producto]],productos[],2,FALSE)</f>
        <v>#N/A</v>
      </c>
      <c r="N195" s="10">
        <f>+salidas[[#This Row],[Cantidad]]*salidas[[#This Row],[Precio U.]]</f>
        <v>0</v>
      </c>
      <c r="P195" s="1"/>
      <c r="T195" t="e">
        <f>VLOOKUP(entradas[[#This Row],[Codigo de producto]],productos[],2,FALSE)</f>
        <v>#N/A</v>
      </c>
      <c r="V195" s="1"/>
    </row>
    <row r="196" spans="8:22" x14ac:dyDescent="0.35">
      <c r="H196" s="1"/>
      <c r="L196" t="e">
        <f>VLOOKUP(salidas[[#This Row],[Codigo de producto]],productos[],2,FALSE)</f>
        <v>#N/A</v>
      </c>
      <c r="N196" s="10">
        <f>+salidas[[#This Row],[Cantidad]]*salidas[[#This Row],[Precio U.]]</f>
        <v>0</v>
      </c>
      <c r="P196" s="1"/>
      <c r="T196" t="e">
        <f>VLOOKUP(entradas[[#This Row],[Codigo de producto]],productos[],2,FALSE)</f>
        <v>#N/A</v>
      </c>
      <c r="V196" s="1"/>
    </row>
    <row r="197" spans="8:22" x14ac:dyDescent="0.35">
      <c r="H197" s="1"/>
      <c r="L197" t="e">
        <f>VLOOKUP(salidas[[#This Row],[Codigo de producto]],productos[],2,FALSE)</f>
        <v>#N/A</v>
      </c>
      <c r="N197" s="10">
        <f>+salidas[[#This Row],[Cantidad]]*salidas[[#This Row],[Precio U.]]</f>
        <v>0</v>
      </c>
      <c r="P197" s="1"/>
      <c r="T197" t="e">
        <f>VLOOKUP(entradas[[#This Row],[Codigo de producto]],productos[],2,FALSE)</f>
        <v>#N/A</v>
      </c>
      <c r="V197" s="1"/>
    </row>
    <row r="198" spans="8:22" x14ac:dyDescent="0.35">
      <c r="H198" s="1"/>
      <c r="L198" t="e">
        <f>VLOOKUP(salidas[[#This Row],[Codigo de producto]],productos[],2,FALSE)</f>
        <v>#N/A</v>
      </c>
      <c r="N198" s="10">
        <f>+salidas[[#This Row],[Cantidad]]*salidas[[#This Row],[Precio U.]]</f>
        <v>0</v>
      </c>
      <c r="P198" s="1"/>
      <c r="T198" t="e">
        <f>VLOOKUP(entradas[[#This Row],[Codigo de producto]],productos[],2,FALSE)</f>
        <v>#N/A</v>
      </c>
      <c r="V198" s="1"/>
    </row>
    <row r="199" spans="8:22" x14ac:dyDescent="0.35">
      <c r="H199" s="1"/>
      <c r="L199" t="e">
        <f>VLOOKUP(salidas[[#This Row],[Codigo de producto]],productos[],2,FALSE)</f>
        <v>#N/A</v>
      </c>
      <c r="N199" s="10">
        <f>+salidas[[#This Row],[Cantidad]]*salidas[[#This Row],[Precio U.]]</f>
        <v>0</v>
      </c>
      <c r="P199" s="1"/>
      <c r="T199" t="e">
        <f>VLOOKUP(entradas[[#This Row],[Codigo de producto]],productos[],2,FALSE)</f>
        <v>#N/A</v>
      </c>
      <c r="V199" s="1"/>
    </row>
    <row r="200" spans="8:22" x14ac:dyDescent="0.35">
      <c r="H200" s="1"/>
      <c r="L200" t="e">
        <f>VLOOKUP(salidas[[#This Row],[Codigo de producto]],productos[],2,FALSE)</f>
        <v>#N/A</v>
      </c>
      <c r="N200" s="10">
        <f>+salidas[[#This Row],[Cantidad]]*salidas[[#This Row],[Precio U.]]</f>
        <v>0</v>
      </c>
      <c r="P200" s="1"/>
      <c r="T200" t="e">
        <f>VLOOKUP(entradas[[#This Row],[Codigo de producto]],productos[],2,FALSE)</f>
        <v>#N/A</v>
      </c>
      <c r="V200" s="1"/>
    </row>
    <row r="201" spans="8:22" x14ac:dyDescent="0.35">
      <c r="H201" s="1"/>
      <c r="L201" t="e">
        <f>VLOOKUP(salidas[[#This Row],[Codigo de producto]],productos[],2,FALSE)</f>
        <v>#N/A</v>
      </c>
      <c r="N201" s="10">
        <f>+salidas[[#This Row],[Cantidad]]*salidas[[#This Row],[Precio U.]]</f>
        <v>0</v>
      </c>
      <c r="P201" s="1"/>
      <c r="T201" t="e">
        <f>VLOOKUP(entradas[[#This Row],[Codigo de producto]],productos[],2,FALSE)</f>
        <v>#N/A</v>
      </c>
      <c r="V201" s="1"/>
    </row>
    <row r="202" spans="8:22" x14ac:dyDescent="0.35">
      <c r="H202" s="1"/>
      <c r="L202" t="e">
        <f>VLOOKUP(salidas[[#This Row],[Codigo de producto]],productos[],2,FALSE)</f>
        <v>#N/A</v>
      </c>
      <c r="N202" s="10">
        <f>+salidas[[#This Row],[Cantidad]]*salidas[[#This Row],[Precio U.]]</f>
        <v>0</v>
      </c>
      <c r="P202" s="1"/>
      <c r="T202" t="e">
        <f>VLOOKUP(entradas[[#This Row],[Codigo de producto]],productos[],2,FALSE)</f>
        <v>#N/A</v>
      </c>
      <c r="V202" s="1"/>
    </row>
    <row r="203" spans="8:22" x14ac:dyDescent="0.35">
      <c r="H203" s="1"/>
      <c r="L203" t="e">
        <f>VLOOKUP(salidas[[#This Row],[Codigo de producto]],productos[],2,FALSE)</f>
        <v>#N/A</v>
      </c>
      <c r="N203" s="10">
        <f>+salidas[[#This Row],[Cantidad]]*salidas[[#This Row],[Precio U.]]</f>
        <v>0</v>
      </c>
      <c r="P203" s="1"/>
      <c r="T203" t="e">
        <f>VLOOKUP(entradas[[#This Row],[Codigo de producto]],productos[],2,FALSE)</f>
        <v>#N/A</v>
      </c>
      <c r="V203" s="1"/>
    </row>
    <row r="204" spans="8:22" x14ac:dyDescent="0.35">
      <c r="H204" s="1"/>
      <c r="L204" t="e">
        <f>VLOOKUP(salidas[[#This Row],[Codigo de producto]],productos[],2,FALSE)</f>
        <v>#N/A</v>
      </c>
      <c r="N204" s="10">
        <f>+salidas[[#This Row],[Cantidad]]*salidas[[#This Row],[Precio U.]]</f>
        <v>0</v>
      </c>
      <c r="P204" s="1"/>
      <c r="T204" t="e">
        <f>VLOOKUP(entradas[[#This Row],[Codigo de producto]],productos[],2,FALSE)</f>
        <v>#N/A</v>
      </c>
      <c r="V204" s="1"/>
    </row>
    <row r="205" spans="8:22" x14ac:dyDescent="0.35">
      <c r="H205" s="1"/>
      <c r="L205" t="e">
        <f>VLOOKUP(salidas[[#This Row],[Codigo de producto]],productos[],2,FALSE)</f>
        <v>#N/A</v>
      </c>
      <c r="N205" s="10">
        <f>+salidas[[#This Row],[Cantidad]]*salidas[[#This Row],[Precio U.]]</f>
        <v>0</v>
      </c>
      <c r="P205" s="1"/>
      <c r="T205" t="e">
        <f>VLOOKUP(entradas[[#This Row],[Codigo de producto]],productos[],2,FALSE)</f>
        <v>#N/A</v>
      </c>
      <c r="V205" s="1"/>
    </row>
    <row r="206" spans="8:22" x14ac:dyDescent="0.35">
      <c r="H206" s="1"/>
      <c r="L206" t="e">
        <f>VLOOKUP(salidas[[#This Row],[Codigo de producto]],productos[],2,FALSE)</f>
        <v>#N/A</v>
      </c>
      <c r="N206" s="10">
        <f>+salidas[[#This Row],[Cantidad]]*salidas[[#This Row],[Precio U.]]</f>
        <v>0</v>
      </c>
      <c r="P206" s="1"/>
      <c r="T206" t="e">
        <f>VLOOKUP(entradas[[#This Row],[Codigo de producto]],productos[],2,FALSE)</f>
        <v>#N/A</v>
      </c>
      <c r="V206" s="1"/>
    </row>
    <row r="207" spans="8:22" x14ac:dyDescent="0.35">
      <c r="H207" s="1"/>
      <c r="L207" t="e">
        <f>VLOOKUP(salidas[[#This Row],[Codigo de producto]],productos[],2,FALSE)</f>
        <v>#N/A</v>
      </c>
      <c r="N207" s="10">
        <f>+salidas[[#This Row],[Cantidad]]*salidas[[#This Row],[Precio U.]]</f>
        <v>0</v>
      </c>
      <c r="P207" s="1"/>
      <c r="T207" t="e">
        <f>VLOOKUP(entradas[[#This Row],[Codigo de producto]],productos[],2,FALSE)</f>
        <v>#N/A</v>
      </c>
      <c r="V207" s="1"/>
    </row>
    <row r="208" spans="8:22" x14ac:dyDescent="0.35">
      <c r="H208" s="1"/>
      <c r="L208" t="e">
        <f>VLOOKUP(salidas[[#This Row],[Codigo de producto]],productos[],2,FALSE)</f>
        <v>#N/A</v>
      </c>
      <c r="N208" s="10">
        <f>+salidas[[#This Row],[Cantidad]]*salidas[[#This Row],[Precio U.]]</f>
        <v>0</v>
      </c>
      <c r="P208" s="1"/>
      <c r="T208" t="e">
        <f>VLOOKUP(entradas[[#This Row],[Codigo de producto]],productos[],2,FALSE)</f>
        <v>#N/A</v>
      </c>
      <c r="V208" s="1"/>
    </row>
    <row r="209" spans="8:22" x14ac:dyDescent="0.35">
      <c r="H209" s="1"/>
      <c r="L209" t="e">
        <f>VLOOKUP(salidas[[#This Row],[Codigo de producto]],productos[],2,FALSE)</f>
        <v>#N/A</v>
      </c>
      <c r="N209" s="10">
        <f>+salidas[[#This Row],[Cantidad]]*salidas[[#This Row],[Precio U.]]</f>
        <v>0</v>
      </c>
      <c r="P209" s="1"/>
      <c r="T209" t="e">
        <f>VLOOKUP(entradas[[#This Row],[Codigo de producto]],productos[],2,FALSE)</f>
        <v>#N/A</v>
      </c>
      <c r="V209" s="1"/>
    </row>
    <row r="210" spans="8:22" x14ac:dyDescent="0.35">
      <c r="H210" s="1"/>
      <c r="L210" t="e">
        <f>VLOOKUP(salidas[[#This Row],[Codigo de producto]],productos[],2,FALSE)</f>
        <v>#N/A</v>
      </c>
      <c r="N210" s="10">
        <f>+salidas[[#This Row],[Cantidad]]*salidas[[#This Row],[Precio U.]]</f>
        <v>0</v>
      </c>
      <c r="P210" s="1"/>
      <c r="T210" t="e">
        <f>VLOOKUP(entradas[[#This Row],[Codigo de producto]],productos[],2,FALSE)</f>
        <v>#N/A</v>
      </c>
      <c r="V210" s="1"/>
    </row>
    <row r="211" spans="8:22" x14ac:dyDescent="0.35">
      <c r="H211" s="1"/>
      <c r="L211" t="e">
        <f>VLOOKUP(salidas[[#This Row],[Codigo de producto]],productos[],2,FALSE)</f>
        <v>#N/A</v>
      </c>
      <c r="N211" s="10">
        <f>+salidas[[#This Row],[Cantidad]]*salidas[[#This Row],[Precio U.]]</f>
        <v>0</v>
      </c>
      <c r="P211" s="1"/>
      <c r="T211" t="e">
        <f>VLOOKUP(entradas[[#This Row],[Codigo de producto]],productos[],2,FALSE)</f>
        <v>#N/A</v>
      </c>
      <c r="V211" s="1"/>
    </row>
    <row r="212" spans="8:22" x14ac:dyDescent="0.35">
      <c r="H212" s="1"/>
      <c r="L212" t="e">
        <f>VLOOKUP(salidas[[#This Row],[Codigo de producto]],productos[],2,FALSE)</f>
        <v>#N/A</v>
      </c>
      <c r="N212" s="10">
        <f>+salidas[[#This Row],[Cantidad]]*salidas[[#This Row],[Precio U.]]</f>
        <v>0</v>
      </c>
      <c r="P212" s="1"/>
      <c r="T212" t="e">
        <f>VLOOKUP(entradas[[#This Row],[Codigo de producto]],productos[],2,FALSE)</f>
        <v>#N/A</v>
      </c>
      <c r="V212" s="1"/>
    </row>
    <row r="213" spans="8:22" x14ac:dyDescent="0.35">
      <c r="H213" s="1"/>
      <c r="L213" t="e">
        <f>VLOOKUP(salidas[[#This Row],[Codigo de producto]],productos[],2,FALSE)</f>
        <v>#N/A</v>
      </c>
      <c r="N213" s="10">
        <f>+salidas[[#This Row],[Cantidad]]*salidas[[#This Row],[Precio U.]]</f>
        <v>0</v>
      </c>
      <c r="P213" s="1"/>
      <c r="T213" t="e">
        <f>VLOOKUP(entradas[[#This Row],[Codigo de producto]],productos[],2,FALSE)</f>
        <v>#N/A</v>
      </c>
      <c r="V213" s="1"/>
    </row>
    <row r="214" spans="8:22" x14ac:dyDescent="0.35">
      <c r="H214" s="1"/>
      <c r="L214" t="e">
        <f>VLOOKUP(salidas[[#This Row],[Codigo de producto]],productos[],2,FALSE)</f>
        <v>#N/A</v>
      </c>
      <c r="N214" s="10">
        <f>+salidas[[#This Row],[Cantidad]]*salidas[[#This Row],[Precio U.]]</f>
        <v>0</v>
      </c>
      <c r="P214" s="1"/>
      <c r="T214" t="e">
        <f>VLOOKUP(entradas[[#This Row],[Codigo de producto]],productos[],2,FALSE)</f>
        <v>#N/A</v>
      </c>
      <c r="V214" s="1"/>
    </row>
    <row r="215" spans="8:22" x14ac:dyDescent="0.35">
      <c r="H215" s="1"/>
      <c r="L215" t="e">
        <f>VLOOKUP(salidas[[#This Row],[Codigo de producto]],productos[],2,FALSE)</f>
        <v>#N/A</v>
      </c>
      <c r="N215" s="10">
        <f>+salidas[[#This Row],[Cantidad]]*salidas[[#This Row],[Precio U.]]</f>
        <v>0</v>
      </c>
      <c r="P215" s="1"/>
      <c r="T215" t="e">
        <f>VLOOKUP(entradas[[#This Row],[Codigo de producto]],productos[],2,FALSE)</f>
        <v>#N/A</v>
      </c>
      <c r="V215" s="1"/>
    </row>
    <row r="216" spans="8:22" x14ac:dyDescent="0.35">
      <c r="H216" s="1"/>
      <c r="L216" t="e">
        <f>VLOOKUP(salidas[[#This Row],[Codigo de producto]],productos[],2,FALSE)</f>
        <v>#N/A</v>
      </c>
      <c r="N216" s="10">
        <f>+salidas[[#This Row],[Cantidad]]*salidas[[#This Row],[Precio U.]]</f>
        <v>0</v>
      </c>
      <c r="P216" s="1"/>
      <c r="T216" t="e">
        <f>VLOOKUP(entradas[[#This Row],[Codigo de producto]],productos[],2,FALSE)</f>
        <v>#N/A</v>
      </c>
      <c r="V216" s="1"/>
    </row>
    <row r="217" spans="8:22" x14ac:dyDescent="0.35">
      <c r="H217" s="1"/>
      <c r="L217" t="e">
        <f>VLOOKUP(salidas[[#This Row],[Codigo de producto]],productos[],2,FALSE)</f>
        <v>#N/A</v>
      </c>
      <c r="N217" s="10">
        <f>+salidas[[#This Row],[Cantidad]]*salidas[[#This Row],[Precio U.]]</f>
        <v>0</v>
      </c>
      <c r="P217" s="1"/>
      <c r="T217" t="e">
        <f>VLOOKUP(entradas[[#This Row],[Codigo de producto]],productos[],2,FALSE)</f>
        <v>#N/A</v>
      </c>
      <c r="V217" s="1"/>
    </row>
    <row r="218" spans="8:22" x14ac:dyDescent="0.35">
      <c r="H218" s="1"/>
      <c r="L218" t="e">
        <f>VLOOKUP(salidas[[#This Row],[Codigo de producto]],productos[],2,FALSE)</f>
        <v>#N/A</v>
      </c>
      <c r="N218" s="10">
        <f>+salidas[[#This Row],[Cantidad]]*salidas[[#This Row],[Precio U.]]</f>
        <v>0</v>
      </c>
      <c r="P218" s="1"/>
      <c r="T218" t="e">
        <f>VLOOKUP(entradas[[#This Row],[Codigo de producto]],productos[],2,FALSE)</f>
        <v>#N/A</v>
      </c>
      <c r="V218" s="1"/>
    </row>
    <row r="219" spans="8:22" x14ac:dyDescent="0.35">
      <c r="H219" s="1"/>
      <c r="L219" t="e">
        <f>VLOOKUP(salidas[[#This Row],[Codigo de producto]],productos[],2,FALSE)</f>
        <v>#N/A</v>
      </c>
      <c r="N219" s="10">
        <f>+salidas[[#This Row],[Cantidad]]*salidas[[#This Row],[Precio U.]]</f>
        <v>0</v>
      </c>
      <c r="P219" s="1"/>
      <c r="T219" t="e">
        <f>VLOOKUP(entradas[[#This Row],[Codigo de producto]],productos[],2,FALSE)</f>
        <v>#N/A</v>
      </c>
      <c r="V219" s="1"/>
    </row>
    <row r="220" spans="8:22" x14ac:dyDescent="0.35">
      <c r="H220" s="1"/>
      <c r="L220" t="e">
        <f>VLOOKUP(salidas[[#This Row],[Codigo de producto]],productos[],2,FALSE)</f>
        <v>#N/A</v>
      </c>
      <c r="N220" s="10">
        <f>+salidas[[#This Row],[Cantidad]]*salidas[[#This Row],[Precio U.]]</f>
        <v>0</v>
      </c>
      <c r="P220" s="1"/>
      <c r="T220" t="e">
        <f>VLOOKUP(entradas[[#This Row],[Codigo de producto]],productos[],2,FALSE)</f>
        <v>#N/A</v>
      </c>
      <c r="V220" s="1"/>
    </row>
    <row r="221" spans="8:22" x14ac:dyDescent="0.35">
      <c r="H221" s="1"/>
      <c r="L221" t="e">
        <f>VLOOKUP(salidas[[#This Row],[Codigo de producto]],productos[],2,FALSE)</f>
        <v>#N/A</v>
      </c>
      <c r="N221" s="10">
        <f>+salidas[[#This Row],[Cantidad]]*salidas[[#This Row],[Precio U.]]</f>
        <v>0</v>
      </c>
      <c r="P221" s="1"/>
      <c r="T221" t="e">
        <f>VLOOKUP(entradas[[#This Row],[Codigo de producto]],productos[],2,FALSE)</f>
        <v>#N/A</v>
      </c>
      <c r="V221" s="1"/>
    </row>
    <row r="222" spans="8:22" x14ac:dyDescent="0.35">
      <c r="H222" s="1"/>
      <c r="L222" t="e">
        <f>VLOOKUP(salidas[[#This Row],[Codigo de producto]],productos[],2,FALSE)</f>
        <v>#N/A</v>
      </c>
      <c r="N222" s="10">
        <f>+salidas[[#This Row],[Cantidad]]*salidas[[#This Row],[Precio U.]]</f>
        <v>0</v>
      </c>
      <c r="P222" s="1"/>
      <c r="T222" t="e">
        <f>VLOOKUP(entradas[[#This Row],[Codigo de producto]],productos[],2,FALSE)</f>
        <v>#N/A</v>
      </c>
      <c r="V222" s="1"/>
    </row>
    <row r="223" spans="8:22" x14ac:dyDescent="0.35">
      <c r="H223" s="1"/>
      <c r="L223" t="e">
        <f>VLOOKUP(salidas[[#This Row],[Codigo de producto]],productos[],2,FALSE)</f>
        <v>#N/A</v>
      </c>
      <c r="N223" s="10">
        <f>+salidas[[#This Row],[Cantidad]]*salidas[[#This Row],[Precio U.]]</f>
        <v>0</v>
      </c>
      <c r="P223" s="1"/>
      <c r="T223" t="e">
        <f>VLOOKUP(entradas[[#This Row],[Codigo de producto]],productos[],2,FALSE)</f>
        <v>#N/A</v>
      </c>
      <c r="V223" s="1"/>
    </row>
    <row r="224" spans="8:22" x14ac:dyDescent="0.35">
      <c r="H224" s="1"/>
      <c r="L224" t="e">
        <f>VLOOKUP(salidas[[#This Row],[Codigo de producto]],productos[],2,FALSE)</f>
        <v>#N/A</v>
      </c>
      <c r="N224" s="10">
        <f>+salidas[[#This Row],[Cantidad]]*salidas[[#This Row],[Precio U.]]</f>
        <v>0</v>
      </c>
      <c r="P224" s="1"/>
      <c r="T224" t="e">
        <f>VLOOKUP(entradas[[#This Row],[Codigo de producto]],productos[],2,FALSE)</f>
        <v>#N/A</v>
      </c>
      <c r="V224" s="1"/>
    </row>
    <row r="225" spans="8:22" x14ac:dyDescent="0.35">
      <c r="H225" s="1"/>
      <c r="L225" t="e">
        <f>VLOOKUP(salidas[[#This Row],[Codigo de producto]],productos[],2,FALSE)</f>
        <v>#N/A</v>
      </c>
      <c r="N225" s="10">
        <f>+salidas[[#This Row],[Cantidad]]*salidas[[#This Row],[Precio U.]]</f>
        <v>0</v>
      </c>
      <c r="P225" s="1"/>
      <c r="T225" t="e">
        <f>VLOOKUP(entradas[[#This Row],[Codigo de producto]],productos[],2,FALSE)</f>
        <v>#N/A</v>
      </c>
      <c r="V225" s="1"/>
    </row>
    <row r="226" spans="8:22" x14ac:dyDescent="0.35">
      <c r="H226" s="1"/>
      <c r="L226" t="e">
        <f>VLOOKUP(salidas[[#This Row],[Codigo de producto]],productos[],2,FALSE)</f>
        <v>#N/A</v>
      </c>
      <c r="N226" s="10">
        <f>+salidas[[#This Row],[Cantidad]]*salidas[[#This Row],[Precio U.]]</f>
        <v>0</v>
      </c>
      <c r="P226" s="1"/>
      <c r="T226" t="e">
        <f>VLOOKUP(entradas[[#This Row],[Codigo de producto]],productos[],2,FALSE)</f>
        <v>#N/A</v>
      </c>
      <c r="V226" s="1"/>
    </row>
    <row r="227" spans="8:22" x14ac:dyDescent="0.35">
      <c r="H227" s="1"/>
      <c r="L227" t="e">
        <f>VLOOKUP(salidas[[#This Row],[Codigo de producto]],productos[],2,FALSE)</f>
        <v>#N/A</v>
      </c>
      <c r="N227" s="10">
        <f>+salidas[[#This Row],[Cantidad]]*salidas[[#This Row],[Precio U.]]</f>
        <v>0</v>
      </c>
      <c r="P227" s="1"/>
      <c r="T227" t="e">
        <f>VLOOKUP(entradas[[#This Row],[Codigo de producto]],productos[],2,FALSE)</f>
        <v>#N/A</v>
      </c>
      <c r="V227" s="1"/>
    </row>
    <row r="228" spans="8:22" x14ac:dyDescent="0.35">
      <c r="H228" s="1"/>
      <c r="L228" t="e">
        <f>VLOOKUP(salidas[[#This Row],[Codigo de producto]],productos[],2,FALSE)</f>
        <v>#N/A</v>
      </c>
      <c r="N228" s="10">
        <f>+salidas[[#This Row],[Cantidad]]*salidas[[#This Row],[Precio U.]]</f>
        <v>0</v>
      </c>
      <c r="P228" s="1"/>
      <c r="T228" t="e">
        <f>VLOOKUP(entradas[[#This Row],[Codigo de producto]],productos[],2,FALSE)</f>
        <v>#N/A</v>
      </c>
      <c r="V228" s="1"/>
    </row>
    <row r="229" spans="8:22" x14ac:dyDescent="0.35">
      <c r="H229" s="1"/>
      <c r="L229" t="e">
        <f>VLOOKUP(salidas[[#This Row],[Codigo de producto]],productos[],2,FALSE)</f>
        <v>#N/A</v>
      </c>
      <c r="N229" s="10">
        <f>+salidas[[#This Row],[Cantidad]]*salidas[[#This Row],[Precio U.]]</f>
        <v>0</v>
      </c>
      <c r="P229" s="1"/>
      <c r="T229" t="e">
        <f>VLOOKUP(entradas[[#This Row],[Codigo de producto]],productos[],2,FALSE)</f>
        <v>#N/A</v>
      </c>
      <c r="V229" s="1"/>
    </row>
    <row r="230" spans="8:22" x14ac:dyDescent="0.35">
      <c r="H230" s="1"/>
      <c r="L230" t="e">
        <f>VLOOKUP(salidas[[#This Row],[Codigo de producto]],productos[],2,FALSE)</f>
        <v>#N/A</v>
      </c>
      <c r="N230" s="10">
        <f>+salidas[[#This Row],[Cantidad]]*salidas[[#This Row],[Precio U.]]</f>
        <v>0</v>
      </c>
      <c r="P230" s="1"/>
      <c r="T230" t="e">
        <f>VLOOKUP(entradas[[#This Row],[Codigo de producto]],productos[],2,FALSE)</f>
        <v>#N/A</v>
      </c>
      <c r="V230" s="1"/>
    </row>
    <row r="231" spans="8:22" x14ac:dyDescent="0.35">
      <c r="H231" s="1"/>
      <c r="L231" t="e">
        <f>VLOOKUP(salidas[[#This Row],[Codigo de producto]],productos[],2,FALSE)</f>
        <v>#N/A</v>
      </c>
      <c r="N231" s="10">
        <f>+salidas[[#This Row],[Cantidad]]*salidas[[#This Row],[Precio U.]]</f>
        <v>0</v>
      </c>
      <c r="P231" s="1"/>
      <c r="T231" t="e">
        <f>VLOOKUP(entradas[[#This Row],[Codigo de producto]],productos[],2,FALSE)</f>
        <v>#N/A</v>
      </c>
      <c r="V231" s="1"/>
    </row>
    <row r="232" spans="8:22" x14ac:dyDescent="0.35">
      <c r="H232" s="1"/>
      <c r="L232" t="e">
        <f>VLOOKUP(salidas[[#This Row],[Codigo de producto]],productos[],2,FALSE)</f>
        <v>#N/A</v>
      </c>
      <c r="N232" s="10">
        <f>+salidas[[#This Row],[Cantidad]]*salidas[[#This Row],[Precio U.]]</f>
        <v>0</v>
      </c>
      <c r="P232" s="1"/>
      <c r="T232" t="e">
        <f>VLOOKUP(entradas[[#This Row],[Codigo de producto]],productos[],2,FALSE)</f>
        <v>#N/A</v>
      </c>
      <c r="V232" s="1"/>
    </row>
    <row r="233" spans="8:22" x14ac:dyDescent="0.35">
      <c r="H233" s="1"/>
      <c r="L233" t="e">
        <f>VLOOKUP(salidas[[#This Row],[Codigo de producto]],productos[],2,FALSE)</f>
        <v>#N/A</v>
      </c>
      <c r="N233" s="10">
        <f>+salidas[[#This Row],[Cantidad]]*salidas[[#This Row],[Precio U.]]</f>
        <v>0</v>
      </c>
      <c r="P233" s="1"/>
      <c r="T233" t="e">
        <f>VLOOKUP(entradas[[#This Row],[Codigo de producto]],productos[],2,FALSE)</f>
        <v>#N/A</v>
      </c>
      <c r="V233" s="1"/>
    </row>
    <row r="234" spans="8:22" x14ac:dyDescent="0.35">
      <c r="H234" s="1"/>
      <c r="L234" t="e">
        <f>VLOOKUP(salidas[[#This Row],[Codigo de producto]],productos[],2,FALSE)</f>
        <v>#N/A</v>
      </c>
      <c r="N234" s="10">
        <f>+salidas[[#This Row],[Cantidad]]*salidas[[#This Row],[Precio U.]]</f>
        <v>0</v>
      </c>
      <c r="P234" s="1"/>
      <c r="T234" t="e">
        <f>VLOOKUP(entradas[[#This Row],[Codigo de producto]],productos[],2,FALSE)</f>
        <v>#N/A</v>
      </c>
      <c r="V234" s="1"/>
    </row>
    <row r="235" spans="8:22" x14ac:dyDescent="0.35">
      <c r="H235" s="1"/>
      <c r="L235" t="e">
        <f>VLOOKUP(salidas[[#This Row],[Codigo de producto]],productos[],2,FALSE)</f>
        <v>#N/A</v>
      </c>
      <c r="N235" s="10">
        <f>+salidas[[#This Row],[Cantidad]]*salidas[[#This Row],[Precio U.]]</f>
        <v>0</v>
      </c>
      <c r="P235" s="1"/>
      <c r="T235" t="e">
        <f>VLOOKUP(entradas[[#This Row],[Codigo de producto]],productos[],2,FALSE)</f>
        <v>#N/A</v>
      </c>
      <c r="V235" s="1"/>
    </row>
    <row r="236" spans="8:22" x14ac:dyDescent="0.35">
      <c r="H236" s="1"/>
      <c r="L236" t="e">
        <f>VLOOKUP(salidas[[#This Row],[Codigo de producto]],productos[],2,FALSE)</f>
        <v>#N/A</v>
      </c>
      <c r="N236" s="10">
        <f>+salidas[[#This Row],[Cantidad]]*salidas[[#This Row],[Precio U.]]</f>
        <v>0</v>
      </c>
      <c r="P236" s="1"/>
      <c r="T236" t="e">
        <f>VLOOKUP(entradas[[#This Row],[Codigo de producto]],productos[],2,FALSE)</f>
        <v>#N/A</v>
      </c>
      <c r="V236" s="1"/>
    </row>
    <row r="237" spans="8:22" x14ac:dyDescent="0.35">
      <c r="H237" s="1"/>
      <c r="L237" t="e">
        <f>VLOOKUP(salidas[[#This Row],[Codigo de producto]],productos[],2,FALSE)</f>
        <v>#N/A</v>
      </c>
      <c r="N237" s="10">
        <f>+salidas[[#This Row],[Cantidad]]*salidas[[#This Row],[Precio U.]]</f>
        <v>0</v>
      </c>
      <c r="P237" s="1"/>
      <c r="T237" t="e">
        <f>VLOOKUP(entradas[[#This Row],[Codigo de producto]],productos[],2,FALSE)</f>
        <v>#N/A</v>
      </c>
      <c r="V237" s="1"/>
    </row>
    <row r="238" spans="8:22" x14ac:dyDescent="0.35">
      <c r="H238" s="1"/>
      <c r="L238" t="e">
        <f>VLOOKUP(salidas[[#This Row],[Codigo de producto]],productos[],2,FALSE)</f>
        <v>#N/A</v>
      </c>
      <c r="N238" s="10">
        <f>+salidas[[#This Row],[Cantidad]]*salidas[[#This Row],[Precio U.]]</f>
        <v>0</v>
      </c>
      <c r="P238" s="1"/>
      <c r="T238" t="e">
        <f>VLOOKUP(entradas[[#This Row],[Codigo de producto]],productos[],2,FALSE)</f>
        <v>#N/A</v>
      </c>
      <c r="V238" s="1"/>
    </row>
    <row r="239" spans="8:22" x14ac:dyDescent="0.35">
      <c r="H239" s="1"/>
      <c r="L239" t="e">
        <f>VLOOKUP(salidas[[#This Row],[Codigo de producto]],productos[],2,FALSE)</f>
        <v>#N/A</v>
      </c>
      <c r="N239" s="10">
        <f>+salidas[[#This Row],[Cantidad]]*salidas[[#This Row],[Precio U.]]</f>
        <v>0</v>
      </c>
      <c r="P239" s="1"/>
      <c r="T239" t="e">
        <f>VLOOKUP(entradas[[#This Row],[Codigo de producto]],productos[],2,FALSE)</f>
        <v>#N/A</v>
      </c>
      <c r="V239" s="1"/>
    </row>
    <row r="240" spans="8:22" x14ac:dyDescent="0.35">
      <c r="H240" s="1"/>
      <c r="L240" t="e">
        <f>VLOOKUP(salidas[[#This Row],[Codigo de producto]],productos[],2,FALSE)</f>
        <v>#N/A</v>
      </c>
      <c r="N240" s="10">
        <f>+salidas[[#This Row],[Cantidad]]*salidas[[#This Row],[Precio U.]]</f>
        <v>0</v>
      </c>
      <c r="P240" s="1"/>
      <c r="T240" t="e">
        <f>VLOOKUP(entradas[[#This Row],[Codigo de producto]],productos[],2,FALSE)</f>
        <v>#N/A</v>
      </c>
      <c r="V240" s="1"/>
    </row>
    <row r="241" spans="8:22" x14ac:dyDescent="0.35">
      <c r="H241" s="1"/>
      <c r="L241" t="e">
        <f>VLOOKUP(salidas[[#This Row],[Codigo de producto]],productos[],2,FALSE)</f>
        <v>#N/A</v>
      </c>
      <c r="N241" s="10">
        <f>+salidas[[#This Row],[Cantidad]]*salidas[[#This Row],[Precio U.]]</f>
        <v>0</v>
      </c>
      <c r="P241" s="1"/>
      <c r="T241" t="e">
        <f>VLOOKUP(entradas[[#This Row],[Codigo de producto]],productos[],2,FALSE)</f>
        <v>#N/A</v>
      </c>
      <c r="V241" s="1"/>
    </row>
    <row r="242" spans="8:22" x14ac:dyDescent="0.35">
      <c r="H242" s="1"/>
      <c r="L242" t="e">
        <f>VLOOKUP(salidas[[#This Row],[Codigo de producto]],productos[],2,FALSE)</f>
        <v>#N/A</v>
      </c>
      <c r="N242" s="10">
        <f>+salidas[[#This Row],[Cantidad]]*salidas[[#This Row],[Precio U.]]</f>
        <v>0</v>
      </c>
      <c r="P242" s="1"/>
      <c r="T242" t="e">
        <f>VLOOKUP(entradas[[#This Row],[Codigo de producto]],productos[],2,FALSE)</f>
        <v>#N/A</v>
      </c>
      <c r="V242" s="1"/>
    </row>
    <row r="243" spans="8:22" x14ac:dyDescent="0.35">
      <c r="H243" s="1"/>
      <c r="L243" t="e">
        <f>VLOOKUP(salidas[[#This Row],[Codigo de producto]],productos[],2,FALSE)</f>
        <v>#N/A</v>
      </c>
      <c r="N243" s="10">
        <f>+salidas[[#This Row],[Cantidad]]*salidas[[#This Row],[Precio U.]]</f>
        <v>0</v>
      </c>
      <c r="P243" s="1"/>
      <c r="T243" t="e">
        <f>VLOOKUP(entradas[[#This Row],[Codigo de producto]],productos[],2,FALSE)</f>
        <v>#N/A</v>
      </c>
      <c r="V243" s="1"/>
    </row>
    <row r="244" spans="8:22" x14ac:dyDescent="0.35">
      <c r="H244" s="1"/>
      <c r="L244" t="e">
        <f>VLOOKUP(salidas[[#This Row],[Codigo de producto]],productos[],2,FALSE)</f>
        <v>#N/A</v>
      </c>
      <c r="N244" s="10">
        <f>+salidas[[#This Row],[Cantidad]]*salidas[[#This Row],[Precio U.]]</f>
        <v>0</v>
      </c>
      <c r="P244" s="1"/>
      <c r="T244" t="e">
        <f>VLOOKUP(entradas[[#This Row],[Codigo de producto]],productos[],2,FALSE)</f>
        <v>#N/A</v>
      </c>
      <c r="V244" s="1"/>
    </row>
    <row r="245" spans="8:22" x14ac:dyDescent="0.35">
      <c r="H245" s="1"/>
      <c r="L245" t="e">
        <f>VLOOKUP(salidas[[#This Row],[Codigo de producto]],productos[],2,FALSE)</f>
        <v>#N/A</v>
      </c>
      <c r="N245" s="10">
        <f>+salidas[[#This Row],[Cantidad]]*salidas[[#This Row],[Precio U.]]</f>
        <v>0</v>
      </c>
      <c r="P245" s="1"/>
      <c r="T245" t="e">
        <f>VLOOKUP(entradas[[#This Row],[Codigo de producto]],productos[],2,FALSE)</f>
        <v>#N/A</v>
      </c>
      <c r="V245" s="1"/>
    </row>
    <row r="246" spans="8:22" x14ac:dyDescent="0.35">
      <c r="H246" s="1"/>
      <c r="L246" t="e">
        <f>VLOOKUP(salidas[[#This Row],[Codigo de producto]],productos[],2,FALSE)</f>
        <v>#N/A</v>
      </c>
      <c r="N246" s="10">
        <f>+salidas[[#This Row],[Cantidad]]*salidas[[#This Row],[Precio U.]]</f>
        <v>0</v>
      </c>
      <c r="P246" s="1"/>
      <c r="T246" t="e">
        <f>VLOOKUP(entradas[[#This Row],[Codigo de producto]],productos[],2,FALSE)</f>
        <v>#N/A</v>
      </c>
      <c r="V246" s="1"/>
    </row>
    <row r="247" spans="8:22" x14ac:dyDescent="0.35">
      <c r="H247" s="1"/>
      <c r="L247" t="e">
        <f>VLOOKUP(salidas[[#This Row],[Codigo de producto]],productos[],2,FALSE)</f>
        <v>#N/A</v>
      </c>
      <c r="N247" s="10">
        <f>+salidas[[#This Row],[Cantidad]]*salidas[[#This Row],[Precio U.]]</f>
        <v>0</v>
      </c>
      <c r="P247" s="1"/>
      <c r="T247" t="e">
        <f>VLOOKUP(entradas[[#This Row],[Codigo de producto]],productos[],2,FALSE)</f>
        <v>#N/A</v>
      </c>
      <c r="V247" s="1"/>
    </row>
    <row r="248" spans="8:22" x14ac:dyDescent="0.35">
      <c r="H248" s="1"/>
      <c r="L248" t="e">
        <f>VLOOKUP(salidas[[#This Row],[Codigo de producto]],productos[],2,FALSE)</f>
        <v>#N/A</v>
      </c>
      <c r="N248" s="10">
        <f>+salidas[[#This Row],[Cantidad]]*salidas[[#This Row],[Precio U.]]</f>
        <v>0</v>
      </c>
      <c r="P248" s="1"/>
      <c r="T248" t="e">
        <f>VLOOKUP(entradas[[#This Row],[Codigo de producto]],productos[],2,FALSE)</f>
        <v>#N/A</v>
      </c>
      <c r="V248" s="1"/>
    </row>
    <row r="249" spans="8:22" x14ac:dyDescent="0.35">
      <c r="H249" s="1"/>
      <c r="L249" t="e">
        <f>VLOOKUP(salidas[[#This Row],[Codigo de producto]],productos[],2,FALSE)</f>
        <v>#N/A</v>
      </c>
      <c r="N249" s="10">
        <f>+salidas[[#This Row],[Cantidad]]*salidas[[#This Row],[Precio U.]]</f>
        <v>0</v>
      </c>
      <c r="P249" s="1"/>
      <c r="T249" t="e">
        <f>VLOOKUP(entradas[[#This Row],[Codigo de producto]],productos[],2,FALSE)</f>
        <v>#N/A</v>
      </c>
      <c r="V249" s="1"/>
    </row>
    <row r="250" spans="8:22" x14ac:dyDescent="0.35">
      <c r="H250" s="1"/>
      <c r="L250" t="e">
        <f>VLOOKUP(salidas[[#This Row],[Codigo de producto]],productos[],2,FALSE)</f>
        <v>#N/A</v>
      </c>
      <c r="N250" s="10">
        <f>+salidas[[#This Row],[Cantidad]]*salidas[[#This Row],[Precio U.]]</f>
        <v>0</v>
      </c>
      <c r="P250" s="1"/>
      <c r="T250" t="e">
        <f>VLOOKUP(entradas[[#This Row],[Codigo de producto]],productos[],2,FALSE)</f>
        <v>#N/A</v>
      </c>
      <c r="V250" s="1"/>
    </row>
    <row r="251" spans="8:22" x14ac:dyDescent="0.35">
      <c r="H251" s="1"/>
      <c r="L251" t="e">
        <f>VLOOKUP(salidas[[#This Row],[Codigo de producto]],productos[],2,FALSE)</f>
        <v>#N/A</v>
      </c>
      <c r="N251" s="10">
        <f>+salidas[[#This Row],[Cantidad]]*salidas[[#This Row],[Precio U.]]</f>
        <v>0</v>
      </c>
      <c r="P251" s="1"/>
      <c r="T251" t="e">
        <f>VLOOKUP(entradas[[#This Row],[Codigo de producto]],productos[],2,FALSE)</f>
        <v>#N/A</v>
      </c>
      <c r="V251" s="1"/>
    </row>
    <row r="252" spans="8:22" x14ac:dyDescent="0.35">
      <c r="H252" s="1"/>
      <c r="L252" t="e">
        <f>VLOOKUP(salidas[[#This Row],[Codigo de producto]],productos[],2,FALSE)</f>
        <v>#N/A</v>
      </c>
      <c r="N252" s="10">
        <f>+salidas[[#This Row],[Cantidad]]*salidas[[#This Row],[Precio U.]]</f>
        <v>0</v>
      </c>
      <c r="P252" s="1"/>
      <c r="T252" t="e">
        <f>VLOOKUP(entradas[[#This Row],[Codigo de producto]],productos[],2,FALSE)</f>
        <v>#N/A</v>
      </c>
      <c r="V252" s="1"/>
    </row>
    <row r="253" spans="8:22" x14ac:dyDescent="0.35">
      <c r="H253" s="1"/>
      <c r="L253" t="e">
        <f>VLOOKUP(salidas[[#This Row],[Codigo de producto]],productos[],2,FALSE)</f>
        <v>#N/A</v>
      </c>
      <c r="N253" s="10">
        <f>+salidas[[#This Row],[Cantidad]]*salidas[[#This Row],[Precio U.]]</f>
        <v>0</v>
      </c>
      <c r="P253" s="1"/>
      <c r="T253" t="e">
        <f>VLOOKUP(entradas[[#This Row],[Codigo de producto]],productos[],2,FALSE)</f>
        <v>#N/A</v>
      </c>
      <c r="V253" s="1"/>
    </row>
    <row r="254" spans="8:22" x14ac:dyDescent="0.35">
      <c r="H254" s="1"/>
      <c r="L254" t="e">
        <f>VLOOKUP(salidas[[#This Row],[Codigo de producto]],productos[],2,FALSE)</f>
        <v>#N/A</v>
      </c>
      <c r="N254" s="10">
        <f>+salidas[[#This Row],[Cantidad]]*salidas[[#This Row],[Precio U.]]</f>
        <v>0</v>
      </c>
      <c r="P254" s="1"/>
      <c r="T254" t="e">
        <f>VLOOKUP(entradas[[#This Row],[Codigo de producto]],productos[],2,FALSE)</f>
        <v>#N/A</v>
      </c>
      <c r="V254" s="1"/>
    </row>
    <row r="255" spans="8:22" x14ac:dyDescent="0.35">
      <c r="H255" s="1"/>
      <c r="L255" t="e">
        <f>VLOOKUP(salidas[[#This Row],[Codigo de producto]],productos[],2,FALSE)</f>
        <v>#N/A</v>
      </c>
      <c r="N255" s="10">
        <f>+salidas[[#This Row],[Cantidad]]*salidas[[#This Row],[Precio U.]]</f>
        <v>0</v>
      </c>
      <c r="P255" s="1"/>
      <c r="T255" t="e">
        <f>VLOOKUP(entradas[[#This Row],[Codigo de producto]],productos[],2,FALSE)</f>
        <v>#N/A</v>
      </c>
      <c r="V255" s="1"/>
    </row>
    <row r="256" spans="8:22" x14ac:dyDescent="0.35">
      <c r="H256" s="1"/>
      <c r="L256" t="e">
        <f>VLOOKUP(salidas[[#This Row],[Codigo de producto]],productos[],2,FALSE)</f>
        <v>#N/A</v>
      </c>
      <c r="N256" s="10">
        <f>+salidas[[#This Row],[Cantidad]]*salidas[[#This Row],[Precio U.]]</f>
        <v>0</v>
      </c>
      <c r="P256" s="1"/>
      <c r="T256" t="e">
        <f>VLOOKUP(entradas[[#This Row],[Codigo de producto]],productos[],2,FALSE)</f>
        <v>#N/A</v>
      </c>
      <c r="V256" s="1"/>
    </row>
    <row r="257" spans="8:22" x14ac:dyDescent="0.35">
      <c r="H257" s="1"/>
      <c r="L257" t="e">
        <f>VLOOKUP(salidas[[#This Row],[Codigo de producto]],productos[],2,FALSE)</f>
        <v>#N/A</v>
      </c>
      <c r="N257" s="10">
        <f>+salidas[[#This Row],[Cantidad]]*salidas[[#This Row],[Precio U.]]</f>
        <v>0</v>
      </c>
      <c r="P257" s="1"/>
      <c r="T257" t="e">
        <f>VLOOKUP(entradas[[#This Row],[Codigo de producto]],productos[],2,FALSE)</f>
        <v>#N/A</v>
      </c>
      <c r="V257" s="1"/>
    </row>
    <row r="258" spans="8:22" x14ac:dyDescent="0.35">
      <c r="H258" s="1"/>
      <c r="L258" t="e">
        <f>VLOOKUP(salidas[[#This Row],[Codigo de producto]],productos[],2,FALSE)</f>
        <v>#N/A</v>
      </c>
      <c r="N258" s="10">
        <f>+salidas[[#This Row],[Cantidad]]*salidas[[#This Row],[Precio U.]]</f>
        <v>0</v>
      </c>
      <c r="P258" s="1"/>
      <c r="T258" t="e">
        <f>VLOOKUP(entradas[[#This Row],[Codigo de producto]],productos[],2,FALSE)</f>
        <v>#N/A</v>
      </c>
      <c r="V258" s="1"/>
    </row>
    <row r="259" spans="8:22" x14ac:dyDescent="0.35">
      <c r="H259" s="1"/>
      <c r="L259" t="e">
        <f>VLOOKUP(salidas[[#This Row],[Codigo de producto]],productos[],2,FALSE)</f>
        <v>#N/A</v>
      </c>
      <c r="N259" s="10">
        <f>+salidas[[#This Row],[Cantidad]]*salidas[[#This Row],[Precio U.]]</f>
        <v>0</v>
      </c>
      <c r="P259" s="1"/>
      <c r="T259" t="e">
        <f>VLOOKUP(entradas[[#This Row],[Codigo de producto]],productos[],2,FALSE)</f>
        <v>#N/A</v>
      </c>
      <c r="V259" s="1"/>
    </row>
    <row r="260" spans="8:22" x14ac:dyDescent="0.35">
      <c r="H260" s="1"/>
      <c r="L260" t="e">
        <f>VLOOKUP(salidas[[#This Row],[Codigo de producto]],productos[],2,FALSE)</f>
        <v>#N/A</v>
      </c>
      <c r="N260" s="10">
        <f>+salidas[[#This Row],[Cantidad]]*salidas[[#This Row],[Precio U.]]</f>
        <v>0</v>
      </c>
      <c r="P260" s="1"/>
      <c r="T260" t="e">
        <f>VLOOKUP(entradas[[#This Row],[Codigo de producto]],productos[],2,FALSE)</f>
        <v>#N/A</v>
      </c>
      <c r="V260" s="1"/>
    </row>
    <row r="261" spans="8:22" x14ac:dyDescent="0.35">
      <c r="H261" s="1"/>
      <c r="L261" t="e">
        <f>VLOOKUP(salidas[[#This Row],[Codigo de producto]],productos[],2,FALSE)</f>
        <v>#N/A</v>
      </c>
      <c r="N261" s="10">
        <f>+salidas[[#This Row],[Cantidad]]*salidas[[#This Row],[Precio U.]]</f>
        <v>0</v>
      </c>
      <c r="P261" s="1"/>
      <c r="T261" t="e">
        <f>VLOOKUP(entradas[[#This Row],[Codigo de producto]],productos[],2,FALSE)</f>
        <v>#N/A</v>
      </c>
      <c r="V261" s="1"/>
    </row>
    <row r="262" spans="8:22" x14ac:dyDescent="0.35">
      <c r="H262" s="1"/>
      <c r="L262" t="e">
        <f>VLOOKUP(salidas[[#This Row],[Codigo de producto]],productos[],2,FALSE)</f>
        <v>#N/A</v>
      </c>
      <c r="N262" s="10">
        <f>+salidas[[#This Row],[Cantidad]]*salidas[[#This Row],[Precio U.]]</f>
        <v>0</v>
      </c>
      <c r="P262" s="1"/>
      <c r="T262" t="e">
        <f>VLOOKUP(entradas[[#This Row],[Codigo de producto]],productos[],2,FALSE)</f>
        <v>#N/A</v>
      </c>
      <c r="V262" s="1"/>
    </row>
    <row r="263" spans="8:22" x14ac:dyDescent="0.35">
      <c r="H263" s="1"/>
      <c r="L263" t="e">
        <f>VLOOKUP(salidas[[#This Row],[Codigo de producto]],productos[],2,FALSE)</f>
        <v>#N/A</v>
      </c>
      <c r="N263" s="10">
        <f>+salidas[[#This Row],[Cantidad]]*salidas[[#This Row],[Precio U.]]</f>
        <v>0</v>
      </c>
      <c r="P263" s="1"/>
      <c r="T263" t="e">
        <f>VLOOKUP(entradas[[#This Row],[Codigo de producto]],productos[],2,FALSE)</f>
        <v>#N/A</v>
      </c>
      <c r="V263" s="1"/>
    </row>
    <row r="264" spans="8:22" x14ac:dyDescent="0.35">
      <c r="H264" s="1"/>
      <c r="L264" t="e">
        <f>VLOOKUP(salidas[[#This Row],[Codigo de producto]],productos[],2,FALSE)</f>
        <v>#N/A</v>
      </c>
      <c r="N264" s="10">
        <f>+salidas[[#This Row],[Cantidad]]*salidas[[#This Row],[Precio U.]]</f>
        <v>0</v>
      </c>
      <c r="P264" s="1"/>
      <c r="T264" t="e">
        <f>VLOOKUP(entradas[[#This Row],[Codigo de producto]],productos[],2,FALSE)</f>
        <v>#N/A</v>
      </c>
      <c r="V264" s="1"/>
    </row>
    <row r="265" spans="8:22" x14ac:dyDescent="0.35">
      <c r="H265" s="1"/>
      <c r="L265" t="e">
        <f>VLOOKUP(salidas[[#This Row],[Codigo de producto]],productos[],2,FALSE)</f>
        <v>#N/A</v>
      </c>
      <c r="N265" s="10">
        <f>+salidas[[#This Row],[Cantidad]]*salidas[[#This Row],[Precio U.]]</f>
        <v>0</v>
      </c>
      <c r="P265" s="1"/>
      <c r="T265" t="e">
        <f>VLOOKUP(entradas[[#This Row],[Codigo de producto]],productos[],2,FALSE)</f>
        <v>#N/A</v>
      </c>
      <c r="V265" s="1"/>
    </row>
    <row r="266" spans="8:22" x14ac:dyDescent="0.35">
      <c r="H266" s="1"/>
      <c r="L266" t="e">
        <f>VLOOKUP(salidas[[#This Row],[Codigo de producto]],productos[],2,FALSE)</f>
        <v>#N/A</v>
      </c>
      <c r="N266" s="10">
        <f>+salidas[[#This Row],[Cantidad]]*salidas[[#This Row],[Precio U.]]</f>
        <v>0</v>
      </c>
      <c r="P266" s="1"/>
      <c r="T266" t="e">
        <f>VLOOKUP(entradas[[#This Row],[Codigo de producto]],productos[],2,FALSE)</f>
        <v>#N/A</v>
      </c>
      <c r="V266" s="1"/>
    </row>
    <row r="267" spans="8:22" x14ac:dyDescent="0.35">
      <c r="H267" s="1"/>
      <c r="L267" t="e">
        <f>VLOOKUP(salidas[[#This Row],[Codigo de producto]],productos[],2,FALSE)</f>
        <v>#N/A</v>
      </c>
      <c r="N267" s="10">
        <f>+salidas[[#This Row],[Cantidad]]*salidas[[#This Row],[Precio U.]]</f>
        <v>0</v>
      </c>
      <c r="P267" s="1"/>
      <c r="T267" t="e">
        <f>VLOOKUP(entradas[[#This Row],[Codigo de producto]],productos[],2,FALSE)</f>
        <v>#N/A</v>
      </c>
      <c r="V267" s="1"/>
    </row>
    <row r="268" spans="8:22" x14ac:dyDescent="0.35">
      <c r="H268" s="1"/>
      <c r="L268" t="e">
        <f>VLOOKUP(salidas[[#This Row],[Codigo de producto]],productos[],2,FALSE)</f>
        <v>#N/A</v>
      </c>
      <c r="N268" s="10">
        <f>+salidas[[#This Row],[Cantidad]]*salidas[[#This Row],[Precio U.]]</f>
        <v>0</v>
      </c>
      <c r="P268" s="1"/>
      <c r="T268" t="e">
        <f>VLOOKUP(entradas[[#This Row],[Codigo de producto]],productos[],2,FALSE)</f>
        <v>#N/A</v>
      </c>
      <c r="V268" s="1"/>
    </row>
    <row r="269" spans="8:22" x14ac:dyDescent="0.35">
      <c r="H269" s="1"/>
      <c r="L269" t="e">
        <f>VLOOKUP(salidas[[#This Row],[Codigo de producto]],productos[],2,FALSE)</f>
        <v>#N/A</v>
      </c>
      <c r="N269" s="10">
        <f>+salidas[[#This Row],[Cantidad]]*salidas[[#This Row],[Precio U.]]</f>
        <v>0</v>
      </c>
      <c r="P269" s="1"/>
      <c r="T269" t="e">
        <f>VLOOKUP(entradas[[#This Row],[Codigo de producto]],productos[],2,FALSE)</f>
        <v>#N/A</v>
      </c>
      <c r="V269" s="1"/>
    </row>
    <row r="270" spans="8:22" x14ac:dyDescent="0.35">
      <c r="H270" s="1"/>
      <c r="L270" t="e">
        <f>VLOOKUP(salidas[[#This Row],[Codigo de producto]],productos[],2,FALSE)</f>
        <v>#N/A</v>
      </c>
      <c r="N270" s="10">
        <f>+salidas[[#This Row],[Cantidad]]*salidas[[#This Row],[Precio U.]]</f>
        <v>0</v>
      </c>
      <c r="P270" s="1"/>
      <c r="T270" t="e">
        <f>VLOOKUP(entradas[[#This Row],[Codigo de producto]],productos[],2,FALSE)</f>
        <v>#N/A</v>
      </c>
      <c r="V270" s="1"/>
    </row>
    <row r="271" spans="8:22" x14ac:dyDescent="0.35">
      <c r="H271" s="1"/>
      <c r="L271" t="e">
        <f>VLOOKUP(salidas[[#This Row],[Codigo de producto]],productos[],2,FALSE)</f>
        <v>#N/A</v>
      </c>
      <c r="N271" s="10">
        <f>+salidas[[#This Row],[Cantidad]]*salidas[[#This Row],[Precio U.]]</f>
        <v>0</v>
      </c>
      <c r="P271" s="1"/>
      <c r="T271" t="e">
        <f>VLOOKUP(entradas[[#This Row],[Codigo de producto]],productos[],2,FALSE)</f>
        <v>#N/A</v>
      </c>
      <c r="V271" s="1"/>
    </row>
    <row r="272" spans="8:22" x14ac:dyDescent="0.35">
      <c r="H272" s="1"/>
      <c r="L272" t="e">
        <f>VLOOKUP(salidas[[#This Row],[Codigo de producto]],productos[],2,FALSE)</f>
        <v>#N/A</v>
      </c>
      <c r="N272" s="10">
        <f>+salidas[[#This Row],[Cantidad]]*salidas[[#This Row],[Precio U.]]</f>
        <v>0</v>
      </c>
      <c r="P272" s="1"/>
      <c r="T272" t="e">
        <f>VLOOKUP(entradas[[#This Row],[Codigo de producto]],productos[],2,FALSE)</f>
        <v>#N/A</v>
      </c>
      <c r="V272" s="1"/>
    </row>
    <row r="273" spans="8:22" x14ac:dyDescent="0.35">
      <c r="H273" s="1"/>
      <c r="L273" t="e">
        <f>VLOOKUP(salidas[[#This Row],[Codigo de producto]],productos[],2,FALSE)</f>
        <v>#N/A</v>
      </c>
      <c r="N273" s="10">
        <f>+salidas[[#This Row],[Cantidad]]*salidas[[#This Row],[Precio U.]]</f>
        <v>0</v>
      </c>
      <c r="P273" s="1"/>
      <c r="T273" t="e">
        <f>VLOOKUP(entradas[[#This Row],[Codigo de producto]],productos[],2,FALSE)</f>
        <v>#N/A</v>
      </c>
      <c r="V273" s="1"/>
    </row>
    <row r="274" spans="8:22" x14ac:dyDescent="0.35">
      <c r="H274" s="1"/>
      <c r="L274" t="e">
        <f>VLOOKUP(salidas[[#This Row],[Codigo de producto]],productos[],2,FALSE)</f>
        <v>#N/A</v>
      </c>
      <c r="N274" s="10">
        <f>+salidas[[#This Row],[Cantidad]]*salidas[[#This Row],[Precio U.]]</f>
        <v>0</v>
      </c>
      <c r="P274" s="1"/>
      <c r="T274" t="e">
        <f>VLOOKUP(entradas[[#This Row],[Codigo de producto]],productos[],2,FALSE)</f>
        <v>#N/A</v>
      </c>
      <c r="V274" s="1"/>
    </row>
    <row r="275" spans="8:22" x14ac:dyDescent="0.35">
      <c r="H275" s="1"/>
      <c r="L275" t="e">
        <f>VLOOKUP(salidas[[#This Row],[Codigo de producto]],productos[],2,FALSE)</f>
        <v>#N/A</v>
      </c>
      <c r="N275" s="10">
        <f>+salidas[[#This Row],[Cantidad]]*salidas[[#This Row],[Precio U.]]</f>
        <v>0</v>
      </c>
      <c r="P275" s="1"/>
      <c r="T275" t="e">
        <f>VLOOKUP(entradas[[#This Row],[Codigo de producto]],productos[],2,FALSE)</f>
        <v>#N/A</v>
      </c>
      <c r="V275" s="1"/>
    </row>
    <row r="276" spans="8:22" x14ac:dyDescent="0.35">
      <c r="H276" s="1"/>
      <c r="L276" t="e">
        <f>VLOOKUP(salidas[[#This Row],[Codigo de producto]],productos[],2,FALSE)</f>
        <v>#N/A</v>
      </c>
      <c r="N276" s="10">
        <f>+salidas[[#This Row],[Cantidad]]*salidas[[#This Row],[Precio U.]]</f>
        <v>0</v>
      </c>
      <c r="P276" s="1"/>
      <c r="T276" t="e">
        <f>VLOOKUP(entradas[[#This Row],[Codigo de producto]],productos[],2,FALSE)</f>
        <v>#N/A</v>
      </c>
      <c r="V276" s="1"/>
    </row>
    <row r="277" spans="8:22" x14ac:dyDescent="0.35">
      <c r="H277" s="1"/>
      <c r="L277" t="e">
        <f>VLOOKUP(salidas[[#This Row],[Codigo de producto]],productos[],2,FALSE)</f>
        <v>#N/A</v>
      </c>
      <c r="N277" s="10">
        <f>+salidas[[#This Row],[Cantidad]]*salidas[[#This Row],[Precio U.]]</f>
        <v>0</v>
      </c>
      <c r="P277" s="1"/>
      <c r="T277" t="e">
        <f>VLOOKUP(entradas[[#This Row],[Codigo de producto]],productos[],2,FALSE)</f>
        <v>#N/A</v>
      </c>
      <c r="V277" s="1"/>
    </row>
    <row r="278" spans="8:22" x14ac:dyDescent="0.35">
      <c r="H278" s="1"/>
      <c r="L278" t="e">
        <f>VLOOKUP(salidas[[#This Row],[Codigo de producto]],productos[],2,FALSE)</f>
        <v>#N/A</v>
      </c>
      <c r="N278" s="10">
        <f>+salidas[[#This Row],[Cantidad]]*salidas[[#This Row],[Precio U.]]</f>
        <v>0</v>
      </c>
      <c r="P278" s="1"/>
      <c r="T278" t="e">
        <f>VLOOKUP(entradas[[#This Row],[Codigo de producto]],productos[],2,FALSE)</f>
        <v>#N/A</v>
      </c>
      <c r="V278" s="1"/>
    </row>
    <row r="279" spans="8:22" x14ac:dyDescent="0.35">
      <c r="H279" s="1"/>
      <c r="L279" t="e">
        <f>VLOOKUP(salidas[[#This Row],[Codigo de producto]],productos[],2,FALSE)</f>
        <v>#N/A</v>
      </c>
      <c r="N279" s="10">
        <f>+salidas[[#This Row],[Cantidad]]*salidas[[#This Row],[Precio U.]]</f>
        <v>0</v>
      </c>
      <c r="P279" s="1"/>
      <c r="T279" t="e">
        <f>VLOOKUP(entradas[[#This Row],[Codigo de producto]],productos[],2,FALSE)</f>
        <v>#N/A</v>
      </c>
      <c r="V279" s="1"/>
    </row>
    <row r="280" spans="8:22" x14ac:dyDescent="0.35">
      <c r="H280" s="1"/>
      <c r="L280" t="e">
        <f>VLOOKUP(salidas[[#This Row],[Codigo de producto]],productos[],2,FALSE)</f>
        <v>#N/A</v>
      </c>
      <c r="N280" s="10">
        <f>+salidas[[#This Row],[Cantidad]]*salidas[[#This Row],[Precio U.]]</f>
        <v>0</v>
      </c>
      <c r="P280" s="1"/>
      <c r="T280" t="e">
        <f>VLOOKUP(entradas[[#This Row],[Codigo de producto]],productos[],2,FALSE)</f>
        <v>#N/A</v>
      </c>
      <c r="V280" s="1"/>
    </row>
    <row r="281" spans="8:22" x14ac:dyDescent="0.35">
      <c r="H281" s="1"/>
      <c r="L281" t="e">
        <f>VLOOKUP(salidas[[#This Row],[Codigo de producto]],productos[],2,FALSE)</f>
        <v>#N/A</v>
      </c>
      <c r="N281" s="10">
        <f>+salidas[[#This Row],[Cantidad]]*salidas[[#This Row],[Precio U.]]</f>
        <v>0</v>
      </c>
      <c r="P281" s="1"/>
      <c r="T281" t="e">
        <f>VLOOKUP(entradas[[#This Row],[Codigo de producto]],productos[],2,FALSE)</f>
        <v>#N/A</v>
      </c>
      <c r="V281" s="1"/>
    </row>
    <row r="282" spans="8:22" x14ac:dyDescent="0.35">
      <c r="H282" s="1"/>
      <c r="L282" t="e">
        <f>VLOOKUP(salidas[[#This Row],[Codigo de producto]],productos[],2,FALSE)</f>
        <v>#N/A</v>
      </c>
      <c r="N282" s="10">
        <f>+salidas[[#This Row],[Cantidad]]*salidas[[#This Row],[Precio U.]]</f>
        <v>0</v>
      </c>
      <c r="P282" s="1"/>
      <c r="T282" t="e">
        <f>VLOOKUP(entradas[[#This Row],[Codigo de producto]],productos[],2,FALSE)</f>
        <v>#N/A</v>
      </c>
      <c r="V282" s="1"/>
    </row>
    <row r="283" spans="8:22" x14ac:dyDescent="0.35">
      <c r="H283" s="1"/>
      <c r="L283" t="e">
        <f>VLOOKUP(salidas[[#This Row],[Codigo de producto]],productos[],2,FALSE)</f>
        <v>#N/A</v>
      </c>
      <c r="N283" s="10">
        <f>+salidas[[#This Row],[Cantidad]]*salidas[[#This Row],[Precio U.]]</f>
        <v>0</v>
      </c>
      <c r="P283" s="1"/>
      <c r="T283" t="e">
        <f>VLOOKUP(entradas[[#This Row],[Codigo de producto]],productos[],2,FALSE)</f>
        <v>#N/A</v>
      </c>
      <c r="V283" s="1"/>
    </row>
    <row r="284" spans="8:22" x14ac:dyDescent="0.35">
      <c r="H284" s="1"/>
      <c r="L284" t="e">
        <f>VLOOKUP(salidas[[#This Row],[Codigo de producto]],productos[],2,FALSE)</f>
        <v>#N/A</v>
      </c>
      <c r="N284" s="10">
        <f>+salidas[[#This Row],[Cantidad]]*salidas[[#This Row],[Precio U.]]</f>
        <v>0</v>
      </c>
      <c r="P284" s="1"/>
      <c r="T284" t="e">
        <f>VLOOKUP(entradas[[#This Row],[Codigo de producto]],productos[],2,FALSE)</f>
        <v>#N/A</v>
      </c>
      <c r="V284" s="1"/>
    </row>
    <row r="285" spans="8:22" x14ac:dyDescent="0.35">
      <c r="H285" s="1"/>
      <c r="L285" t="e">
        <f>VLOOKUP(salidas[[#This Row],[Codigo de producto]],productos[],2,FALSE)</f>
        <v>#N/A</v>
      </c>
      <c r="N285" s="10">
        <f>+salidas[[#This Row],[Cantidad]]*salidas[[#This Row],[Precio U.]]</f>
        <v>0</v>
      </c>
      <c r="P285" s="1"/>
      <c r="T285" t="e">
        <f>VLOOKUP(entradas[[#This Row],[Codigo de producto]],productos[],2,FALSE)</f>
        <v>#N/A</v>
      </c>
      <c r="V285" s="1"/>
    </row>
    <row r="286" spans="8:22" x14ac:dyDescent="0.35">
      <c r="H286" s="1"/>
      <c r="L286" t="e">
        <f>VLOOKUP(salidas[[#This Row],[Codigo de producto]],productos[],2,FALSE)</f>
        <v>#N/A</v>
      </c>
      <c r="N286" s="10">
        <f>+salidas[[#This Row],[Cantidad]]*salidas[[#This Row],[Precio U.]]</f>
        <v>0</v>
      </c>
      <c r="P286" s="1"/>
      <c r="T286" t="e">
        <f>VLOOKUP(entradas[[#This Row],[Codigo de producto]],productos[],2,FALSE)</f>
        <v>#N/A</v>
      </c>
      <c r="V286" s="1"/>
    </row>
    <row r="287" spans="8:22" x14ac:dyDescent="0.35">
      <c r="H287" s="1"/>
      <c r="L287" t="e">
        <f>VLOOKUP(salidas[[#This Row],[Codigo de producto]],productos[],2,FALSE)</f>
        <v>#N/A</v>
      </c>
      <c r="N287" s="10">
        <f>+salidas[[#This Row],[Cantidad]]*salidas[[#This Row],[Precio U.]]</f>
        <v>0</v>
      </c>
      <c r="P287" s="1"/>
      <c r="T287" t="e">
        <f>VLOOKUP(entradas[[#This Row],[Codigo de producto]],productos[],2,FALSE)</f>
        <v>#N/A</v>
      </c>
      <c r="V287" s="1"/>
    </row>
    <row r="288" spans="8:22" x14ac:dyDescent="0.35">
      <c r="H288" s="1"/>
      <c r="L288" t="e">
        <f>VLOOKUP(salidas[[#This Row],[Codigo de producto]],productos[],2,FALSE)</f>
        <v>#N/A</v>
      </c>
      <c r="N288" s="10">
        <f>+salidas[[#This Row],[Cantidad]]*salidas[[#This Row],[Precio U.]]</f>
        <v>0</v>
      </c>
      <c r="P288" s="1"/>
      <c r="T288" t="e">
        <f>VLOOKUP(entradas[[#This Row],[Codigo de producto]],productos[],2,FALSE)</f>
        <v>#N/A</v>
      </c>
      <c r="V288" s="1"/>
    </row>
    <row r="289" spans="8:22" x14ac:dyDescent="0.35">
      <c r="H289" s="1"/>
      <c r="L289" t="e">
        <f>VLOOKUP(salidas[[#This Row],[Codigo de producto]],productos[],2,FALSE)</f>
        <v>#N/A</v>
      </c>
      <c r="N289" s="10">
        <f>+salidas[[#This Row],[Cantidad]]*salidas[[#This Row],[Precio U.]]</f>
        <v>0</v>
      </c>
      <c r="P289" s="1"/>
      <c r="T289" t="e">
        <f>VLOOKUP(entradas[[#This Row],[Codigo de producto]],productos[],2,FALSE)</f>
        <v>#N/A</v>
      </c>
      <c r="V289" s="1"/>
    </row>
    <row r="290" spans="8:22" x14ac:dyDescent="0.35">
      <c r="H290" s="1"/>
      <c r="L290" t="e">
        <f>VLOOKUP(salidas[[#This Row],[Codigo de producto]],productos[],2,FALSE)</f>
        <v>#N/A</v>
      </c>
      <c r="N290" s="10">
        <f>+salidas[[#This Row],[Cantidad]]*salidas[[#This Row],[Precio U.]]</f>
        <v>0</v>
      </c>
      <c r="P290" s="1"/>
      <c r="T290" t="e">
        <f>VLOOKUP(entradas[[#This Row],[Codigo de producto]],productos[],2,FALSE)</f>
        <v>#N/A</v>
      </c>
      <c r="V290" s="1"/>
    </row>
    <row r="291" spans="8:22" x14ac:dyDescent="0.35">
      <c r="H291" s="1"/>
      <c r="L291" t="e">
        <f>VLOOKUP(salidas[[#This Row],[Codigo de producto]],productos[],2,FALSE)</f>
        <v>#N/A</v>
      </c>
      <c r="N291" s="10">
        <f>+salidas[[#This Row],[Cantidad]]*salidas[[#This Row],[Precio U.]]</f>
        <v>0</v>
      </c>
      <c r="P291" s="1"/>
      <c r="T291" t="e">
        <f>VLOOKUP(entradas[[#This Row],[Codigo de producto]],productos[],2,FALSE)</f>
        <v>#N/A</v>
      </c>
      <c r="V291" s="1"/>
    </row>
    <row r="292" spans="8:22" x14ac:dyDescent="0.35">
      <c r="H292" s="1"/>
      <c r="L292" t="e">
        <f>VLOOKUP(salidas[[#This Row],[Codigo de producto]],productos[],2,FALSE)</f>
        <v>#N/A</v>
      </c>
      <c r="N292" s="10">
        <f>+salidas[[#This Row],[Cantidad]]*salidas[[#This Row],[Precio U.]]</f>
        <v>0</v>
      </c>
      <c r="P292" s="1"/>
      <c r="T292" t="e">
        <f>VLOOKUP(entradas[[#This Row],[Codigo de producto]],productos[],2,FALSE)</f>
        <v>#N/A</v>
      </c>
      <c r="V292" s="1"/>
    </row>
    <row r="293" spans="8:22" x14ac:dyDescent="0.35">
      <c r="H293" s="1"/>
      <c r="L293" t="e">
        <f>VLOOKUP(salidas[[#This Row],[Codigo de producto]],productos[],2,FALSE)</f>
        <v>#N/A</v>
      </c>
      <c r="N293" s="10">
        <f>+salidas[[#This Row],[Cantidad]]*salidas[[#This Row],[Precio U.]]</f>
        <v>0</v>
      </c>
      <c r="P293" s="1"/>
      <c r="T293" t="e">
        <f>VLOOKUP(entradas[[#This Row],[Codigo de producto]],productos[],2,FALSE)</f>
        <v>#N/A</v>
      </c>
      <c r="V293" s="1"/>
    </row>
    <row r="294" spans="8:22" x14ac:dyDescent="0.35">
      <c r="H294" s="1"/>
      <c r="L294" t="e">
        <f>VLOOKUP(salidas[[#This Row],[Codigo de producto]],productos[],2,FALSE)</f>
        <v>#N/A</v>
      </c>
      <c r="N294" s="10">
        <f>+salidas[[#This Row],[Cantidad]]*salidas[[#This Row],[Precio U.]]</f>
        <v>0</v>
      </c>
      <c r="P294" s="1"/>
      <c r="T294" t="e">
        <f>VLOOKUP(entradas[[#This Row],[Codigo de producto]],productos[],2,FALSE)</f>
        <v>#N/A</v>
      </c>
      <c r="V294" s="1"/>
    </row>
    <row r="295" spans="8:22" x14ac:dyDescent="0.35">
      <c r="H295" s="1"/>
      <c r="L295" t="e">
        <f>VLOOKUP(salidas[[#This Row],[Codigo de producto]],productos[],2,FALSE)</f>
        <v>#N/A</v>
      </c>
      <c r="N295" s="10">
        <f>+salidas[[#This Row],[Cantidad]]*salidas[[#This Row],[Precio U.]]</f>
        <v>0</v>
      </c>
      <c r="P295" s="1"/>
      <c r="T295" t="e">
        <f>VLOOKUP(entradas[[#This Row],[Codigo de producto]],productos[],2,FALSE)</f>
        <v>#N/A</v>
      </c>
      <c r="V295" s="1"/>
    </row>
    <row r="296" spans="8:22" x14ac:dyDescent="0.35">
      <c r="H296" s="1"/>
      <c r="L296" t="e">
        <f>VLOOKUP(salidas[[#This Row],[Codigo de producto]],productos[],2,FALSE)</f>
        <v>#N/A</v>
      </c>
      <c r="N296" s="10">
        <f>+salidas[[#This Row],[Cantidad]]*salidas[[#This Row],[Precio U.]]</f>
        <v>0</v>
      </c>
      <c r="P296" s="1"/>
      <c r="T296" t="e">
        <f>VLOOKUP(entradas[[#This Row],[Codigo de producto]],productos[],2,FALSE)</f>
        <v>#N/A</v>
      </c>
      <c r="V296" s="1"/>
    </row>
    <row r="297" spans="8:22" x14ac:dyDescent="0.35">
      <c r="H297" s="1"/>
      <c r="L297" t="e">
        <f>VLOOKUP(salidas[[#This Row],[Codigo de producto]],productos[],2,FALSE)</f>
        <v>#N/A</v>
      </c>
      <c r="N297" s="10">
        <f>+salidas[[#This Row],[Cantidad]]*salidas[[#This Row],[Precio U.]]</f>
        <v>0</v>
      </c>
      <c r="P297" s="1"/>
      <c r="T297" t="e">
        <f>VLOOKUP(entradas[[#This Row],[Codigo de producto]],productos[],2,FALSE)</f>
        <v>#N/A</v>
      </c>
      <c r="V297" s="1"/>
    </row>
    <row r="298" spans="8:22" x14ac:dyDescent="0.35">
      <c r="H298" s="1"/>
      <c r="L298" t="e">
        <f>VLOOKUP(salidas[[#This Row],[Codigo de producto]],productos[],2,FALSE)</f>
        <v>#N/A</v>
      </c>
      <c r="N298" s="10">
        <f>+salidas[[#This Row],[Cantidad]]*salidas[[#This Row],[Precio U.]]</f>
        <v>0</v>
      </c>
      <c r="P298" s="1"/>
      <c r="T298" t="e">
        <f>VLOOKUP(entradas[[#This Row],[Codigo de producto]],productos[],2,FALSE)</f>
        <v>#N/A</v>
      </c>
      <c r="V298" s="1"/>
    </row>
    <row r="299" spans="8:22" x14ac:dyDescent="0.35">
      <c r="H299" s="1"/>
      <c r="L299" t="e">
        <f>VLOOKUP(salidas[[#This Row],[Codigo de producto]],productos[],2,FALSE)</f>
        <v>#N/A</v>
      </c>
      <c r="N299" s="10">
        <f>+salidas[[#This Row],[Cantidad]]*salidas[[#This Row],[Precio U.]]</f>
        <v>0</v>
      </c>
      <c r="P299" s="1"/>
      <c r="T299" t="e">
        <f>VLOOKUP(entradas[[#This Row],[Codigo de producto]],productos[],2,FALSE)</f>
        <v>#N/A</v>
      </c>
      <c r="V299" s="1"/>
    </row>
    <row r="300" spans="8:22" x14ac:dyDescent="0.35">
      <c r="H300" s="1"/>
      <c r="L300" t="e">
        <f>VLOOKUP(salidas[[#This Row],[Codigo de producto]],productos[],2,FALSE)</f>
        <v>#N/A</v>
      </c>
      <c r="N300" s="10">
        <f>+salidas[[#This Row],[Cantidad]]*salidas[[#This Row],[Precio U.]]</f>
        <v>0</v>
      </c>
      <c r="P300" s="1"/>
      <c r="T300" t="e">
        <f>VLOOKUP(entradas[[#This Row],[Codigo de producto]],productos[],2,FALSE)</f>
        <v>#N/A</v>
      </c>
      <c r="V300" s="1"/>
    </row>
    <row r="301" spans="8:22" x14ac:dyDescent="0.35">
      <c r="H301" s="1"/>
      <c r="L301" t="e">
        <f>VLOOKUP(salidas[[#This Row],[Codigo de producto]],productos[],2,FALSE)</f>
        <v>#N/A</v>
      </c>
      <c r="N301" s="10">
        <f>+salidas[[#This Row],[Cantidad]]*salidas[[#This Row],[Precio U.]]</f>
        <v>0</v>
      </c>
      <c r="P301" s="1"/>
      <c r="T301" t="e">
        <f>VLOOKUP(entradas[[#This Row],[Codigo de producto]],productos[],2,FALSE)</f>
        <v>#N/A</v>
      </c>
      <c r="V301" s="1"/>
    </row>
    <row r="302" spans="8:22" x14ac:dyDescent="0.35">
      <c r="H302" s="1"/>
      <c r="L302" t="e">
        <f>VLOOKUP(salidas[[#This Row],[Codigo de producto]],productos[],2,FALSE)</f>
        <v>#N/A</v>
      </c>
      <c r="N302" s="10">
        <f>+salidas[[#This Row],[Cantidad]]*salidas[[#This Row],[Precio U.]]</f>
        <v>0</v>
      </c>
      <c r="P302" s="1"/>
      <c r="T302" t="e">
        <f>VLOOKUP(entradas[[#This Row],[Codigo de producto]],productos[],2,FALSE)</f>
        <v>#N/A</v>
      </c>
      <c r="V302" s="1"/>
    </row>
    <row r="303" spans="8:22" x14ac:dyDescent="0.35">
      <c r="H303" s="1"/>
      <c r="L303" t="e">
        <f>VLOOKUP(salidas[[#This Row],[Codigo de producto]],productos[],2,FALSE)</f>
        <v>#N/A</v>
      </c>
      <c r="N303" s="10">
        <f>+salidas[[#This Row],[Cantidad]]*salidas[[#This Row],[Precio U.]]</f>
        <v>0</v>
      </c>
      <c r="P303" s="1"/>
      <c r="T303" t="e">
        <f>VLOOKUP(entradas[[#This Row],[Codigo de producto]],productos[],2,FALSE)</f>
        <v>#N/A</v>
      </c>
      <c r="V303" s="1"/>
    </row>
    <row r="304" spans="8:22" x14ac:dyDescent="0.35">
      <c r="H304" s="1"/>
      <c r="L304" t="e">
        <f>VLOOKUP(salidas[[#This Row],[Codigo de producto]],productos[],2,FALSE)</f>
        <v>#N/A</v>
      </c>
      <c r="N304" s="10">
        <f>+salidas[[#This Row],[Cantidad]]*salidas[[#This Row],[Precio U.]]</f>
        <v>0</v>
      </c>
      <c r="P304" s="1"/>
      <c r="T304" t="e">
        <f>VLOOKUP(entradas[[#This Row],[Codigo de producto]],productos[],2,FALSE)</f>
        <v>#N/A</v>
      </c>
      <c r="V304" s="1"/>
    </row>
    <row r="305" spans="8:22" x14ac:dyDescent="0.35">
      <c r="H305" s="1"/>
      <c r="L305" t="e">
        <f>VLOOKUP(salidas[[#This Row],[Codigo de producto]],productos[],2,FALSE)</f>
        <v>#N/A</v>
      </c>
      <c r="N305" s="10">
        <f>+salidas[[#This Row],[Cantidad]]*salidas[[#This Row],[Precio U.]]</f>
        <v>0</v>
      </c>
      <c r="P305" s="1"/>
      <c r="T305" t="e">
        <f>VLOOKUP(entradas[[#This Row],[Codigo de producto]],productos[],2,FALSE)</f>
        <v>#N/A</v>
      </c>
      <c r="V305" s="1"/>
    </row>
    <row r="306" spans="8:22" x14ac:dyDescent="0.35">
      <c r="H306" s="1"/>
      <c r="L306" t="e">
        <f>VLOOKUP(salidas[[#This Row],[Codigo de producto]],productos[],2,FALSE)</f>
        <v>#N/A</v>
      </c>
      <c r="N306" s="10">
        <f>+salidas[[#This Row],[Cantidad]]*salidas[[#This Row],[Precio U.]]</f>
        <v>0</v>
      </c>
      <c r="P306" s="1"/>
      <c r="T306" t="e">
        <f>VLOOKUP(entradas[[#This Row],[Codigo de producto]],productos[],2,FALSE)</f>
        <v>#N/A</v>
      </c>
      <c r="V306" s="1"/>
    </row>
    <row r="307" spans="8:22" x14ac:dyDescent="0.35">
      <c r="H307" s="1"/>
      <c r="L307" t="e">
        <f>VLOOKUP(salidas[[#This Row],[Codigo de producto]],productos[],2,FALSE)</f>
        <v>#N/A</v>
      </c>
      <c r="N307" s="10">
        <f>+salidas[[#This Row],[Cantidad]]*salidas[[#This Row],[Precio U.]]</f>
        <v>0</v>
      </c>
      <c r="P307" s="1"/>
      <c r="T307" t="e">
        <f>VLOOKUP(entradas[[#This Row],[Codigo de producto]],productos[],2,FALSE)</f>
        <v>#N/A</v>
      </c>
      <c r="V307" s="1"/>
    </row>
    <row r="308" spans="8:22" x14ac:dyDescent="0.35">
      <c r="H308" s="1"/>
      <c r="L308" t="e">
        <f>VLOOKUP(salidas[[#This Row],[Codigo de producto]],productos[],2,FALSE)</f>
        <v>#N/A</v>
      </c>
      <c r="N308" s="10">
        <f>+salidas[[#This Row],[Cantidad]]*salidas[[#This Row],[Precio U.]]</f>
        <v>0</v>
      </c>
      <c r="P308" s="1"/>
      <c r="T308" t="e">
        <f>VLOOKUP(entradas[[#This Row],[Codigo de producto]],productos[],2,FALSE)</f>
        <v>#N/A</v>
      </c>
      <c r="V308" s="1"/>
    </row>
    <row r="309" spans="8:22" x14ac:dyDescent="0.35">
      <c r="H309" s="1"/>
      <c r="L309" t="e">
        <f>VLOOKUP(salidas[[#This Row],[Codigo de producto]],productos[],2,FALSE)</f>
        <v>#N/A</v>
      </c>
      <c r="N309" s="10">
        <f>+salidas[[#This Row],[Cantidad]]*salidas[[#This Row],[Precio U.]]</f>
        <v>0</v>
      </c>
      <c r="P309" s="1"/>
      <c r="T309" t="e">
        <f>VLOOKUP(entradas[[#This Row],[Codigo de producto]],productos[],2,FALSE)</f>
        <v>#N/A</v>
      </c>
      <c r="V309" s="1"/>
    </row>
    <row r="310" spans="8:22" x14ac:dyDescent="0.35">
      <c r="H310" s="1"/>
      <c r="L310" t="e">
        <f>VLOOKUP(salidas[[#This Row],[Codigo de producto]],productos[],2,FALSE)</f>
        <v>#N/A</v>
      </c>
      <c r="N310" s="10">
        <f>+salidas[[#This Row],[Cantidad]]*salidas[[#This Row],[Precio U.]]</f>
        <v>0</v>
      </c>
      <c r="P310" s="1"/>
      <c r="T310" t="e">
        <f>VLOOKUP(entradas[[#This Row],[Codigo de producto]],productos[],2,FALSE)</f>
        <v>#N/A</v>
      </c>
      <c r="V310" s="1"/>
    </row>
    <row r="311" spans="8:22" x14ac:dyDescent="0.35">
      <c r="H311" s="1"/>
      <c r="L311" t="e">
        <f>VLOOKUP(salidas[[#This Row],[Codigo de producto]],productos[],2,FALSE)</f>
        <v>#N/A</v>
      </c>
      <c r="N311" s="10">
        <f>+salidas[[#This Row],[Cantidad]]*salidas[[#This Row],[Precio U.]]</f>
        <v>0</v>
      </c>
      <c r="P311" s="1"/>
      <c r="T311" t="e">
        <f>VLOOKUP(entradas[[#This Row],[Codigo de producto]],productos[],2,FALSE)</f>
        <v>#N/A</v>
      </c>
      <c r="V311" s="1"/>
    </row>
    <row r="312" spans="8:22" x14ac:dyDescent="0.35">
      <c r="H312" s="1"/>
      <c r="L312" t="e">
        <f>VLOOKUP(salidas[[#This Row],[Codigo de producto]],productos[],2,FALSE)</f>
        <v>#N/A</v>
      </c>
      <c r="N312" s="10">
        <f>+salidas[[#This Row],[Cantidad]]*salidas[[#This Row],[Precio U.]]</f>
        <v>0</v>
      </c>
      <c r="P312" s="1"/>
      <c r="T312" t="e">
        <f>VLOOKUP(entradas[[#This Row],[Codigo de producto]],productos[],2,FALSE)</f>
        <v>#N/A</v>
      </c>
      <c r="V312" s="1"/>
    </row>
    <row r="313" spans="8:22" x14ac:dyDescent="0.35">
      <c r="H313" s="1"/>
      <c r="L313" t="e">
        <f>VLOOKUP(salidas[[#This Row],[Codigo de producto]],productos[],2,FALSE)</f>
        <v>#N/A</v>
      </c>
      <c r="N313" s="10">
        <f>+salidas[[#This Row],[Cantidad]]*salidas[[#This Row],[Precio U.]]</f>
        <v>0</v>
      </c>
      <c r="P313" s="1"/>
      <c r="T313" t="e">
        <f>VLOOKUP(entradas[[#This Row],[Codigo de producto]],productos[],2,FALSE)</f>
        <v>#N/A</v>
      </c>
      <c r="V313" s="1"/>
    </row>
    <row r="314" spans="8:22" x14ac:dyDescent="0.35">
      <c r="H314" s="1"/>
      <c r="L314" t="e">
        <f>VLOOKUP(salidas[[#This Row],[Codigo de producto]],productos[],2,FALSE)</f>
        <v>#N/A</v>
      </c>
      <c r="N314" s="10">
        <f>+salidas[[#This Row],[Cantidad]]*salidas[[#This Row],[Precio U.]]</f>
        <v>0</v>
      </c>
      <c r="P314" s="1"/>
      <c r="T314" t="e">
        <f>VLOOKUP(entradas[[#This Row],[Codigo de producto]],productos[],2,FALSE)</f>
        <v>#N/A</v>
      </c>
      <c r="V314" s="1"/>
    </row>
    <row r="315" spans="8:22" x14ac:dyDescent="0.35">
      <c r="H315" s="1"/>
      <c r="L315" t="e">
        <f>VLOOKUP(salidas[[#This Row],[Codigo de producto]],productos[],2,FALSE)</f>
        <v>#N/A</v>
      </c>
      <c r="N315" s="10">
        <f>+salidas[[#This Row],[Cantidad]]*salidas[[#This Row],[Precio U.]]</f>
        <v>0</v>
      </c>
      <c r="P315" s="1"/>
      <c r="T315" t="e">
        <f>VLOOKUP(entradas[[#This Row],[Codigo de producto]],productos[],2,FALSE)</f>
        <v>#N/A</v>
      </c>
      <c r="V315" s="1"/>
    </row>
    <row r="316" spans="8:22" x14ac:dyDescent="0.35">
      <c r="H316" s="1"/>
      <c r="L316" t="e">
        <f>VLOOKUP(salidas[[#This Row],[Codigo de producto]],productos[],2,FALSE)</f>
        <v>#N/A</v>
      </c>
      <c r="N316" s="10">
        <f>+salidas[[#This Row],[Cantidad]]*salidas[[#This Row],[Precio U.]]</f>
        <v>0</v>
      </c>
      <c r="P316" s="1"/>
      <c r="T316" t="e">
        <f>VLOOKUP(entradas[[#This Row],[Codigo de producto]],productos[],2,FALSE)</f>
        <v>#N/A</v>
      </c>
      <c r="V316" s="1"/>
    </row>
    <row r="317" spans="8:22" x14ac:dyDescent="0.35">
      <c r="H317" s="1"/>
      <c r="L317" t="e">
        <f>VLOOKUP(salidas[[#This Row],[Codigo de producto]],productos[],2,FALSE)</f>
        <v>#N/A</v>
      </c>
      <c r="N317" s="10">
        <f>+salidas[[#This Row],[Cantidad]]*salidas[[#This Row],[Precio U.]]</f>
        <v>0</v>
      </c>
      <c r="P317" s="1"/>
      <c r="T317" t="e">
        <f>VLOOKUP(entradas[[#This Row],[Codigo de producto]],productos[],2,FALSE)</f>
        <v>#N/A</v>
      </c>
      <c r="V317" s="1"/>
    </row>
    <row r="318" spans="8:22" x14ac:dyDescent="0.35">
      <c r="H318" s="1"/>
      <c r="L318" t="e">
        <f>VLOOKUP(salidas[[#This Row],[Codigo de producto]],productos[],2,FALSE)</f>
        <v>#N/A</v>
      </c>
      <c r="N318" s="10">
        <f>+salidas[[#This Row],[Cantidad]]*salidas[[#This Row],[Precio U.]]</f>
        <v>0</v>
      </c>
      <c r="P318" s="1"/>
      <c r="T318" t="e">
        <f>VLOOKUP(entradas[[#This Row],[Codigo de producto]],productos[],2,FALSE)</f>
        <v>#N/A</v>
      </c>
      <c r="V318" s="1"/>
    </row>
    <row r="319" spans="8:22" x14ac:dyDescent="0.35">
      <c r="H319" s="1"/>
      <c r="L319" t="e">
        <f>VLOOKUP(salidas[[#This Row],[Codigo de producto]],productos[],2,FALSE)</f>
        <v>#N/A</v>
      </c>
      <c r="N319" s="10">
        <f>+salidas[[#This Row],[Cantidad]]*salidas[[#This Row],[Precio U.]]</f>
        <v>0</v>
      </c>
      <c r="P319" s="1"/>
      <c r="T319" t="e">
        <f>VLOOKUP(entradas[[#This Row],[Codigo de producto]],productos[],2,FALSE)</f>
        <v>#N/A</v>
      </c>
      <c r="V319" s="1"/>
    </row>
    <row r="320" spans="8:22" x14ac:dyDescent="0.35">
      <c r="H320" s="1"/>
      <c r="L320" t="e">
        <f>VLOOKUP(salidas[[#This Row],[Codigo de producto]],productos[],2,FALSE)</f>
        <v>#N/A</v>
      </c>
      <c r="N320" s="10">
        <f>+salidas[[#This Row],[Cantidad]]*salidas[[#This Row],[Precio U.]]</f>
        <v>0</v>
      </c>
      <c r="P320" s="1"/>
      <c r="T320" t="e">
        <f>VLOOKUP(entradas[[#This Row],[Codigo de producto]],productos[],2,FALSE)</f>
        <v>#N/A</v>
      </c>
      <c r="V320" s="1"/>
    </row>
    <row r="321" spans="8:22" x14ac:dyDescent="0.35">
      <c r="H321" s="1"/>
      <c r="L321" t="e">
        <f>VLOOKUP(salidas[[#This Row],[Codigo de producto]],productos[],2,FALSE)</f>
        <v>#N/A</v>
      </c>
      <c r="N321" s="10">
        <f>+salidas[[#This Row],[Cantidad]]*salidas[[#This Row],[Precio U.]]</f>
        <v>0</v>
      </c>
      <c r="P321" s="1"/>
      <c r="T321" t="e">
        <f>VLOOKUP(entradas[[#This Row],[Codigo de producto]],productos[],2,FALSE)</f>
        <v>#N/A</v>
      </c>
      <c r="V321" s="1"/>
    </row>
    <row r="322" spans="8:22" x14ac:dyDescent="0.35">
      <c r="H322" s="1"/>
      <c r="L322" t="e">
        <f>VLOOKUP(salidas[[#This Row],[Codigo de producto]],productos[],2,FALSE)</f>
        <v>#N/A</v>
      </c>
      <c r="N322" s="10">
        <f>+salidas[[#This Row],[Cantidad]]*salidas[[#This Row],[Precio U.]]</f>
        <v>0</v>
      </c>
      <c r="P322" s="1"/>
      <c r="T322" t="e">
        <f>VLOOKUP(entradas[[#This Row],[Codigo de producto]],productos[],2,FALSE)</f>
        <v>#N/A</v>
      </c>
      <c r="V322" s="1"/>
    </row>
    <row r="323" spans="8:22" x14ac:dyDescent="0.35">
      <c r="H323" s="1"/>
      <c r="L323" t="e">
        <f>VLOOKUP(salidas[[#This Row],[Codigo de producto]],productos[],2,FALSE)</f>
        <v>#N/A</v>
      </c>
      <c r="N323" s="10">
        <f>+salidas[[#This Row],[Cantidad]]*salidas[[#This Row],[Precio U.]]</f>
        <v>0</v>
      </c>
      <c r="P323" s="1"/>
      <c r="T323" t="e">
        <f>VLOOKUP(entradas[[#This Row],[Codigo de producto]],productos[],2,FALSE)</f>
        <v>#N/A</v>
      </c>
      <c r="V323" s="1"/>
    </row>
    <row r="324" spans="8:22" x14ac:dyDescent="0.35">
      <c r="H324" s="1"/>
      <c r="L324" t="e">
        <f>VLOOKUP(salidas[[#This Row],[Codigo de producto]],productos[],2,FALSE)</f>
        <v>#N/A</v>
      </c>
      <c r="N324" s="10">
        <f>+salidas[[#This Row],[Cantidad]]*salidas[[#This Row],[Precio U.]]</f>
        <v>0</v>
      </c>
      <c r="P324" s="1"/>
      <c r="T324" t="e">
        <f>VLOOKUP(entradas[[#This Row],[Codigo de producto]],productos[],2,FALSE)</f>
        <v>#N/A</v>
      </c>
      <c r="V324" s="1"/>
    </row>
    <row r="325" spans="8:22" x14ac:dyDescent="0.35">
      <c r="H325" s="1"/>
      <c r="L325" t="e">
        <f>VLOOKUP(salidas[[#This Row],[Codigo de producto]],productos[],2,FALSE)</f>
        <v>#N/A</v>
      </c>
      <c r="N325" s="10">
        <f>+salidas[[#This Row],[Cantidad]]*salidas[[#This Row],[Precio U.]]</f>
        <v>0</v>
      </c>
      <c r="P325" s="1"/>
      <c r="T325" t="e">
        <f>VLOOKUP(entradas[[#This Row],[Codigo de producto]],productos[],2,FALSE)</f>
        <v>#N/A</v>
      </c>
      <c r="V325" s="1"/>
    </row>
    <row r="326" spans="8:22" x14ac:dyDescent="0.35">
      <c r="H326" s="1"/>
      <c r="L326" t="e">
        <f>VLOOKUP(salidas[[#This Row],[Codigo de producto]],productos[],2,FALSE)</f>
        <v>#N/A</v>
      </c>
      <c r="N326" s="10">
        <f>+salidas[[#This Row],[Cantidad]]*salidas[[#This Row],[Precio U.]]</f>
        <v>0</v>
      </c>
      <c r="P326" s="1"/>
      <c r="T326" t="e">
        <f>VLOOKUP(entradas[[#This Row],[Codigo de producto]],productos[],2,FALSE)</f>
        <v>#N/A</v>
      </c>
      <c r="V326" s="1"/>
    </row>
    <row r="327" spans="8:22" x14ac:dyDescent="0.35">
      <c r="H327" s="1"/>
      <c r="L327" t="e">
        <f>VLOOKUP(salidas[[#This Row],[Codigo de producto]],productos[],2,FALSE)</f>
        <v>#N/A</v>
      </c>
      <c r="N327" s="10">
        <f>+salidas[[#This Row],[Cantidad]]*salidas[[#This Row],[Precio U.]]</f>
        <v>0</v>
      </c>
      <c r="P327" s="1"/>
      <c r="T327" t="e">
        <f>VLOOKUP(entradas[[#This Row],[Codigo de producto]],productos[],2,FALSE)</f>
        <v>#N/A</v>
      </c>
      <c r="V327" s="1"/>
    </row>
    <row r="328" spans="8:22" x14ac:dyDescent="0.35">
      <c r="H328" s="1"/>
      <c r="L328" t="e">
        <f>VLOOKUP(salidas[[#This Row],[Codigo de producto]],productos[],2,FALSE)</f>
        <v>#N/A</v>
      </c>
      <c r="N328" s="10">
        <f>+salidas[[#This Row],[Cantidad]]*salidas[[#This Row],[Precio U.]]</f>
        <v>0</v>
      </c>
      <c r="P328" s="1"/>
      <c r="T328" t="e">
        <f>VLOOKUP(entradas[[#This Row],[Codigo de producto]],productos[],2,FALSE)</f>
        <v>#N/A</v>
      </c>
      <c r="V328" s="1"/>
    </row>
    <row r="329" spans="8:22" x14ac:dyDescent="0.35">
      <c r="H329" s="1"/>
      <c r="L329" t="e">
        <f>VLOOKUP(salidas[[#This Row],[Codigo de producto]],productos[],2,FALSE)</f>
        <v>#N/A</v>
      </c>
      <c r="N329" s="10">
        <f>+salidas[[#This Row],[Cantidad]]*salidas[[#This Row],[Precio U.]]</f>
        <v>0</v>
      </c>
      <c r="P329" s="1"/>
      <c r="T329" t="e">
        <f>VLOOKUP(entradas[[#This Row],[Codigo de producto]],productos[],2,FALSE)</f>
        <v>#N/A</v>
      </c>
      <c r="V329" s="1"/>
    </row>
    <row r="330" spans="8:22" x14ac:dyDescent="0.35">
      <c r="H330" s="1"/>
      <c r="L330" t="e">
        <f>VLOOKUP(salidas[[#This Row],[Codigo de producto]],productos[],2,FALSE)</f>
        <v>#N/A</v>
      </c>
      <c r="N330" s="10">
        <f>+salidas[[#This Row],[Cantidad]]*salidas[[#This Row],[Precio U.]]</f>
        <v>0</v>
      </c>
      <c r="P330" s="1"/>
      <c r="T330" t="e">
        <f>VLOOKUP(entradas[[#This Row],[Codigo de producto]],productos[],2,FALSE)</f>
        <v>#N/A</v>
      </c>
      <c r="V330" s="1"/>
    </row>
    <row r="331" spans="8:22" x14ac:dyDescent="0.35">
      <c r="H331" s="1"/>
      <c r="L331" t="e">
        <f>VLOOKUP(salidas[[#This Row],[Codigo de producto]],productos[],2,FALSE)</f>
        <v>#N/A</v>
      </c>
      <c r="N331" s="10">
        <f>+salidas[[#This Row],[Cantidad]]*salidas[[#This Row],[Precio U.]]</f>
        <v>0</v>
      </c>
      <c r="P331" s="1"/>
      <c r="T331" t="e">
        <f>VLOOKUP(entradas[[#This Row],[Codigo de producto]],productos[],2,FALSE)</f>
        <v>#N/A</v>
      </c>
      <c r="V331" s="1"/>
    </row>
    <row r="332" spans="8:22" x14ac:dyDescent="0.35">
      <c r="H332" s="1"/>
      <c r="L332" t="e">
        <f>VLOOKUP(salidas[[#This Row],[Codigo de producto]],productos[],2,FALSE)</f>
        <v>#N/A</v>
      </c>
      <c r="N332" s="10">
        <f>+salidas[[#This Row],[Cantidad]]*salidas[[#This Row],[Precio U.]]</f>
        <v>0</v>
      </c>
      <c r="P332" s="1"/>
      <c r="T332" t="e">
        <f>VLOOKUP(entradas[[#This Row],[Codigo de producto]],productos[],2,FALSE)</f>
        <v>#N/A</v>
      </c>
      <c r="V332" s="1"/>
    </row>
    <row r="333" spans="8:22" x14ac:dyDescent="0.35">
      <c r="H333" s="1"/>
      <c r="L333" t="e">
        <f>VLOOKUP(salidas[[#This Row],[Codigo de producto]],productos[],2,FALSE)</f>
        <v>#N/A</v>
      </c>
      <c r="N333" s="10">
        <f>+salidas[[#This Row],[Cantidad]]*salidas[[#This Row],[Precio U.]]</f>
        <v>0</v>
      </c>
      <c r="P333" s="1"/>
      <c r="T333" t="e">
        <f>VLOOKUP(entradas[[#This Row],[Codigo de producto]],productos[],2,FALSE)</f>
        <v>#N/A</v>
      </c>
      <c r="V333" s="1"/>
    </row>
    <row r="334" spans="8:22" x14ac:dyDescent="0.35">
      <c r="H334" s="1"/>
      <c r="L334" t="e">
        <f>VLOOKUP(salidas[[#This Row],[Codigo de producto]],productos[],2,FALSE)</f>
        <v>#N/A</v>
      </c>
      <c r="N334" s="10">
        <f>+salidas[[#This Row],[Cantidad]]*salidas[[#This Row],[Precio U.]]</f>
        <v>0</v>
      </c>
      <c r="P334" s="1"/>
      <c r="T334" t="e">
        <f>VLOOKUP(entradas[[#This Row],[Codigo de producto]],productos[],2,FALSE)</f>
        <v>#N/A</v>
      </c>
      <c r="V334" s="1"/>
    </row>
    <row r="335" spans="8:22" x14ac:dyDescent="0.35">
      <c r="H335" s="1"/>
      <c r="L335" t="e">
        <f>VLOOKUP(salidas[[#This Row],[Codigo de producto]],productos[],2,FALSE)</f>
        <v>#N/A</v>
      </c>
      <c r="N335" s="10">
        <f>+salidas[[#This Row],[Cantidad]]*salidas[[#This Row],[Precio U.]]</f>
        <v>0</v>
      </c>
      <c r="P335" s="1"/>
      <c r="T335" t="e">
        <f>VLOOKUP(entradas[[#This Row],[Codigo de producto]],productos[],2,FALSE)</f>
        <v>#N/A</v>
      </c>
      <c r="V335" s="1"/>
    </row>
    <row r="336" spans="8:22" x14ac:dyDescent="0.35">
      <c r="H336" s="1"/>
      <c r="L336" t="e">
        <f>VLOOKUP(salidas[[#This Row],[Codigo de producto]],productos[],2,FALSE)</f>
        <v>#N/A</v>
      </c>
      <c r="N336" s="10">
        <f>+salidas[[#This Row],[Cantidad]]*salidas[[#This Row],[Precio U.]]</f>
        <v>0</v>
      </c>
      <c r="P336" s="1"/>
      <c r="T336" t="e">
        <f>VLOOKUP(entradas[[#This Row],[Codigo de producto]],productos[],2,FALSE)</f>
        <v>#N/A</v>
      </c>
      <c r="V336" s="1"/>
    </row>
    <row r="337" spans="8:22" x14ac:dyDescent="0.35">
      <c r="H337" s="1"/>
      <c r="L337" t="e">
        <f>VLOOKUP(salidas[[#This Row],[Codigo de producto]],productos[],2,FALSE)</f>
        <v>#N/A</v>
      </c>
      <c r="N337" s="10">
        <f>+salidas[[#This Row],[Cantidad]]*salidas[[#This Row],[Precio U.]]</f>
        <v>0</v>
      </c>
      <c r="P337" s="1"/>
      <c r="T337" t="e">
        <f>VLOOKUP(entradas[[#This Row],[Codigo de producto]],productos[],2,FALSE)</f>
        <v>#N/A</v>
      </c>
      <c r="V337" s="1"/>
    </row>
    <row r="338" spans="8:22" x14ac:dyDescent="0.35">
      <c r="H338" s="1"/>
      <c r="L338" t="e">
        <f>VLOOKUP(salidas[[#This Row],[Codigo de producto]],productos[],2,FALSE)</f>
        <v>#N/A</v>
      </c>
      <c r="N338" s="10">
        <f>+salidas[[#This Row],[Cantidad]]*salidas[[#This Row],[Precio U.]]</f>
        <v>0</v>
      </c>
      <c r="P338" s="1"/>
      <c r="T338" t="e">
        <f>VLOOKUP(entradas[[#This Row],[Codigo de producto]],productos[],2,FALSE)</f>
        <v>#N/A</v>
      </c>
      <c r="V338" s="1"/>
    </row>
    <row r="339" spans="8:22" x14ac:dyDescent="0.35">
      <c r="H339" s="1"/>
      <c r="L339" t="e">
        <f>VLOOKUP(salidas[[#This Row],[Codigo de producto]],productos[],2,FALSE)</f>
        <v>#N/A</v>
      </c>
      <c r="N339" s="10">
        <f>+salidas[[#This Row],[Cantidad]]*salidas[[#This Row],[Precio U.]]</f>
        <v>0</v>
      </c>
      <c r="P339" s="1"/>
      <c r="T339" t="e">
        <f>VLOOKUP(entradas[[#This Row],[Codigo de producto]],productos[],2,FALSE)</f>
        <v>#N/A</v>
      </c>
      <c r="V339" s="1"/>
    </row>
    <row r="340" spans="8:22" x14ac:dyDescent="0.35">
      <c r="H340" s="1"/>
      <c r="L340" t="e">
        <f>VLOOKUP(salidas[[#This Row],[Codigo de producto]],productos[],2,FALSE)</f>
        <v>#N/A</v>
      </c>
      <c r="N340" s="10">
        <f>+salidas[[#This Row],[Cantidad]]*salidas[[#This Row],[Precio U.]]</f>
        <v>0</v>
      </c>
      <c r="P340" s="1"/>
      <c r="T340" t="e">
        <f>VLOOKUP(entradas[[#This Row],[Codigo de producto]],productos[],2,FALSE)</f>
        <v>#N/A</v>
      </c>
      <c r="V340" s="1"/>
    </row>
    <row r="341" spans="8:22" x14ac:dyDescent="0.35">
      <c r="H341" s="1"/>
      <c r="L341" t="e">
        <f>VLOOKUP(salidas[[#This Row],[Codigo de producto]],productos[],2,FALSE)</f>
        <v>#N/A</v>
      </c>
      <c r="N341" s="10">
        <f>+salidas[[#This Row],[Cantidad]]*salidas[[#This Row],[Precio U.]]</f>
        <v>0</v>
      </c>
      <c r="P341" s="1"/>
      <c r="T341" t="e">
        <f>VLOOKUP(entradas[[#This Row],[Codigo de producto]],productos[],2,FALSE)</f>
        <v>#N/A</v>
      </c>
      <c r="V341" s="1"/>
    </row>
    <row r="342" spans="8:22" x14ac:dyDescent="0.35">
      <c r="H342" s="1"/>
      <c r="L342" t="e">
        <f>VLOOKUP(salidas[[#This Row],[Codigo de producto]],productos[],2,FALSE)</f>
        <v>#N/A</v>
      </c>
      <c r="N342" s="10">
        <f>+salidas[[#This Row],[Cantidad]]*salidas[[#This Row],[Precio U.]]</f>
        <v>0</v>
      </c>
      <c r="P342" s="1"/>
      <c r="T342" t="e">
        <f>VLOOKUP(entradas[[#This Row],[Codigo de producto]],productos[],2,FALSE)</f>
        <v>#N/A</v>
      </c>
      <c r="V342" s="1"/>
    </row>
    <row r="343" spans="8:22" x14ac:dyDescent="0.35">
      <c r="H343" s="1"/>
      <c r="L343" t="e">
        <f>VLOOKUP(salidas[[#This Row],[Codigo de producto]],productos[],2,FALSE)</f>
        <v>#N/A</v>
      </c>
      <c r="N343" s="10">
        <f>+salidas[[#This Row],[Cantidad]]*salidas[[#This Row],[Precio U.]]</f>
        <v>0</v>
      </c>
      <c r="P343" s="1"/>
      <c r="T343" t="e">
        <f>VLOOKUP(entradas[[#This Row],[Codigo de producto]],productos[],2,FALSE)</f>
        <v>#N/A</v>
      </c>
      <c r="V343" s="1"/>
    </row>
    <row r="344" spans="8:22" x14ac:dyDescent="0.35">
      <c r="H344" s="1"/>
      <c r="L344" t="e">
        <f>VLOOKUP(salidas[[#This Row],[Codigo de producto]],productos[],2,FALSE)</f>
        <v>#N/A</v>
      </c>
      <c r="N344" s="10">
        <f>+salidas[[#This Row],[Cantidad]]*salidas[[#This Row],[Precio U.]]</f>
        <v>0</v>
      </c>
      <c r="P344" s="1"/>
      <c r="T344" t="e">
        <f>VLOOKUP(entradas[[#This Row],[Codigo de producto]],productos[],2,FALSE)</f>
        <v>#N/A</v>
      </c>
      <c r="V344" s="1"/>
    </row>
    <row r="345" spans="8:22" x14ac:dyDescent="0.35">
      <c r="H345" s="1"/>
      <c r="L345" t="e">
        <f>VLOOKUP(salidas[[#This Row],[Codigo de producto]],productos[],2,FALSE)</f>
        <v>#N/A</v>
      </c>
      <c r="N345" s="10">
        <f>+salidas[[#This Row],[Cantidad]]*salidas[[#This Row],[Precio U.]]</f>
        <v>0</v>
      </c>
      <c r="P345" s="1"/>
      <c r="T345" t="e">
        <f>VLOOKUP(entradas[[#This Row],[Codigo de producto]],productos[],2,FALSE)</f>
        <v>#N/A</v>
      </c>
      <c r="V345" s="1"/>
    </row>
    <row r="346" spans="8:22" x14ac:dyDescent="0.35">
      <c r="H346" s="1"/>
      <c r="L346" t="e">
        <f>VLOOKUP(salidas[[#This Row],[Codigo de producto]],productos[],2,FALSE)</f>
        <v>#N/A</v>
      </c>
      <c r="N346" s="10">
        <f>+salidas[[#This Row],[Cantidad]]*salidas[[#This Row],[Precio U.]]</f>
        <v>0</v>
      </c>
      <c r="P346" s="1"/>
      <c r="T346" t="e">
        <f>VLOOKUP(entradas[[#This Row],[Codigo de producto]],productos[],2,FALSE)</f>
        <v>#N/A</v>
      </c>
      <c r="V346" s="1"/>
    </row>
    <row r="347" spans="8:22" x14ac:dyDescent="0.35">
      <c r="H347" s="1"/>
      <c r="L347" t="e">
        <f>VLOOKUP(salidas[[#This Row],[Codigo de producto]],productos[],2,FALSE)</f>
        <v>#N/A</v>
      </c>
      <c r="N347" s="10">
        <f>+salidas[[#This Row],[Cantidad]]*salidas[[#This Row],[Precio U.]]</f>
        <v>0</v>
      </c>
      <c r="P347" s="1"/>
      <c r="T347" t="e">
        <f>VLOOKUP(entradas[[#This Row],[Codigo de producto]],productos[],2,FALSE)</f>
        <v>#N/A</v>
      </c>
      <c r="V347" s="1"/>
    </row>
    <row r="348" spans="8:22" x14ac:dyDescent="0.35">
      <c r="H348" s="1"/>
      <c r="L348" t="e">
        <f>VLOOKUP(salidas[[#This Row],[Codigo de producto]],productos[],2,FALSE)</f>
        <v>#N/A</v>
      </c>
      <c r="N348" s="10">
        <f>+salidas[[#This Row],[Cantidad]]*salidas[[#This Row],[Precio U.]]</f>
        <v>0</v>
      </c>
      <c r="P348" s="1"/>
      <c r="T348" t="e">
        <f>VLOOKUP(entradas[[#This Row],[Codigo de producto]],productos[],2,FALSE)</f>
        <v>#N/A</v>
      </c>
      <c r="V348" s="1"/>
    </row>
    <row r="349" spans="8:22" x14ac:dyDescent="0.35">
      <c r="H349" s="1"/>
      <c r="L349" t="e">
        <f>VLOOKUP(salidas[[#This Row],[Codigo de producto]],productos[],2,FALSE)</f>
        <v>#N/A</v>
      </c>
      <c r="N349" s="10">
        <f>+salidas[[#This Row],[Cantidad]]*salidas[[#This Row],[Precio U.]]</f>
        <v>0</v>
      </c>
      <c r="P349" s="1"/>
      <c r="T349" t="e">
        <f>VLOOKUP(entradas[[#This Row],[Codigo de producto]],productos[],2,FALSE)</f>
        <v>#N/A</v>
      </c>
      <c r="V349" s="1"/>
    </row>
    <row r="350" spans="8:22" x14ac:dyDescent="0.35">
      <c r="H350" s="1"/>
      <c r="L350" t="e">
        <f>VLOOKUP(salidas[[#This Row],[Codigo de producto]],productos[],2,FALSE)</f>
        <v>#N/A</v>
      </c>
      <c r="N350" s="10">
        <f>+salidas[[#This Row],[Cantidad]]*salidas[[#This Row],[Precio U.]]</f>
        <v>0</v>
      </c>
      <c r="P350" s="1"/>
      <c r="T350" t="e">
        <f>VLOOKUP(entradas[[#This Row],[Codigo de producto]],productos[],2,FALSE)</f>
        <v>#N/A</v>
      </c>
      <c r="V350" s="1"/>
    </row>
    <row r="351" spans="8:22" x14ac:dyDescent="0.35">
      <c r="H351" s="1"/>
      <c r="L351" t="e">
        <f>VLOOKUP(salidas[[#This Row],[Codigo de producto]],productos[],2,FALSE)</f>
        <v>#N/A</v>
      </c>
      <c r="N351" s="10">
        <f>+salidas[[#This Row],[Cantidad]]*salidas[[#This Row],[Precio U.]]</f>
        <v>0</v>
      </c>
      <c r="P351" s="1"/>
      <c r="T351" t="e">
        <f>VLOOKUP(entradas[[#This Row],[Codigo de producto]],productos[],2,FALSE)</f>
        <v>#N/A</v>
      </c>
      <c r="V351" s="1"/>
    </row>
    <row r="352" spans="8:22" x14ac:dyDescent="0.35">
      <c r="H352" s="1"/>
      <c r="L352" t="e">
        <f>VLOOKUP(salidas[[#This Row],[Codigo de producto]],productos[],2,FALSE)</f>
        <v>#N/A</v>
      </c>
      <c r="N352" s="10">
        <f>+salidas[[#This Row],[Cantidad]]*salidas[[#This Row],[Precio U.]]</f>
        <v>0</v>
      </c>
      <c r="P352" s="1"/>
      <c r="T352" t="e">
        <f>VLOOKUP(entradas[[#This Row],[Codigo de producto]],productos[],2,FALSE)</f>
        <v>#N/A</v>
      </c>
      <c r="V352" s="1"/>
    </row>
    <row r="353" spans="8:22" x14ac:dyDescent="0.35">
      <c r="H353" s="1"/>
      <c r="L353" t="e">
        <f>VLOOKUP(salidas[[#This Row],[Codigo de producto]],productos[],2,FALSE)</f>
        <v>#N/A</v>
      </c>
      <c r="N353" s="10">
        <f>+salidas[[#This Row],[Cantidad]]*salidas[[#This Row],[Precio U.]]</f>
        <v>0</v>
      </c>
      <c r="P353" s="1"/>
      <c r="T353" t="e">
        <f>VLOOKUP(entradas[[#This Row],[Codigo de producto]],productos[],2,FALSE)</f>
        <v>#N/A</v>
      </c>
      <c r="V353" s="1"/>
    </row>
    <row r="354" spans="8:22" x14ac:dyDescent="0.35">
      <c r="H354" s="1"/>
      <c r="L354" t="e">
        <f>VLOOKUP(salidas[[#This Row],[Codigo de producto]],productos[],2,FALSE)</f>
        <v>#N/A</v>
      </c>
      <c r="N354" s="10">
        <f>+salidas[[#This Row],[Cantidad]]*salidas[[#This Row],[Precio U.]]</f>
        <v>0</v>
      </c>
      <c r="P354" s="1"/>
      <c r="T354" t="e">
        <f>VLOOKUP(entradas[[#This Row],[Codigo de producto]],productos[],2,FALSE)</f>
        <v>#N/A</v>
      </c>
      <c r="V354" s="1"/>
    </row>
    <row r="355" spans="8:22" x14ac:dyDescent="0.35">
      <c r="H355" s="1"/>
      <c r="L355" t="e">
        <f>VLOOKUP(salidas[[#This Row],[Codigo de producto]],productos[],2,FALSE)</f>
        <v>#N/A</v>
      </c>
      <c r="N355" s="10">
        <f>+salidas[[#This Row],[Cantidad]]*salidas[[#This Row],[Precio U.]]</f>
        <v>0</v>
      </c>
      <c r="P355" s="1"/>
      <c r="T355" t="e">
        <f>VLOOKUP(entradas[[#This Row],[Codigo de producto]],productos[],2,FALSE)</f>
        <v>#N/A</v>
      </c>
      <c r="V355" s="1"/>
    </row>
    <row r="356" spans="8:22" x14ac:dyDescent="0.35">
      <c r="H356" s="1"/>
      <c r="L356" t="e">
        <f>VLOOKUP(salidas[[#This Row],[Codigo de producto]],productos[],2,FALSE)</f>
        <v>#N/A</v>
      </c>
      <c r="N356" s="10">
        <f>+salidas[[#This Row],[Cantidad]]*salidas[[#This Row],[Precio U.]]</f>
        <v>0</v>
      </c>
      <c r="P356" s="1"/>
      <c r="T356" t="e">
        <f>VLOOKUP(entradas[[#This Row],[Codigo de producto]],productos[],2,FALSE)</f>
        <v>#N/A</v>
      </c>
      <c r="V356" s="1"/>
    </row>
    <row r="357" spans="8:22" x14ac:dyDescent="0.35">
      <c r="H357" s="1"/>
      <c r="L357" t="e">
        <f>VLOOKUP(salidas[[#This Row],[Codigo de producto]],productos[],2,FALSE)</f>
        <v>#N/A</v>
      </c>
      <c r="N357" s="10">
        <f>+salidas[[#This Row],[Cantidad]]*salidas[[#This Row],[Precio U.]]</f>
        <v>0</v>
      </c>
      <c r="P357" s="1"/>
      <c r="T357" t="e">
        <f>VLOOKUP(entradas[[#This Row],[Codigo de producto]],productos[],2,FALSE)</f>
        <v>#N/A</v>
      </c>
      <c r="V357" s="1"/>
    </row>
    <row r="358" spans="8:22" x14ac:dyDescent="0.35">
      <c r="H358" s="1"/>
      <c r="L358" t="e">
        <f>VLOOKUP(salidas[[#This Row],[Codigo de producto]],productos[],2,FALSE)</f>
        <v>#N/A</v>
      </c>
      <c r="N358" s="10">
        <f>+salidas[[#This Row],[Cantidad]]*salidas[[#This Row],[Precio U.]]</f>
        <v>0</v>
      </c>
      <c r="P358" s="1"/>
      <c r="T358" t="e">
        <f>VLOOKUP(entradas[[#This Row],[Codigo de producto]],productos[],2,FALSE)</f>
        <v>#N/A</v>
      </c>
      <c r="V358" s="1"/>
    </row>
    <row r="359" spans="8:22" x14ac:dyDescent="0.35">
      <c r="H359" s="1"/>
      <c r="L359" t="e">
        <f>VLOOKUP(salidas[[#This Row],[Codigo de producto]],productos[],2,FALSE)</f>
        <v>#N/A</v>
      </c>
      <c r="N359" s="10">
        <f>+salidas[[#This Row],[Cantidad]]*salidas[[#This Row],[Precio U.]]</f>
        <v>0</v>
      </c>
      <c r="P359" s="1"/>
      <c r="T359" t="e">
        <f>VLOOKUP(entradas[[#This Row],[Codigo de producto]],productos[],2,FALSE)</f>
        <v>#N/A</v>
      </c>
      <c r="V359" s="1"/>
    </row>
    <row r="360" spans="8:22" x14ac:dyDescent="0.35">
      <c r="H360" s="1"/>
      <c r="L360" t="e">
        <f>VLOOKUP(salidas[[#This Row],[Codigo de producto]],productos[],2,FALSE)</f>
        <v>#N/A</v>
      </c>
      <c r="N360" s="10">
        <f>+salidas[[#This Row],[Cantidad]]*salidas[[#This Row],[Precio U.]]</f>
        <v>0</v>
      </c>
      <c r="P360" s="1"/>
      <c r="T360" t="e">
        <f>VLOOKUP(entradas[[#This Row],[Codigo de producto]],productos[],2,FALSE)</f>
        <v>#N/A</v>
      </c>
      <c r="V360" s="1"/>
    </row>
    <row r="361" spans="8:22" x14ac:dyDescent="0.35">
      <c r="H361" s="1"/>
      <c r="L361" t="e">
        <f>VLOOKUP(salidas[[#This Row],[Codigo de producto]],productos[],2,FALSE)</f>
        <v>#N/A</v>
      </c>
      <c r="N361" s="10">
        <f>+salidas[[#This Row],[Cantidad]]*salidas[[#This Row],[Precio U.]]</f>
        <v>0</v>
      </c>
      <c r="P361" s="1"/>
      <c r="T361" t="e">
        <f>VLOOKUP(entradas[[#This Row],[Codigo de producto]],productos[],2,FALSE)</f>
        <v>#N/A</v>
      </c>
      <c r="V361" s="1"/>
    </row>
    <row r="362" spans="8:22" x14ac:dyDescent="0.35">
      <c r="H362" s="1"/>
      <c r="L362" t="e">
        <f>VLOOKUP(salidas[[#This Row],[Codigo de producto]],productos[],2,FALSE)</f>
        <v>#N/A</v>
      </c>
      <c r="N362" s="10">
        <f>+salidas[[#This Row],[Cantidad]]*salidas[[#This Row],[Precio U.]]</f>
        <v>0</v>
      </c>
      <c r="P362" s="1"/>
      <c r="T362" t="e">
        <f>VLOOKUP(entradas[[#This Row],[Codigo de producto]],productos[],2,FALSE)</f>
        <v>#N/A</v>
      </c>
      <c r="V362" s="1"/>
    </row>
    <row r="363" spans="8:22" x14ac:dyDescent="0.35">
      <c r="H363" s="1"/>
      <c r="L363" t="e">
        <f>VLOOKUP(salidas[[#This Row],[Codigo de producto]],productos[],2,FALSE)</f>
        <v>#N/A</v>
      </c>
      <c r="N363" s="10">
        <f>+salidas[[#This Row],[Cantidad]]*salidas[[#This Row],[Precio U.]]</f>
        <v>0</v>
      </c>
      <c r="P363" s="1"/>
      <c r="T363" t="e">
        <f>VLOOKUP(entradas[[#This Row],[Codigo de producto]],productos[],2,FALSE)</f>
        <v>#N/A</v>
      </c>
      <c r="V363" s="1"/>
    </row>
    <row r="364" spans="8:22" x14ac:dyDescent="0.35">
      <c r="H364" s="1"/>
      <c r="L364" t="e">
        <f>VLOOKUP(salidas[[#This Row],[Codigo de producto]],productos[],2,FALSE)</f>
        <v>#N/A</v>
      </c>
      <c r="N364" s="10">
        <f>+salidas[[#This Row],[Cantidad]]*salidas[[#This Row],[Precio U.]]</f>
        <v>0</v>
      </c>
      <c r="P364" s="1"/>
      <c r="T364" t="e">
        <f>VLOOKUP(entradas[[#This Row],[Codigo de producto]],productos[],2,FALSE)</f>
        <v>#N/A</v>
      </c>
      <c r="V364" s="1"/>
    </row>
    <row r="365" spans="8:22" x14ac:dyDescent="0.35">
      <c r="H365" s="1"/>
      <c r="L365" t="e">
        <f>VLOOKUP(salidas[[#This Row],[Codigo de producto]],productos[],2,FALSE)</f>
        <v>#N/A</v>
      </c>
      <c r="N365" s="10">
        <f>+salidas[[#This Row],[Cantidad]]*salidas[[#This Row],[Precio U.]]</f>
        <v>0</v>
      </c>
      <c r="P365" s="1"/>
      <c r="T365" t="e">
        <f>VLOOKUP(entradas[[#This Row],[Codigo de producto]],productos[],2,FALSE)</f>
        <v>#N/A</v>
      </c>
      <c r="V365" s="1"/>
    </row>
    <row r="366" spans="8:22" x14ac:dyDescent="0.35">
      <c r="H366" s="1"/>
      <c r="L366" t="e">
        <f>VLOOKUP(salidas[[#This Row],[Codigo de producto]],productos[],2,FALSE)</f>
        <v>#N/A</v>
      </c>
      <c r="N366" s="10">
        <f>+salidas[[#This Row],[Cantidad]]*salidas[[#This Row],[Precio U.]]</f>
        <v>0</v>
      </c>
      <c r="P366" s="1"/>
      <c r="T366" t="e">
        <f>VLOOKUP(entradas[[#This Row],[Codigo de producto]],productos[],2,FALSE)</f>
        <v>#N/A</v>
      </c>
      <c r="V366" s="1"/>
    </row>
    <row r="367" spans="8:22" x14ac:dyDescent="0.35">
      <c r="H367" s="1"/>
      <c r="L367" t="e">
        <f>VLOOKUP(salidas[[#This Row],[Codigo de producto]],productos[],2,FALSE)</f>
        <v>#N/A</v>
      </c>
      <c r="N367" s="10">
        <f>+salidas[[#This Row],[Cantidad]]*salidas[[#This Row],[Precio U.]]</f>
        <v>0</v>
      </c>
      <c r="P367" s="1"/>
      <c r="T367" t="e">
        <f>VLOOKUP(entradas[[#This Row],[Codigo de producto]],productos[],2,FALSE)</f>
        <v>#N/A</v>
      </c>
      <c r="V367" s="1"/>
    </row>
    <row r="368" spans="8:22" x14ac:dyDescent="0.35">
      <c r="H368" s="1"/>
      <c r="L368" t="e">
        <f>VLOOKUP(salidas[[#This Row],[Codigo de producto]],productos[],2,FALSE)</f>
        <v>#N/A</v>
      </c>
      <c r="N368" s="10">
        <f>+salidas[[#This Row],[Cantidad]]*salidas[[#This Row],[Precio U.]]</f>
        <v>0</v>
      </c>
      <c r="P368" s="1"/>
      <c r="T368" t="e">
        <f>VLOOKUP(entradas[[#This Row],[Codigo de producto]],productos[],2,FALSE)</f>
        <v>#N/A</v>
      </c>
      <c r="V368" s="1"/>
    </row>
    <row r="369" spans="8:22" x14ac:dyDescent="0.35">
      <c r="H369" s="1"/>
      <c r="L369" t="e">
        <f>VLOOKUP(salidas[[#This Row],[Codigo de producto]],productos[],2,FALSE)</f>
        <v>#N/A</v>
      </c>
      <c r="N369" s="10">
        <f>+salidas[[#This Row],[Cantidad]]*salidas[[#This Row],[Precio U.]]</f>
        <v>0</v>
      </c>
      <c r="P369" s="1"/>
      <c r="T369" t="e">
        <f>VLOOKUP(entradas[[#This Row],[Codigo de producto]],productos[],2,FALSE)</f>
        <v>#N/A</v>
      </c>
      <c r="V369" s="1"/>
    </row>
    <row r="370" spans="8:22" x14ac:dyDescent="0.35">
      <c r="H370" s="1"/>
      <c r="L370" t="e">
        <f>VLOOKUP(salidas[[#This Row],[Codigo de producto]],productos[],2,FALSE)</f>
        <v>#N/A</v>
      </c>
      <c r="N370" s="10">
        <f>+salidas[[#This Row],[Cantidad]]*salidas[[#This Row],[Precio U.]]</f>
        <v>0</v>
      </c>
      <c r="P370" s="1"/>
      <c r="T370" t="e">
        <f>VLOOKUP(entradas[[#This Row],[Codigo de producto]],productos[],2,FALSE)</f>
        <v>#N/A</v>
      </c>
      <c r="V370" s="1"/>
    </row>
    <row r="371" spans="8:22" x14ac:dyDescent="0.35">
      <c r="H371" s="1"/>
      <c r="L371" t="e">
        <f>VLOOKUP(salidas[[#This Row],[Codigo de producto]],productos[],2,FALSE)</f>
        <v>#N/A</v>
      </c>
      <c r="N371" s="10">
        <f>+salidas[[#This Row],[Cantidad]]*salidas[[#This Row],[Precio U.]]</f>
        <v>0</v>
      </c>
      <c r="P371" s="1"/>
      <c r="T371" t="e">
        <f>VLOOKUP(entradas[[#This Row],[Codigo de producto]],productos[],2,FALSE)</f>
        <v>#N/A</v>
      </c>
      <c r="V371" s="1"/>
    </row>
    <row r="372" spans="8:22" x14ac:dyDescent="0.35">
      <c r="H372" s="1"/>
      <c r="L372" t="e">
        <f>VLOOKUP(salidas[[#This Row],[Codigo de producto]],productos[],2,FALSE)</f>
        <v>#N/A</v>
      </c>
      <c r="N372" s="10">
        <f>+salidas[[#This Row],[Cantidad]]*salidas[[#This Row],[Precio U.]]</f>
        <v>0</v>
      </c>
      <c r="P372" s="1"/>
      <c r="T372" t="e">
        <f>VLOOKUP(entradas[[#This Row],[Codigo de producto]],productos[],2,FALSE)</f>
        <v>#N/A</v>
      </c>
      <c r="V372" s="1"/>
    </row>
    <row r="373" spans="8:22" x14ac:dyDescent="0.35">
      <c r="H373" s="1"/>
      <c r="L373" t="e">
        <f>VLOOKUP(salidas[[#This Row],[Codigo de producto]],productos[],2,FALSE)</f>
        <v>#N/A</v>
      </c>
      <c r="N373" s="10">
        <f>+salidas[[#This Row],[Cantidad]]*salidas[[#This Row],[Precio U.]]</f>
        <v>0</v>
      </c>
      <c r="P373" s="1"/>
      <c r="T373" t="e">
        <f>VLOOKUP(entradas[[#This Row],[Codigo de producto]],productos[],2,FALSE)</f>
        <v>#N/A</v>
      </c>
      <c r="V373" s="1"/>
    </row>
    <row r="374" spans="8:22" x14ac:dyDescent="0.35">
      <c r="H374" s="1"/>
      <c r="L374" t="e">
        <f>VLOOKUP(salidas[[#This Row],[Codigo de producto]],productos[],2,FALSE)</f>
        <v>#N/A</v>
      </c>
      <c r="N374" s="10">
        <f>+salidas[[#This Row],[Cantidad]]*salidas[[#This Row],[Precio U.]]</f>
        <v>0</v>
      </c>
      <c r="P374" s="1"/>
      <c r="T374" t="e">
        <f>VLOOKUP(entradas[[#This Row],[Codigo de producto]],productos[],2,FALSE)</f>
        <v>#N/A</v>
      </c>
      <c r="V374" s="1"/>
    </row>
    <row r="375" spans="8:22" x14ac:dyDescent="0.35">
      <c r="H375" s="1"/>
      <c r="L375" t="e">
        <f>VLOOKUP(salidas[[#This Row],[Codigo de producto]],productos[],2,FALSE)</f>
        <v>#N/A</v>
      </c>
      <c r="N375" s="10">
        <f>+salidas[[#This Row],[Cantidad]]*salidas[[#This Row],[Precio U.]]</f>
        <v>0</v>
      </c>
      <c r="P375" s="1"/>
      <c r="T375" t="e">
        <f>VLOOKUP(entradas[[#This Row],[Codigo de producto]],productos[],2,FALSE)</f>
        <v>#N/A</v>
      </c>
      <c r="V375" s="1"/>
    </row>
    <row r="376" spans="8:22" x14ac:dyDescent="0.35">
      <c r="H376" s="1"/>
      <c r="L376" t="e">
        <f>VLOOKUP(salidas[[#This Row],[Codigo de producto]],productos[],2,FALSE)</f>
        <v>#N/A</v>
      </c>
      <c r="N376" s="10">
        <f>+salidas[[#This Row],[Cantidad]]*salidas[[#This Row],[Precio U.]]</f>
        <v>0</v>
      </c>
      <c r="P376" s="1"/>
      <c r="T376" t="e">
        <f>VLOOKUP(entradas[[#This Row],[Codigo de producto]],productos[],2,FALSE)</f>
        <v>#N/A</v>
      </c>
      <c r="V376" s="1"/>
    </row>
    <row r="377" spans="8:22" x14ac:dyDescent="0.35">
      <c r="H377" s="1"/>
      <c r="L377" t="e">
        <f>VLOOKUP(salidas[[#This Row],[Codigo de producto]],productos[],2,FALSE)</f>
        <v>#N/A</v>
      </c>
      <c r="N377" s="10">
        <f>+salidas[[#This Row],[Cantidad]]*salidas[[#This Row],[Precio U.]]</f>
        <v>0</v>
      </c>
      <c r="P377" s="1"/>
      <c r="T377" t="e">
        <f>VLOOKUP(entradas[[#This Row],[Codigo de producto]],productos[],2,FALSE)</f>
        <v>#N/A</v>
      </c>
      <c r="V377" s="1"/>
    </row>
    <row r="378" spans="8:22" x14ac:dyDescent="0.35">
      <c r="H378" s="1"/>
      <c r="L378" t="e">
        <f>VLOOKUP(salidas[[#This Row],[Codigo de producto]],productos[],2,FALSE)</f>
        <v>#N/A</v>
      </c>
      <c r="N378" s="10">
        <f>+salidas[[#This Row],[Cantidad]]*salidas[[#This Row],[Precio U.]]</f>
        <v>0</v>
      </c>
      <c r="P378" s="1"/>
      <c r="T378" t="e">
        <f>VLOOKUP(entradas[[#This Row],[Codigo de producto]],productos[],2,FALSE)</f>
        <v>#N/A</v>
      </c>
      <c r="V378" s="1"/>
    </row>
    <row r="379" spans="8:22" x14ac:dyDescent="0.35">
      <c r="H379" s="1"/>
      <c r="L379" t="e">
        <f>VLOOKUP(salidas[[#This Row],[Codigo de producto]],productos[],2,FALSE)</f>
        <v>#N/A</v>
      </c>
      <c r="N379" s="10">
        <f>+salidas[[#This Row],[Cantidad]]*salidas[[#This Row],[Precio U.]]</f>
        <v>0</v>
      </c>
      <c r="P379" s="1"/>
      <c r="T379" t="e">
        <f>VLOOKUP(entradas[[#This Row],[Codigo de producto]],productos[],2,FALSE)</f>
        <v>#N/A</v>
      </c>
      <c r="V379" s="1"/>
    </row>
    <row r="380" spans="8:22" x14ac:dyDescent="0.35">
      <c r="H380" s="1"/>
      <c r="L380" t="e">
        <f>VLOOKUP(salidas[[#This Row],[Codigo de producto]],productos[],2,FALSE)</f>
        <v>#N/A</v>
      </c>
      <c r="N380" s="10">
        <f>+salidas[[#This Row],[Cantidad]]*salidas[[#This Row],[Precio U.]]</f>
        <v>0</v>
      </c>
      <c r="P380" s="1"/>
      <c r="T380" t="e">
        <f>VLOOKUP(entradas[[#This Row],[Codigo de producto]],productos[],2,FALSE)</f>
        <v>#N/A</v>
      </c>
      <c r="V380" s="1"/>
    </row>
    <row r="381" spans="8:22" x14ac:dyDescent="0.35">
      <c r="H381" s="1"/>
      <c r="L381" t="e">
        <f>VLOOKUP(salidas[[#This Row],[Codigo de producto]],productos[],2,FALSE)</f>
        <v>#N/A</v>
      </c>
      <c r="N381" s="10">
        <f>+salidas[[#This Row],[Cantidad]]*salidas[[#This Row],[Precio U.]]</f>
        <v>0</v>
      </c>
      <c r="P381" s="1"/>
      <c r="T381" t="e">
        <f>VLOOKUP(entradas[[#This Row],[Codigo de producto]],productos[],2,FALSE)</f>
        <v>#N/A</v>
      </c>
      <c r="V381" s="1"/>
    </row>
    <row r="382" spans="8:22" x14ac:dyDescent="0.35">
      <c r="H382" s="1"/>
      <c r="L382" t="e">
        <f>VLOOKUP(salidas[[#This Row],[Codigo de producto]],productos[],2,FALSE)</f>
        <v>#N/A</v>
      </c>
      <c r="N382" s="10">
        <f>+salidas[[#This Row],[Cantidad]]*salidas[[#This Row],[Precio U.]]</f>
        <v>0</v>
      </c>
      <c r="P382" s="1"/>
      <c r="T382" t="e">
        <f>VLOOKUP(entradas[[#This Row],[Codigo de producto]],productos[],2,FALSE)</f>
        <v>#N/A</v>
      </c>
      <c r="V382" s="1"/>
    </row>
    <row r="383" spans="8:22" x14ac:dyDescent="0.35">
      <c r="H383" s="1"/>
      <c r="L383" t="e">
        <f>VLOOKUP(salidas[[#This Row],[Codigo de producto]],productos[],2,FALSE)</f>
        <v>#N/A</v>
      </c>
      <c r="N383" s="10">
        <f>+salidas[[#This Row],[Cantidad]]*salidas[[#This Row],[Precio U.]]</f>
        <v>0</v>
      </c>
      <c r="P383" s="1"/>
      <c r="T383" t="e">
        <f>VLOOKUP(entradas[[#This Row],[Codigo de producto]],productos[],2,FALSE)</f>
        <v>#N/A</v>
      </c>
      <c r="V383" s="1"/>
    </row>
    <row r="384" spans="8:22" x14ac:dyDescent="0.35">
      <c r="H384" s="1"/>
      <c r="L384" t="e">
        <f>VLOOKUP(salidas[[#This Row],[Codigo de producto]],productos[],2,FALSE)</f>
        <v>#N/A</v>
      </c>
      <c r="N384" s="10">
        <f>+salidas[[#This Row],[Cantidad]]*salidas[[#This Row],[Precio U.]]</f>
        <v>0</v>
      </c>
      <c r="P384" s="1"/>
      <c r="T384" t="e">
        <f>VLOOKUP(entradas[[#This Row],[Codigo de producto]],productos[],2,FALSE)</f>
        <v>#N/A</v>
      </c>
      <c r="V384" s="1"/>
    </row>
    <row r="385" spans="8:22" x14ac:dyDescent="0.35">
      <c r="H385" s="1"/>
      <c r="L385" t="e">
        <f>VLOOKUP(salidas[[#This Row],[Codigo de producto]],productos[],2,FALSE)</f>
        <v>#N/A</v>
      </c>
      <c r="N385" s="10">
        <f>+salidas[[#This Row],[Cantidad]]*salidas[[#This Row],[Precio U.]]</f>
        <v>0</v>
      </c>
      <c r="P385" s="1"/>
      <c r="T385" t="e">
        <f>VLOOKUP(entradas[[#This Row],[Codigo de producto]],productos[],2,FALSE)</f>
        <v>#N/A</v>
      </c>
      <c r="V385" s="1"/>
    </row>
    <row r="386" spans="8:22" x14ac:dyDescent="0.35">
      <c r="H386" s="1"/>
      <c r="L386" t="e">
        <f>VLOOKUP(salidas[[#This Row],[Codigo de producto]],productos[],2,FALSE)</f>
        <v>#N/A</v>
      </c>
      <c r="N386" s="10">
        <f>+salidas[[#This Row],[Cantidad]]*salidas[[#This Row],[Precio U.]]</f>
        <v>0</v>
      </c>
      <c r="P386" s="1"/>
      <c r="T386" t="e">
        <f>VLOOKUP(entradas[[#This Row],[Codigo de producto]],productos[],2,FALSE)</f>
        <v>#N/A</v>
      </c>
      <c r="V386" s="1"/>
    </row>
    <row r="387" spans="8:22" x14ac:dyDescent="0.35">
      <c r="H387" s="1"/>
      <c r="L387" t="e">
        <f>VLOOKUP(salidas[[#This Row],[Codigo de producto]],productos[],2,FALSE)</f>
        <v>#N/A</v>
      </c>
      <c r="N387" s="10">
        <f>+salidas[[#This Row],[Cantidad]]*salidas[[#This Row],[Precio U.]]</f>
        <v>0</v>
      </c>
      <c r="P387" s="1"/>
      <c r="T387" t="e">
        <f>VLOOKUP(entradas[[#This Row],[Codigo de producto]],productos[],2,FALSE)</f>
        <v>#N/A</v>
      </c>
      <c r="V387" s="1"/>
    </row>
    <row r="388" spans="8:22" x14ac:dyDescent="0.35">
      <c r="H388" s="1"/>
      <c r="L388" t="e">
        <f>VLOOKUP(salidas[[#This Row],[Codigo de producto]],productos[],2,FALSE)</f>
        <v>#N/A</v>
      </c>
      <c r="N388" s="10">
        <f>+salidas[[#This Row],[Cantidad]]*salidas[[#This Row],[Precio U.]]</f>
        <v>0</v>
      </c>
      <c r="P388" s="1"/>
      <c r="T388" t="e">
        <f>VLOOKUP(entradas[[#This Row],[Codigo de producto]],productos[],2,FALSE)</f>
        <v>#N/A</v>
      </c>
      <c r="V388" s="1"/>
    </row>
    <row r="389" spans="8:22" x14ac:dyDescent="0.35">
      <c r="H389" s="1"/>
      <c r="L389" t="e">
        <f>VLOOKUP(salidas[[#This Row],[Codigo de producto]],productos[],2,FALSE)</f>
        <v>#N/A</v>
      </c>
      <c r="N389" s="10">
        <f>+salidas[[#This Row],[Cantidad]]*salidas[[#This Row],[Precio U.]]</f>
        <v>0</v>
      </c>
      <c r="P389" s="1"/>
      <c r="T389" t="e">
        <f>VLOOKUP(entradas[[#This Row],[Codigo de producto]],productos[],2,FALSE)</f>
        <v>#N/A</v>
      </c>
      <c r="V389" s="1"/>
    </row>
    <row r="390" spans="8:22" x14ac:dyDescent="0.35">
      <c r="H390" s="1"/>
      <c r="L390" t="e">
        <f>VLOOKUP(salidas[[#This Row],[Codigo de producto]],productos[],2,FALSE)</f>
        <v>#N/A</v>
      </c>
      <c r="N390" s="10">
        <f>+salidas[[#This Row],[Cantidad]]*salidas[[#This Row],[Precio U.]]</f>
        <v>0</v>
      </c>
      <c r="P390" s="1"/>
      <c r="T390" t="e">
        <f>VLOOKUP(entradas[[#This Row],[Codigo de producto]],productos[],2,FALSE)</f>
        <v>#N/A</v>
      </c>
      <c r="V390" s="1"/>
    </row>
    <row r="391" spans="8:22" x14ac:dyDescent="0.35">
      <c r="H391" s="1"/>
      <c r="L391" t="e">
        <f>VLOOKUP(salidas[[#This Row],[Codigo de producto]],productos[],2,FALSE)</f>
        <v>#N/A</v>
      </c>
      <c r="N391" s="10">
        <f>+salidas[[#This Row],[Cantidad]]*salidas[[#This Row],[Precio U.]]</f>
        <v>0</v>
      </c>
      <c r="P391" s="1"/>
      <c r="T391" t="e">
        <f>VLOOKUP(entradas[[#This Row],[Codigo de producto]],productos[],2,FALSE)</f>
        <v>#N/A</v>
      </c>
      <c r="V391" s="1"/>
    </row>
    <row r="392" spans="8:22" x14ac:dyDescent="0.35">
      <c r="H392" s="1"/>
      <c r="L392" t="e">
        <f>VLOOKUP(salidas[[#This Row],[Codigo de producto]],productos[],2,FALSE)</f>
        <v>#N/A</v>
      </c>
      <c r="N392" s="10">
        <f>+salidas[[#This Row],[Cantidad]]*salidas[[#This Row],[Precio U.]]</f>
        <v>0</v>
      </c>
      <c r="P392" s="1"/>
      <c r="T392" t="e">
        <f>VLOOKUP(entradas[[#This Row],[Codigo de producto]],productos[],2,FALSE)</f>
        <v>#N/A</v>
      </c>
      <c r="V392" s="1"/>
    </row>
    <row r="393" spans="8:22" x14ac:dyDescent="0.35">
      <c r="H393" s="1"/>
      <c r="L393" t="e">
        <f>VLOOKUP(salidas[[#This Row],[Codigo de producto]],productos[],2,FALSE)</f>
        <v>#N/A</v>
      </c>
      <c r="N393" s="10">
        <f>+salidas[[#This Row],[Cantidad]]*salidas[[#This Row],[Precio U.]]</f>
        <v>0</v>
      </c>
      <c r="P393" s="1"/>
      <c r="T393" t="e">
        <f>VLOOKUP(entradas[[#This Row],[Codigo de producto]],productos[],2,FALSE)</f>
        <v>#N/A</v>
      </c>
      <c r="V393" s="1"/>
    </row>
    <row r="394" spans="8:22" x14ac:dyDescent="0.35">
      <c r="H394" s="1"/>
      <c r="L394" t="e">
        <f>VLOOKUP(salidas[[#This Row],[Codigo de producto]],productos[],2,FALSE)</f>
        <v>#N/A</v>
      </c>
      <c r="N394" s="10">
        <f>+salidas[[#This Row],[Cantidad]]*salidas[[#This Row],[Precio U.]]</f>
        <v>0</v>
      </c>
      <c r="P394" s="1"/>
      <c r="T394" t="e">
        <f>VLOOKUP(entradas[[#This Row],[Codigo de producto]],productos[],2,FALSE)</f>
        <v>#N/A</v>
      </c>
      <c r="V394" s="1"/>
    </row>
    <row r="395" spans="8:22" x14ac:dyDescent="0.35">
      <c r="H395" s="1"/>
      <c r="L395" t="e">
        <f>VLOOKUP(salidas[[#This Row],[Codigo de producto]],productos[],2,FALSE)</f>
        <v>#N/A</v>
      </c>
      <c r="N395" s="10">
        <f>+salidas[[#This Row],[Cantidad]]*salidas[[#This Row],[Precio U.]]</f>
        <v>0</v>
      </c>
      <c r="P395" s="1"/>
      <c r="T395" t="e">
        <f>VLOOKUP(entradas[[#This Row],[Codigo de producto]],productos[],2,FALSE)</f>
        <v>#N/A</v>
      </c>
      <c r="V395" s="1"/>
    </row>
    <row r="396" spans="8:22" x14ac:dyDescent="0.35">
      <c r="H396" s="1"/>
      <c r="L396" t="e">
        <f>VLOOKUP(salidas[[#This Row],[Codigo de producto]],productos[],2,FALSE)</f>
        <v>#N/A</v>
      </c>
      <c r="N396" s="10">
        <f>+salidas[[#This Row],[Cantidad]]*salidas[[#This Row],[Precio U.]]</f>
        <v>0</v>
      </c>
      <c r="P396" s="1"/>
      <c r="T396" t="e">
        <f>VLOOKUP(entradas[[#This Row],[Codigo de producto]],productos[],2,FALSE)</f>
        <v>#N/A</v>
      </c>
      <c r="V396" s="1"/>
    </row>
    <row r="397" spans="8:22" x14ac:dyDescent="0.35">
      <c r="H397" s="1"/>
      <c r="L397" t="e">
        <f>VLOOKUP(salidas[[#This Row],[Codigo de producto]],productos[],2,FALSE)</f>
        <v>#N/A</v>
      </c>
      <c r="N397" s="10">
        <f>+salidas[[#This Row],[Cantidad]]*salidas[[#This Row],[Precio U.]]</f>
        <v>0</v>
      </c>
      <c r="P397" s="1"/>
      <c r="T397" t="e">
        <f>VLOOKUP(entradas[[#This Row],[Codigo de producto]],productos[],2,FALSE)</f>
        <v>#N/A</v>
      </c>
      <c r="V397" s="1"/>
    </row>
    <row r="398" spans="8:22" x14ac:dyDescent="0.35">
      <c r="H398" s="1"/>
      <c r="L398" t="e">
        <f>VLOOKUP(salidas[[#This Row],[Codigo de producto]],productos[],2,FALSE)</f>
        <v>#N/A</v>
      </c>
      <c r="N398" s="10">
        <f>+salidas[[#This Row],[Cantidad]]*salidas[[#This Row],[Precio U.]]</f>
        <v>0</v>
      </c>
      <c r="P398" s="1"/>
      <c r="T398" t="e">
        <f>VLOOKUP(entradas[[#This Row],[Codigo de producto]],productos[],2,FALSE)</f>
        <v>#N/A</v>
      </c>
      <c r="V398" s="1"/>
    </row>
    <row r="399" spans="8:22" x14ac:dyDescent="0.35">
      <c r="H399" s="1"/>
      <c r="L399" t="e">
        <f>VLOOKUP(salidas[[#This Row],[Codigo de producto]],productos[],2,FALSE)</f>
        <v>#N/A</v>
      </c>
      <c r="N399" s="10">
        <f>+salidas[[#This Row],[Cantidad]]*salidas[[#This Row],[Precio U.]]</f>
        <v>0</v>
      </c>
      <c r="P399" s="1"/>
      <c r="T399" t="e">
        <f>VLOOKUP(entradas[[#This Row],[Codigo de producto]],productos[],2,FALSE)</f>
        <v>#N/A</v>
      </c>
      <c r="V399" s="1"/>
    </row>
    <row r="400" spans="8:22" x14ac:dyDescent="0.35">
      <c r="H400" s="1"/>
      <c r="L400" t="e">
        <f>VLOOKUP(salidas[[#This Row],[Codigo de producto]],productos[],2,FALSE)</f>
        <v>#N/A</v>
      </c>
      <c r="N400" s="10">
        <f>+salidas[[#This Row],[Cantidad]]*salidas[[#This Row],[Precio U.]]</f>
        <v>0</v>
      </c>
      <c r="P400" s="1"/>
      <c r="T400" t="e">
        <f>VLOOKUP(entradas[[#This Row],[Codigo de producto]],productos[],2,FALSE)</f>
        <v>#N/A</v>
      </c>
      <c r="V400" s="1"/>
    </row>
    <row r="401" spans="8:22" x14ac:dyDescent="0.35">
      <c r="H401" s="1"/>
      <c r="L401" t="e">
        <f>VLOOKUP(salidas[[#This Row],[Codigo de producto]],productos[],2,FALSE)</f>
        <v>#N/A</v>
      </c>
      <c r="N401" s="10">
        <f>+salidas[[#This Row],[Cantidad]]*salidas[[#This Row],[Precio U.]]</f>
        <v>0</v>
      </c>
      <c r="P401" s="1"/>
      <c r="T401" t="e">
        <f>VLOOKUP(entradas[[#This Row],[Codigo de producto]],productos[],2,FALSE)</f>
        <v>#N/A</v>
      </c>
      <c r="V401" s="1"/>
    </row>
    <row r="402" spans="8:22" x14ac:dyDescent="0.35">
      <c r="H402" s="1"/>
      <c r="L402" t="e">
        <f>VLOOKUP(salidas[[#This Row],[Codigo de producto]],productos[],2,FALSE)</f>
        <v>#N/A</v>
      </c>
      <c r="N402" s="10">
        <f>+salidas[[#This Row],[Cantidad]]*salidas[[#This Row],[Precio U.]]</f>
        <v>0</v>
      </c>
      <c r="P402" s="1"/>
      <c r="T402" t="e">
        <f>VLOOKUP(entradas[[#This Row],[Codigo de producto]],productos[],2,FALSE)</f>
        <v>#N/A</v>
      </c>
      <c r="V402" s="1"/>
    </row>
    <row r="403" spans="8:22" x14ac:dyDescent="0.35">
      <c r="H403" s="1"/>
      <c r="L403" t="e">
        <f>VLOOKUP(salidas[[#This Row],[Codigo de producto]],productos[],2,FALSE)</f>
        <v>#N/A</v>
      </c>
      <c r="N403" s="10">
        <f>+salidas[[#This Row],[Cantidad]]*salidas[[#This Row],[Precio U.]]</f>
        <v>0</v>
      </c>
      <c r="P403" s="1"/>
      <c r="T403" t="e">
        <f>VLOOKUP(entradas[[#This Row],[Codigo de producto]],productos[],2,FALSE)</f>
        <v>#N/A</v>
      </c>
      <c r="V403" s="1"/>
    </row>
    <row r="404" spans="8:22" x14ac:dyDescent="0.35">
      <c r="H404" s="1"/>
      <c r="L404" t="e">
        <f>VLOOKUP(salidas[[#This Row],[Codigo de producto]],productos[],2,FALSE)</f>
        <v>#N/A</v>
      </c>
      <c r="N404" s="10">
        <f>+salidas[[#This Row],[Cantidad]]*salidas[[#This Row],[Precio U.]]</f>
        <v>0</v>
      </c>
      <c r="P404" s="1"/>
      <c r="T404" t="e">
        <f>VLOOKUP(entradas[[#This Row],[Codigo de producto]],productos[],2,FALSE)</f>
        <v>#N/A</v>
      </c>
      <c r="V404" s="1"/>
    </row>
    <row r="405" spans="8:22" x14ac:dyDescent="0.35">
      <c r="H405" s="1"/>
      <c r="L405" t="e">
        <f>VLOOKUP(salidas[[#This Row],[Codigo de producto]],productos[],2,FALSE)</f>
        <v>#N/A</v>
      </c>
      <c r="N405" s="10">
        <f>+salidas[[#This Row],[Cantidad]]*salidas[[#This Row],[Precio U.]]</f>
        <v>0</v>
      </c>
      <c r="P405" s="1"/>
      <c r="T405" t="e">
        <f>VLOOKUP(entradas[[#This Row],[Codigo de producto]],productos[],2,FALSE)</f>
        <v>#N/A</v>
      </c>
      <c r="V405" s="1"/>
    </row>
    <row r="406" spans="8:22" x14ac:dyDescent="0.35">
      <c r="H406" s="1"/>
      <c r="L406" t="e">
        <f>VLOOKUP(salidas[[#This Row],[Codigo de producto]],productos[],2,FALSE)</f>
        <v>#N/A</v>
      </c>
      <c r="N406" s="10">
        <f>+salidas[[#This Row],[Cantidad]]*salidas[[#This Row],[Precio U.]]</f>
        <v>0</v>
      </c>
      <c r="P406" s="1"/>
      <c r="T406" t="e">
        <f>VLOOKUP(entradas[[#This Row],[Codigo de producto]],productos[],2,FALSE)</f>
        <v>#N/A</v>
      </c>
      <c r="V406" s="1"/>
    </row>
    <row r="407" spans="8:22" x14ac:dyDescent="0.35">
      <c r="H407" s="1"/>
      <c r="L407" t="e">
        <f>VLOOKUP(salidas[[#This Row],[Codigo de producto]],productos[],2,FALSE)</f>
        <v>#N/A</v>
      </c>
      <c r="N407" s="10">
        <f>+salidas[[#This Row],[Cantidad]]*salidas[[#This Row],[Precio U.]]</f>
        <v>0</v>
      </c>
      <c r="P407" s="1"/>
      <c r="T407" t="e">
        <f>VLOOKUP(entradas[[#This Row],[Codigo de producto]],productos[],2,FALSE)</f>
        <v>#N/A</v>
      </c>
      <c r="V407" s="1"/>
    </row>
    <row r="408" spans="8:22" x14ac:dyDescent="0.35">
      <c r="H408" s="1"/>
      <c r="L408" t="e">
        <f>VLOOKUP(salidas[[#This Row],[Codigo de producto]],productos[],2,FALSE)</f>
        <v>#N/A</v>
      </c>
      <c r="N408" s="10">
        <f>+salidas[[#This Row],[Cantidad]]*salidas[[#This Row],[Precio U.]]</f>
        <v>0</v>
      </c>
      <c r="P408" s="1"/>
      <c r="T408" t="e">
        <f>VLOOKUP(entradas[[#This Row],[Codigo de producto]],productos[],2,FALSE)</f>
        <v>#N/A</v>
      </c>
      <c r="V408" s="1"/>
    </row>
    <row r="409" spans="8:22" x14ac:dyDescent="0.35">
      <c r="H409" s="1"/>
      <c r="L409" t="e">
        <f>VLOOKUP(salidas[[#This Row],[Codigo de producto]],productos[],2,FALSE)</f>
        <v>#N/A</v>
      </c>
      <c r="N409" s="10">
        <f>+salidas[[#This Row],[Cantidad]]*salidas[[#This Row],[Precio U.]]</f>
        <v>0</v>
      </c>
      <c r="P409" s="1"/>
      <c r="T409" t="e">
        <f>VLOOKUP(entradas[[#This Row],[Codigo de producto]],productos[],2,FALSE)</f>
        <v>#N/A</v>
      </c>
      <c r="V409" s="1"/>
    </row>
    <row r="410" spans="8:22" x14ac:dyDescent="0.35">
      <c r="H410" s="1"/>
      <c r="L410" t="e">
        <f>VLOOKUP(salidas[[#This Row],[Codigo de producto]],productos[],2,FALSE)</f>
        <v>#N/A</v>
      </c>
      <c r="N410" s="10">
        <f>+salidas[[#This Row],[Cantidad]]*salidas[[#This Row],[Precio U.]]</f>
        <v>0</v>
      </c>
      <c r="P410" s="1"/>
      <c r="T410" t="e">
        <f>VLOOKUP(entradas[[#This Row],[Codigo de producto]],productos[],2,FALSE)</f>
        <v>#N/A</v>
      </c>
      <c r="V410" s="1"/>
    </row>
    <row r="411" spans="8:22" x14ac:dyDescent="0.35">
      <c r="H411" s="1"/>
      <c r="L411" t="e">
        <f>VLOOKUP(salidas[[#This Row],[Codigo de producto]],productos[],2,FALSE)</f>
        <v>#N/A</v>
      </c>
      <c r="N411" s="10">
        <f>+salidas[[#This Row],[Cantidad]]*salidas[[#This Row],[Precio U.]]</f>
        <v>0</v>
      </c>
      <c r="P411" s="1"/>
      <c r="T411" t="e">
        <f>VLOOKUP(entradas[[#This Row],[Codigo de producto]],productos[],2,FALSE)</f>
        <v>#N/A</v>
      </c>
      <c r="V411" s="1"/>
    </row>
    <row r="412" spans="8:22" x14ac:dyDescent="0.35">
      <c r="H412" s="1"/>
      <c r="L412" t="e">
        <f>VLOOKUP(salidas[[#This Row],[Codigo de producto]],productos[],2,FALSE)</f>
        <v>#N/A</v>
      </c>
      <c r="N412" s="10">
        <f>+salidas[[#This Row],[Cantidad]]*salidas[[#This Row],[Precio U.]]</f>
        <v>0</v>
      </c>
      <c r="P412" s="1"/>
      <c r="T412" t="e">
        <f>VLOOKUP(entradas[[#This Row],[Codigo de producto]],productos[],2,FALSE)</f>
        <v>#N/A</v>
      </c>
      <c r="V412" s="1"/>
    </row>
    <row r="413" spans="8:22" x14ac:dyDescent="0.35">
      <c r="H413" s="1"/>
      <c r="L413" t="e">
        <f>VLOOKUP(salidas[[#This Row],[Codigo de producto]],productos[],2,FALSE)</f>
        <v>#N/A</v>
      </c>
      <c r="N413" s="10">
        <f>+salidas[[#This Row],[Cantidad]]*salidas[[#This Row],[Precio U.]]</f>
        <v>0</v>
      </c>
      <c r="P413" s="1"/>
      <c r="T413" t="e">
        <f>VLOOKUP(entradas[[#This Row],[Codigo de producto]],productos[],2,FALSE)</f>
        <v>#N/A</v>
      </c>
      <c r="V413" s="1"/>
    </row>
    <row r="414" spans="8:22" x14ac:dyDescent="0.35">
      <c r="H414" s="1"/>
      <c r="L414" t="e">
        <f>VLOOKUP(salidas[[#This Row],[Codigo de producto]],productos[],2,FALSE)</f>
        <v>#N/A</v>
      </c>
      <c r="N414" s="10">
        <f>+salidas[[#This Row],[Cantidad]]*salidas[[#This Row],[Precio U.]]</f>
        <v>0</v>
      </c>
      <c r="P414" s="1"/>
      <c r="T414" t="e">
        <f>VLOOKUP(entradas[[#This Row],[Codigo de producto]],productos[],2,FALSE)</f>
        <v>#N/A</v>
      </c>
      <c r="V414" s="1"/>
    </row>
    <row r="415" spans="8:22" x14ac:dyDescent="0.35">
      <c r="H415" s="1"/>
      <c r="L415" t="e">
        <f>VLOOKUP(salidas[[#This Row],[Codigo de producto]],productos[],2,FALSE)</f>
        <v>#N/A</v>
      </c>
      <c r="N415" s="10">
        <f>+salidas[[#This Row],[Cantidad]]*salidas[[#This Row],[Precio U.]]</f>
        <v>0</v>
      </c>
      <c r="P415" s="1"/>
      <c r="T415" t="e">
        <f>VLOOKUP(entradas[[#This Row],[Codigo de producto]],productos[],2,FALSE)</f>
        <v>#N/A</v>
      </c>
      <c r="V415" s="1"/>
    </row>
    <row r="416" spans="8:22" x14ac:dyDescent="0.35">
      <c r="H416" s="1"/>
      <c r="L416" t="e">
        <f>VLOOKUP(salidas[[#This Row],[Codigo de producto]],productos[],2,FALSE)</f>
        <v>#N/A</v>
      </c>
      <c r="N416" s="10">
        <f>+salidas[[#This Row],[Cantidad]]*salidas[[#This Row],[Precio U.]]</f>
        <v>0</v>
      </c>
      <c r="P416" s="1"/>
      <c r="T416" t="e">
        <f>VLOOKUP(entradas[[#This Row],[Codigo de producto]],productos[],2,FALSE)</f>
        <v>#N/A</v>
      </c>
      <c r="V416" s="1"/>
    </row>
    <row r="417" spans="8:22" x14ac:dyDescent="0.35">
      <c r="H417" s="1"/>
      <c r="L417" t="e">
        <f>VLOOKUP(salidas[[#This Row],[Codigo de producto]],productos[],2,FALSE)</f>
        <v>#N/A</v>
      </c>
      <c r="N417" s="10">
        <f>+salidas[[#This Row],[Cantidad]]*salidas[[#This Row],[Precio U.]]</f>
        <v>0</v>
      </c>
      <c r="P417" s="1"/>
      <c r="T417" t="e">
        <f>VLOOKUP(entradas[[#This Row],[Codigo de producto]],productos[],2,FALSE)</f>
        <v>#N/A</v>
      </c>
      <c r="V417" s="1"/>
    </row>
    <row r="418" spans="8:22" x14ac:dyDescent="0.35">
      <c r="H418" s="1"/>
      <c r="L418" t="e">
        <f>VLOOKUP(salidas[[#This Row],[Codigo de producto]],productos[],2,FALSE)</f>
        <v>#N/A</v>
      </c>
      <c r="N418" s="10">
        <f>+salidas[[#This Row],[Cantidad]]*salidas[[#This Row],[Precio U.]]</f>
        <v>0</v>
      </c>
      <c r="P418" s="1"/>
      <c r="T418" t="e">
        <f>VLOOKUP(entradas[[#This Row],[Codigo de producto]],productos[],2,FALSE)</f>
        <v>#N/A</v>
      </c>
      <c r="V418" s="1"/>
    </row>
    <row r="419" spans="8:22" x14ac:dyDescent="0.35">
      <c r="H419" s="1"/>
      <c r="L419" t="e">
        <f>VLOOKUP(salidas[[#This Row],[Codigo de producto]],productos[],2,FALSE)</f>
        <v>#N/A</v>
      </c>
      <c r="N419" s="10">
        <f>+salidas[[#This Row],[Cantidad]]*salidas[[#This Row],[Precio U.]]</f>
        <v>0</v>
      </c>
      <c r="P419" s="1"/>
      <c r="T419" t="e">
        <f>VLOOKUP(entradas[[#This Row],[Codigo de producto]],productos[],2,FALSE)</f>
        <v>#N/A</v>
      </c>
      <c r="V419" s="1"/>
    </row>
    <row r="420" spans="8:22" x14ac:dyDescent="0.35">
      <c r="H420" s="1"/>
      <c r="L420" t="e">
        <f>VLOOKUP(salidas[[#This Row],[Codigo de producto]],productos[],2,FALSE)</f>
        <v>#N/A</v>
      </c>
      <c r="N420" s="10">
        <f>+salidas[[#This Row],[Cantidad]]*salidas[[#This Row],[Precio U.]]</f>
        <v>0</v>
      </c>
      <c r="P420" s="1"/>
      <c r="T420" t="e">
        <f>VLOOKUP(entradas[[#This Row],[Codigo de producto]],productos[],2,FALSE)</f>
        <v>#N/A</v>
      </c>
      <c r="V420" s="1"/>
    </row>
    <row r="421" spans="8:22" x14ac:dyDescent="0.35">
      <c r="H421" s="1"/>
      <c r="L421" t="e">
        <f>VLOOKUP(salidas[[#This Row],[Codigo de producto]],productos[],2,FALSE)</f>
        <v>#N/A</v>
      </c>
      <c r="N421" s="10">
        <f>+salidas[[#This Row],[Cantidad]]*salidas[[#This Row],[Precio U.]]</f>
        <v>0</v>
      </c>
      <c r="P421" s="1"/>
      <c r="T421" t="e">
        <f>VLOOKUP(entradas[[#This Row],[Codigo de producto]],productos[],2,FALSE)</f>
        <v>#N/A</v>
      </c>
      <c r="V421" s="1"/>
    </row>
    <row r="422" spans="8:22" x14ac:dyDescent="0.35">
      <c r="H422" s="1"/>
      <c r="L422" t="e">
        <f>VLOOKUP(salidas[[#This Row],[Codigo de producto]],productos[],2,FALSE)</f>
        <v>#N/A</v>
      </c>
      <c r="N422" s="10">
        <f>+salidas[[#This Row],[Cantidad]]*salidas[[#This Row],[Precio U.]]</f>
        <v>0</v>
      </c>
      <c r="P422" s="1"/>
      <c r="T422" t="e">
        <f>VLOOKUP(entradas[[#This Row],[Codigo de producto]],productos[],2,FALSE)</f>
        <v>#N/A</v>
      </c>
      <c r="V422" s="1"/>
    </row>
    <row r="423" spans="8:22" x14ac:dyDescent="0.35">
      <c r="H423" s="1"/>
      <c r="L423" t="e">
        <f>VLOOKUP(salidas[[#This Row],[Codigo de producto]],productos[],2,FALSE)</f>
        <v>#N/A</v>
      </c>
      <c r="N423" s="10">
        <f>+salidas[[#This Row],[Cantidad]]*salidas[[#This Row],[Precio U.]]</f>
        <v>0</v>
      </c>
      <c r="P423" s="1"/>
      <c r="T423" t="e">
        <f>VLOOKUP(entradas[[#This Row],[Codigo de producto]],productos[],2,FALSE)</f>
        <v>#N/A</v>
      </c>
      <c r="V423" s="1"/>
    </row>
    <row r="424" spans="8:22" x14ac:dyDescent="0.35">
      <c r="H424" s="1"/>
      <c r="L424" t="e">
        <f>VLOOKUP(salidas[[#This Row],[Codigo de producto]],productos[],2,FALSE)</f>
        <v>#N/A</v>
      </c>
      <c r="N424" s="10">
        <f>+salidas[[#This Row],[Cantidad]]*salidas[[#This Row],[Precio U.]]</f>
        <v>0</v>
      </c>
      <c r="P424" s="1"/>
      <c r="T424" t="e">
        <f>VLOOKUP(entradas[[#This Row],[Codigo de producto]],productos[],2,FALSE)</f>
        <v>#N/A</v>
      </c>
      <c r="V424" s="1"/>
    </row>
    <row r="425" spans="8:22" x14ac:dyDescent="0.35">
      <c r="H425" s="1"/>
      <c r="L425" t="e">
        <f>VLOOKUP(salidas[[#This Row],[Codigo de producto]],productos[],2,FALSE)</f>
        <v>#N/A</v>
      </c>
      <c r="N425" s="10">
        <f>+salidas[[#This Row],[Cantidad]]*salidas[[#This Row],[Precio U.]]</f>
        <v>0</v>
      </c>
      <c r="P425" s="1"/>
      <c r="T425" t="e">
        <f>VLOOKUP(entradas[[#This Row],[Codigo de producto]],productos[],2,FALSE)</f>
        <v>#N/A</v>
      </c>
      <c r="V425" s="1"/>
    </row>
    <row r="426" spans="8:22" x14ac:dyDescent="0.35">
      <c r="H426" s="1"/>
      <c r="L426" t="e">
        <f>VLOOKUP(salidas[[#This Row],[Codigo de producto]],productos[],2,FALSE)</f>
        <v>#N/A</v>
      </c>
      <c r="N426" s="10">
        <f>+salidas[[#This Row],[Cantidad]]*salidas[[#This Row],[Precio U.]]</f>
        <v>0</v>
      </c>
      <c r="P426" s="1"/>
      <c r="T426" t="e">
        <f>VLOOKUP(entradas[[#This Row],[Codigo de producto]],productos[],2,FALSE)</f>
        <v>#N/A</v>
      </c>
      <c r="V426" s="1"/>
    </row>
    <row r="427" spans="8:22" x14ac:dyDescent="0.35">
      <c r="H427" s="1"/>
      <c r="L427" t="e">
        <f>VLOOKUP(salidas[[#This Row],[Codigo de producto]],productos[],2,FALSE)</f>
        <v>#N/A</v>
      </c>
      <c r="N427" s="10">
        <f>+salidas[[#This Row],[Cantidad]]*salidas[[#This Row],[Precio U.]]</f>
        <v>0</v>
      </c>
      <c r="P427" s="1"/>
      <c r="T427" t="e">
        <f>VLOOKUP(entradas[[#This Row],[Codigo de producto]],productos[],2,FALSE)</f>
        <v>#N/A</v>
      </c>
      <c r="V427" s="1"/>
    </row>
    <row r="428" spans="8:22" x14ac:dyDescent="0.35">
      <c r="H428" s="1"/>
      <c r="L428" t="e">
        <f>VLOOKUP(salidas[[#This Row],[Codigo de producto]],productos[],2,FALSE)</f>
        <v>#N/A</v>
      </c>
      <c r="N428" s="10">
        <f>+salidas[[#This Row],[Cantidad]]*salidas[[#This Row],[Precio U.]]</f>
        <v>0</v>
      </c>
      <c r="P428" s="1"/>
      <c r="T428" t="e">
        <f>VLOOKUP(entradas[[#This Row],[Codigo de producto]],productos[],2,FALSE)</f>
        <v>#N/A</v>
      </c>
      <c r="V428" s="1"/>
    </row>
    <row r="429" spans="8:22" x14ac:dyDescent="0.35">
      <c r="H429" s="1"/>
      <c r="L429" t="e">
        <f>VLOOKUP(salidas[[#This Row],[Codigo de producto]],productos[],2,FALSE)</f>
        <v>#N/A</v>
      </c>
      <c r="N429" s="10">
        <f>+salidas[[#This Row],[Cantidad]]*salidas[[#This Row],[Precio U.]]</f>
        <v>0</v>
      </c>
      <c r="P429" s="1"/>
      <c r="T429" t="e">
        <f>VLOOKUP(entradas[[#This Row],[Codigo de producto]],productos[],2,FALSE)</f>
        <v>#N/A</v>
      </c>
      <c r="V429" s="1"/>
    </row>
    <row r="430" spans="8:22" x14ac:dyDescent="0.35">
      <c r="H430" s="1"/>
      <c r="L430" t="e">
        <f>VLOOKUP(salidas[[#This Row],[Codigo de producto]],productos[],2,FALSE)</f>
        <v>#N/A</v>
      </c>
      <c r="N430" s="10">
        <f>+salidas[[#This Row],[Cantidad]]*salidas[[#This Row],[Precio U.]]</f>
        <v>0</v>
      </c>
      <c r="P430" s="1"/>
      <c r="T430" t="e">
        <f>VLOOKUP(entradas[[#This Row],[Codigo de producto]],productos[],2,FALSE)</f>
        <v>#N/A</v>
      </c>
      <c r="V430" s="1"/>
    </row>
    <row r="431" spans="8:22" x14ac:dyDescent="0.35">
      <c r="H431" s="1"/>
      <c r="L431" t="e">
        <f>VLOOKUP(salidas[[#This Row],[Codigo de producto]],productos[],2,FALSE)</f>
        <v>#N/A</v>
      </c>
      <c r="N431" s="10">
        <f>+salidas[[#This Row],[Cantidad]]*salidas[[#This Row],[Precio U.]]</f>
        <v>0</v>
      </c>
      <c r="P431" s="1"/>
      <c r="T431" t="e">
        <f>VLOOKUP(entradas[[#This Row],[Codigo de producto]],productos[],2,FALSE)</f>
        <v>#N/A</v>
      </c>
      <c r="V431" s="1"/>
    </row>
    <row r="432" spans="8:22" x14ac:dyDescent="0.35">
      <c r="H432" s="1"/>
      <c r="L432" t="e">
        <f>VLOOKUP(salidas[[#This Row],[Codigo de producto]],productos[],2,FALSE)</f>
        <v>#N/A</v>
      </c>
      <c r="N432" s="10">
        <f>+salidas[[#This Row],[Cantidad]]*salidas[[#This Row],[Precio U.]]</f>
        <v>0</v>
      </c>
      <c r="P432" s="1"/>
      <c r="T432" t="e">
        <f>VLOOKUP(entradas[[#This Row],[Codigo de producto]],productos[],2,FALSE)</f>
        <v>#N/A</v>
      </c>
      <c r="V432" s="1"/>
    </row>
    <row r="433" spans="8:22" x14ac:dyDescent="0.35">
      <c r="H433" s="1"/>
      <c r="L433" t="e">
        <f>VLOOKUP(salidas[[#This Row],[Codigo de producto]],productos[],2,FALSE)</f>
        <v>#N/A</v>
      </c>
      <c r="N433" s="10">
        <f>+salidas[[#This Row],[Cantidad]]*salidas[[#This Row],[Precio U.]]</f>
        <v>0</v>
      </c>
      <c r="P433" s="1"/>
      <c r="T433" t="e">
        <f>VLOOKUP(entradas[[#This Row],[Codigo de producto]],productos[],2,FALSE)</f>
        <v>#N/A</v>
      </c>
      <c r="V433" s="1"/>
    </row>
    <row r="434" spans="8:22" x14ac:dyDescent="0.35">
      <c r="H434" s="1"/>
      <c r="L434" t="e">
        <f>VLOOKUP(salidas[[#This Row],[Codigo de producto]],productos[],2,FALSE)</f>
        <v>#N/A</v>
      </c>
      <c r="N434" s="10">
        <f>+salidas[[#This Row],[Cantidad]]*salidas[[#This Row],[Precio U.]]</f>
        <v>0</v>
      </c>
      <c r="P434" s="1"/>
      <c r="T434" t="e">
        <f>VLOOKUP(entradas[[#This Row],[Codigo de producto]],productos[],2,FALSE)</f>
        <v>#N/A</v>
      </c>
      <c r="V434" s="1"/>
    </row>
    <row r="435" spans="8:22" x14ac:dyDescent="0.35">
      <c r="H435" s="1"/>
      <c r="L435" t="e">
        <f>VLOOKUP(salidas[[#This Row],[Codigo de producto]],productos[],2,FALSE)</f>
        <v>#N/A</v>
      </c>
      <c r="N435" s="10">
        <f>+salidas[[#This Row],[Cantidad]]*salidas[[#This Row],[Precio U.]]</f>
        <v>0</v>
      </c>
      <c r="P435" s="1"/>
      <c r="T435" t="e">
        <f>VLOOKUP(entradas[[#This Row],[Codigo de producto]],productos[],2,FALSE)</f>
        <v>#N/A</v>
      </c>
      <c r="V435" s="1"/>
    </row>
    <row r="436" spans="8:22" x14ac:dyDescent="0.35">
      <c r="H436" s="1"/>
      <c r="L436" t="e">
        <f>VLOOKUP(salidas[[#This Row],[Codigo de producto]],productos[],2,FALSE)</f>
        <v>#N/A</v>
      </c>
      <c r="N436" s="10">
        <f>+salidas[[#This Row],[Cantidad]]*salidas[[#This Row],[Precio U.]]</f>
        <v>0</v>
      </c>
      <c r="P436" s="1"/>
      <c r="T436" t="e">
        <f>VLOOKUP(entradas[[#This Row],[Codigo de producto]],productos[],2,FALSE)</f>
        <v>#N/A</v>
      </c>
      <c r="V436" s="1"/>
    </row>
    <row r="437" spans="8:22" x14ac:dyDescent="0.35">
      <c r="H437" s="1"/>
      <c r="L437" t="e">
        <f>VLOOKUP(salidas[[#This Row],[Codigo de producto]],productos[],2,FALSE)</f>
        <v>#N/A</v>
      </c>
      <c r="N437" s="10">
        <f>+salidas[[#This Row],[Cantidad]]*salidas[[#This Row],[Precio U.]]</f>
        <v>0</v>
      </c>
      <c r="P437" s="1"/>
      <c r="T437" t="e">
        <f>VLOOKUP(entradas[[#This Row],[Codigo de producto]],productos[],2,FALSE)</f>
        <v>#N/A</v>
      </c>
      <c r="V437" s="1"/>
    </row>
    <row r="438" spans="8:22" x14ac:dyDescent="0.35">
      <c r="H438" s="1"/>
      <c r="L438" t="e">
        <f>VLOOKUP(salidas[[#This Row],[Codigo de producto]],productos[],2,FALSE)</f>
        <v>#N/A</v>
      </c>
      <c r="N438" s="10">
        <f>+salidas[[#This Row],[Cantidad]]*salidas[[#This Row],[Precio U.]]</f>
        <v>0</v>
      </c>
      <c r="P438" s="1"/>
      <c r="T438" t="e">
        <f>VLOOKUP(entradas[[#This Row],[Codigo de producto]],productos[],2,FALSE)</f>
        <v>#N/A</v>
      </c>
      <c r="V438" s="1"/>
    </row>
    <row r="439" spans="8:22" x14ac:dyDescent="0.35">
      <c r="H439" s="1"/>
      <c r="L439" t="e">
        <f>VLOOKUP(salidas[[#This Row],[Codigo de producto]],productos[],2,FALSE)</f>
        <v>#N/A</v>
      </c>
      <c r="N439" s="10">
        <f>+salidas[[#This Row],[Cantidad]]*salidas[[#This Row],[Precio U.]]</f>
        <v>0</v>
      </c>
      <c r="P439" s="1"/>
      <c r="T439" t="e">
        <f>VLOOKUP(entradas[[#This Row],[Codigo de producto]],productos[],2,FALSE)</f>
        <v>#N/A</v>
      </c>
      <c r="V439" s="1"/>
    </row>
    <row r="440" spans="8:22" x14ac:dyDescent="0.35">
      <c r="H440" s="1"/>
      <c r="L440" t="e">
        <f>VLOOKUP(salidas[[#This Row],[Codigo de producto]],productos[],2,FALSE)</f>
        <v>#N/A</v>
      </c>
      <c r="N440" s="10">
        <f>+salidas[[#This Row],[Cantidad]]*salidas[[#This Row],[Precio U.]]</f>
        <v>0</v>
      </c>
      <c r="P440" s="1"/>
      <c r="T440" t="e">
        <f>VLOOKUP(entradas[[#This Row],[Codigo de producto]],productos[],2,FALSE)</f>
        <v>#N/A</v>
      </c>
      <c r="V440" s="1"/>
    </row>
    <row r="441" spans="8:22" x14ac:dyDescent="0.35">
      <c r="H441" s="1"/>
      <c r="L441" t="e">
        <f>VLOOKUP(salidas[[#This Row],[Codigo de producto]],productos[],2,FALSE)</f>
        <v>#N/A</v>
      </c>
      <c r="N441" s="10">
        <f>+salidas[[#This Row],[Cantidad]]*salidas[[#This Row],[Precio U.]]</f>
        <v>0</v>
      </c>
      <c r="P441" s="1"/>
      <c r="T441" t="e">
        <f>VLOOKUP(entradas[[#This Row],[Codigo de producto]],productos[],2,FALSE)</f>
        <v>#N/A</v>
      </c>
      <c r="V441" s="1"/>
    </row>
    <row r="442" spans="8:22" x14ac:dyDescent="0.35">
      <c r="H442" s="1"/>
      <c r="L442" t="e">
        <f>VLOOKUP(salidas[[#This Row],[Codigo de producto]],productos[],2,FALSE)</f>
        <v>#N/A</v>
      </c>
      <c r="N442" s="10">
        <f>+salidas[[#This Row],[Cantidad]]*salidas[[#This Row],[Precio U.]]</f>
        <v>0</v>
      </c>
      <c r="P442" s="1"/>
      <c r="T442" t="e">
        <f>VLOOKUP(entradas[[#This Row],[Codigo de producto]],productos[],2,FALSE)</f>
        <v>#N/A</v>
      </c>
      <c r="V442" s="1"/>
    </row>
    <row r="443" spans="8:22" x14ac:dyDescent="0.35">
      <c r="H443" s="1"/>
      <c r="L443" t="e">
        <f>VLOOKUP(salidas[[#This Row],[Codigo de producto]],productos[],2,FALSE)</f>
        <v>#N/A</v>
      </c>
      <c r="N443" s="10">
        <f>+salidas[[#This Row],[Cantidad]]*salidas[[#This Row],[Precio U.]]</f>
        <v>0</v>
      </c>
      <c r="P443" s="1"/>
      <c r="T443" t="e">
        <f>VLOOKUP(entradas[[#This Row],[Codigo de producto]],productos[],2,FALSE)</f>
        <v>#N/A</v>
      </c>
      <c r="V443" s="1"/>
    </row>
    <row r="444" spans="8:22" x14ac:dyDescent="0.35">
      <c r="H444" s="1"/>
      <c r="L444" t="e">
        <f>VLOOKUP(salidas[[#This Row],[Codigo de producto]],productos[],2,FALSE)</f>
        <v>#N/A</v>
      </c>
      <c r="N444" s="10">
        <f>+salidas[[#This Row],[Cantidad]]*salidas[[#This Row],[Precio U.]]</f>
        <v>0</v>
      </c>
      <c r="P444" s="1"/>
      <c r="T444" t="e">
        <f>VLOOKUP(entradas[[#This Row],[Codigo de producto]],productos[],2,FALSE)</f>
        <v>#N/A</v>
      </c>
      <c r="V444" s="1"/>
    </row>
    <row r="445" spans="8:22" x14ac:dyDescent="0.35">
      <c r="H445" s="1"/>
      <c r="L445" t="e">
        <f>VLOOKUP(salidas[[#This Row],[Codigo de producto]],productos[],2,FALSE)</f>
        <v>#N/A</v>
      </c>
      <c r="N445" s="10">
        <f>+salidas[[#This Row],[Cantidad]]*salidas[[#This Row],[Precio U.]]</f>
        <v>0</v>
      </c>
      <c r="P445" s="1"/>
      <c r="T445" t="e">
        <f>VLOOKUP(entradas[[#This Row],[Codigo de producto]],productos[],2,FALSE)</f>
        <v>#N/A</v>
      </c>
      <c r="V445" s="1"/>
    </row>
    <row r="446" spans="8:22" x14ac:dyDescent="0.35">
      <c r="H446" s="1"/>
      <c r="L446" t="e">
        <f>VLOOKUP(salidas[[#This Row],[Codigo de producto]],productos[],2,FALSE)</f>
        <v>#N/A</v>
      </c>
      <c r="N446" s="10">
        <f>+salidas[[#This Row],[Cantidad]]*salidas[[#This Row],[Precio U.]]</f>
        <v>0</v>
      </c>
      <c r="P446" s="1"/>
      <c r="T446" t="e">
        <f>VLOOKUP(entradas[[#This Row],[Codigo de producto]],productos[],2,FALSE)</f>
        <v>#N/A</v>
      </c>
      <c r="V446" s="1"/>
    </row>
    <row r="447" spans="8:22" x14ac:dyDescent="0.35">
      <c r="H447" s="1"/>
      <c r="L447" t="e">
        <f>VLOOKUP(salidas[[#This Row],[Codigo de producto]],productos[],2,FALSE)</f>
        <v>#N/A</v>
      </c>
      <c r="N447" s="10">
        <f>+salidas[[#This Row],[Cantidad]]*salidas[[#This Row],[Precio U.]]</f>
        <v>0</v>
      </c>
      <c r="P447" s="1"/>
      <c r="T447" t="e">
        <f>VLOOKUP(entradas[[#This Row],[Codigo de producto]],productos[],2,FALSE)</f>
        <v>#N/A</v>
      </c>
      <c r="V447" s="1"/>
    </row>
    <row r="448" spans="8:22" x14ac:dyDescent="0.35">
      <c r="H448" s="1"/>
      <c r="L448" t="e">
        <f>VLOOKUP(salidas[[#This Row],[Codigo de producto]],productos[],2,FALSE)</f>
        <v>#N/A</v>
      </c>
      <c r="N448" s="10">
        <f>+salidas[[#This Row],[Cantidad]]*salidas[[#This Row],[Precio U.]]</f>
        <v>0</v>
      </c>
      <c r="P448" s="1"/>
      <c r="T448" t="e">
        <f>VLOOKUP(entradas[[#This Row],[Codigo de producto]],productos[],2,FALSE)</f>
        <v>#N/A</v>
      </c>
      <c r="V448" s="1"/>
    </row>
    <row r="449" spans="8:22" x14ac:dyDescent="0.35">
      <c r="H449" s="1"/>
      <c r="L449" t="e">
        <f>VLOOKUP(salidas[[#This Row],[Codigo de producto]],productos[],2,FALSE)</f>
        <v>#N/A</v>
      </c>
      <c r="N449" s="10">
        <f>+salidas[[#This Row],[Cantidad]]*salidas[[#This Row],[Precio U.]]</f>
        <v>0</v>
      </c>
      <c r="P449" s="1"/>
      <c r="T449" t="e">
        <f>VLOOKUP(entradas[[#This Row],[Codigo de producto]],productos[],2,FALSE)</f>
        <v>#N/A</v>
      </c>
      <c r="V449" s="1"/>
    </row>
    <row r="450" spans="8:22" x14ac:dyDescent="0.35">
      <c r="H450" s="1"/>
      <c r="L450" t="e">
        <f>VLOOKUP(salidas[[#This Row],[Codigo de producto]],productos[],2,FALSE)</f>
        <v>#N/A</v>
      </c>
      <c r="N450" s="10">
        <f>+salidas[[#This Row],[Cantidad]]*salidas[[#This Row],[Precio U.]]</f>
        <v>0</v>
      </c>
      <c r="P450" s="1"/>
      <c r="T450" t="e">
        <f>VLOOKUP(entradas[[#This Row],[Codigo de producto]],productos[],2,FALSE)</f>
        <v>#N/A</v>
      </c>
      <c r="V450" s="1"/>
    </row>
    <row r="451" spans="8:22" x14ac:dyDescent="0.35">
      <c r="H451" s="1"/>
      <c r="L451" t="e">
        <f>VLOOKUP(salidas[[#This Row],[Codigo de producto]],productos[],2,FALSE)</f>
        <v>#N/A</v>
      </c>
      <c r="N451" s="10">
        <f>+salidas[[#This Row],[Cantidad]]*salidas[[#This Row],[Precio U.]]</f>
        <v>0</v>
      </c>
      <c r="P451" s="1"/>
      <c r="T451" t="e">
        <f>VLOOKUP(entradas[[#This Row],[Codigo de producto]],productos[],2,FALSE)</f>
        <v>#N/A</v>
      </c>
      <c r="V451" s="1"/>
    </row>
    <row r="452" spans="8:22" x14ac:dyDescent="0.35">
      <c r="H452" s="1"/>
      <c r="L452" t="e">
        <f>VLOOKUP(salidas[[#This Row],[Codigo de producto]],productos[],2,FALSE)</f>
        <v>#N/A</v>
      </c>
      <c r="N452" s="10">
        <f>+salidas[[#This Row],[Cantidad]]*salidas[[#This Row],[Precio U.]]</f>
        <v>0</v>
      </c>
      <c r="P452" s="1"/>
      <c r="T452" t="e">
        <f>VLOOKUP(entradas[[#This Row],[Codigo de producto]],productos[],2,FALSE)</f>
        <v>#N/A</v>
      </c>
      <c r="V452" s="1"/>
    </row>
    <row r="453" spans="8:22" x14ac:dyDescent="0.35">
      <c r="H453" s="1"/>
      <c r="L453" t="e">
        <f>VLOOKUP(salidas[[#This Row],[Codigo de producto]],productos[],2,FALSE)</f>
        <v>#N/A</v>
      </c>
      <c r="N453" s="10">
        <f>+salidas[[#This Row],[Cantidad]]*salidas[[#This Row],[Precio U.]]</f>
        <v>0</v>
      </c>
      <c r="P453" s="1"/>
      <c r="T453" t="e">
        <f>VLOOKUP(entradas[[#This Row],[Codigo de producto]],productos[],2,FALSE)</f>
        <v>#N/A</v>
      </c>
      <c r="V453" s="1"/>
    </row>
    <row r="454" spans="8:22" x14ac:dyDescent="0.35">
      <c r="H454" s="1"/>
      <c r="L454" t="e">
        <f>VLOOKUP(salidas[[#This Row],[Codigo de producto]],productos[],2,FALSE)</f>
        <v>#N/A</v>
      </c>
      <c r="N454" s="10">
        <f>+salidas[[#This Row],[Cantidad]]*salidas[[#This Row],[Precio U.]]</f>
        <v>0</v>
      </c>
      <c r="P454" s="1"/>
      <c r="T454" t="e">
        <f>VLOOKUP(entradas[[#This Row],[Codigo de producto]],productos[],2,FALSE)</f>
        <v>#N/A</v>
      </c>
      <c r="V454" s="1"/>
    </row>
    <row r="455" spans="8:22" x14ac:dyDescent="0.35">
      <c r="H455" s="1"/>
      <c r="L455" t="e">
        <f>VLOOKUP(salidas[[#This Row],[Codigo de producto]],productos[],2,FALSE)</f>
        <v>#N/A</v>
      </c>
      <c r="N455" s="10">
        <f>+salidas[[#This Row],[Cantidad]]*salidas[[#This Row],[Precio U.]]</f>
        <v>0</v>
      </c>
      <c r="P455" s="1"/>
      <c r="T455" t="e">
        <f>VLOOKUP(entradas[[#This Row],[Codigo de producto]],productos[],2,FALSE)</f>
        <v>#N/A</v>
      </c>
      <c r="V455" s="1"/>
    </row>
    <row r="456" spans="8:22" x14ac:dyDescent="0.35">
      <c r="H456" s="1"/>
      <c r="L456" t="e">
        <f>VLOOKUP(salidas[[#This Row],[Codigo de producto]],productos[],2,FALSE)</f>
        <v>#N/A</v>
      </c>
      <c r="N456" s="10">
        <f>+salidas[[#This Row],[Cantidad]]*salidas[[#This Row],[Precio U.]]</f>
        <v>0</v>
      </c>
      <c r="P456" s="1"/>
      <c r="T456" t="e">
        <f>VLOOKUP(entradas[[#This Row],[Codigo de producto]],productos[],2,FALSE)</f>
        <v>#N/A</v>
      </c>
      <c r="V456" s="1"/>
    </row>
    <row r="457" spans="8:22" x14ac:dyDescent="0.35">
      <c r="H457" s="1"/>
      <c r="L457" t="e">
        <f>VLOOKUP(salidas[[#This Row],[Codigo de producto]],productos[],2,FALSE)</f>
        <v>#N/A</v>
      </c>
      <c r="N457" s="10">
        <f>+salidas[[#This Row],[Cantidad]]*salidas[[#This Row],[Precio U.]]</f>
        <v>0</v>
      </c>
      <c r="P457" s="1"/>
      <c r="T457" t="e">
        <f>VLOOKUP(entradas[[#This Row],[Codigo de producto]],productos[],2,FALSE)</f>
        <v>#N/A</v>
      </c>
      <c r="V457" s="1"/>
    </row>
    <row r="458" spans="8:22" x14ac:dyDescent="0.35">
      <c r="H458" s="1"/>
      <c r="L458" t="e">
        <f>VLOOKUP(salidas[[#This Row],[Codigo de producto]],productos[],2,FALSE)</f>
        <v>#N/A</v>
      </c>
      <c r="N458" s="10">
        <f>+salidas[[#This Row],[Cantidad]]*salidas[[#This Row],[Precio U.]]</f>
        <v>0</v>
      </c>
      <c r="P458" s="1"/>
      <c r="T458" t="e">
        <f>VLOOKUP(entradas[[#This Row],[Codigo de producto]],productos[],2,FALSE)</f>
        <v>#N/A</v>
      </c>
      <c r="V458" s="1"/>
    </row>
    <row r="459" spans="8:22" x14ac:dyDescent="0.35">
      <c r="H459" s="1"/>
      <c r="L459" t="e">
        <f>VLOOKUP(salidas[[#This Row],[Codigo de producto]],productos[],2,FALSE)</f>
        <v>#N/A</v>
      </c>
      <c r="N459" s="10">
        <f>+salidas[[#This Row],[Cantidad]]*salidas[[#This Row],[Precio U.]]</f>
        <v>0</v>
      </c>
      <c r="P459" s="1"/>
      <c r="T459" t="e">
        <f>VLOOKUP(entradas[[#This Row],[Codigo de producto]],productos[],2,FALSE)</f>
        <v>#N/A</v>
      </c>
      <c r="V459" s="1"/>
    </row>
    <row r="460" spans="8:22" x14ac:dyDescent="0.35">
      <c r="H460" s="1"/>
      <c r="L460" t="e">
        <f>VLOOKUP(salidas[[#This Row],[Codigo de producto]],productos[],2,FALSE)</f>
        <v>#N/A</v>
      </c>
      <c r="N460" s="10">
        <f>+salidas[[#This Row],[Cantidad]]*salidas[[#This Row],[Precio U.]]</f>
        <v>0</v>
      </c>
      <c r="P460" s="1"/>
      <c r="T460" t="e">
        <f>VLOOKUP(entradas[[#This Row],[Codigo de producto]],productos[],2,FALSE)</f>
        <v>#N/A</v>
      </c>
      <c r="V460" s="1"/>
    </row>
    <row r="461" spans="8:22" x14ac:dyDescent="0.35">
      <c r="H461" s="1"/>
      <c r="L461" t="e">
        <f>VLOOKUP(salidas[[#This Row],[Codigo de producto]],productos[],2,FALSE)</f>
        <v>#N/A</v>
      </c>
      <c r="N461" s="10">
        <f>+salidas[[#This Row],[Cantidad]]*salidas[[#This Row],[Precio U.]]</f>
        <v>0</v>
      </c>
      <c r="P461" s="1"/>
      <c r="T461" t="e">
        <f>VLOOKUP(entradas[[#This Row],[Codigo de producto]],productos[],2,FALSE)</f>
        <v>#N/A</v>
      </c>
      <c r="V461" s="1"/>
    </row>
    <row r="462" spans="8:22" x14ac:dyDescent="0.35">
      <c r="H462" s="1"/>
      <c r="L462" t="e">
        <f>VLOOKUP(salidas[[#This Row],[Codigo de producto]],productos[],2,FALSE)</f>
        <v>#N/A</v>
      </c>
      <c r="N462" s="10">
        <f>+salidas[[#This Row],[Cantidad]]*salidas[[#This Row],[Precio U.]]</f>
        <v>0</v>
      </c>
      <c r="P462" s="1"/>
      <c r="T462" t="e">
        <f>VLOOKUP(entradas[[#This Row],[Codigo de producto]],productos[],2,FALSE)</f>
        <v>#N/A</v>
      </c>
      <c r="V462" s="1"/>
    </row>
    <row r="463" spans="8:22" x14ac:dyDescent="0.35">
      <c r="H463" s="1"/>
      <c r="L463" t="e">
        <f>VLOOKUP(salidas[[#This Row],[Codigo de producto]],productos[],2,FALSE)</f>
        <v>#N/A</v>
      </c>
      <c r="N463" s="10">
        <f>+salidas[[#This Row],[Cantidad]]*salidas[[#This Row],[Precio U.]]</f>
        <v>0</v>
      </c>
      <c r="P463" s="1"/>
      <c r="T463" t="e">
        <f>VLOOKUP(entradas[[#This Row],[Codigo de producto]],productos[],2,FALSE)</f>
        <v>#N/A</v>
      </c>
      <c r="V463" s="1"/>
    </row>
    <row r="464" spans="8:22" x14ac:dyDescent="0.35">
      <c r="H464" s="1"/>
      <c r="L464" t="e">
        <f>VLOOKUP(salidas[[#This Row],[Codigo de producto]],productos[],2,FALSE)</f>
        <v>#N/A</v>
      </c>
      <c r="N464" s="10">
        <f>+salidas[[#This Row],[Cantidad]]*salidas[[#This Row],[Precio U.]]</f>
        <v>0</v>
      </c>
      <c r="P464" s="1"/>
      <c r="T464" t="e">
        <f>VLOOKUP(entradas[[#This Row],[Codigo de producto]],productos[],2,FALSE)</f>
        <v>#N/A</v>
      </c>
      <c r="V464" s="1"/>
    </row>
    <row r="465" spans="8:22" x14ac:dyDescent="0.35">
      <c r="H465" s="1"/>
      <c r="L465" t="e">
        <f>VLOOKUP(salidas[[#This Row],[Codigo de producto]],productos[],2,FALSE)</f>
        <v>#N/A</v>
      </c>
      <c r="N465" s="10">
        <f>+salidas[[#This Row],[Cantidad]]*salidas[[#This Row],[Precio U.]]</f>
        <v>0</v>
      </c>
      <c r="P465" s="1"/>
      <c r="T465" t="e">
        <f>VLOOKUP(entradas[[#This Row],[Codigo de producto]],productos[],2,FALSE)</f>
        <v>#N/A</v>
      </c>
      <c r="V465" s="1"/>
    </row>
    <row r="466" spans="8:22" x14ac:dyDescent="0.35">
      <c r="H466" s="1"/>
      <c r="L466" t="e">
        <f>VLOOKUP(salidas[[#This Row],[Codigo de producto]],productos[],2,FALSE)</f>
        <v>#N/A</v>
      </c>
      <c r="N466" s="10">
        <f>+salidas[[#This Row],[Cantidad]]*salidas[[#This Row],[Precio U.]]</f>
        <v>0</v>
      </c>
      <c r="P466" s="1"/>
      <c r="T466" t="e">
        <f>VLOOKUP(entradas[[#This Row],[Codigo de producto]],productos[],2,FALSE)</f>
        <v>#N/A</v>
      </c>
      <c r="V466" s="1"/>
    </row>
    <row r="467" spans="8:22" x14ac:dyDescent="0.35">
      <c r="H467" s="1"/>
      <c r="L467" t="e">
        <f>VLOOKUP(salidas[[#This Row],[Codigo de producto]],productos[],2,FALSE)</f>
        <v>#N/A</v>
      </c>
      <c r="N467" s="10">
        <f>+salidas[[#This Row],[Cantidad]]*salidas[[#This Row],[Precio U.]]</f>
        <v>0</v>
      </c>
      <c r="P467" s="1"/>
      <c r="T467" t="e">
        <f>VLOOKUP(entradas[[#This Row],[Codigo de producto]],productos[],2,FALSE)</f>
        <v>#N/A</v>
      </c>
      <c r="V467" s="1"/>
    </row>
    <row r="468" spans="8:22" x14ac:dyDescent="0.35">
      <c r="H468" s="1"/>
      <c r="L468" t="e">
        <f>VLOOKUP(salidas[[#This Row],[Codigo de producto]],productos[],2,FALSE)</f>
        <v>#N/A</v>
      </c>
      <c r="N468" s="10">
        <f>+salidas[[#This Row],[Cantidad]]*salidas[[#This Row],[Precio U.]]</f>
        <v>0</v>
      </c>
      <c r="P468" s="1"/>
      <c r="T468" t="e">
        <f>VLOOKUP(entradas[[#This Row],[Codigo de producto]],productos[],2,FALSE)</f>
        <v>#N/A</v>
      </c>
      <c r="V468" s="1"/>
    </row>
    <row r="469" spans="8:22" x14ac:dyDescent="0.35">
      <c r="H469" s="1"/>
      <c r="L469" t="e">
        <f>VLOOKUP(salidas[[#This Row],[Codigo de producto]],productos[],2,FALSE)</f>
        <v>#N/A</v>
      </c>
      <c r="N469" s="10">
        <f>+salidas[[#This Row],[Cantidad]]*salidas[[#This Row],[Precio U.]]</f>
        <v>0</v>
      </c>
      <c r="P469" s="1"/>
      <c r="T469" t="e">
        <f>VLOOKUP(entradas[[#This Row],[Codigo de producto]],productos[],2,FALSE)</f>
        <v>#N/A</v>
      </c>
      <c r="V469" s="1"/>
    </row>
    <row r="470" spans="8:22" x14ac:dyDescent="0.35">
      <c r="H470" s="1"/>
      <c r="L470" t="e">
        <f>VLOOKUP(salidas[[#This Row],[Codigo de producto]],productos[],2,FALSE)</f>
        <v>#N/A</v>
      </c>
      <c r="N470" s="10">
        <f>+salidas[[#This Row],[Cantidad]]*salidas[[#This Row],[Precio U.]]</f>
        <v>0</v>
      </c>
      <c r="P470" s="1"/>
      <c r="T470" t="e">
        <f>VLOOKUP(entradas[[#This Row],[Codigo de producto]],productos[],2,FALSE)</f>
        <v>#N/A</v>
      </c>
      <c r="V470" s="1"/>
    </row>
    <row r="471" spans="8:22" x14ac:dyDescent="0.35">
      <c r="H471" s="1"/>
      <c r="L471" t="e">
        <f>VLOOKUP(salidas[[#This Row],[Codigo de producto]],productos[],2,FALSE)</f>
        <v>#N/A</v>
      </c>
      <c r="N471" s="10">
        <f>+salidas[[#This Row],[Cantidad]]*salidas[[#This Row],[Precio U.]]</f>
        <v>0</v>
      </c>
      <c r="P471" s="1"/>
      <c r="T471" t="e">
        <f>VLOOKUP(entradas[[#This Row],[Codigo de producto]],productos[],2,FALSE)</f>
        <v>#N/A</v>
      </c>
      <c r="V471" s="1"/>
    </row>
    <row r="472" spans="8:22" x14ac:dyDescent="0.35">
      <c r="H472" s="1"/>
      <c r="L472" t="e">
        <f>VLOOKUP(salidas[[#This Row],[Codigo de producto]],productos[],2,FALSE)</f>
        <v>#N/A</v>
      </c>
      <c r="N472" s="10">
        <f>+salidas[[#This Row],[Cantidad]]*salidas[[#This Row],[Precio U.]]</f>
        <v>0</v>
      </c>
      <c r="P472" s="1"/>
      <c r="T472" t="e">
        <f>VLOOKUP(entradas[[#This Row],[Codigo de producto]],productos[],2,FALSE)</f>
        <v>#N/A</v>
      </c>
      <c r="V472" s="1"/>
    </row>
    <row r="473" spans="8:22" x14ac:dyDescent="0.35">
      <c r="H473" s="1"/>
      <c r="L473" t="e">
        <f>VLOOKUP(salidas[[#This Row],[Codigo de producto]],productos[],2,FALSE)</f>
        <v>#N/A</v>
      </c>
      <c r="N473" s="10">
        <f>+salidas[[#This Row],[Cantidad]]*salidas[[#This Row],[Precio U.]]</f>
        <v>0</v>
      </c>
      <c r="P473" s="1"/>
      <c r="T473" t="e">
        <f>VLOOKUP(entradas[[#This Row],[Codigo de producto]],productos[],2,FALSE)</f>
        <v>#N/A</v>
      </c>
      <c r="V473" s="1"/>
    </row>
    <row r="474" spans="8:22" x14ac:dyDescent="0.35">
      <c r="H474" s="1"/>
      <c r="L474" t="e">
        <f>VLOOKUP(salidas[[#This Row],[Codigo de producto]],productos[],2,FALSE)</f>
        <v>#N/A</v>
      </c>
      <c r="N474" s="10">
        <f>+salidas[[#This Row],[Cantidad]]*salidas[[#This Row],[Precio U.]]</f>
        <v>0</v>
      </c>
      <c r="P474" s="1"/>
      <c r="T474" t="e">
        <f>VLOOKUP(entradas[[#This Row],[Codigo de producto]],productos[],2,FALSE)</f>
        <v>#N/A</v>
      </c>
      <c r="V474" s="1"/>
    </row>
    <row r="475" spans="8:22" x14ac:dyDescent="0.35">
      <c r="H475" s="1"/>
      <c r="L475" t="e">
        <f>VLOOKUP(salidas[[#This Row],[Codigo de producto]],productos[],2,FALSE)</f>
        <v>#N/A</v>
      </c>
      <c r="N475" s="10">
        <f>+salidas[[#This Row],[Cantidad]]*salidas[[#This Row],[Precio U.]]</f>
        <v>0</v>
      </c>
      <c r="P475" s="1"/>
      <c r="T475" t="e">
        <f>VLOOKUP(entradas[[#This Row],[Codigo de producto]],productos[],2,FALSE)</f>
        <v>#N/A</v>
      </c>
      <c r="V475" s="1"/>
    </row>
    <row r="476" spans="8:22" x14ac:dyDescent="0.35">
      <c r="H476" s="1"/>
      <c r="L476" t="e">
        <f>VLOOKUP(salidas[[#This Row],[Codigo de producto]],productos[],2,FALSE)</f>
        <v>#N/A</v>
      </c>
      <c r="N476" s="10">
        <f>+salidas[[#This Row],[Cantidad]]*salidas[[#This Row],[Precio U.]]</f>
        <v>0</v>
      </c>
      <c r="P476" s="1"/>
      <c r="T476" t="e">
        <f>VLOOKUP(entradas[[#This Row],[Codigo de producto]],productos[],2,FALSE)</f>
        <v>#N/A</v>
      </c>
      <c r="V476" s="1"/>
    </row>
    <row r="477" spans="8:22" x14ac:dyDescent="0.35">
      <c r="H477" s="1"/>
      <c r="L477" t="e">
        <f>VLOOKUP(salidas[[#This Row],[Codigo de producto]],productos[],2,FALSE)</f>
        <v>#N/A</v>
      </c>
      <c r="N477" s="10">
        <f>+salidas[[#This Row],[Cantidad]]*salidas[[#This Row],[Precio U.]]</f>
        <v>0</v>
      </c>
      <c r="P477" s="1"/>
      <c r="T477" t="e">
        <f>VLOOKUP(entradas[[#This Row],[Codigo de producto]],productos[],2,FALSE)</f>
        <v>#N/A</v>
      </c>
      <c r="V477" s="1"/>
    </row>
    <row r="478" spans="8:22" x14ac:dyDescent="0.35">
      <c r="H478" s="1"/>
      <c r="L478" t="e">
        <f>VLOOKUP(salidas[[#This Row],[Codigo de producto]],productos[],2,FALSE)</f>
        <v>#N/A</v>
      </c>
      <c r="N478" s="10">
        <f>+salidas[[#This Row],[Cantidad]]*salidas[[#This Row],[Precio U.]]</f>
        <v>0</v>
      </c>
      <c r="P478" s="1"/>
      <c r="T478" t="e">
        <f>VLOOKUP(entradas[[#This Row],[Codigo de producto]],productos[],2,FALSE)</f>
        <v>#N/A</v>
      </c>
      <c r="V478" s="1"/>
    </row>
    <row r="479" spans="8:22" x14ac:dyDescent="0.35">
      <c r="H479" s="1"/>
      <c r="L479" t="e">
        <f>VLOOKUP(salidas[[#This Row],[Codigo de producto]],productos[],2,FALSE)</f>
        <v>#N/A</v>
      </c>
      <c r="N479" s="10">
        <f>+salidas[[#This Row],[Cantidad]]*salidas[[#This Row],[Precio U.]]</f>
        <v>0</v>
      </c>
      <c r="P479" s="1"/>
      <c r="T479" t="e">
        <f>VLOOKUP(entradas[[#This Row],[Codigo de producto]],productos[],2,FALSE)</f>
        <v>#N/A</v>
      </c>
      <c r="V479" s="1"/>
    </row>
    <row r="480" spans="8:22" x14ac:dyDescent="0.35">
      <c r="H480" s="1"/>
      <c r="L480" t="e">
        <f>VLOOKUP(salidas[[#This Row],[Codigo de producto]],productos[],2,FALSE)</f>
        <v>#N/A</v>
      </c>
      <c r="N480" s="10">
        <f>+salidas[[#This Row],[Cantidad]]*salidas[[#This Row],[Precio U.]]</f>
        <v>0</v>
      </c>
      <c r="P480" s="1"/>
      <c r="T480" t="e">
        <f>VLOOKUP(entradas[[#This Row],[Codigo de producto]],productos[],2,FALSE)</f>
        <v>#N/A</v>
      </c>
      <c r="V480" s="1"/>
    </row>
    <row r="481" spans="8:22" x14ac:dyDescent="0.35">
      <c r="H481" s="1"/>
      <c r="L481" t="e">
        <f>VLOOKUP(salidas[[#This Row],[Codigo de producto]],productos[],2,FALSE)</f>
        <v>#N/A</v>
      </c>
      <c r="N481" s="10">
        <f>+salidas[[#This Row],[Cantidad]]*salidas[[#This Row],[Precio U.]]</f>
        <v>0</v>
      </c>
      <c r="P481" s="1"/>
      <c r="T481" t="e">
        <f>VLOOKUP(entradas[[#This Row],[Codigo de producto]],productos[],2,FALSE)</f>
        <v>#N/A</v>
      </c>
      <c r="V481" s="1"/>
    </row>
    <row r="482" spans="8:22" x14ac:dyDescent="0.35">
      <c r="H482" s="1"/>
      <c r="L482" t="e">
        <f>VLOOKUP(salidas[[#This Row],[Codigo de producto]],productos[],2,FALSE)</f>
        <v>#N/A</v>
      </c>
      <c r="N482" s="10">
        <f>+salidas[[#This Row],[Cantidad]]*salidas[[#This Row],[Precio U.]]</f>
        <v>0</v>
      </c>
      <c r="P482" s="1"/>
      <c r="T482" t="e">
        <f>VLOOKUP(entradas[[#This Row],[Codigo de producto]],productos[],2,FALSE)</f>
        <v>#N/A</v>
      </c>
      <c r="V482" s="1"/>
    </row>
    <row r="483" spans="8:22" x14ac:dyDescent="0.35">
      <c r="H483" s="1"/>
      <c r="L483" t="e">
        <f>VLOOKUP(salidas[[#This Row],[Codigo de producto]],productos[],2,FALSE)</f>
        <v>#N/A</v>
      </c>
      <c r="N483" s="10">
        <f>+salidas[[#This Row],[Cantidad]]*salidas[[#This Row],[Precio U.]]</f>
        <v>0</v>
      </c>
      <c r="P483" s="1"/>
      <c r="T483" t="e">
        <f>VLOOKUP(entradas[[#This Row],[Codigo de producto]],productos[],2,FALSE)</f>
        <v>#N/A</v>
      </c>
      <c r="V483" s="1"/>
    </row>
    <row r="484" spans="8:22" x14ac:dyDescent="0.35">
      <c r="H484" s="1"/>
      <c r="L484" t="e">
        <f>VLOOKUP(salidas[[#This Row],[Codigo de producto]],productos[],2,FALSE)</f>
        <v>#N/A</v>
      </c>
      <c r="N484" s="10">
        <f>+salidas[[#This Row],[Cantidad]]*salidas[[#This Row],[Precio U.]]</f>
        <v>0</v>
      </c>
      <c r="P484" s="1"/>
      <c r="T484" t="e">
        <f>VLOOKUP(entradas[[#This Row],[Codigo de producto]],productos[],2,FALSE)</f>
        <v>#N/A</v>
      </c>
      <c r="V484" s="1"/>
    </row>
    <row r="485" spans="8:22" x14ac:dyDescent="0.35">
      <c r="H485" s="1"/>
      <c r="L485" t="e">
        <f>VLOOKUP(salidas[[#This Row],[Codigo de producto]],productos[],2,FALSE)</f>
        <v>#N/A</v>
      </c>
      <c r="N485" s="10">
        <f>+salidas[[#This Row],[Cantidad]]*salidas[[#This Row],[Precio U.]]</f>
        <v>0</v>
      </c>
      <c r="P485" s="1"/>
      <c r="T485" t="e">
        <f>VLOOKUP(entradas[[#This Row],[Codigo de producto]],productos[],2,FALSE)</f>
        <v>#N/A</v>
      </c>
      <c r="V485" s="1"/>
    </row>
    <row r="486" spans="8:22" x14ac:dyDescent="0.35">
      <c r="H486" s="1"/>
      <c r="L486" t="e">
        <f>VLOOKUP(salidas[[#This Row],[Codigo de producto]],productos[],2,FALSE)</f>
        <v>#N/A</v>
      </c>
      <c r="N486" s="10">
        <f>+salidas[[#This Row],[Cantidad]]*salidas[[#This Row],[Precio U.]]</f>
        <v>0</v>
      </c>
      <c r="P486" s="1"/>
      <c r="T486" t="e">
        <f>VLOOKUP(entradas[[#This Row],[Codigo de producto]],productos[],2,FALSE)</f>
        <v>#N/A</v>
      </c>
      <c r="V486" s="1"/>
    </row>
    <row r="487" spans="8:22" x14ac:dyDescent="0.35">
      <c r="H487" s="1"/>
      <c r="L487" t="e">
        <f>VLOOKUP(salidas[[#This Row],[Codigo de producto]],productos[],2,FALSE)</f>
        <v>#N/A</v>
      </c>
      <c r="N487" s="10">
        <f>+salidas[[#This Row],[Cantidad]]*salidas[[#This Row],[Precio U.]]</f>
        <v>0</v>
      </c>
      <c r="P487" s="1"/>
      <c r="T487" t="e">
        <f>VLOOKUP(entradas[[#This Row],[Codigo de producto]],productos[],2,FALSE)</f>
        <v>#N/A</v>
      </c>
      <c r="V487" s="1"/>
    </row>
    <row r="488" spans="8:22" x14ac:dyDescent="0.35">
      <c r="H488" s="1"/>
      <c r="L488" t="e">
        <f>VLOOKUP(salidas[[#This Row],[Codigo de producto]],productos[],2,FALSE)</f>
        <v>#N/A</v>
      </c>
      <c r="N488" s="10">
        <f>+salidas[[#This Row],[Cantidad]]*salidas[[#This Row],[Precio U.]]</f>
        <v>0</v>
      </c>
      <c r="P488" s="1"/>
      <c r="T488" t="e">
        <f>VLOOKUP(entradas[[#This Row],[Codigo de producto]],productos[],2,FALSE)</f>
        <v>#N/A</v>
      </c>
      <c r="V488" s="1"/>
    </row>
    <row r="489" spans="8:22" x14ac:dyDescent="0.35">
      <c r="H489" s="1"/>
      <c r="L489" t="e">
        <f>VLOOKUP(salidas[[#This Row],[Codigo de producto]],productos[],2,FALSE)</f>
        <v>#N/A</v>
      </c>
      <c r="N489" s="10">
        <f>+salidas[[#This Row],[Cantidad]]*salidas[[#This Row],[Precio U.]]</f>
        <v>0</v>
      </c>
      <c r="P489" s="1"/>
      <c r="T489" t="e">
        <f>VLOOKUP(entradas[[#This Row],[Codigo de producto]],productos[],2,FALSE)</f>
        <v>#N/A</v>
      </c>
      <c r="V489" s="1"/>
    </row>
    <row r="490" spans="8:22" x14ac:dyDescent="0.35">
      <c r="H490" s="1"/>
      <c r="L490" t="e">
        <f>VLOOKUP(salidas[[#This Row],[Codigo de producto]],productos[],2,FALSE)</f>
        <v>#N/A</v>
      </c>
      <c r="N490" s="10">
        <f>+salidas[[#This Row],[Cantidad]]*salidas[[#This Row],[Precio U.]]</f>
        <v>0</v>
      </c>
      <c r="P490" s="1"/>
      <c r="T490" t="e">
        <f>VLOOKUP(entradas[[#This Row],[Codigo de producto]],productos[],2,FALSE)</f>
        <v>#N/A</v>
      </c>
      <c r="V490" s="1"/>
    </row>
    <row r="491" spans="8:22" x14ac:dyDescent="0.35">
      <c r="H491" s="1"/>
      <c r="L491" t="e">
        <f>VLOOKUP(salidas[[#This Row],[Codigo de producto]],productos[],2,FALSE)</f>
        <v>#N/A</v>
      </c>
      <c r="N491" s="10">
        <f>+salidas[[#This Row],[Cantidad]]*salidas[[#This Row],[Precio U.]]</f>
        <v>0</v>
      </c>
      <c r="P491" s="1"/>
      <c r="T491" t="e">
        <f>VLOOKUP(entradas[[#This Row],[Codigo de producto]],productos[],2,FALSE)</f>
        <v>#N/A</v>
      </c>
      <c r="V491" s="1"/>
    </row>
    <row r="492" spans="8:22" x14ac:dyDescent="0.35">
      <c r="H492" s="1"/>
      <c r="L492" t="e">
        <f>VLOOKUP(salidas[[#This Row],[Codigo de producto]],productos[],2,FALSE)</f>
        <v>#N/A</v>
      </c>
      <c r="N492" s="10">
        <f>+salidas[[#This Row],[Cantidad]]*salidas[[#This Row],[Precio U.]]</f>
        <v>0</v>
      </c>
      <c r="P492" s="1"/>
      <c r="T492" t="e">
        <f>VLOOKUP(entradas[[#This Row],[Codigo de producto]],productos[],2,FALSE)</f>
        <v>#N/A</v>
      </c>
      <c r="V492" s="1"/>
    </row>
    <row r="493" spans="8:22" x14ac:dyDescent="0.35">
      <c r="H493" s="1"/>
      <c r="L493" t="e">
        <f>VLOOKUP(salidas[[#This Row],[Codigo de producto]],productos[],2,FALSE)</f>
        <v>#N/A</v>
      </c>
      <c r="N493" s="10">
        <f>+salidas[[#This Row],[Cantidad]]*salidas[[#This Row],[Precio U.]]</f>
        <v>0</v>
      </c>
      <c r="P493" s="1"/>
      <c r="T493" t="e">
        <f>VLOOKUP(entradas[[#This Row],[Codigo de producto]],productos[],2,FALSE)</f>
        <v>#N/A</v>
      </c>
      <c r="V493" s="1"/>
    </row>
    <row r="494" spans="8:22" x14ac:dyDescent="0.35">
      <c r="H494" s="1"/>
      <c r="L494" t="e">
        <f>VLOOKUP(salidas[[#This Row],[Codigo de producto]],productos[],2,FALSE)</f>
        <v>#N/A</v>
      </c>
      <c r="N494" s="10">
        <f>+salidas[[#This Row],[Cantidad]]*salidas[[#This Row],[Precio U.]]</f>
        <v>0</v>
      </c>
      <c r="P494" s="1"/>
      <c r="T494" t="e">
        <f>VLOOKUP(entradas[[#This Row],[Codigo de producto]],productos[],2,FALSE)</f>
        <v>#N/A</v>
      </c>
      <c r="V494" s="1"/>
    </row>
    <row r="495" spans="8:22" x14ac:dyDescent="0.35">
      <c r="H495" s="1"/>
      <c r="L495" t="e">
        <f>VLOOKUP(salidas[[#This Row],[Codigo de producto]],productos[],2,FALSE)</f>
        <v>#N/A</v>
      </c>
      <c r="N495" s="10">
        <f>+salidas[[#This Row],[Cantidad]]*salidas[[#This Row],[Precio U.]]</f>
        <v>0</v>
      </c>
      <c r="P495" s="1"/>
      <c r="T495" t="e">
        <f>VLOOKUP(entradas[[#This Row],[Codigo de producto]],productos[],2,FALSE)</f>
        <v>#N/A</v>
      </c>
      <c r="V495" s="1"/>
    </row>
    <row r="496" spans="8:22" x14ac:dyDescent="0.35">
      <c r="H496" s="1"/>
      <c r="L496" t="e">
        <f>VLOOKUP(salidas[[#This Row],[Codigo de producto]],productos[],2,FALSE)</f>
        <v>#N/A</v>
      </c>
      <c r="N496" s="10">
        <f>+salidas[[#This Row],[Cantidad]]*salidas[[#This Row],[Precio U.]]</f>
        <v>0</v>
      </c>
      <c r="P496" s="1"/>
      <c r="T496" t="e">
        <f>VLOOKUP(entradas[[#This Row],[Codigo de producto]],productos[],2,FALSE)</f>
        <v>#N/A</v>
      </c>
      <c r="V496" s="1"/>
    </row>
    <row r="497" spans="8:22" x14ac:dyDescent="0.35">
      <c r="H497" s="1"/>
      <c r="L497" t="e">
        <f>VLOOKUP(salidas[[#This Row],[Codigo de producto]],productos[],2,FALSE)</f>
        <v>#N/A</v>
      </c>
      <c r="N497" s="10">
        <f>+salidas[[#This Row],[Cantidad]]*salidas[[#This Row],[Precio U.]]</f>
        <v>0</v>
      </c>
      <c r="P497" s="1"/>
      <c r="T497" t="e">
        <f>VLOOKUP(entradas[[#This Row],[Codigo de producto]],productos[],2,FALSE)</f>
        <v>#N/A</v>
      </c>
      <c r="V497" s="1"/>
    </row>
    <row r="498" spans="8:22" x14ac:dyDescent="0.35">
      <c r="H498" s="1"/>
      <c r="L498" t="e">
        <f>VLOOKUP(salidas[[#This Row],[Codigo de producto]],productos[],2,FALSE)</f>
        <v>#N/A</v>
      </c>
      <c r="N498" s="10">
        <f>+salidas[[#This Row],[Cantidad]]*salidas[[#This Row],[Precio U.]]</f>
        <v>0</v>
      </c>
      <c r="P498" s="1"/>
      <c r="T498" t="e">
        <f>VLOOKUP(entradas[[#This Row],[Codigo de producto]],productos[],2,FALSE)</f>
        <v>#N/A</v>
      </c>
      <c r="V498" s="1"/>
    </row>
    <row r="499" spans="8:22" x14ac:dyDescent="0.35">
      <c r="H499" s="1"/>
      <c r="L499" t="e">
        <f>VLOOKUP(salidas[[#This Row],[Codigo de producto]],productos[],2,FALSE)</f>
        <v>#N/A</v>
      </c>
      <c r="N499" s="10">
        <f>+salidas[[#This Row],[Cantidad]]*salidas[[#This Row],[Precio U.]]</f>
        <v>0</v>
      </c>
      <c r="P499" s="1"/>
      <c r="T499" t="e">
        <f>VLOOKUP(entradas[[#This Row],[Codigo de producto]],productos[],2,FALSE)</f>
        <v>#N/A</v>
      </c>
      <c r="V499" s="1"/>
    </row>
    <row r="500" spans="8:22" x14ac:dyDescent="0.35">
      <c r="H500" s="1"/>
      <c r="L500" t="e">
        <f>VLOOKUP(salidas[[#This Row],[Codigo de producto]],productos[],2,FALSE)</f>
        <v>#N/A</v>
      </c>
      <c r="N500" s="10">
        <f>+salidas[[#This Row],[Cantidad]]*salidas[[#This Row],[Precio U.]]</f>
        <v>0</v>
      </c>
      <c r="P500" s="1"/>
      <c r="T500" t="e">
        <f>VLOOKUP(entradas[[#This Row],[Codigo de producto]],productos[],2,FALSE)</f>
        <v>#N/A</v>
      </c>
      <c r="V500" s="1"/>
    </row>
    <row r="501" spans="8:22" x14ac:dyDescent="0.35">
      <c r="H501" s="1"/>
      <c r="L501" t="e">
        <f>VLOOKUP(salidas[[#This Row],[Codigo de producto]],productos[],2,FALSE)</f>
        <v>#N/A</v>
      </c>
      <c r="N501" s="10">
        <f>+salidas[[#This Row],[Cantidad]]*salidas[[#This Row],[Precio U.]]</f>
        <v>0</v>
      </c>
      <c r="P501" s="1"/>
      <c r="T501" t="e">
        <f>VLOOKUP(entradas[[#This Row],[Codigo de producto]],productos[],2,FALSE)</f>
        <v>#N/A</v>
      </c>
      <c r="V501" s="1"/>
    </row>
    <row r="502" spans="8:22" x14ac:dyDescent="0.35">
      <c r="H502" s="1"/>
      <c r="L502" t="e">
        <f>VLOOKUP(salidas[[#This Row],[Codigo de producto]],productos[],2,FALSE)</f>
        <v>#N/A</v>
      </c>
      <c r="N502" s="10">
        <f>+salidas[[#This Row],[Cantidad]]*salidas[[#This Row],[Precio U.]]</f>
        <v>0</v>
      </c>
      <c r="P502" s="1"/>
      <c r="T502" t="e">
        <f>VLOOKUP(entradas[[#This Row],[Codigo de producto]],productos[],2,FALSE)</f>
        <v>#N/A</v>
      </c>
      <c r="V502" s="1"/>
    </row>
    <row r="503" spans="8:22" x14ac:dyDescent="0.35">
      <c r="H503" s="1"/>
      <c r="L503" t="e">
        <f>VLOOKUP(salidas[[#This Row],[Codigo de producto]],productos[],2,FALSE)</f>
        <v>#N/A</v>
      </c>
      <c r="N503" s="10">
        <f>+salidas[[#This Row],[Cantidad]]*salidas[[#This Row],[Precio U.]]</f>
        <v>0</v>
      </c>
      <c r="P503" s="1"/>
      <c r="T503" t="e">
        <f>VLOOKUP(entradas[[#This Row],[Codigo de producto]],productos[],2,FALSE)</f>
        <v>#N/A</v>
      </c>
      <c r="V503" s="1"/>
    </row>
    <row r="504" spans="8:22" x14ac:dyDescent="0.35">
      <c r="H504" s="1"/>
      <c r="L504" t="e">
        <f>VLOOKUP(salidas[[#This Row],[Codigo de producto]],productos[],2,FALSE)</f>
        <v>#N/A</v>
      </c>
      <c r="N504" s="10">
        <f>+salidas[[#This Row],[Cantidad]]*salidas[[#This Row],[Precio U.]]</f>
        <v>0</v>
      </c>
      <c r="P504" s="1"/>
      <c r="T504" t="e">
        <f>VLOOKUP(entradas[[#This Row],[Codigo de producto]],productos[],2,FALSE)</f>
        <v>#N/A</v>
      </c>
      <c r="V504" s="1"/>
    </row>
    <row r="505" spans="8:22" x14ac:dyDescent="0.35">
      <c r="H505" s="1"/>
      <c r="L505" t="e">
        <f>VLOOKUP(salidas[[#This Row],[Codigo de producto]],productos[],2,FALSE)</f>
        <v>#N/A</v>
      </c>
      <c r="N505" s="10">
        <f>+salidas[[#This Row],[Cantidad]]*salidas[[#This Row],[Precio U.]]</f>
        <v>0</v>
      </c>
      <c r="P505" s="1"/>
      <c r="T505" t="e">
        <f>VLOOKUP(entradas[[#This Row],[Codigo de producto]],productos[],2,FALSE)</f>
        <v>#N/A</v>
      </c>
      <c r="V505" s="1"/>
    </row>
    <row r="506" spans="8:22" x14ac:dyDescent="0.35">
      <c r="H506" s="1"/>
      <c r="L506" t="e">
        <f>VLOOKUP(salidas[[#This Row],[Codigo de producto]],productos[],2,FALSE)</f>
        <v>#N/A</v>
      </c>
      <c r="N506" s="10">
        <f>+salidas[[#This Row],[Cantidad]]*salidas[[#This Row],[Precio U.]]</f>
        <v>0</v>
      </c>
      <c r="P506" s="1"/>
      <c r="T506" t="e">
        <f>VLOOKUP(entradas[[#This Row],[Codigo de producto]],productos[],2,FALSE)</f>
        <v>#N/A</v>
      </c>
      <c r="V506" s="1"/>
    </row>
    <row r="507" spans="8:22" x14ac:dyDescent="0.35">
      <c r="H507" s="1"/>
      <c r="L507" t="e">
        <f>VLOOKUP(salidas[[#This Row],[Codigo de producto]],productos[],2,FALSE)</f>
        <v>#N/A</v>
      </c>
      <c r="N507" s="10">
        <f>+salidas[[#This Row],[Cantidad]]*salidas[[#This Row],[Precio U.]]</f>
        <v>0</v>
      </c>
      <c r="P507" s="1"/>
      <c r="T507" t="e">
        <f>VLOOKUP(entradas[[#This Row],[Codigo de producto]],productos[],2,FALSE)</f>
        <v>#N/A</v>
      </c>
      <c r="V507" s="1"/>
    </row>
    <row r="508" spans="8:22" x14ac:dyDescent="0.35">
      <c r="H508" s="1"/>
      <c r="L508" t="e">
        <f>VLOOKUP(salidas[[#This Row],[Codigo de producto]],productos[],2,FALSE)</f>
        <v>#N/A</v>
      </c>
      <c r="N508" s="10">
        <f>+salidas[[#This Row],[Cantidad]]*salidas[[#This Row],[Precio U.]]</f>
        <v>0</v>
      </c>
      <c r="P508" s="1"/>
      <c r="T508" t="e">
        <f>VLOOKUP(entradas[[#This Row],[Codigo de producto]],productos[],2,FALSE)</f>
        <v>#N/A</v>
      </c>
      <c r="V508" s="1"/>
    </row>
    <row r="509" spans="8:22" x14ac:dyDescent="0.35">
      <c r="H509" s="1"/>
      <c r="L509" t="e">
        <f>VLOOKUP(salidas[[#This Row],[Codigo de producto]],productos[],2,FALSE)</f>
        <v>#N/A</v>
      </c>
      <c r="N509" s="10">
        <f>+salidas[[#This Row],[Cantidad]]*salidas[[#This Row],[Precio U.]]</f>
        <v>0</v>
      </c>
      <c r="P509" s="1"/>
      <c r="T509" t="e">
        <f>VLOOKUP(entradas[[#This Row],[Codigo de producto]],productos[],2,FALSE)</f>
        <v>#N/A</v>
      </c>
      <c r="V509" s="1"/>
    </row>
    <row r="510" spans="8:22" x14ac:dyDescent="0.35">
      <c r="H510" s="1"/>
      <c r="L510" t="e">
        <f>VLOOKUP(salidas[[#This Row],[Codigo de producto]],productos[],2,FALSE)</f>
        <v>#N/A</v>
      </c>
      <c r="N510" s="10">
        <f>+salidas[[#This Row],[Cantidad]]*salidas[[#This Row],[Precio U.]]</f>
        <v>0</v>
      </c>
      <c r="P510" s="1"/>
      <c r="T510" t="e">
        <f>VLOOKUP(entradas[[#This Row],[Codigo de producto]],productos[],2,FALSE)</f>
        <v>#N/A</v>
      </c>
      <c r="V510" s="1"/>
    </row>
    <row r="511" spans="8:22" x14ac:dyDescent="0.35">
      <c r="H511" s="1"/>
      <c r="L511" t="e">
        <f>VLOOKUP(salidas[[#This Row],[Codigo de producto]],productos[],2,FALSE)</f>
        <v>#N/A</v>
      </c>
      <c r="N511" s="10">
        <f>+salidas[[#This Row],[Cantidad]]*salidas[[#This Row],[Precio U.]]</f>
        <v>0</v>
      </c>
      <c r="P511" s="1"/>
      <c r="T511" t="e">
        <f>VLOOKUP(entradas[[#This Row],[Codigo de producto]],productos[],2,FALSE)</f>
        <v>#N/A</v>
      </c>
      <c r="V511" s="1"/>
    </row>
    <row r="512" spans="8:22" x14ac:dyDescent="0.35">
      <c r="H512" s="1"/>
      <c r="L512" t="e">
        <f>VLOOKUP(salidas[[#This Row],[Codigo de producto]],productos[],2,FALSE)</f>
        <v>#N/A</v>
      </c>
      <c r="N512" s="10">
        <f>+salidas[[#This Row],[Cantidad]]*salidas[[#This Row],[Precio U.]]</f>
        <v>0</v>
      </c>
      <c r="P512" s="1"/>
      <c r="T512" t="e">
        <f>VLOOKUP(entradas[[#This Row],[Codigo de producto]],productos[],2,FALSE)</f>
        <v>#N/A</v>
      </c>
      <c r="V512" s="1"/>
    </row>
    <row r="513" spans="8:22" x14ac:dyDescent="0.35">
      <c r="H513" s="1"/>
      <c r="L513" t="e">
        <f>VLOOKUP(salidas[[#This Row],[Codigo de producto]],productos[],2,FALSE)</f>
        <v>#N/A</v>
      </c>
      <c r="N513" s="10">
        <f>+salidas[[#This Row],[Cantidad]]*salidas[[#This Row],[Precio U.]]</f>
        <v>0</v>
      </c>
      <c r="P513" s="1"/>
      <c r="T513" t="e">
        <f>VLOOKUP(entradas[[#This Row],[Codigo de producto]],productos[],2,FALSE)</f>
        <v>#N/A</v>
      </c>
      <c r="V513" s="1"/>
    </row>
    <row r="514" spans="8:22" x14ac:dyDescent="0.35">
      <c r="H514" s="1"/>
      <c r="L514" t="e">
        <f>VLOOKUP(salidas[[#This Row],[Codigo de producto]],productos[],2,FALSE)</f>
        <v>#N/A</v>
      </c>
      <c r="N514" s="10">
        <f>+salidas[[#This Row],[Cantidad]]*salidas[[#This Row],[Precio U.]]</f>
        <v>0</v>
      </c>
      <c r="P514" s="1"/>
      <c r="T514" t="e">
        <f>VLOOKUP(entradas[[#This Row],[Codigo de producto]],productos[],2,FALSE)</f>
        <v>#N/A</v>
      </c>
      <c r="V514" s="1"/>
    </row>
    <row r="515" spans="8:22" x14ac:dyDescent="0.35">
      <c r="H515" s="1"/>
      <c r="L515" t="e">
        <f>VLOOKUP(salidas[[#This Row],[Codigo de producto]],productos[],2,FALSE)</f>
        <v>#N/A</v>
      </c>
      <c r="N515" s="10">
        <f>+salidas[[#This Row],[Cantidad]]*salidas[[#This Row],[Precio U.]]</f>
        <v>0</v>
      </c>
      <c r="P515" s="1"/>
      <c r="T515" t="e">
        <f>VLOOKUP(entradas[[#This Row],[Codigo de producto]],productos[],2,FALSE)</f>
        <v>#N/A</v>
      </c>
      <c r="V515" s="1"/>
    </row>
    <row r="516" spans="8:22" x14ac:dyDescent="0.35">
      <c r="H516" s="1"/>
      <c r="L516" t="e">
        <f>VLOOKUP(salidas[[#This Row],[Codigo de producto]],productos[],2,FALSE)</f>
        <v>#N/A</v>
      </c>
      <c r="N516" s="10">
        <f>+salidas[[#This Row],[Cantidad]]*salidas[[#This Row],[Precio U.]]</f>
        <v>0</v>
      </c>
      <c r="P516" s="1"/>
      <c r="T516" t="e">
        <f>VLOOKUP(entradas[[#This Row],[Codigo de producto]],productos[],2,FALSE)</f>
        <v>#N/A</v>
      </c>
      <c r="V516" s="1"/>
    </row>
    <row r="517" spans="8:22" x14ac:dyDescent="0.35">
      <c r="H517" s="1"/>
      <c r="L517" t="e">
        <f>VLOOKUP(salidas[[#This Row],[Codigo de producto]],productos[],2,FALSE)</f>
        <v>#N/A</v>
      </c>
      <c r="N517" s="10">
        <f>+salidas[[#This Row],[Cantidad]]*salidas[[#This Row],[Precio U.]]</f>
        <v>0</v>
      </c>
      <c r="P517" s="1"/>
      <c r="T517" t="e">
        <f>VLOOKUP(entradas[[#This Row],[Codigo de producto]],productos[],2,FALSE)</f>
        <v>#N/A</v>
      </c>
      <c r="V517" s="1"/>
    </row>
    <row r="518" spans="8:22" x14ac:dyDescent="0.35">
      <c r="H518" s="1"/>
      <c r="L518" t="e">
        <f>VLOOKUP(salidas[[#This Row],[Codigo de producto]],productos[],2,FALSE)</f>
        <v>#N/A</v>
      </c>
      <c r="N518" s="10">
        <f>+salidas[[#This Row],[Cantidad]]*salidas[[#This Row],[Precio U.]]</f>
        <v>0</v>
      </c>
      <c r="P518" s="1"/>
      <c r="T518" t="e">
        <f>VLOOKUP(entradas[[#This Row],[Codigo de producto]],productos[],2,FALSE)</f>
        <v>#N/A</v>
      </c>
      <c r="V518" s="1"/>
    </row>
    <row r="519" spans="8:22" x14ac:dyDescent="0.35">
      <c r="H519" s="1"/>
      <c r="L519" t="e">
        <f>VLOOKUP(salidas[[#This Row],[Codigo de producto]],productos[],2,FALSE)</f>
        <v>#N/A</v>
      </c>
      <c r="N519" s="10">
        <f>+salidas[[#This Row],[Cantidad]]*salidas[[#This Row],[Precio U.]]</f>
        <v>0</v>
      </c>
      <c r="P519" s="1"/>
      <c r="T519" t="e">
        <f>VLOOKUP(entradas[[#This Row],[Codigo de producto]],productos[],2,FALSE)</f>
        <v>#N/A</v>
      </c>
      <c r="V519" s="1"/>
    </row>
    <row r="520" spans="8:22" x14ac:dyDescent="0.35">
      <c r="H520" s="1"/>
      <c r="L520" t="e">
        <f>VLOOKUP(salidas[[#This Row],[Codigo de producto]],productos[],2,FALSE)</f>
        <v>#N/A</v>
      </c>
      <c r="N520" s="10">
        <f>+salidas[[#This Row],[Cantidad]]*salidas[[#This Row],[Precio U.]]</f>
        <v>0</v>
      </c>
      <c r="P520" s="1"/>
      <c r="T520" t="e">
        <f>VLOOKUP(entradas[[#This Row],[Codigo de producto]],productos[],2,FALSE)</f>
        <v>#N/A</v>
      </c>
      <c r="V520" s="1"/>
    </row>
    <row r="521" spans="8:22" x14ac:dyDescent="0.35">
      <c r="H521" s="1"/>
      <c r="L521" t="e">
        <f>VLOOKUP(salidas[[#This Row],[Codigo de producto]],productos[],2,FALSE)</f>
        <v>#N/A</v>
      </c>
      <c r="N521" s="10">
        <f>+salidas[[#This Row],[Cantidad]]*salidas[[#This Row],[Precio U.]]</f>
        <v>0</v>
      </c>
      <c r="P521" s="1"/>
      <c r="T521" t="e">
        <f>VLOOKUP(entradas[[#This Row],[Codigo de producto]],productos[],2,FALSE)</f>
        <v>#N/A</v>
      </c>
      <c r="V521" s="1"/>
    </row>
    <row r="522" spans="8:22" x14ac:dyDescent="0.35">
      <c r="H522" s="1"/>
      <c r="L522" t="e">
        <f>VLOOKUP(salidas[[#This Row],[Codigo de producto]],productos[],2,FALSE)</f>
        <v>#N/A</v>
      </c>
      <c r="N522" s="10">
        <f>+salidas[[#This Row],[Cantidad]]*salidas[[#This Row],[Precio U.]]</f>
        <v>0</v>
      </c>
      <c r="P522" s="1"/>
      <c r="T522" t="e">
        <f>VLOOKUP(entradas[[#This Row],[Codigo de producto]],productos[],2,FALSE)</f>
        <v>#N/A</v>
      </c>
      <c r="V522" s="1"/>
    </row>
    <row r="523" spans="8:22" x14ac:dyDescent="0.35">
      <c r="H523" s="1"/>
      <c r="L523" t="e">
        <f>VLOOKUP(salidas[[#This Row],[Codigo de producto]],productos[],2,FALSE)</f>
        <v>#N/A</v>
      </c>
      <c r="N523" s="10">
        <f>+salidas[[#This Row],[Cantidad]]*salidas[[#This Row],[Precio U.]]</f>
        <v>0</v>
      </c>
      <c r="P523" s="1"/>
      <c r="T523" t="e">
        <f>VLOOKUP(entradas[[#This Row],[Codigo de producto]],productos[],2,FALSE)</f>
        <v>#N/A</v>
      </c>
      <c r="V523" s="1"/>
    </row>
    <row r="524" spans="8:22" x14ac:dyDescent="0.35">
      <c r="H524" s="1"/>
      <c r="L524" t="e">
        <f>VLOOKUP(salidas[[#This Row],[Codigo de producto]],productos[],2,FALSE)</f>
        <v>#N/A</v>
      </c>
      <c r="N524" s="10">
        <f>+salidas[[#This Row],[Cantidad]]*salidas[[#This Row],[Precio U.]]</f>
        <v>0</v>
      </c>
      <c r="P524" s="1"/>
      <c r="T524" t="e">
        <f>VLOOKUP(entradas[[#This Row],[Codigo de producto]],productos[],2,FALSE)</f>
        <v>#N/A</v>
      </c>
      <c r="V524" s="1"/>
    </row>
    <row r="525" spans="8:22" x14ac:dyDescent="0.35">
      <c r="H525" s="1"/>
      <c r="L525" t="e">
        <f>VLOOKUP(salidas[[#This Row],[Codigo de producto]],productos[],2,FALSE)</f>
        <v>#N/A</v>
      </c>
      <c r="N525" s="10">
        <f>+salidas[[#This Row],[Cantidad]]*salidas[[#This Row],[Precio U.]]</f>
        <v>0</v>
      </c>
      <c r="P525" s="1"/>
      <c r="T525" t="e">
        <f>VLOOKUP(entradas[[#This Row],[Codigo de producto]],productos[],2,FALSE)</f>
        <v>#N/A</v>
      </c>
      <c r="V525" s="1"/>
    </row>
    <row r="526" spans="8:22" x14ac:dyDescent="0.35">
      <c r="H526" s="1"/>
      <c r="L526" t="e">
        <f>VLOOKUP(salidas[[#This Row],[Codigo de producto]],productos[],2,FALSE)</f>
        <v>#N/A</v>
      </c>
      <c r="N526" s="10">
        <f>+salidas[[#This Row],[Cantidad]]*salidas[[#This Row],[Precio U.]]</f>
        <v>0</v>
      </c>
      <c r="P526" s="1"/>
      <c r="T526" t="e">
        <f>VLOOKUP(entradas[[#This Row],[Codigo de producto]],productos[],2,FALSE)</f>
        <v>#N/A</v>
      </c>
      <c r="V526" s="1"/>
    </row>
    <row r="527" spans="8:22" x14ac:dyDescent="0.35">
      <c r="H527" s="1"/>
      <c r="L527" t="e">
        <f>VLOOKUP(salidas[[#This Row],[Codigo de producto]],productos[],2,FALSE)</f>
        <v>#N/A</v>
      </c>
      <c r="N527" s="10">
        <f>+salidas[[#This Row],[Cantidad]]*salidas[[#This Row],[Precio U.]]</f>
        <v>0</v>
      </c>
      <c r="P527" s="1"/>
      <c r="T527" t="e">
        <f>VLOOKUP(entradas[[#This Row],[Codigo de producto]],productos[],2,FALSE)</f>
        <v>#N/A</v>
      </c>
      <c r="V527" s="1"/>
    </row>
    <row r="528" spans="8:22" x14ac:dyDescent="0.35">
      <c r="H528" s="1"/>
      <c r="L528" t="e">
        <f>VLOOKUP(salidas[[#This Row],[Codigo de producto]],productos[],2,FALSE)</f>
        <v>#N/A</v>
      </c>
      <c r="N528" s="10">
        <f>+salidas[[#This Row],[Cantidad]]*salidas[[#This Row],[Precio U.]]</f>
        <v>0</v>
      </c>
      <c r="P528" s="1"/>
      <c r="T528" t="e">
        <f>VLOOKUP(entradas[[#This Row],[Codigo de producto]],productos[],2,FALSE)</f>
        <v>#N/A</v>
      </c>
      <c r="V528" s="1"/>
    </row>
    <row r="529" spans="8:22" x14ac:dyDescent="0.35">
      <c r="H529" s="1"/>
      <c r="L529" t="e">
        <f>VLOOKUP(salidas[[#This Row],[Codigo de producto]],productos[],2,FALSE)</f>
        <v>#N/A</v>
      </c>
      <c r="N529" s="10">
        <f>+salidas[[#This Row],[Cantidad]]*salidas[[#This Row],[Precio U.]]</f>
        <v>0</v>
      </c>
      <c r="P529" s="1"/>
      <c r="T529" t="e">
        <f>VLOOKUP(entradas[[#This Row],[Codigo de producto]],productos[],2,FALSE)</f>
        <v>#N/A</v>
      </c>
      <c r="V529" s="1"/>
    </row>
    <row r="530" spans="8:22" x14ac:dyDescent="0.35">
      <c r="H530" s="1"/>
      <c r="L530" t="e">
        <f>VLOOKUP(salidas[[#This Row],[Codigo de producto]],productos[],2,FALSE)</f>
        <v>#N/A</v>
      </c>
      <c r="N530" s="10">
        <f>+salidas[[#This Row],[Cantidad]]*salidas[[#This Row],[Precio U.]]</f>
        <v>0</v>
      </c>
      <c r="P530" s="1"/>
      <c r="T530" t="e">
        <f>VLOOKUP(entradas[[#This Row],[Codigo de producto]],productos[],2,FALSE)</f>
        <v>#N/A</v>
      </c>
      <c r="V530" s="1"/>
    </row>
    <row r="531" spans="8:22" x14ac:dyDescent="0.35">
      <c r="H531" s="1"/>
      <c r="L531" t="e">
        <f>VLOOKUP(salidas[[#This Row],[Codigo de producto]],productos[],2,FALSE)</f>
        <v>#N/A</v>
      </c>
      <c r="N531" s="10">
        <f>+salidas[[#This Row],[Cantidad]]*salidas[[#This Row],[Precio U.]]</f>
        <v>0</v>
      </c>
      <c r="P531" s="1"/>
      <c r="T531" t="e">
        <f>VLOOKUP(entradas[[#This Row],[Codigo de producto]],productos[],2,FALSE)</f>
        <v>#N/A</v>
      </c>
      <c r="V531" s="1"/>
    </row>
    <row r="532" spans="8:22" x14ac:dyDescent="0.35">
      <c r="H532" s="1"/>
      <c r="L532" t="e">
        <f>VLOOKUP(salidas[[#This Row],[Codigo de producto]],productos[],2,FALSE)</f>
        <v>#N/A</v>
      </c>
      <c r="N532" s="10">
        <f>+salidas[[#This Row],[Cantidad]]*salidas[[#This Row],[Precio U.]]</f>
        <v>0</v>
      </c>
      <c r="P532" s="1"/>
      <c r="T532" t="e">
        <f>VLOOKUP(entradas[[#This Row],[Codigo de producto]],productos[],2,FALSE)</f>
        <v>#N/A</v>
      </c>
      <c r="V532" s="1"/>
    </row>
    <row r="533" spans="8:22" x14ac:dyDescent="0.35">
      <c r="H533" s="1"/>
      <c r="L533" t="e">
        <f>VLOOKUP(salidas[[#This Row],[Codigo de producto]],productos[],2,FALSE)</f>
        <v>#N/A</v>
      </c>
      <c r="N533" s="10">
        <f>+salidas[[#This Row],[Cantidad]]*salidas[[#This Row],[Precio U.]]</f>
        <v>0</v>
      </c>
      <c r="P533" s="1"/>
      <c r="T533" t="e">
        <f>VLOOKUP(entradas[[#This Row],[Codigo de producto]],productos[],2,FALSE)</f>
        <v>#N/A</v>
      </c>
      <c r="V533" s="1"/>
    </row>
    <row r="534" spans="8:22" x14ac:dyDescent="0.35">
      <c r="H534" s="1"/>
      <c r="L534" t="e">
        <f>VLOOKUP(salidas[[#This Row],[Codigo de producto]],productos[],2,FALSE)</f>
        <v>#N/A</v>
      </c>
      <c r="N534" s="10">
        <f>+salidas[[#This Row],[Cantidad]]*salidas[[#This Row],[Precio U.]]</f>
        <v>0</v>
      </c>
      <c r="P534" s="1"/>
      <c r="T534" t="e">
        <f>VLOOKUP(entradas[[#This Row],[Codigo de producto]],productos[],2,FALSE)</f>
        <v>#N/A</v>
      </c>
      <c r="V534" s="1"/>
    </row>
    <row r="535" spans="8:22" x14ac:dyDescent="0.35">
      <c r="H535" s="1"/>
      <c r="L535" t="e">
        <f>VLOOKUP(salidas[[#This Row],[Codigo de producto]],productos[],2,FALSE)</f>
        <v>#N/A</v>
      </c>
      <c r="N535" s="10">
        <f>+salidas[[#This Row],[Cantidad]]*salidas[[#This Row],[Precio U.]]</f>
        <v>0</v>
      </c>
      <c r="P535" s="1"/>
      <c r="T535" t="e">
        <f>VLOOKUP(entradas[[#This Row],[Codigo de producto]],productos[],2,FALSE)</f>
        <v>#N/A</v>
      </c>
      <c r="V535" s="1"/>
    </row>
    <row r="536" spans="8:22" x14ac:dyDescent="0.35">
      <c r="H536" s="1"/>
      <c r="L536" t="e">
        <f>VLOOKUP(salidas[[#This Row],[Codigo de producto]],productos[],2,FALSE)</f>
        <v>#N/A</v>
      </c>
      <c r="N536" s="10">
        <f>+salidas[[#This Row],[Cantidad]]*salidas[[#This Row],[Precio U.]]</f>
        <v>0</v>
      </c>
      <c r="P536" s="1"/>
      <c r="T536" t="e">
        <f>VLOOKUP(entradas[[#This Row],[Codigo de producto]],productos[],2,FALSE)</f>
        <v>#N/A</v>
      </c>
      <c r="V536" s="1"/>
    </row>
    <row r="537" spans="8:22" x14ac:dyDescent="0.35">
      <c r="H537" s="1"/>
      <c r="L537" t="e">
        <f>VLOOKUP(salidas[[#This Row],[Codigo de producto]],productos[],2,FALSE)</f>
        <v>#N/A</v>
      </c>
      <c r="N537" s="10">
        <f>+salidas[[#This Row],[Cantidad]]*salidas[[#This Row],[Precio U.]]</f>
        <v>0</v>
      </c>
      <c r="P537" s="1"/>
      <c r="T537" t="e">
        <f>VLOOKUP(entradas[[#This Row],[Codigo de producto]],productos[],2,FALSE)</f>
        <v>#N/A</v>
      </c>
      <c r="V537" s="1"/>
    </row>
    <row r="538" spans="8:22" x14ac:dyDescent="0.35">
      <c r="H538" s="1"/>
      <c r="L538" t="e">
        <f>VLOOKUP(salidas[[#This Row],[Codigo de producto]],productos[],2,FALSE)</f>
        <v>#N/A</v>
      </c>
      <c r="N538" s="10">
        <f>+salidas[[#This Row],[Cantidad]]*salidas[[#This Row],[Precio U.]]</f>
        <v>0</v>
      </c>
      <c r="P538" s="1"/>
      <c r="T538" t="e">
        <f>VLOOKUP(entradas[[#This Row],[Codigo de producto]],productos[],2,FALSE)</f>
        <v>#N/A</v>
      </c>
      <c r="V538" s="1"/>
    </row>
    <row r="539" spans="8:22" x14ac:dyDescent="0.35">
      <c r="H539" s="1"/>
      <c r="L539" t="e">
        <f>VLOOKUP(salidas[[#This Row],[Codigo de producto]],productos[],2,FALSE)</f>
        <v>#N/A</v>
      </c>
      <c r="N539" s="10">
        <f>+salidas[[#This Row],[Cantidad]]*salidas[[#This Row],[Precio U.]]</f>
        <v>0</v>
      </c>
      <c r="P539" s="1"/>
      <c r="T539" t="e">
        <f>VLOOKUP(entradas[[#This Row],[Codigo de producto]],productos[],2,FALSE)</f>
        <v>#N/A</v>
      </c>
      <c r="V539" s="1"/>
    </row>
    <row r="540" spans="8:22" x14ac:dyDescent="0.35">
      <c r="H540" s="1"/>
      <c r="L540" t="e">
        <f>VLOOKUP(salidas[[#This Row],[Codigo de producto]],productos[],2,FALSE)</f>
        <v>#N/A</v>
      </c>
      <c r="N540" s="10">
        <f>+salidas[[#This Row],[Cantidad]]*salidas[[#This Row],[Precio U.]]</f>
        <v>0</v>
      </c>
      <c r="P540" s="1"/>
      <c r="T540" t="e">
        <f>VLOOKUP(entradas[[#This Row],[Codigo de producto]],productos[],2,FALSE)</f>
        <v>#N/A</v>
      </c>
      <c r="V540" s="1"/>
    </row>
    <row r="541" spans="8:22" x14ac:dyDescent="0.35">
      <c r="H541" s="1"/>
      <c r="L541" t="e">
        <f>VLOOKUP(salidas[[#This Row],[Codigo de producto]],productos[],2,FALSE)</f>
        <v>#N/A</v>
      </c>
      <c r="N541" s="10">
        <f>+salidas[[#This Row],[Cantidad]]*salidas[[#This Row],[Precio U.]]</f>
        <v>0</v>
      </c>
      <c r="P541" s="1"/>
      <c r="T541" t="e">
        <f>VLOOKUP(entradas[[#This Row],[Codigo de producto]],productos[],2,FALSE)</f>
        <v>#N/A</v>
      </c>
      <c r="V541" s="1"/>
    </row>
    <row r="542" spans="8:22" x14ac:dyDescent="0.35">
      <c r="H542" s="1"/>
      <c r="L542" t="e">
        <f>VLOOKUP(salidas[[#This Row],[Codigo de producto]],productos[],2,FALSE)</f>
        <v>#N/A</v>
      </c>
      <c r="N542" s="10">
        <f>+salidas[[#This Row],[Cantidad]]*salidas[[#This Row],[Precio U.]]</f>
        <v>0</v>
      </c>
      <c r="P542" s="1"/>
      <c r="T542" t="e">
        <f>VLOOKUP(entradas[[#This Row],[Codigo de producto]],productos[],2,FALSE)</f>
        <v>#N/A</v>
      </c>
      <c r="V542" s="1"/>
    </row>
    <row r="543" spans="8:22" x14ac:dyDescent="0.35">
      <c r="H543" s="1"/>
      <c r="L543" t="e">
        <f>VLOOKUP(salidas[[#This Row],[Codigo de producto]],productos[],2,FALSE)</f>
        <v>#N/A</v>
      </c>
      <c r="N543" s="10">
        <f>+salidas[[#This Row],[Cantidad]]*salidas[[#This Row],[Precio U.]]</f>
        <v>0</v>
      </c>
      <c r="P543" s="1"/>
      <c r="T543" t="e">
        <f>VLOOKUP(entradas[[#This Row],[Codigo de producto]],productos[],2,FALSE)</f>
        <v>#N/A</v>
      </c>
      <c r="V543" s="1"/>
    </row>
    <row r="544" spans="8:22" x14ac:dyDescent="0.35">
      <c r="H544" s="1"/>
      <c r="L544" t="e">
        <f>VLOOKUP(salidas[[#This Row],[Codigo de producto]],productos[],2,FALSE)</f>
        <v>#N/A</v>
      </c>
      <c r="N544" s="10">
        <f>+salidas[[#This Row],[Cantidad]]*salidas[[#This Row],[Precio U.]]</f>
        <v>0</v>
      </c>
      <c r="P544" s="1"/>
      <c r="T544" t="e">
        <f>VLOOKUP(entradas[[#This Row],[Codigo de producto]],productos[],2,FALSE)</f>
        <v>#N/A</v>
      </c>
      <c r="V544" s="1"/>
    </row>
    <row r="545" spans="8:22" x14ac:dyDescent="0.35">
      <c r="H545" s="1"/>
      <c r="L545" t="e">
        <f>VLOOKUP(salidas[[#This Row],[Codigo de producto]],productos[],2,FALSE)</f>
        <v>#N/A</v>
      </c>
      <c r="N545" s="10">
        <f>+salidas[[#This Row],[Cantidad]]*salidas[[#This Row],[Precio U.]]</f>
        <v>0</v>
      </c>
      <c r="P545" s="1"/>
      <c r="T545" t="e">
        <f>VLOOKUP(entradas[[#This Row],[Codigo de producto]],productos[],2,FALSE)</f>
        <v>#N/A</v>
      </c>
      <c r="V545" s="1"/>
    </row>
    <row r="546" spans="8:22" x14ac:dyDescent="0.35">
      <c r="H546" s="1"/>
      <c r="L546" t="e">
        <f>VLOOKUP(salidas[[#This Row],[Codigo de producto]],productos[],2,FALSE)</f>
        <v>#N/A</v>
      </c>
      <c r="N546" s="10">
        <f>+salidas[[#This Row],[Cantidad]]*salidas[[#This Row],[Precio U.]]</f>
        <v>0</v>
      </c>
      <c r="P546" s="1"/>
      <c r="T546" t="e">
        <f>VLOOKUP(entradas[[#This Row],[Codigo de producto]],productos[],2,FALSE)</f>
        <v>#N/A</v>
      </c>
      <c r="V546" s="1"/>
    </row>
    <row r="547" spans="8:22" x14ac:dyDescent="0.35">
      <c r="H547" s="1"/>
      <c r="L547" t="e">
        <f>VLOOKUP(salidas[[#This Row],[Codigo de producto]],productos[],2,FALSE)</f>
        <v>#N/A</v>
      </c>
      <c r="N547" s="10">
        <f>+salidas[[#This Row],[Cantidad]]*salidas[[#This Row],[Precio U.]]</f>
        <v>0</v>
      </c>
      <c r="P547" s="1"/>
      <c r="T547" t="e">
        <f>VLOOKUP(entradas[[#This Row],[Codigo de producto]],productos[],2,FALSE)</f>
        <v>#N/A</v>
      </c>
      <c r="V547" s="1"/>
    </row>
    <row r="548" spans="8:22" x14ac:dyDescent="0.35">
      <c r="H548" s="1"/>
      <c r="L548" t="e">
        <f>VLOOKUP(salidas[[#This Row],[Codigo de producto]],productos[],2,FALSE)</f>
        <v>#N/A</v>
      </c>
      <c r="N548" s="10">
        <f>+salidas[[#This Row],[Cantidad]]*salidas[[#This Row],[Precio U.]]</f>
        <v>0</v>
      </c>
      <c r="P548" s="1"/>
      <c r="T548" t="e">
        <f>VLOOKUP(entradas[[#This Row],[Codigo de producto]],productos[],2,FALSE)</f>
        <v>#N/A</v>
      </c>
      <c r="V548" s="1"/>
    </row>
    <row r="549" spans="8:22" x14ac:dyDescent="0.35">
      <c r="H549" s="1"/>
      <c r="L549" t="e">
        <f>VLOOKUP(salidas[[#This Row],[Codigo de producto]],productos[],2,FALSE)</f>
        <v>#N/A</v>
      </c>
      <c r="N549" s="10">
        <f>+salidas[[#This Row],[Cantidad]]*salidas[[#This Row],[Precio U.]]</f>
        <v>0</v>
      </c>
      <c r="P549" s="1"/>
      <c r="T549" t="e">
        <f>VLOOKUP(entradas[[#This Row],[Codigo de producto]],productos[],2,FALSE)</f>
        <v>#N/A</v>
      </c>
      <c r="V549" s="1"/>
    </row>
    <row r="550" spans="8:22" x14ac:dyDescent="0.35">
      <c r="H550" s="1"/>
      <c r="L550" t="e">
        <f>VLOOKUP(salidas[[#This Row],[Codigo de producto]],productos[],2,FALSE)</f>
        <v>#N/A</v>
      </c>
      <c r="N550" s="10">
        <f>+salidas[[#This Row],[Cantidad]]*salidas[[#This Row],[Precio U.]]</f>
        <v>0</v>
      </c>
      <c r="P550" s="1"/>
      <c r="T550" t="e">
        <f>VLOOKUP(entradas[[#This Row],[Codigo de producto]],productos[],2,FALSE)</f>
        <v>#N/A</v>
      </c>
      <c r="V550" s="1"/>
    </row>
    <row r="551" spans="8:22" x14ac:dyDescent="0.35">
      <c r="H551" s="1"/>
      <c r="L551" t="e">
        <f>VLOOKUP(salidas[[#This Row],[Codigo de producto]],productos[],2,FALSE)</f>
        <v>#N/A</v>
      </c>
      <c r="N551" s="10">
        <f>+salidas[[#This Row],[Cantidad]]*salidas[[#This Row],[Precio U.]]</f>
        <v>0</v>
      </c>
      <c r="P551" s="1"/>
      <c r="T551" t="e">
        <f>VLOOKUP(entradas[[#This Row],[Codigo de producto]],productos[],2,FALSE)</f>
        <v>#N/A</v>
      </c>
      <c r="V551" s="1"/>
    </row>
    <row r="552" spans="8:22" x14ac:dyDescent="0.35">
      <c r="H552" s="1"/>
      <c r="L552" t="e">
        <f>VLOOKUP(salidas[[#This Row],[Codigo de producto]],productos[],2,FALSE)</f>
        <v>#N/A</v>
      </c>
      <c r="N552" s="10">
        <f>+salidas[[#This Row],[Cantidad]]*salidas[[#This Row],[Precio U.]]</f>
        <v>0</v>
      </c>
      <c r="P552" s="1"/>
      <c r="T552" t="e">
        <f>VLOOKUP(entradas[[#This Row],[Codigo de producto]],productos[],2,FALSE)</f>
        <v>#N/A</v>
      </c>
      <c r="V552" s="1"/>
    </row>
    <row r="553" spans="8:22" x14ac:dyDescent="0.35">
      <c r="H553" s="1"/>
      <c r="L553" t="e">
        <f>VLOOKUP(salidas[[#This Row],[Codigo de producto]],productos[],2,FALSE)</f>
        <v>#N/A</v>
      </c>
      <c r="N553" s="10">
        <f>+salidas[[#This Row],[Cantidad]]*salidas[[#This Row],[Precio U.]]</f>
        <v>0</v>
      </c>
      <c r="P553" s="1"/>
      <c r="T553" t="e">
        <f>VLOOKUP(entradas[[#This Row],[Codigo de producto]],productos[],2,FALSE)</f>
        <v>#N/A</v>
      </c>
      <c r="V553" s="1"/>
    </row>
    <row r="554" spans="8:22" x14ac:dyDescent="0.35">
      <c r="H554" s="1"/>
      <c r="L554" t="e">
        <f>VLOOKUP(salidas[[#This Row],[Codigo de producto]],productos[],2,FALSE)</f>
        <v>#N/A</v>
      </c>
      <c r="N554" s="10">
        <f>+salidas[[#This Row],[Cantidad]]*salidas[[#This Row],[Precio U.]]</f>
        <v>0</v>
      </c>
      <c r="P554" s="1"/>
      <c r="T554" t="e">
        <f>VLOOKUP(entradas[[#This Row],[Codigo de producto]],productos[],2,FALSE)</f>
        <v>#N/A</v>
      </c>
      <c r="V554" s="1"/>
    </row>
    <row r="555" spans="8:22" x14ac:dyDescent="0.35">
      <c r="H555" s="1"/>
      <c r="L555" t="e">
        <f>VLOOKUP(salidas[[#This Row],[Codigo de producto]],productos[],2,FALSE)</f>
        <v>#N/A</v>
      </c>
      <c r="N555" s="10">
        <f>+salidas[[#This Row],[Cantidad]]*salidas[[#This Row],[Precio U.]]</f>
        <v>0</v>
      </c>
      <c r="P555" s="1"/>
      <c r="T555" t="e">
        <f>VLOOKUP(entradas[[#This Row],[Codigo de producto]],productos[],2,FALSE)</f>
        <v>#N/A</v>
      </c>
      <c r="V555" s="1"/>
    </row>
    <row r="556" spans="8:22" x14ac:dyDescent="0.35">
      <c r="H556" s="1"/>
      <c r="L556" t="e">
        <f>VLOOKUP(salidas[[#This Row],[Codigo de producto]],productos[],2,FALSE)</f>
        <v>#N/A</v>
      </c>
      <c r="N556" s="10">
        <f>+salidas[[#This Row],[Cantidad]]*salidas[[#This Row],[Precio U.]]</f>
        <v>0</v>
      </c>
      <c r="P556" s="1"/>
      <c r="T556" t="e">
        <f>VLOOKUP(entradas[[#This Row],[Codigo de producto]],productos[],2,FALSE)</f>
        <v>#N/A</v>
      </c>
      <c r="V556" s="1"/>
    </row>
    <row r="557" spans="8:22" x14ac:dyDescent="0.35">
      <c r="H557" s="1"/>
      <c r="L557" t="e">
        <f>VLOOKUP(salidas[[#This Row],[Codigo de producto]],productos[],2,FALSE)</f>
        <v>#N/A</v>
      </c>
      <c r="N557" s="10">
        <f>+salidas[[#This Row],[Cantidad]]*salidas[[#This Row],[Precio U.]]</f>
        <v>0</v>
      </c>
      <c r="P557" s="1"/>
      <c r="T557" t="e">
        <f>VLOOKUP(entradas[[#This Row],[Codigo de producto]],productos[],2,FALSE)</f>
        <v>#N/A</v>
      </c>
      <c r="V557" s="1"/>
    </row>
    <row r="558" spans="8:22" x14ac:dyDescent="0.35">
      <c r="H558" s="1"/>
      <c r="L558" t="e">
        <f>VLOOKUP(salidas[[#This Row],[Codigo de producto]],productos[],2,FALSE)</f>
        <v>#N/A</v>
      </c>
      <c r="N558" s="10">
        <f>+salidas[[#This Row],[Cantidad]]*salidas[[#This Row],[Precio U.]]</f>
        <v>0</v>
      </c>
      <c r="P558" s="1"/>
      <c r="T558" t="e">
        <f>VLOOKUP(entradas[[#This Row],[Codigo de producto]],productos[],2,FALSE)</f>
        <v>#N/A</v>
      </c>
      <c r="V558" s="1"/>
    </row>
    <row r="559" spans="8:22" x14ac:dyDescent="0.35">
      <c r="H559" s="1"/>
      <c r="L559" t="e">
        <f>VLOOKUP(salidas[[#This Row],[Codigo de producto]],productos[],2,FALSE)</f>
        <v>#N/A</v>
      </c>
      <c r="N559" s="10">
        <f>+salidas[[#This Row],[Cantidad]]*salidas[[#This Row],[Precio U.]]</f>
        <v>0</v>
      </c>
      <c r="P559" s="1"/>
      <c r="T559" t="e">
        <f>VLOOKUP(entradas[[#This Row],[Codigo de producto]],productos[],2,FALSE)</f>
        <v>#N/A</v>
      </c>
      <c r="V559" s="1"/>
    </row>
    <row r="560" spans="8:22" x14ac:dyDescent="0.35">
      <c r="H560" s="1"/>
      <c r="L560" t="e">
        <f>VLOOKUP(salidas[[#This Row],[Codigo de producto]],productos[],2,FALSE)</f>
        <v>#N/A</v>
      </c>
      <c r="N560" s="10">
        <f>+salidas[[#This Row],[Cantidad]]*salidas[[#This Row],[Precio U.]]</f>
        <v>0</v>
      </c>
      <c r="P560" s="1"/>
      <c r="T560" t="e">
        <f>VLOOKUP(entradas[[#This Row],[Codigo de producto]],productos[],2,FALSE)</f>
        <v>#N/A</v>
      </c>
      <c r="V560" s="1"/>
    </row>
    <row r="561" spans="8:22" x14ac:dyDescent="0.35">
      <c r="H561" s="1"/>
      <c r="L561" t="e">
        <f>VLOOKUP(salidas[[#This Row],[Codigo de producto]],productos[],2,FALSE)</f>
        <v>#N/A</v>
      </c>
      <c r="N561" s="10">
        <f>+salidas[[#This Row],[Cantidad]]*salidas[[#This Row],[Precio U.]]</f>
        <v>0</v>
      </c>
      <c r="P561" s="1"/>
      <c r="T561" t="e">
        <f>VLOOKUP(entradas[[#This Row],[Codigo de producto]],productos[],2,FALSE)</f>
        <v>#N/A</v>
      </c>
      <c r="V561" s="1"/>
    </row>
    <row r="562" spans="8:22" x14ac:dyDescent="0.35">
      <c r="H562" s="1"/>
      <c r="L562" t="e">
        <f>VLOOKUP(salidas[[#This Row],[Codigo de producto]],productos[],2,FALSE)</f>
        <v>#N/A</v>
      </c>
      <c r="N562" s="10">
        <f>+salidas[[#This Row],[Cantidad]]*salidas[[#This Row],[Precio U.]]</f>
        <v>0</v>
      </c>
      <c r="P562" s="1"/>
      <c r="T562" t="e">
        <f>VLOOKUP(entradas[[#This Row],[Codigo de producto]],productos[],2,FALSE)</f>
        <v>#N/A</v>
      </c>
      <c r="V562" s="1"/>
    </row>
    <row r="563" spans="8:22" x14ac:dyDescent="0.35">
      <c r="H563" s="1"/>
      <c r="L563" t="e">
        <f>VLOOKUP(salidas[[#This Row],[Codigo de producto]],productos[],2,FALSE)</f>
        <v>#N/A</v>
      </c>
      <c r="N563" s="10">
        <f>+salidas[[#This Row],[Cantidad]]*salidas[[#This Row],[Precio U.]]</f>
        <v>0</v>
      </c>
      <c r="P563" s="1"/>
      <c r="T563" t="e">
        <f>VLOOKUP(entradas[[#This Row],[Codigo de producto]],productos[],2,FALSE)</f>
        <v>#N/A</v>
      </c>
      <c r="V563" s="1"/>
    </row>
    <row r="564" spans="8:22" x14ac:dyDescent="0.35">
      <c r="H564" s="1"/>
      <c r="L564" t="e">
        <f>VLOOKUP(salidas[[#This Row],[Codigo de producto]],productos[],2,FALSE)</f>
        <v>#N/A</v>
      </c>
      <c r="N564" s="10">
        <f>+salidas[[#This Row],[Cantidad]]*salidas[[#This Row],[Precio U.]]</f>
        <v>0</v>
      </c>
      <c r="P564" s="1"/>
      <c r="T564" t="e">
        <f>VLOOKUP(entradas[[#This Row],[Codigo de producto]],productos[],2,FALSE)</f>
        <v>#N/A</v>
      </c>
      <c r="V564" s="1"/>
    </row>
    <row r="565" spans="8:22" x14ac:dyDescent="0.35">
      <c r="H565" s="1"/>
      <c r="L565" t="e">
        <f>VLOOKUP(salidas[[#This Row],[Codigo de producto]],productos[],2,FALSE)</f>
        <v>#N/A</v>
      </c>
      <c r="N565" s="10">
        <f>+salidas[[#This Row],[Cantidad]]*salidas[[#This Row],[Precio U.]]</f>
        <v>0</v>
      </c>
      <c r="P565" s="1"/>
      <c r="T565" t="e">
        <f>VLOOKUP(entradas[[#This Row],[Codigo de producto]],productos[],2,FALSE)</f>
        <v>#N/A</v>
      </c>
      <c r="V565" s="1"/>
    </row>
    <row r="566" spans="8:22" x14ac:dyDescent="0.35">
      <c r="H566" s="1"/>
      <c r="L566" t="e">
        <f>VLOOKUP(salidas[[#This Row],[Codigo de producto]],productos[],2,FALSE)</f>
        <v>#N/A</v>
      </c>
      <c r="N566" s="10">
        <f>+salidas[[#This Row],[Cantidad]]*salidas[[#This Row],[Precio U.]]</f>
        <v>0</v>
      </c>
      <c r="P566" s="1"/>
      <c r="T566" t="e">
        <f>VLOOKUP(entradas[[#This Row],[Codigo de producto]],productos[],2,FALSE)</f>
        <v>#N/A</v>
      </c>
      <c r="V566" s="1"/>
    </row>
    <row r="567" spans="8:22" x14ac:dyDescent="0.35">
      <c r="H567" s="1"/>
      <c r="L567" t="e">
        <f>VLOOKUP(salidas[[#This Row],[Codigo de producto]],productos[],2,FALSE)</f>
        <v>#N/A</v>
      </c>
      <c r="N567" s="10">
        <f>+salidas[[#This Row],[Cantidad]]*salidas[[#This Row],[Precio U.]]</f>
        <v>0</v>
      </c>
      <c r="P567" s="1"/>
      <c r="T567" t="e">
        <f>VLOOKUP(entradas[[#This Row],[Codigo de producto]],productos[],2,FALSE)</f>
        <v>#N/A</v>
      </c>
      <c r="V567" s="1"/>
    </row>
    <row r="568" spans="8:22" x14ac:dyDescent="0.35">
      <c r="H568" s="1"/>
      <c r="L568" t="e">
        <f>VLOOKUP(salidas[[#This Row],[Codigo de producto]],productos[],2,FALSE)</f>
        <v>#N/A</v>
      </c>
      <c r="N568" s="10">
        <f>+salidas[[#This Row],[Cantidad]]*salidas[[#This Row],[Precio U.]]</f>
        <v>0</v>
      </c>
      <c r="P568" s="1"/>
      <c r="T568" t="e">
        <f>VLOOKUP(entradas[[#This Row],[Codigo de producto]],productos[],2,FALSE)</f>
        <v>#N/A</v>
      </c>
      <c r="V568" s="1"/>
    </row>
    <row r="569" spans="8:22" x14ac:dyDescent="0.35">
      <c r="H569" s="1"/>
      <c r="L569" t="e">
        <f>VLOOKUP(salidas[[#This Row],[Codigo de producto]],productos[],2,FALSE)</f>
        <v>#N/A</v>
      </c>
      <c r="N569" s="10">
        <f>+salidas[[#This Row],[Cantidad]]*salidas[[#This Row],[Precio U.]]</f>
        <v>0</v>
      </c>
      <c r="P569" s="1"/>
      <c r="T569" t="e">
        <f>VLOOKUP(entradas[[#This Row],[Codigo de producto]],productos[],2,FALSE)</f>
        <v>#N/A</v>
      </c>
      <c r="V569" s="1"/>
    </row>
    <row r="570" spans="8:22" x14ac:dyDescent="0.35">
      <c r="H570" s="1"/>
      <c r="L570" t="e">
        <f>VLOOKUP(salidas[[#This Row],[Codigo de producto]],productos[],2,FALSE)</f>
        <v>#N/A</v>
      </c>
      <c r="N570" s="10">
        <f>+salidas[[#This Row],[Cantidad]]*salidas[[#This Row],[Precio U.]]</f>
        <v>0</v>
      </c>
      <c r="P570" s="1"/>
      <c r="T570" t="e">
        <f>VLOOKUP(entradas[[#This Row],[Codigo de producto]],productos[],2,FALSE)</f>
        <v>#N/A</v>
      </c>
      <c r="V570" s="1"/>
    </row>
    <row r="571" spans="8:22" x14ac:dyDescent="0.35">
      <c r="H571" s="1"/>
      <c r="L571" t="e">
        <f>VLOOKUP(salidas[[#This Row],[Codigo de producto]],productos[],2,FALSE)</f>
        <v>#N/A</v>
      </c>
      <c r="N571" s="10">
        <f>+salidas[[#This Row],[Cantidad]]*salidas[[#This Row],[Precio U.]]</f>
        <v>0</v>
      </c>
      <c r="P571" s="1"/>
      <c r="T571" t="e">
        <f>VLOOKUP(entradas[[#This Row],[Codigo de producto]],productos[],2,FALSE)</f>
        <v>#N/A</v>
      </c>
      <c r="V571" s="1"/>
    </row>
    <row r="572" spans="8:22" x14ac:dyDescent="0.35">
      <c r="H572" s="1"/>
      <c r="L572" t="e">
        <f>VLOOKUP(salidas[[#This Row],[Codigo de producto]],productos[],2,FALSE)</f>
        <v>#N/A</v>
      </c>
      <c r="N572" s="10">
        <f>+salidas[[#This Row],[Cantidad]]*salidas[[#This Row],[Precio U.]]</f>
        <v>0</v>
      </c>
      <c r="P572" s="1"/>
      <c r="T572" t="e">
        <f>VLOOKUP(entradas[[#This Row],[Codigo de producto]],productos[],2,FALSE)</f>
        <v>#N/A</v>
      </c>
      <c r="V572" s="1"/>
    </row>
    <row r="573" spans="8:22" x14ac:dyDescent="0.35">
      <c r="H573" s="1"/>
      <c r="L573" t="e">
        <f>VLOOKUP(salidas[[#This Row],[Codigo de producto]],productos[],2,FALSE)</f>
        <v>#N/A</v>
      </c>
      <c r="N573" s="10">
        <f>+salidas[[#This Row],[Cantidad]]*salidas[[#This Row],[Precio U.]]</f>
        <v>0</v>
      </c>
      <c r="P573" s="1"/>
      <c r="T573" t="e">
        <f>VLOOKUP(entradas[[#This Row],[Codigo de producto]],productos[],2,FALSE)</f>
        <v>#N/A</v>
      </c>
      <c r="V573" s="1"/>
    </row>
    <row r="574" spans="8:22" x14ac:dyDescent="0.35">
      <c r="H574" s="1"/>
      <c r="L574" t="e">
        <f>VLOOKUP(salidas[[#This Row],[Codigo de producto]],productos[],2,FALSE)</f>
        <v>#N/A</v>
      </c>
      <c r="N574" s="10">
        <f>+salidas[[#This Row],[Cantidad]]*salidas[[#This Row],[Precio U.]]</f>
        <v>0</v>
      </c>
      <c r="P574" s="1"/>
      <c r="T574" t="e">
        <f>VLOOKUP(entradas[[#This Row],[Codigo de producto]],productos[],2,FALSE)</f>
        <v>#N/A</v>
      </c>
      <c r="V574" s="1"/>
    </row>
    <row r="575" spans="8:22" x14ac:dyDescent="0.35">
      <c r="H575" s="1"/>
      <c r="L575" t="e">
        <f>VLOOKUP(salidas[[#This Row],[Codigo de producto]],productos[],2,FALSE)</f>
        <v>#N/A</v>
      </c>
      <c r="N575" s="10">
        <f>+salidas[[#This Row],[Cantidad]]*salidas[[#This Row],[Precio U.]]</f>
        <v>0</v>
      </c>
      <c r="P575" s="1"/>
      <c r="T575" t="e">
        <f>VLOOKUP(entradas[[#This Row],[Codigo de producto]],productos[],2,FALSE)</f>
        <v>#N/A</v>
      </c>
      <c r="V575" s="1"/>
    </row>
    <row r="576" spans="8:22" x14ac:dyDescent="0.35">
      <c r="H576" s="1"/>
      <c r="L576" t="e">
        <f>VLOOKUP(salidas[[#This Row],[Codigo de producto]],productos[],2,FALSE)</f>
        <v>#N/A</v>
      </c>
      <c r="N576" s="10">
        <f>+salidas[[#This Row],[Cantidad]]*salidas[[#This Row],[Precio U.]]</f>
        <v>0</v>
      </c>
      <c r="P576" s="1"/>
      <c r="T576" t="e">
        <f>VLOOKUP(entradas[[#This Row],[Codigo de producto]],productos[],2,FALSE)</f>
        <v>#N/A</v>
      </c>
      <c r="V576" s="1"/>
    </row>
    <row r="577" spans="8:22" x14ac:dyDescent="0.35">
      <c r="H577" s="1"/>
      <c r="L577" t="e">
        <f>VLOOKUP(salidas[[#This Row],[Codigo de producto]],productos[],2,FALSE)</f>
        <v>#N/A</v>
      </c>
      <c r="N577" s="10">
        <f>+salidas[[#This Row],[Cantidad]]*salidas[[#This Row],[Precio U.]]</f>
        <v>0</v>
      </c>
      <c r="P577" s="1"/>
      <c r="T577" t="e">
        <f>VLOOKUP(entradas[[#This Row],[Codigo de producto]],productos[],2,FALSE)</f>
        <v>#N/A</v>
      </c>
      <c r="V577" s="1"/>
    </row>
    <row r="578" spans="8:22" x14ac:dyDescent="0.35">
      <c r="H578" s="1"/>
      <c r="L578" t="e">
        <f>VLOOKUP(salidas[[#This Row],[Codigo de producto]],productos[],2,FALSE)</f>
        <v>#N/A</v>
      </c>
      <c r="N578" s="10">
        <f>+salidas[[#This Row],[Cantidad]]*salidas[[#This Row],[Precio U.]]</f>
        <v>0</v>
      </c>
      <c r="P578" s="1"/>
      <c r="T578" t="e">
        <f>VLOOKUP(entradas[[#This Row],[Codigo de producto]],productos[],2,FALSE)</f>
        <v>#N/A</v>
      </c>
      <c r="V578" s="1"/>
    </row>
    <row r="579" spans="8:22" x14ac:dyDescent="0.35">
      <c r="H579" s="1"/>
      <c r="L579" t="e">
        <f>VLOOKUP(salidas[[#This Row],[Codigo de producto]],productos[],2,FALSE)</f>
        <v>#N/A</v>
      </c>
      <c r="N579" s="10">
        <f>+salidas[[#This Row],[Cantidad]]*salidas[[#This Row],[Precio U.]]</f>
        <v>0</v>
      </c>
      <c r="P579" s="1"/>
      <c r="T579" t="e">
        <f>VLOOKUP(entradas[[#This Row],[Codigo de producto]],productos[],2,FALSE)</f>
        <v>#N/A</v>
      </c>
      <c r="V579" s="1"/>
    </row>
    <row r="580" spans="8:22" x14ac:dyDescent="0.35">
      <c r="H580" s="1"/>
      <c r="L580" t="e">
        <f>VLOOKUP(salidas[[#This Row],[Codigo de producto]],productos[],2,FALSE)</f>
        <v>#N/A</v>
      </c>
      <c r="N580" s="10">
        <f>+salidas[[#This Row],[Cantidad]]*salidas[[#This Row],[Precio U.]]</f>
        <v>0</v>
      </c>
      <c r="P580" s="1"/>
      <c r="T580" t="e">
        <f>VLOOKUP(entradas[[#This Row],[Codigo de producto]],productos[],2,FALSE)</f>
        <v>#N/A</v>
      </c>
      <c r="V580" s="1"/>
    </row>
    <row r="581" spans="8:22" x14ac:dyDescent="0.35">
      <c r="H581" s="1"/>
      <c r="L581" t="e">
        <f>VLOOKUP(salidas[[#This Row],[Codigo de producto]],productos[],2,FALSE)</f>
        <v>#N/A</v>
      </c>
      <c r="N581" s="10">
        <f>+salidas[[#This Row],[Cantidad]]*salidas[[#This Row],[Precio U.]]</f>
        <v>0</v>
      </c>
      <c r="P581" s="1"/>
      <c r="T581" t="e">
        <f>VLOOKUP(entradas[[#This Row],[Codigo de producto]],productos[],2,FALSE)</f>
        <v>#N/A</v>
      </c>
      <c r="V581" s="1"/>
    </row>
    <row r="582" spans="8:22" x14ac:dyDescent="0.35">
      <c r="H582" s="1"/>
      <c r="L582" t="e">
        <f>VLOOKUP(salidas[[#This Row],[Codigo de producto]],productos[],2,FALSE)</f>
        <v>#N/A</v>
      </c>
      <c r="N582" s="10">
        <f>+salidas[[#This Row],[Cantidad]]*salidas[[#This Row],[Precio U.]]</f>
        <v>0</v>
      </c>
      <c r="P582" s="1"/>
      <c r="T582" t="e">
        <f>VLOOKUP(entradas[[#This Row],[Codigo de producto]],productos[],2,FALSE)</f>
        <v>#N/A</v>
      </c>
      <c r="V582" s="1"/>
    </row>
    <row r="583" spans="8:22" x14ac:dyDescent="0.35">
      <c r="H583" s="1"/>
      <c r="L583" t="e">
        <f>VLOOKUP(salidas[[#This Row],[Codigo de producto]],productos[],2,FALSE)</f>
        <v>#N/A</v>
      </c>
      <c r="N583" s="10">
        <f>+salidas[[#This Row],[Cantidad]]*salidas[[#This Row],[Precio U.]]</f>
        <v>0</v>
      </c>
      <c r="P583" s="1"/>
      <c r="T583" t="e">
        <f>VLOOKUP(entradas[[#This Row],[Codigo de producto]],productos[],2,FALSE)</f>
        <v>#N/A</v>
      </c>
      <c r="V583" s="1"/>
    </row>
    <row r="584" spans="8:22" x14ac:dyDescent="0.35">
      <c r="H584" s="1"/>
      <c r="L584" t="e">
        <f>VLOOKUP(salidas[[#This Row],[Codigo de producto]],productos[],2,FALSE)</f>
        <v>#N/A</v>
      </c>
      <c r="N584" s="10">
        <f>+salidas[[#This Row],[Cantidad]]*salidas[[#This Row],[Precio U.]]</f>
        <v>0</v>
      </c>
      <c r="P584" s="1"/>
      <c r="T584" t="e">
        <f>VLOOKUP(entradas[[#This Row],[Codigo de producto]],productos[],2,FALSE)</f>
        <v>#N/A</v>
      </c>
      <c r="V584" s="1"/>
    </row>
    <row r="585" spans="8:22" x14ac:dyDescent="0.35">
      <c r="H585" s="1"/>
      <c r="L585" t="e">
        <f>VLOOKUP(salidas[[#This Row],[Codigo de producto]],productos[],2,FALSE)</f>
        <v>#N/A</v>
      </c>
      <c r="N585" s="10">
        <f>+salidas[[#This Row],[Cantidad]]*salidas[[#This Row],[Precio U.]]</f>
        <v>0</v>
      </c>
      <c r="P585" s="1"/>
      <c r="T585" t="e">
        <f>VLOOKUP(entradas[[#This Row],[Codigo de producto]],productos[],2,FALSE)</f>
        <v>#N/A</v>
      </c>
      <c r="V585" s="1"/>
    </row>
    <row r="586" spans="8:22" x14ac:dyDescent="0.35">
      <c r="H586" s="1"/>
      <c r="L586" t="e">
        <f>VLOOKUP(salidas[[#This Row],[Codigo de producto]],productos[],2,FALSE)</f>
        <v>#N/A</v>
      </c>
      <c r="N586" s="10">
        <f>+salidas[[#This Row],[Cantidad]]*salidas[[#This Row],[Precio U.]]</f>
        <v>0</v>
      </c>
      <c r="P586" s="1"/>
      <c r="T586" t="e">
        <f>VLOOKUP(entradas[[#This Row],[Codigo de producto]],productos[],2,FALSE)</f>
        <v>#N/A</v>
      </c>
      <c r="V586" s="1"/>
    </row>
    <row r="587" spans="8:22" x14ac:dyDescent="0.35">
      <c r="H587" s="1"/>
      <c r="L587" t="e">
        <f>VLOOKUP(salidas[[#This Row],[Codigo de producto]],productos[],2,FALSE)</f>
        <v>#N/A</v>
      </c>
      <c r="N587" s="10">
        <f>+salidas[[#This Row],[Cantidad]]*salidas[[#This Row],[Precio U.]]</f>
        <v>0</v>
      </c>
      <c r="P587" s="1"/>
      <c r="T587" t="e">
        <f>VLOOKUP(entradas[[#This Row],[Codigo de producto]],productos[],2,FALSE)</f>
        <v>#N/A</v>
      </c>
      <c r="V587" s="1"/>
    </row>
    <row r="588" spans="8:22" x14ac:dyDescent="0.35">
      <c r="H588" s="1"/>
      <c r="L588" t="e">
        <f>VLOOKUP(salidas[[#This Row],[Codigo de producto]],productos[],2,FALSE)</f>
        <v>#N/A</v>
      </c>
      <c r="N588" s="10">
        <f>+salidas[[#This Row],[Cantidad]]*salidas[[#This Row],[Precio U.]]</f>
        <v>0</v>
      </c>
      <c r="P588" s="1"/>
      <c r="T588" t="e">
        <f>VLOOKUP(entradas[[#This Row],[Codigo de producto]],productos[],2,FALSE)</f>
        <v>#N/A</v>
      </c>
      <c r="V588" s="1"/>
    </row>
    <row r="589" spans="8:22" x14ac:dyDescent="0.35">
      <c r="H589" s="1"/>
      <c r="L589" t="e">
        <f>VLOOKUP(salidas[[#This Row],[Codigo de producto]],productos[],2,FALSE)</f>
        <v>#N/A</v>
      </c>
      <c r="N589" s="10">
        <f>+salidas[[#This Row],[Cantidad]]*salidas[[#This Row],[Precio U.]]</f>
        <v>0</v>
      </c>
      <c r="P589" s="1"/>
      <c r="T589" t="e">
        <f>VLOOKUP(entradas[[#This Row],[Codigo de producto]],productos[],2,FALSE)</f>
        <v>#N/A</v>
      </c>
      <c r="V589" s="1"/>
    </row>
    <row r="590" spans="8:22" x14ac:dyDescent="0.35">
      <c r="H590" s="1"/>
      <c r="L590" t="e">
        <f>VLOOKUP(salidas[[#This Row],[Codigo de producto]],productos[],2,FALSE)</f>
        <v>#N/A</v>
      </c>
      <c r="N590" s="10">
        <f>+salidas[[#This Row],[Cantidad]]*salidas[[#This Row],[Precio U.]]</f>
        <v>0</v>
      </c>
      <c r="P590" s="1"/>
      <c r="T590" t="e">
        <f>VLOOKUP(entradas[[#This Row],[Codigo de producto]],productos[],2,FALSE)</f>
        <v>#N/A</v>
      </c>
      <c r="V590" s="1"/>
    </row>
    <row r="591" spans="8:22" x14ac:dyDescent="0.35">
      <c r="H591" s="1"/>
      <c r="L591" t="e">
        <f>VLOOKUP(salidas[[#This Row],[Codigo de producto]],productos[],2,FALSE)</f>
        <v>#N/A</v>
      </c>
      <c r="N591" s="10">
        <f>+salidas[[#This Row],[Cantidad]]*salidas[[#This Row],[Precio U.]]</f>
        <v>0</v>
      </c>
      <c r="P591" s="1"/>
      <c r="T591" t="e">
        <f>VLOOKUP(entradas[[#This Row],[Codigo de producto]],productos[],2,FALSE)</f>
        <v>#N/A</v>
      </c>
      <c r="V591" s="1"/>
    </row>
    <row r="592" spans="8:22" x14ac:dyDescent="0.35">
      <c r="H592" s="1"/>
      <c r="L592" t="e">
        <f>VLOOKUP(salidas[[#This Row],[Codigo de producto]],productos[],2,FALSE)</f>
        <v>#N/A</v>
      </c>
      <c r="N592" s="10">
        <f>+salidas[[#This Row],[Cantidad]]*salidas[[#This Row],[Precio U.]]</f>
        <v>0</v>
      </c>
      <c r="P592" s="1"/>
      <c r="T592" t="e">
        <f>VLOOKUP(entradas[[#This Row],[Codigo de producto]],productos[],2,FALSE)</f>
        <v>#N/A</v>
      </c>
      <c r="V592" s="1"/>
    </row>
    <row r="593" spans="8:22" x14ac:dyDescent="0.35">
      <c r="H593" s="1"/>
      <c r="L593" t="e">
        <f>VLOOKUP(salidas[[#This Row],[Codigo de producto]],productos[],2,FALSE)</f>
        <v>#N/A</v>
      </c>
      <c r="N593" s="10">
        <f>+salidas[[#This Row],[Cantidad]]*salidas[[#This Row],[Precio U.]]</f>
        <v>0</v>
      </c>
      <c r="P593" s="1"/>
      <c r="T593" t="e">
        <f>VLOOKUP(entradas[[#This Row],[Codigo de producto]],productos[],2,FALSE)</f>
        <v>#N/A</v>
      </c>
      <c r="V593" s="1"/>
    </row>
    <row r="594" spans="8:22" x14ac:dyDescent="0.35">
      <c r="H594" s="1"/>
      <c r="L594" t="e">
        <f>VLOOKUP(salidas[[#This Row],[Codigo de producto]],productos[],2,FALSE)</f>
        <v>#N/A</v>
      </c>
      <c r="N594" s="10">
        <f>+salidas[[#This Row],[Cantidad]]*salidas[[#This Row],[Precio U.]]</f>
        <v>0</v>
      </c>
      <c r="P594" s="1"/>
      <c r="T594" t="e">
        <f>VLOOKUP(entradas[[#This Row],[Codigo de producto]],productos[],2,FALSE)</f>
        <v>#N/A</v>
      </c>
      <c r="V594" s="1"/>
    </row>
    <row r="595" spans="8:22" x14ac:dyDescent="0.35">
      <c r="H595" s="1"/>
      <c r="L595" t="e">
        <f>VLOOKUP(salidas[[#This Row],[Codigo de producto]],productos[],2,FALSE)</f>
        <v>#N/A</v>
      </c>
      <c r="N595" s="10">
        <f>+salidas[[#This Row],[Cantidad]]*salidas[[#This Row],[Precio U.]]</f>
        <v>0</v>
      </c>
      <c r="P595" s="1"/>
      <c r="T595" t="e">
        <f>VLOOKUP(entradas[[#This Row],[Codigo de producto]],productos[],2,FALSE)</f>
        <v>#N/A</v>
      </c>
      <c r="V595" s="1"/>
    </row>
    <row r="596" spans="8:22" x14ac:dyDescent="0.35">
      <c r="H596" s="1"/>
      <c r="L596" t="e">
        <f>VLOOKUP(salidas[[#This Row],[Codigo de producto]],productos[],2,FALSE)</f>
        <v>#N/A</v>
      </c>
      <c r="N596" s="10">
        <f>+salidas[[#This Row],[Cantidad]]*salidas[[#This Row],[Precio U.]]</f>
        <v>0</v>
      </c>
      <c r="P596" s="1"/>
      <c r="T596" t="e">
        <f>VLOOKUP(entradas[[#This Row],[Codigo de producto]],productos[],2,FALSE)</f>
        <v>#N/A</v>
      </c>
      <c r="V596" s="1"/>
    </row>
    <row r="597" spans="8:22" x14ac:dyDescent="0.35">
      <c r="H597" s="1"/>
      <c r="L597" t="e">
        <f>VLOOKUP(salidas[[#This Row],[Codigo de producto]],productos[],2,FALSE)</f>
        <v>#N/A</v>
      </c>
      <c r="N597" s="10">
        <f>+salidas[[#This Row],[Cantidad]]*salidas[[#This Row],[Precio U.]]</f>
        <v>0</v>
      </c>
      <c r="P597" s="1"/>
      <c r="T597" t="e">
        <f>VLOOKUP(entradas[[#This Row],[Codigo de producto]],productos[],2,FALSE)</f>
        <v>#N/A</v>
      </c>
      <c r="V597" s="1"/>
    </row>
    <row r="598" spans="8:22" x14ac:dyDescent="0.35">
      <c r="H598" s="1"/>
      <c r="L598" t="e">
        <f>VLOOKUP(salidas[[#This Row],[Codigo de producto]],productos[],2,FALSE)</f>
        <v>#N/A</v>
      </c>
      <c r="N598" s="10">
        <f>+salidas[[#This Row],[Cantidad]]*salidas[[#This Row],[Precio U.]]</f>
        <v>0</v>
      </c>
      <c r="P598" s="1"/>
      <c r="T598" t="e">
        <f>VLOOKUP(entradas[[#This Row],[Codigo de producto]],productos[],2,FALSE)</f>
        <v>#N/A</v>
      </c>
      <c r="V598" s="1"/>
    </row>
    <row r="599" spans="8:22" x14ac:dyDescent="0.35">
      <c r="H599" s="1"/>
      <c r="L599" t="e">
        <f>VLOOKUP(salidas[[#This Row],[Codigo de producto]],productos[],2,FALSE)</f>
        <v>#N/A</v>
      </c>
      <c r="N599" s="10">
        <f>+salidas[[#This Row],[Cantidad]]*salidas[[#This Row],[Precio U.]]</f>
        <v>0</v>
      </c>
      <c r="P599" s="1"/>
      <c r="T599" t="e">
        <f>VLOOKUP(entradas[[#This Row],[Codigo de producto]],productos[],2,FALSE)</f>
        <v>#N/A</v>
      </c>
      <c r="V599" s="1"/>
    </row>
    <row r="600" spans="8:22" x14ac:dyDescent="0.35">
      <c r="H600" s="1"/>
      <c r="L600" t="e">
        <f>VLOOKUP(salidas[[#This Row],[Codigo de producto]],productos[],2,FALSE)</f>
        <v>#N/A</v>
      </c>
      <c r="N600" s="10">
        <f>+salidas[[#This Row],[Cantidad]]*salidas[[#This Row],[Precio U.]]</f>
        <v>0</v>
      </c>
      <c r="P600" s="1"/>
      <c r="T600" t="e">
        <f>VLOOKUP(entradas[[#This Row],[Codigo de producto]],productos[],2,FALSE)</f>
        <v>#N/A</v>
      </c>
      <c r="V600" s="1"/>
    </row>
    <row r="601" spans="8:22" x14ac:dyDescent="0.35">
      <c r="H601" s="1"/>
      <c r="L601" t="e">
        <f>VLOOKUP(salidas[[#This Row],[Codigo de producto]],productos[],2,FALSE)</f>
        <v>#N/A</v>
      </c>
      <c r="N601" s="10">
        <f>+salidas[[#This Row],[Cantidad]]*salidas[[#This Row],[Precio U.]]</f>
        <v>0</v>
      </c>
      <c r="P601" s="1"/>
      <c r="T601" t="e">
        <f>VLOOKUP(entradas[[#This Row],[Codigo de producto]],productos[],2,FALSE)</f>
        <v>#N/A</v>
      </c>
      <c r="V601" s="1"/>
    </row>
    <row r="602" spans="8:22" x14ac:dyDescent="0.35">
      <c r="H602" s="1"/>
      <c r="L602" t="e">
        <f>VLOOKUP(salidas[[#This Row],[Codigo de producto]],productos[],2,FALSE)</f>
        <v>#N/A</v>
      </c>
      <c r="N602" s="10">
        <f>+salidas[[#This Row],[Cantidad]]*salidas[[#This Row],[Precio U.]]</f>
        <v>0</v>
      </c>
      <c r="P602" s="1"/>
      <c r="T602" t="e">
        <f>VLOOKUP(entradas[[#This Row],[Codigo de producto]],productos[],2,FALSE)</f>
        <v>#N/A</v>
      </c>
      <c r="V602" s="1"/>
    </row>
    <row r="603" spans="8:22" x14ac:dyDescent="0.35">
      <c r="H603" s="1"/>
      <c r="L603" t="e">
        <f>VLOOKUP(salidas[[#This Row],[Codigo de producto]],productos[],2,FALSE)</f>
        <v>#N/A</v>
      </c>
      <c r="N603" s="10">
        <f>+salidas[[#This Row],[Cantidad]]*salidas[[#This Row],[Precio U.]]</f>
        <v>0</v>
      </c>
      <c r="P603" s="1"/>
      <c r="T603" t="e">
        <f>VLOOKUP(entradas[[#This Row],[Codigo de producto]],productos[],2,FALSE)</f>
        <v>#N/A</v>
      </c>
      <c r="V603" s="1"/>
    </row>
    <row r="604" spans="8:22" x14ac:dyDescent="0.35">
      <c r="H604" s="1"/>
      <c r="L604" t="e">
        <f>VLOOKUP(salidas[[#This Row],[Codigo de producto]],productos[],2,FALSE)</f>
        <v>#N/A</v>
      </c>
      <c r="N604" s="10">
        <f>+salidas[[#This Row],[Cantidad]]*salidas[[#This Row],[Precio U.]]</f>
        <v>0</v>
      </c>
      <c r="P604" s="1"/>
      <c r="T604" t="e">
        <f>VLOOKUP(entradas[[#This Row],[Codigo de producto]],productos[],2,FALSE)</f>
        <v>#N/A</v>
      </c>
      <c r="V604" s="1"/>
    </row>
    <row r="605" spans="8:22" x14ac:dyDescent="0.35">
      <c r="H605" s="1"/>
      <c r="L605" t="e">
        <f>VLOOKUP(salidas[[#This Row],[Codigo de producto]],productos[],2,FALSE)</f>
        <v>#N/A</v>
      </c>
      <c r="N605" s="10">
        <f>+salidas[[#This Row],[Cantidad]]*salidas[[#This Row],[Precio U.]]</f>
        <v>0</v>
      </c>
      <c r="P605" s="1"/>
      <c r="T605" t="e">
        <f>VLOOKUP(entradas[[#This Row],[Codigo de producto]],productos[],2,FALSE)</f>
        <v>#N/A</v>
      </c>
      <c r="V605" s="1"/>
    </row>
    <row r="606" spans="8:22" x14ac:dyDescent="0.35">
      <c r="H606" s="1"/>
      <c r="L606" t="e">
        <f>VLOOKUP(salidas[[#This Row],[Codigo de producto]],productos[],2,FALSE)</f>
        <v>#N/A</v>
      </c>
      <c r="N606" s="10">
        <f>+salidas[[#This Row],[Cantidad]]*salidas[[#This Row],[Precio U.]]</f>
        <v>0</v>
      </c>
      <c r="P606" s="1"/>
      <c r="T606" t="e">
        <f>VLOOKUP(entradas[[#This Row],[Codigo de producto]],productos[],2,FALSE)</f>
        <v>#N/A</v>
      </c>
      <c r="V606" s="1"/>
    </row>
    <row r="607" spans="8:22" x14ac:dyDescent="0.35">
      <c r="H607" s="1"/>
      <c r="L607" t="e">
        <f>VLOOKUP(salidas[[#This Row],[Codigo de producto]],productos[],2,FALSE)</f>
        <v>#N/A</v>
      </c>
      <c r="N607" s="10">
        <f>+salidas[[#This Row],[Cantidad]]*salidas[[#This Row],[Precio U.]]</f>
        <v>0</v>
      </c>
      <c r="P607" s="1"/>
      <c r="T607" t="e">
        <f>VLOOKUP(entradas[[#This Row],[Codigo de producto]],productos[],2,FALSE)</f>
        <v>#N/A</v>
      </c>
      <c r="V607" s="1"/>
    </row>
    <row r="608" spans="8:22" x14ac:dyDescent="0.35">
      <c r="H608" s="1"/>
      <c r="L608" t="e">
        <f>VLOOKUP(salidas[[#This Row],[Codigo de producto]],productos[],2,FALSE)</f>
        <v>#N/A</v>
      </c>
      <c r="N608" s="10">
        <f>+salidas[[#This Row],[Cantidad]]*salidas[[#This Row],[Precio U.]]</f>
        <v>0</v>
      </c>
      <c r="P608" s="1"/>
      <c r="T608" t="e">
        <f>VLOOKUP(entradas[[#This Row],[Codigo de producto]],productos[],2,FALSE)</f>
        <v>#N/A</v>
      </c>
      <c r="V608" s="1"/>
    </row>
    <row r="609" spans="8:22" x14ac:dyDescent="0.35">
      <c r="H609" s="1"/>
      <c r="L609" t="e">
        <f>VLOOKUP(salidas[[#This Row],[Codigo de producto]],productos[],2,FALSE)</f>
        <v>#N/A</v>
      </c>
      <c r="N609" s="10">
        <f>+salidas[[#This Row],[Cantidad]]*salidas[[#This Row],[Precio U.]]</f>
        <v>0</v>
      </c>
      <c r="P609" s="1"/>
      <c r="T609" t="e">
        <f>VLOOKUP(entradas[[#This Row],[Codigo de producto]],productos[],2,FALSE)</f>
        <v>#N/A</v>
      </c>
      <c r="V609" s="1"/>
    </row>
    <row r="610" spans="8:22" x14ac:dyDescent="0.35">
      <c r="H610" s="1"/>
      <c r="L610" t="e">
        <f>VLOOKUP(salidas[[#This Row],[Codigo de producto]],productos[],2,FALSE)</f>
        <v>#N/A</v>
      </c>
      <c r="N610" s="10">
        <f>+salidas[[#This Row],[Cantidad]]*salidas[[#This Row],[Precio U.]]</f>
        <v>0</v>
      </c>
      <c r="P610" s="1"/>
      <c r="T610" t="e">
        <f>VLOOKUP(entradas[[#This Row],[Codigo de producto]],productos[],2,FALSE)</f>
        <v>#N/A</v>
      </c>
      <c r="V610" s="1"/>
    </row>
    <row r="611" spans="8:22" x14ac:dyDescent="0.35">
      <c r="H611" s="1"/>
      <c r="L611" t="e">
        <f>VLOOKUP(salidas[[#This Row],[Codigo de producto]],productos[],2,FALSE)</f>
        <v>#N/A</v>
      </c>
      <c r="N611" s="10">
        <f>+salidas[[#This Row],[Cantidad]]*salidas[[#This Row],[Precio U.]]</f>
        <v>0</v>
      </c>
      <c r="P611" s="1"/>
      <c r="T611" t="e">
        <f>VLOOKUP(entradas[[#This Row],[Codigo de producto]],productos[],2,FALSE)</f>
        <v>#N/A</v>
      </c>
      <c r="V611" s="1"/>
    </row>
    <row r="612" spans="8:22" x14ac:dyDescent="0.35">
      <c r="H612" s="1"/>
      <c r="L612" t="e">
        <f>VLOOKUP(salidas[[#This Row],[Codigo de producto]],productos[],2,FALSE)</f>
        <v>#N/A</v>
      </c>
      <c r="N612" s="10">
        <f>+salidas[[#This Row],[Cantidad]]*salidas[[#This Row],[Precio U.]]</f>
        <v>0</v>
      </c>
      <c r="P612" s="1"/>
      <c r="T612" t="e">
        <f>VLOOKUP(entradas[[#This Row],[Codigo de producto]],productos[],2,FALSE)</f>
        <v>#N/A</v>
      </c>
      <c r="V612" s="1"/>
    </row>
    <row r="613" spans="8:22" x14ac:dyDescent="0.35">
      <c r="H613" s="1"/>
      <c r="L613" t="e">
        <f>VLOOKUP(salidas[[#This Row],[Codigo de producto]],productos[],2,FALSE)</f>
        <v>#N/A</v>
      </c>
      <c r="N613" s="10">
        <f>+salidas[[#This Row],[Cantidad]]*salidas[[#This Row],[Precio U.]]</f>
        <v>0</v>
      </c>
      <c r="P613" s="1"/>
      <c r="T613" t="e">
        <f>VLOOKUP(entradas[[#This Row],[Codigo de producto]],productos[],2,FALSE)</f>
        <v>#N/A</v>
      </c>
      <c r="V613" s="1"/>
    </row>
    <row r="614" spans="8:22" x14ac:dyDescent="0.35">
      <c r="H614" s="1"/>
      <c r="L614" t="e">
        <f>VLOOKUP(salidas[[#This Row],[Codigo de producto]],productos[],2,FALSE)</f>
        <v>#N/A</v>
      </c>
      <c r="N614" s="10">
        <f>+salidas[[#This Row],[Cantidad]]*salidas[[#This Row],[Precio U.]]</f>
        <v>0</v>
      </c>
      <c r="P614" s="1"/>
      <c r="T614" t="e">
        <f>VLOOKUP(entradas[[#This Row],[Codigo de producto]],productos[],2,FALSE)</f>
        <v>#N/A</v>
      </c>
      <c r="V614" s="1"/>
    </row>
    <row r="615" spans="8:22" x14ac:dyDescent="0.35">
      <c r="H615" s="1"/>
      <c r="L615" t="e">
        <f>VLOOKUP(salidas[[#This Row],[Codigo de producto]],productos[],2,FALSE)</f>
        <v>#N/A</v>
      </c>
      <c r="N615" s="10">
        <f>+salidas[[#This Row],[Cantidad]]*salidas[[#This Row],[Precio U.]]</f>
        <v>0</v>
      </c>
      <c r="P615" s="1"/>
      <c r="T615" t="e">
        <f>VLOOKUP(entradas[[#This Row],[Codigo de producto]],productos[],2,FALSE)</f>
        <v>#N/A</v>
      </c>
      <c r="V615" s="1"/>
    </row>
    <row r="616" spans="8:22" x14ac:dyDescent="0.35">
      <c r="H616" s="1"/>
      <c r="L616" t="e">
        <f>VLOOKUP(salidas[[#This Row],[Codigo de producto]],productos[],2,FALSE)</f>
        <v>#N/A</v>
      </c>
      <c r="N616" s="10">
        <f>+salidas[[#This Row],[Cantidad]]*salidas[[#This Row],[Precio U.]]</f>
        <v>0</v>
      </c>
      <c r="P616" s="1"/>
      <c r="T616" t="e">
        <f>VLOOKUP(entradas[[#This Row],[Codigo de producto]],productos[],2,FALSE)</f>
        <v>#N/A</v>
      </c>
      <c r="V616" s="1"/>
    </row>
    <row r="617" spans="8:22" x14ac:dyDescent="0.35">
      <c r="H617" s="1"/>
      <c r="L617" t="e">
        <f>VLOOKUP(salidas[[#This Row],[Codigo de producto]],productos[],2,FALSE)</f>
        <v>#N/A</v>
      </c>
      <c r="N617" s="10">
        <f>+salidas[[#This Row],[Cantidad]]*salidas[[#This Row],[Precio U.]]</f>
        <v>0</v>
      </c>
      <c r="P617" s="1"/>
      <c r="T617" t="e">
        <f>VLOOKUP(entradas[[#This Row],[Codigo de producto]],productos[],2,FALSE)</f>
        <v>#N/A</v>
      </c>
      <c r="V617" s="1"/>
    </row>
    <row r="618" spans="8:22" x14ac:dyDescent="0.35">
      <c r="H618" s="1"/>
      <c r="L618" t="e">
        <f>VLOOKUP(salidas[[#This Row],[Codigo de producto]],productos[],2,FALSE)</f>
        <v>#N/A</v>
      </c>
      <c r="N618" s="10">
        <f>+salidas[[#This Row],[Cantidad]]*salidas[[#This Row],[Precio U.]]</f>
        <v>0</v>
      </c>
      <c r="P618" s="1"/>
      <c r="T618" t="e">
        <f>VLOOKUP(entradas[[#This Row],[Codigo de producto]],productos[],2,FALSE)</f>
        <v>#N/A</v>
      </c>
      <c r="V618" s="1"/>
    </row>
    <row r="619" spans="8:22" x14ac:dyDescent="0.35">
      <c r="H619" s="1"/>
      <c r="L619" t="e">
        <f>VLOOKUP(salidas[[#This Row],[Codigo de producto]],productos[],2,FALSE)</f>
        <v>#N/A</v>
      </c>
      <c r="N619" s="10">
        <f>+salidas[[#This Row],[Cantidad]]*salidas[[#This Row],[Precio U.]]</f>
        <v>0</v>
      </c>
      <c r="P619" s="1"/>
      <c r="T619" t="e">
        <f>VLOOKUP(entradas[[#This Row],[Codigo de producto]],productos[],2,FALSE)</f>
        <v>#N/A</v>
      </c>
      <c r="V619" s="1"/>
    </row>
    <row r="620" spans="8:22" x14ac:dyDescent="0.35">
      <c r="H620" s="1"/>
      <c r="L620" t="e">
        <f>VLOOKUP(salidas[[#This Row],[Codigo de producto]],productos[],2,FALSE)</f>
        <v>#N/A</v>
      </c>
      <c r="N620" s="10">
        <f>+salidas[[#This Row],[Cantidad]]*salidas[[#This Row],[Precio U.]]</f>
        <v>0</v>
      </c>
      <c r="P620" s="1"/>
      <c r="T620" t="e">
        <f>VLOOKUP(entradas[[#This Row],[Codigo de producto]],productos[],2,FALSE)</f>
        <v>#N/A</v>
      </c>
      <c r="V620" s="1"/>
    </row>
    <row r="621" spans="8:22" x14ac:dyDescent="0.35">
      <c r="H621" s="1"/>
      <c r="L621" t="e">
        <f>VLOOKUP(salidas[[#This Row],[Codigo de producto]],productos[],2,FALSE)</f>
        <v>#N/A</v>
      </c>
      <c r="N621" s="10">
        <f>+salidas[[#This Row],[Cantidad]]*salidas[[#This Row],[Precio U.]]</f>
        <v>0</v>
      </c>
      <c r="P621" s="1"/>
      <c r="T621" t="e">
        <f>VLOOKUP(entradas[[#This Row],[Codigo de producto]],productos[],2,FALSE)</f>
        <v>#N/A</v>
      </c>
      <c r="V621" s="1"/>
    </row>
    <row r="622" spans="8:22" x14ac:dyDescent="0.35">
      <c r="H622" s="1"/>
      <c r="L622" t="e">
        <f>VLOOKUP(salidas[[#This Row],[Codigo de producto]],productos[],2,FALSE)</f>
        <v>#N/A</v>
      </c>
      <c r="N622" s="10">
        <f>+salidas[[#This Row],[Cantidad]]*salidas[[#This Row],[Precio U.]]</f>
        <v>0</v>
      </c>
      <c r="P622" s="1"/>
      <c r="T622" t="e">
        <f>VLOOKUP(entradas[[#This Row],[Codigo de producto]],productos[],2,FALSE)</f>
        <v>#N/A</v>
      </c>
      <c r="V622" s="1"/>
    </row>
    <row r="623" spans="8:22" x14ac:dyDescent="0.35">
      <c r="H623" s="1"/>
      <c r="L623" t="e">
        <f>VLOOKUP(salidas[[#This Row],[Codigo de producto]],productos[],2,FALSE)</f>
        <v>#N/A</v>
      </c>
      <c r="N623" s="10">
        <f>+salidas[[#This Row],[Cantidad]]*salidas[[#This Row],[Precio U.]]</f>
        <v>0</v>
      </c>
      <c r="P623" s="1"/>
      <c r="T623" t="e">
        <f>VLOOKUP(entradas[[#This Row],[Codigo de producto]],productos[],2,FALSE)</f>
        <v>#N/A</v>
      </c>
      <c r="V623" s="1"/>
    </row>
    <row r="624" spans="8:22" x14ac:dyDescent="0.35">
      <c r="H624" s="1"/>
      <c r="L624" t="e">
        <f>VLOOKUP(salidas[[#This Row],[Codigo de producto]],productos[],2,FALSE)</f>
        <v>#N/A</v>
      </c>
      <c r="N624" s="10">
        <f>+salidas[[#This Row],[Cantidad]]*salidas[[#This Row],[Precio U.]]</f>
        <v>0</v>
      </c>
      <c r="P624" s="1"/>
      <c r="T624" t="e">
        <f>VLOOKUP(entradas[[#This Row],[Codigo de producto]],productos[],2,FALSE)</f>
        <v>#N/A</v>
      </c>
      <c r="V624" s="1"/>
    </row>
    <row r="625" spans="8:22" x14ac:dyDescent="0.35">
      <c r="H625" s="1"/>
      <c r="L625" t="e">
        <f>VLOOKUP(salidas[[#This Row],[Codigo de producto]],productos[],2,FALSE)</f>
        <v>#N/A</v>
      </c>
      <c r="N625" s="10">
        <f>+salidas[[#This Row],[Cantidad]]*salidas[[#This Row],[Precio U.]]</f>
        <v>0</v>
      </c>
      <c r="P625" s="1"/>
      <c r="T625" t="e">
        <f>VLOOKUP(entradas[[#This Row],[Codigo de producto]],productos[],2,FALSE)</f>
        <v>#N/A</v>
      </c>
      <c r="V625" s="1"/>
    </row>
    <row r="626" spans="8:22" x14ac:dyDescent="0.35">
      <c r="H626" s="1"/>
      <c r="L626" t="e">
        <f>VLOOKUP(salidas[[#This Row],[Codigo de producto]],productos[],2,FALSE)</f>
        <v>#N/A</v>
      </c>
      <c r="N626" s="10">
        <f>+salidas[[#This Row],[Cantidad]]*salidas[[#This Row],[Precio U.]]</f>
        <v>0</v>
      </c>
      <c r="P626" s="1"/>
      <c r="T626" t="e">
        <f>VLOOKUP(entradas[[#This Row],[Codigo de producto]],productos[],2,FALSE)</f>
        <v>#N/A</v>
      </c>
      <c r="V626" s="1"/>
    </row>
    <row r="627" spans="8:22" x14ac:dyDescent="0.35">
      <c r="H627" s="1"/>
      <c r="L627" t="e">
        <f>VLOOKUP(salidas[[#This Row],[Codigo de producto]],productos[],2,FALSE)</f>
        <v>#N/A</v>
      </c>
      <c r="N627" s="10">
        <f>+salidas[[#This Row],[Cantidad]]*salidas[[#This Row],[Precio U.]]</f>
        <v>0</v>
      </c>
      <c r="P627" s="1"/>
      <c r="T627" t="e">
        <f>VLOOKUP(entradas[[#This Row],[Codigo de producto]],productos[],2,FALSE)</f>
        <v>#N/A</v>
      </c>
      <c r="V627" s="1"/>
    </row>
    <row r="628" spans="8:22" x14ac:dyDescent="0.35">
      <c r="H628" s="1"/>
      <c r="L628" t="e">
        <f>VLOOKUP(salidas[[#This Row],[Codigo de producto]],productos[],2,FALSE)</f>
        <v>#N/A</v>
      </c>
      <c r="N628" s="10">
        <f>+salidas[[#This Row],[Cantidad]]*salidas[[#This Row],[Precio U.]]</f>
        <v>0</v>
      </c>
      <c r="P628" s="1"/>
      <c r="T628" t="e">
        <f>VLOOKUP(entradas[[#This Row],[Codigo de producto]],productos[],2,FALSE)</f>
        <v>#N/A</v>
      </c>
      <c r="V628" s="1"/>
    </row>
    <row r="629" spans="8:22" x14ac:dyDescent="0.35">
      <c r="H629" s="1"/>
      <c r="L629" t="e">
        <f>VLOOKUP(salidas[[#This Row],[Codigo de producto]],productos[],2,FALSE)</f>
        <v>#N/A</v>
      </c>
      <c r="N629" s="10">
        <f>+salidas[[#This Row],[Cantidad]]*salidas[[#This Row],[Precio U.]]</f>
        <v>0</v>
      </c>
      <c r="P629" s="1"/>
      <c r="T629" t="e">
        <f>VLOOKUP(entradas[[#This Row],[Codigo de producto]],productos[],2,FALSE)</f>
        <v>#N/A</v>
      </c>
      <c r="V629" s="1"/>
    </row>
    <row r="630" spans="8:22" x14ac:dyDescent="0.35">
      <c r="H630" s="1"/>
      <c r="L630" t="e">
        <f>VLOOKUP(salidas[[#This Row],[Codigo de producto]],productos[],2,FALSE)</f>
        <v>#N/A</v>
      </c>
      <c r="N630" s="10">
        <f>+salidas[[#This Row],[Cantidad]]*salidas[[#This Row],[Precio U.]]</f>
        <v>0</v>
      </c>
      <c r="P630" s="1"/>
      <c r="T630" t="e">
        <f>VLOOKUP(entradas[[#This Row],[Codigo de producto]],productos[],2,FALSE)</f>
        <v>#N/A</v>
      </c>
      <c r="V630" s="1"/>
    </row>
    <row r="631" spans="8:22" x14ac:dyDescent="0.35">
      <c r="H631" s="1"/>
      <c r="L631" t="e">
        <f>VLOOKUP(salidas[[#This Row],[Codigo de producto]],productos[],2,FALSE)</f>
        <v>#N/A</v>
      </c>
      <c r="N631" s="10">
        <f>+salidas[[#This Row],[Cantidad]]*salidas[[#This Row],[Precio U.]]</f>
        <v>0</v>
      </c>
      <c r="P631" s="1"/>
      <c r="T631" t="e">
        <f>VLOOKUP(entradas[[#This Row],[Codigo de producto]],productos[],2,FALSE)</f>
        <v>#N/A</v>
      </c>
      <c r="V631" s="1"/>
    </row>
    <row r="632" spans="8:22" x14ac:dyDescent="0.35">
      <c r="H632" s="1"/>
      <c r="L632" t="e">
        <f>VLOOKUP(salidas[[#This Row],[Codigo de producto]],productos[],2,FALSE)</f>
        <v>#N/A</v>
      </c>
      <c r="N632" s="10">
        <f>+salidas[[#This Row],[Cantidad]]*salidas[[#This Row],[Precio U.]]</f>
        <v>0</v>
      </c>
      <c r="P632" s="1"/>
      <c r="T632" t="e">
        <f>VLOOKUP(entradas[[#This Row],[Codigo de producto]],productos[],2,FALSE)</f>
        <v>#N/A</v>
      </c>
      <c r="V632" s="1"/>
    </row>
    <row r="633" spans="8:22" x14ac:dyDescent="0.35">
      <c r="H633" s="1"/>
      <c r="L633" t="e">
        <f>VLOOKUP(salidas[[#This Row],[Codigo de producto]],productos[],2,FALSE)</f>
        <v>#N/A</v>
      </c>
      <c r="N633" s="10">
        <f>+salidas[[#This Row],[Cantidad]]*salidas[[#This Row],[Precio U.]]</f>
        <v>0</v>
      </c>
      <c r="P633" s="1"/>
      <c r="T633" t="e">
        <f>VLOOKUP(entradas[[#This Row],[Codigo de producto]],productos[],2,FALSE)</f>
        <v>#N/A</v>
      </c>
      <c r="V633" s="1"/>
    </row>
    <row r="634" spans="8:22" x14ac:dyDescent="0.35">
      <c r="H634" s="1"/>
      <c r="L634" t="e">
        <f>VLOOKUP(salidas[[#This Row],[Codigo de producto]],productos[],2,FALSE)</f>
        <v>#N/A</v>
      </c>
      <c r="N634" s="10">
        <f>+salidas[[#This Row],[Cantidad]]*salidas[[#This Row],[Precio U.]]</f>
        <v>0</v>
      </c>
      <c r="P634" s="1"/>
      <c r="T634" t="e">
        <f>VLOOKUP(entradas[[#This Row],[Codigo de producto]],productos[],2,FALSE)</f>
        <v>#N/A</v>
      </c>
      <c r="V634" s="1"/>
    </row>
    <row r="635" spans="8:22" x14ac:dyDescent="0.35">
      <c r="H635" s="1"/>
      <c r="L635" t="e">
        <f>VLOOKUP(salidas[[#This Row],[Codigo de producto]],productos[],2,FALSE)</f>
        <v>#N/A</v>
      </c>
      <c r="N635" s="10">
        <f>+salidas[[#This Row],[Cantidad]]*salidas[[#This Row],[Precio U.]]</f>
        <v>0</v>
      </c>
      <c r="P635" s="1"/>
      <c r="T635" t="e">
        <f>VLOOKUP(entradas[[#This Row],[Codigo de producto]],productos[],2,FALSE)</f>
        <v>#N/A</v>
      </c>
      <c r="V635" s="1"/>
    </row>
    <row r="636" spans="8:22" x14ac:dyDescent="0.35">
      <c r="H636" s="1"/>
      <c r="L636" t="e">
        <f>VLOOKUP(salidas[[#This Row],[Codigo de producto]],productos[],2,FALSE)</f>
        <v>#N/A</v>
      </c>
      <c r="N636" s="10">
        <f>+salidas[[#This Row],[Cantidad]]*salidas[[#This Row],[Precio U.]]</f>
        <v>0</v>
      </c>
      <c r="P636" s="1"/>
      <c r="T636" t="e">
        <f>VLOOKUP(entradas[[#This Row],[Codigo de producto]],productos[],2,FALSE)</f>
        <v>#N/A</v>
      </c>
      <c r="V636" s="1"/>
    </row>
    <row r="637" spans="8:22" x14ac:dyDescent="0.35">
      <c r="H637" s="1"/>
      <c r="L637" t="e">
        <f>VLOOKUP(salidas[[#This Row],[Codigo de producto]],productos[],2,FALSE)</f>
        <v>#N/A</v>
      </c>
      <c r="N637" s="10">
        <f>+salidas[[#This Row],[Cantidad]]*salidas[[#This Row],[Precio U.]]</f>
        <v>0</v>
      </c>
      <c r="P637" s="1"/>
      <c r="T637" t="e">
        <f>VLOOKUP(entradas[[#This Row],[Codigo de producto]],productos[],2,FALSE)</f>
        <v>#N/A</v>
      </c>
      <c r="V637" s="1"/>
    </row>
    <row r="638" spans="8:22" x14ac:dyDescent="0.35">
      <c r="H638" s="1"/>
      <c r="L638" t="e">
        <f>VLOOKUP(salidas[[#This Row],[Codigo de producto]],productos[],2,FALSE)</f>
        <v>#N/A</v>
      </c>
      <c r="N638" s="10">
        <f>+salidas[[#This Row],[Cantidad]]*salidas[[#This Row],[Precio U.]]</f>
        <v>0</v>
      </c>
      <c r="P638" s="1"/>
      <c r="T638" t="e">
        <f>VLOOKUP(entradas[[#This Row],[Codigo de producto]],productos[],2,FALSE)</f>
        <v>#N/A</v>
      </c>
      <c r="V638" s="1"/>
    </row>
    <row r="639" spans="8:22" x14ac:dyDescent="0.35">
      <c r="H639" s="1"/>
      <c r="L639" t="e">
        <f>VLOOKUP(salidas[[#This Row],[Codigo de producto]],productos[],2,FALSE)</f>
        <v>#N/A</v>
      </c>
      <c r="N639" s="10">
        <f>+salidas[[#This Row],[Cantidad]]*salidas[[#This Row],[Precio U.]]</f>
        <v>0</v>
      </c>
      <c r="P639" s="1"/>
      <c r="T639" t="e">
        <f>VLOOKUP(entradas[[#This Row],[Codigo de producto]],productos[],2,FALSE)</f>
        <v>#N/A</v>
      </c>
      <c r="V639" s="1"/>
    </row>
    <row r="640" spans="8:22" x14ac:dyDescent="0.35">
      <c r="H640" s="1"/>
      <c r="L640" t="e">
        <f>VLOOKUP(salidas[[#This Row],[Codigo de producto]],productos[],2,FALSE)</f>
        <v>#N/A</v>
      </c>
      <c r="N640" s="10">
        <f>+salidas[[#This Row],[Cantidad]]*salidas[[#This Row],[Precio U.]]</f>
        <v>0</v>
      </c>
      <c r="P640" s="1"/>
      <c r="T640" t="e">
        <f>VLOOKUP(entradas[[#This Row],[Codigo de producto]],productos[],2,FALSE)</f>
        <v>#N/A</v>
      </c>
      <c r="V640" s="1"/>
    </row>
    <row r="641" spans="8:22" x14ac:dyDescent="0.35">
      <c r="H641" s="1"/>
      <c r="L641" t="e">
        <f>VLOOKUP(salidas[[#This Row],[Codigo de producto]],productos[],2,FALSE)</f>
        <v>#N/A</v>
      </c>
      <c r="N641" s="10">
        <f>+salidas[[#This Row],[Cantidad]]*salidas[[#This Row],[Precio U.]]</f>
        <v>0</v>
      </c>
      <c r="P641" s="1"/>
      <c r="T641" t="e">
        <f>VLOOKUP(entradas[[#This Row],[Codigo de producto]],productos[],2,FALSE)</f>
        <v>#N/A</v>
      </c>
      <c r="V641" s="1"/>
    </row>
    <row r="642" spans="8:22" x14ac:dyDescent="0.35">
      <c r="H642" s="1"/>
      <c r="L642" t="e">
        <f>VLOOKUP(salidas[[#This Row],[Codigo de producto]],productos[],2,FALSE)</f>
        <v>#N/A</v>
      </c>
      <c r="N642" s="10">
        <f>+salidas[[#This Row],[Cantidad]]*salidas[[#This Row],[Precio U.]]</f>
        <v>0</v>
      </c>
      <c r="P642" s="1"/>
      <c r="T642" t="e">
        <f>VLOOKUP(entradas[[#This Row],[Codigo de producto]],productos[],2,FALSE)</f>
        <v>#N/A</v>
      </c>
      <c r="V642" s="1"/>
    </row>
    <row r="643" spans="8:22" x14ac:dyDescent="0.35">
      <c r="H643" s="1"/>
      <c r="L643" t="e">
        <f>VLOOKUP(salidas[[#This Row],[Codigo de producto]],productos[],2,FALSE)</f>
        <v>#N/A</v>
      </c>
      <c r="N643" s="10">
        <f>+salidas[[#This Row],[Cantidad]]*salidas[[#This Row],[Precio U.]]</f>
        <v>0</v>
      </c>
      <c r="P643" s="1"/>
      <c r="T643" t="e">
        <f>VLOOKUP(entradas[[#This Row],[Codigo de producto]],productos[],2,FALSE)</f>
        <v>#N/A</v>
      </c>
      <c r="V643" s="1"/>
    </row>
    <row r="644" spans="8:22" x14ac:dyDescent="0.35">
      <c r="H644" s="1"/>
      <c r="L644" t="e">
        <f>VLOOKUP(salidas[[#This Row],[Codigo de producto]],productos[],2,FALSE)</f>
        <v>#N/A</v>
      </c>
      <c r="N644" s="10">
        <f>+salidas[[#This Row],[Cantidad]]*salidas[[#This Row],[Precio U.]]</f>
        <v>0</v>
      </c>
      <c r="P644" s="1"/>
      <c r="T644" t="e">
        <f>VLOOKUP(entradas[[#This Row],[Codigo de producto]],productos[],2,FALSE)</f>
        <v>#N/A</v>
      </c>
      <c r="V644" s="1"/>
    </row>
    <row r="645" spans="8:22" x14ac:dyDescent="0.35">
      <c r="H645" s="1"/>
      <c r="L645" t="e">
        <f>VLOOKUP(salidas[[#This Row],[Codigo de producto]],productos[],2,FALSE)</f>
        <v>#N/A</v>
      </c>
      <c r="N645" s="10">
        <f>+salidas[[#This Row],[Cantidad]]*salidas[[#This Row],[Precio U.]]</f>
        <v>0</v>
      </c>
      <c r="P645" s="1"/>
      <c r="T645" t="e">
        <f>VLOOKUP(entradas[[#This Row],[Codigo de producto]],productos[],2,FALSE)</f>
        <v>#N/A</v>
      </c>
      <c r="V645" s="1"/>
    </row>
    <row r="646" spans="8:22" x14ac:dyDescent="0.35">
      <c r="H646" s="1"/>
      <c r="L646" t="e">
        <f>VLOOKUP(salidas[[#This Row],[Codigo de producto]],productos[],2,FALSE)</f>
        <v>#N/A</v>
      </c>
      <c r="N646" s="10">
        <f>+salidas[[#This Row],[Cantidad]]*salidas[[#This Row],[Precio U.]]</f>
        <v>0</v>
      </c>
      <c r="P646" s="1"/>
      <c r="T646" t="e">
        <f>VLOOKUP(entradas[[#This Row],[Codigo de producto]],productos[],2,FALSE)</f>
        <v>#N/A</v>
      </c>
      <c r="V646" s="1"/>
    </row>
    <row r="647" spans="8:22" x14ac:dyDescent="0.35">
      <c r="H647" s="1"/>
      <c r="L647" t="e">
        <f>VLOOKUP(salidas[[#This Row],[Codigo de producto]],productos[],2,FALSE)</f>
        <v>#N/A</v>
      </c>
      <c r="N647" s="10">
        <f>+salidas[[#This Row],[Cantidad]]*salidas[[#This Row],[Precio U.]]</f>
        <v>0</v>
      </c>
      <c r="P647" s="1"/>
      <c r="T647" t="e">
        <f>VLOOKUP(entradas[[#This Row],[Codigo de producto]],productos[],2,FALSE)</f>
        <v>#N/A</v>
      </c>
      <c r="V647" s="1"/>
    </row>
    <row r="648" spans="8:22" x14ac:dyDescent="0.35">
      <c r="H648" s="1"/>
      <c r="L648" t="e">
        <f>VLOOKUP(salidas[[#This Row],[Codigo de producto]],productos[],2,FALSE)</f>
        <v>#N/A</v>
      </c>
      <c r="N648" s="10">
        <f>+salidas[[#This Row],[Cantidad]]*salidas[[#This Row],[Precio U.]]</f>
        <v>0</v>
      </c>
      <c r="P648" s="1"/>
      <c r="T648" t="e">
        <f>VLOOKUP(entradas[[#This Row],[Codigo de producto]],productos[],2,FALSE)</f>
        <v>#N/A</v>
      </c>
      <c r="V648" s="1"/>
    </row>
    <row r="649" spans="8:22" x14ac:dyDescent="0.35">
      <c r="H649" s="1"/>
      <c r="L649" t="e">
        <f>VLOOKUP(salidas[[#This Row],[Codigo de producto]],productos[],2,FALSE)</f>
        <v>#N/A</v>
      </c>
      <c r="N649" s="10">
        <f>+salidas[[#This Row],[Cantidad]]*salidas[[#This Row],[Precio U.]]</f>
        <v>0</v>
      </c>
      <c r="P649" s="1"/>
      <c r="T649" t="e">
        <f>VLOOKUP(entradas[[#This Row],[Codigo de producto]],productos[],2,FALSE)</f>
        <v>#N/A</v>
      </c>
      <c r="V649" s="1"/>
    </row>
    <row r="650" spans="8:22" x14ac:dyDescent="0.35">
      <c r="H650" s="1"/>
      <c r="L650" t="e">
        <f>VLOOKUP(salidas[[#This Row],[Codigo de producto]],productos[],2,FALSE)</f>
        <v>#N/A</v>
      </c>
      <c r="N650" s="10">
        <f>+salidas[[#This Row],[Cantidad]]*salidas[[#This Row],[Precio U.]]</f>
        <v>0</v>
      </c>
      <c r="P650" s="1"/>
      <c r="T650" t="e">
        <f>VLOOKUP(entradas[[#This Row],[Codigo de producto]],productos[],2,FALSE)</f>
        <v>#N/A</v>
      </c>
      <c r="V650" s="1"/>
    </row>
    <row r="651" spans="8:22" x14ac:dyDescent="0.35">
      <c r="H651" s="1"/>
      <c r="L651" t="e">
        <f>VLOOKUP(salidas[[#This Row],[Codigo de producto]],productos[],2,FALSE)</f>
        <v>#N/A</v>
      </c>
      <c r="N651" s="10">
        <f>+salidas[[#This Row],[Cantidad]]*salidas[[#This Row],[Precio U.]]</f>
        <v>0</v>
      </c>
      <c r="P651" s="1"/>
      <c r="T651" t="e">
        <f>VLOOKUP(entradas[[#This Row],[Codigo de producto]],productos[],2,FALSE)</f>
        <v>#N/A</v>
      </c>
      <c r="V651" s="1"/>
    </row>
    <row r="652" spans="8:22" x14ac:dyDescent="0.35">
      <c r="H652" s="1"/>
      <c r="L652" t="e">
        <f>VLOOKUP(salidas[[#This Row],[Codigo de producto]],productos[],2,FALSE)</f>
        <v>#N/A</v>
      </c>
      <c r="N652" s="10">
        <f>+salidas[[#This Row],[Cantidad]]*salidas[[#This Row],[Precio U.]]</f>
        <v>0</v>
      </c>
      <c r="P652" s="1"/>
      <c r="T652" t="e">
        <f>VLOOKUP(entradas[[#This Row],[Codigo de producto]],productos[],2,FALSE)</f>
        <v>#N/A</v>
      </c>
      <c r="V652" s="1"/>
    </row>
    <row r="653" spans="8:22" x14ac:dyDescent="0.35">
      <c r="H653" s="1"/>
      <c r="L653" t="e">
        <f>VLOOKUP(salidas[[#This Row],[Codigo de producto]],productos[],2,FALSE)</f>
        <v>#N/A</v>
      </c>
      <c r="N653" s="10">
        <f>+salidas[[#This Row],[Cantidad]]*salidas[[#This Row],[Precio U.]]</f>
        <v>0</v>
      </c>
      <c r="P653" s="1"/>
      <c r="T653" t="e">
        <f>VLOOKUP(entradas[[#This Row],[Codigo de producto]],productos[],2,FALSE)</f>
        <v>#N/A</v>
      </c>
      <c r="V653" s="1"/>
    </row>
    <row r="654" spans="8:22" x14ac:dyDescent="0.35">
      <c r="H654" s="1"/>
      <c r="L654" t="e">
        <f>VLOOKUP(salidas[[#This Row],[Codigo de producto]],productos[],2,FALSE)</f>
        <v>#N/A</v>
      </c>
      <c r="N654" s="10">
        <f>+salidas[[#This Row],[Cantidad]]*salidas[[#This Row],[Precio U.]]</f>
        <v>0</v>
      </c>
      <c r="P654" s="1"/>
      <c r="T654" t="e">
        <f>VLOOKUP(entradas[[#This Row],[Codigo de producto]],productos[],2,FALSE)</f>
        <v>#N/A</v>
      </c>
      <c r="V654" s="1"/>
    </row>
    <row r="655" spans="8:22" x14ac:dyDescent="0.35">
      <c r="H655" s="1"/>
      <c r="L655" t="e">
        <f>VLOOKUP(salidas[[#This Row],[Codigo de producto]],productos[],2,FALSE)</f>
        <v>#N/A</v>
      </c>
      <c r="N655" s="10">
        <f>+salidas[[#This Row],[Cantidad]]*salidas[[#This Row],[Precio U.]]</f>
        <v>0</v>
      </c>
      <c r="P655" s="1"/>
      <c r="T655" t="e">
        <f>VLOOKUP(entradas[[#This Row],[Codigo de producto]],productos[],2,FALSE)</f>
        <v>#N/A</v>
      </c>
      <c r="V655" s="1"/>
    </row>
    <row r="656" spans="8:22" x14ac:dyDescent="0.35">
      <c r="H656" s="1"/>
      <c r="L656" t="e">
        <f>VLOOKUP(salidas[[#This Row],[Codigo de producto]],productos[],2,FALSE)</f>
        <v>#N/A</v>
      </c>
      <c r="N656" s="10">
        <f>+salidas[[#This Row],[Cantidad]]*salidas[[#This Row],[Precio U.]]</f>
        <v>0</v>
      </c>
      <c r="P656" s="1"/>
      <c r="T656" t="e">
        <f>VLOOKUP(entradas[[#This Row],[Codigo de producto]],productos[],2,FALSE)</f>
        <v>#N/A</v>
      </c>
      <c r="V656" s="1"/>
    </row>
    <row r="657" spans="8:22" x14ac:dyDescent="0.35">
      <c r="H657" s="1"/>
      <c r="L657" t="e">
        <f>VLOOKUP(salidas[[#This Row],[Codigo de producto]],productos[],2,FALSE)</f>
        <v>#N/A</v>
      </c>
      <c r="N657" s="10">
        <f>+salidas[[#This Row],[Cantidad]]*salidas[[#This Row],[Precio U.]]</f>
        <v>0</v>
      </c>
      <c r="P657" s="1"/>
      <c r="T657" t="e">
        <f>VLOOKUP(entradas[[#This Row],[Codigo de producto]],productos[],2,FALSE)</f>
        <v>#N/A</v>
      </c>
      <c r="V657" s="1"/>
    </row>
    <row r="658" spans="8:22" x14ac:dyDescent="0.35">
      <c r="H658" s="1"/>
      <c r="L658" t="e">
        <f>VLOOKUP(salidas[[#This Row],[Codigo de producto]],productos[],2,FALSE)</f>
        <v>#N/A</v>
      </c>
      <c r="N658" s="10">
        <f>+salidas[[#This Row],[Cantidad]]*salidas[[#This Row],[Precio U.]]</f>
        <v>0</v>
      </c>
      <c r="P658" s="1"/>
      <c r="T658" t="e">
        <f>VLOOKUP(entradas[[#This Row],[Codigo de producto]],productos[],2,FALSE)</f>
        <v>#N/A</v>
      </c>
      <c r="V658" s="1"/>
    </row>
    <row r="659" spans="8:22" x14ac:dyDescent="0.35">
      <c r="H659" s="1"/>
      <c r="L659" t="e">
        <f>VLOOKUP(salidas[[#This Row],[Codigo de producto]],productos[],2,FALSE)</f>
        <v>#N/A</v>
      </c>
      <c r="N659" s="10">
        <f>+salidas[[#This Row],[Cantidad]]*salidas[[#This Row],[Precio U.]]</f>
        <v>0</v>
      </c>
      <c r="P659" s="1"/>
      <c r="T659" t="e">
        <f>VLOOKUP(entradas[[#This Row],[Codigo de producto]],productos[],2,FALSE)</f>
        <v>#N/A</v>
      </c>
      <c r="V659" s="1"/>
    </row>
    <row r="660" spans="8:22" x14ac:dyDescent="0.35">
      <c r="H660" s="1"/>
      <c r="L660" t="e">
        <f>VLOOKUP(salidas[[#This Row],[Codigo de producto]],productos[],2,FALSE)</f>
        <v>#N/A</v>
      </c>
      <c r="N660" s="10">
        <f>+salidas[[#This Row],[Cantidad]]*salidas[[#This Row],[Precio U.]]</f>
        <v>0</v>
      </c>
      <c r="P660" s="1"/>
      <c r="T660" t="e">
        <f>VLOOKUP(entradas[[#This Row],[Codigo de producto]],productos[],2,FALSE)</f>
        <v>#N/A</v>
      </c>
      <c r="V660" s="1"/>
    </row>
    <row r="661" spans="8:22" x14ac:dyDescent="0.35">
      <c r="H661" s="1"/>
      <c r="L661" t="e">
        <f>VLOOKUP(salidas[[#This Row],[Codigo de producto]],productos[],2,FALSE)</f>
        <v>#N/A</v>
      </c>
      <c r="N661" s="10">
        <f>+salidas[[#This Row],[Cantidad]]*salidas[[#This Row],[Precio U.]]</f>
        <v>0</v>
      </c>
      <c r="P661" s="1"/>
      <c r="T661" t="e">
        <f>VLOOKUP(entradas[[#This Row],[Codigo de producto]],productos[],2,FALSE)</f>
        <v>#N/A</v>
      </c>
      <c r="V661" s="1"/>
    </row>
    <row r="662" spans="8:22" x14ac:dyDescent="0.35">
      <c r="H662" s="1"/>
      <c r="L662" t="e">
        <f>VLOOKUP(salidas[[#This Row],[Codigo de producto]],productos[],2,FALSE)</f>
        <v>#N/A</v>
      </c>
      <c r="N662" s="10">
        <f>+salidas[[#This Row],[Cantidad]]*salidas[[#This Row],[Precio U.]]</f>
        <v>0</v>
      </c>
      <c r="P662" s="1"/>
      <c r="T662" t="e">
        <f>VLOOKUP(entradas[[#This Row],[Codigo de producto]],productos[],2,FALSE)</f>
        <v>#N/A</v>
      </c>
      <c r="V662" s="1"/>
    </row>
    <row r="663" spans="8:22" x14ac:dyDescent="0.35">
      <c r="H663" s="1"/>
      <c r="L663" t="e">
        <f>VLOOKUP(salidas[[#This Row],[Codigo de producto]],productos[],2,FALSE)</f>
        <v>#N/A</v>
      </c>
      <c r="N663" s="10">
        <f>+salidas[[#This Row],[Cantidad]]*salidas[[#This Row],[Precio U.]]</f>
        <v>0</v>
      </c>
      <c r="P663" s="1"/>
      <c r="T663" t="e">
        <f>VLOOKUP(entradas[[#This Row],[Codigo de producto]],productos[],2,FALSE)</f>
        <v>#N/A</v>
      </c>
      <c r="V663" s="1"/>
    </row>
    <row r="664" spans="8:22" x14ac:dyDescent="0.35">
      <c r="H664" s="1"/>
      <c r="L664" t="e">
        <f>VLOOKUP(salidas[[#This Row],[Codigo de producto]],productos[],2,FALSE)</f>
        <v>#N/A</v>
      </c>
      <c r="N664" s="10">
        <f>+salidas[[#This Row],[Cantidad]]*salidas[[#This Row],[Precio U.]]</f>
        <v>0</v>
      </c>
      <c r="P664" s="1"/>
      <c r="T664" t="e">
        <f>VLOOKUP(entradas[[#This Row],[Codigo de producto]],productos[],2,FALSE)</f>
        <v>#N/A</v>
      </c>
      <c r="V664" s="1"/>
    </row>
    <row r="665" spans="8:22" x14ac:dyDescent="0.35">
      <c r="H665" s="1"/>
      <c r="L665" t="e">
        <f>VLOOKUP(salidas[[#This Row],[Codigo de producto]],productos[],2,FALSE)</f>
        <v>#N/A</v>
      </c>
      <c r="N665" s="10">
        <f>+salidas[[#This Row],[Cantidad]]*salidas[[#This Row],[Precio U.]]</f>
        <v>0</v>
      </c>
      <c r="P665" s="1"/>
      <c r="T665" t="e">
        <f>VLOOKUP(entradas[[#This Row],[Codigo de producto]],productos[],2,FALSE)</f>
        <v>#N/A</v>
      </c>
      <c r="V665" s="1"/>
    </row>
    <row r="666" spans="8:22" x14ac:dyDescent="0.35">
      <c r="H666" s="1"/>
      <c r="L666" t="e">
        <f>VLOOKUP(salidas[[#This Row],[Codigo de producto]],productos[],2,FALSE)</f>
        <v>#N/A</v>
      </c>
      <c r="N666" s="10">
        <f>+salidas[[#This Row],[Cantidad]]*salidas[[#This Row],[Precio U.]]</f>
        <v>0</v>
      </c>
      <c r="P666" s="1"/>
      <c r="T666" t="e">
        <f>VLOOKUP(entradas[[#This Row],[Codigo de producto]],productos[],2,FALSE)</f>
        <v>#N/A</v>
      </c>
      <c r="V666" s="1"/>
    </row>
    <row r="667" spans="8:22" x14ac:dyDescent="0.35">
      <c r="H667" s="1"/>
      <c r="L667" t="e">
        <f>VLOOKUP(salidas[[#This Row],[Codigo de producto]],productos[],2,FALSE)</f>
        <v>#N/A</v>
      </c>
      <c r="N667" s="10">
        <f>+salidas[[#This Row],[Cantidad]]*salidas[[#This Row],[Precio U.]]</f>
        <v>0</v>
      </c>
      <c r="P667" s="1"/>
      <c r="T667" t="e">
        <f>VLOOKUP(entradas[[#This Row],[Codigo de producto]],productos[],2,FALSE)</f>
        <v>#N/A</v>
      </c>
      <c r="V667" s="1"/>
    </row>
    <row r="668" spans="8:22" x14ac:dyDescent="0.35">
      <c r="H668" s="1"/>
      <c r="L668" t="e">
        <f>VLOOKUP(salidas[[#This Row],[Codigo de producto]],productos[],2,FALSE)</f>
        <v>#N/A</v>
      </c>
      <c r="N668" s="10">
        <f>+salidas[[#This Row],[Cantidad]]*salidas[[#This Row],[Precio U.]]</f>
        <v>0</v>
      </c>
      <c r="P668" s="1"/>
      <c r="T668" t="e">
        <f>VLOOKUP(entradas[[#This Row],[Codigo de producto]],productos[],2,FALSE)</f>
        <v>#N/A</v>
      </c>
      <c r="V668" s="1"/>
    </row>
    <row r="669" spans="8:22" x14ac:dyDescent="0.35">
      <c r="H669" s="1"/>
      <c r="L669" t="e">
        <f>VLOOKUP(salidas[[#This Row],[Codigo de producto]],productos[],2,FALSE)</f>
        <v>#N/A</v>
      </c>
      <c r="N669" s="10">
        <f>+salidas[[#This Row],[Cantidad]]*salidas[[#This Row],[Precio U.]]</f>
        <v>0</v>
      </c>
      <c r="P669" s="1"/>
      <c r="T669" t="e">
        <f>VLOOKUP(entradas[[#This Row],[Codigo de producto]],productos[],2,FALSE)</f>
        <v>#N/A</v>
      </c>
      <c r="V669" s="1"/>
    </row>
    <row r="670" spans="8:22" x14ac:dyDescent="0.35">
      <c r="H670" s="1"/>
      <c r="L670" t="e">
        <f>VLOOKUP(salidas[[#This Row],[Codigo de producto]],productos[],2,FALSE)</f>
        <v>#N/A</v>
      </c>
      <c r="N670" s="10">
        <f>+salidas[[#This Row],[Cantidad]]*salidas[[#This Row],[Precio U.]]</f>
        <v>0</v>
      </c>
      <c r="P670" s="1"/>
      <c r="T670" t="e">
        <f>VLOOKUP(entradas[[#This Row],[Codigo de producto]],productos[],2,FALSE)</f>
        <v>#N/A</v>
      </c>
      <c r="V670" s="1"/>
    </row>
    <row r="671" spans="8:22" x14ac:dyDescent="0.35">
      <c r="H671" s="1"/>
      <c r="L671" t="e">
        <f>VLOOKUP(salidas[[#This Row],[Codigo de producto]],productos[],2,FALSE)</f>
        <v>#N/A</v>
      </c>
      <c r="N671" s="10">
        <f>+salidas[[#This Row],[Cantidad]]*salidas[[#This Row],[Precio U.]]</f>
        <v>0</v>
      </c>
      <c r="P671" s="1"/>
      <c r="T671" t="e">
        <f>VLOOKUP(entradas[[#This Row],[Codigo de producto]],productos[],2,FALSE)</f>
        <v>#N/A</v>
      </c>
      <c r="V671" s="1"/>
    </row>
    <row r="672" spans="8:22" x14ac:dyDescent="0.35">
      <c r="H672" s="1"/>
      <c r="L672" t="e">
        <f>VLOOKUP(salidas[[#This Row],[Codigo de producto]],productos[],2,FALSE)</f>
        <v>#N/A</v>
      </c>
      <c r="N672" s="10">
        <f>+salidas[[#This Row],[Cantidad]]*salidas[[#This Row],[Precio U.]]</f>
        <v>0</v>
      </c>
      <c r="P672" s="1"/>
      <c r="T672" t="e">
        <f>VLOOKUP(entradas[[#This Row],[Codigo de producto]],productos[],2,FALSE)</f>
        <v>#N/A</v>
      </c>
      <c r="V672" s="1"/>
    </row>
    <row r="673" spans="8:22" x14ac:dyDescent="0.35">
      <c r="H673" s="1"/>
      <c r="L673" t="e">
        <f>VLOOKUP(salidas[[#This Row],[Codigo de producto]],productos[],2,FALSE)</f>
        <v>#N/A</v>
      </c>
      <c r="N673" s="10">
        <f>+salidas[[#This Row],[Cantidad]]*salidas[[#This Row],[Precio U.]]</f>
        <v>0</v>
      </c>
      <c r="P673" s="1"/>
      <c r="T673" t="e">
        <f>VLOOKUP(entradas[[#This Row],[Codigo de producto]],productos[],2,FALSE)</f>
        <v>#N/A</v>
      </c>
      <c r="V673" s="1"/>
    </row>
    <row r="674" spans="8:22" x14ac:dyDescent="0.35">
      <c r="H674" s="1"/>
      <c r="L674" t="e">
        <f>VLOOKUP(salidas[[#This Row],[Codigo de producto]],productos[],2,FALSE)</f>
        <v>#N/A</v>
      </c>
      <c r="N674" s="10">
        <f>+salidas[[#This Row],[Cantidad]]*salidas[[#This Row],[Precio U.]]</f>
        <v>0</v>
      </c>
      <c r="P674" s="1"/>
      <c r="T674" t="e">
        <f>VLOOKUP(entradas[[#This Row],[Codigo de producto]],productos[],2,FALSE)</f>
        <v>#N/A</v>
      </c>
      <c r="V674" s="1"/>
    </row>
    <row r="675" spans="8:22" x14ac:dyDescent="0.35">
      <c r="H675" s="1"/>
      <c r="L675" t="e">
        <f>VLOOKUP(salidas[[#This Row],[Codigo de producto]],productos[],2,FALSE)</f>
        <v>#N/A</v>
      </c>
      <c r="N675" s="10">
        <f>+salidas[[#This Row],[Cantidad]]*salidas[[#This Row],[Precio U.]]</f>
        <v>0</v>
      </c>
      <c r="P675" s="1"/>
      <c r="T675" t="e">
        <f>VLOOKUP(entradas[[#This Row],[Codigo de producto]],productos[],2,FALSE)</f>
        <v>#N/A</v>
      </c>
      <c r="V675" s="1"/>
    </row>
    <row r="676" spans="8:22" x14ac:dyDescent="0.35">
      <c r="H676" s="1"/>
      <c r="L676" t="e">
        <f>VLOOKUP(salidas[[#This Row],[Codigo de producto]],productos[],2,FALSE)</f>
        <v>#N/A</v>
      </c>
      <c r="N676" s="10">
        <f>+salidas[[#This Row],[Cantidad]]*salidas[[#This Row],[Precio U.]]</f>
        <v>0</v>
      </c>
      <c r="P676" s="1"/>
      <c r="T676" t="e">
        <f>VLOOKUP(entradas[[#This Row],[Codigo de producto]],productos[],2,FALSE)</f>
        <v>#N/A</v>
      </c>
      <c r="V676" s="1"/>
    </row>
    <row r="677" spans="8:22" x14ac:dyDescent="0.35">
      <c r="H677" s="1"/>
      <c r="L677" t="e">
        <f>VLOOKUP(salidas[[#This Row],[Codigo de producto]],productos[],2,FALSE)</f>
        <v>#N/A</v>
      </c>
      <c r="N677" s="10">
        <f>+salidas[[#This Row],[Cantidad]]*salidas[[#This Row],[Precio U.]]</f>
        <v>0</v>
      </c>
      <c r="P677" s="1"/>
      <c r="T677" t="e">
        <f>VLOOKUP(entradas[[#This Row],[Codigo de producto]],productos[],2,FALSE)</f>
        <v>#N/A</v>
      </c>
      <c r="V677" s="1"/>
    </row>
    <row r="678" spans="8:22" x14ac:dyDescent="0.35">
      <c r="H678" s="1"/>
      <c r="L678" t="e">
        <f>VLOOKUP(salidas[[#This Row],[Codigo de producto]],productos[],2,FALSE)</f>
        <v>#N/A</v>
      </c>
      <c r="N678" s="10">
        <f>+salidas[[#This Row],[Cantidad]]*salidas[[#This Row],[Precio U.]]</f>
        <v>0</v>
      </c>
      <c r="P678" s="1"/>
      <c r="T678" t="e">
        <f>VLOOKUP(entradas[[#This Row],[Codigo de producto]],productos[],2,FALSE)</f>
        <v>#N/A</v>
      </c>
      <c r="V678" s="1"/>
    </row>
    <row r="679" spans="8:22" x14ac:dyDescent="0.35">
      <c r="H679" s="1"/>
      <c r="L679" t="e">
        <f>VLOOKUP(salidas[[#This Row],[Codigo de producto]],productos[],2,FALSE)</f>
        <v>#N/A</v>
      </c>
      <c r="N679" s="10">
        <f>+salidas[[#This Row],[Cantidad]]*salidas[[#This Row],[Precio U.]]</f>
        <v>0</v>
      </c>
      <c r="P679" s="1"/>
      <c r="T679" t="e">
        <f>VLOOKUP(entradas[[#This Row],[Codigo de producto]],productos[],2,FALSE)</f>
        <v>#N/A</v>
      </c>
      <c r="V679" s="1"/>
    </row>
    <row r="680" spans="8:22" x14ac:dyDescent="0.35">
      <c r="H680" s="1"/>
      <c r="L680" t="e">
        <f>VLOOKUP(salidas[[#This Row],[Codigo de producto]],productos[],2,FALSE)</f>
        <v>#N/A</v>
      </c>
      <c r="N680" s="10">
        <f>+salidas[[#This Row],[Cantidad]]*salidas[[#This Row],[Precio U.]]</f>
        <v>0</v>
      </c>
      <c r="P680" s="1"/>
      <c r="T680" t="e">
        <f>VLOOKUP(entradas[[#This Row],[Codigo de producto]],productos[],2,FALSE)</f>
        <v>#N/A</v>
      </c>
      <c r="V680" s="1"/>
    </row>
    <row r="681" spans="8:22" x14ac:dyDescent="0.35">
      <c r="H681" s="1"/>
      <c r="L681" t="e">
        <f>VLOOKUP(salidas[[#This Row],[Codigo de producto]],productos[],2,FALSE)</f>
        <v>#N/A</v>
      </c>
      <c r="N681" s="10">
        <f>+salidas[[#This Row],[Cantidad]]*salidas[[#This Row],[Precio U.]]</f>
        <v>0</v>
      </c>
      <c r="P681" s="1"/>
      <c r="T681" t="e">
        <f>VLOOKUP(entradas[[#This Row],[Codigo de producto]],productos[],2,FALSE)</f>
        <v>#N/A</v>
      </c>
      <c r="V681" s="1"/>
    </row>
    <row r="682" spans="8:22" x14ac:dyDescent="0.35">
      <c r="H682" s="1"/>
      <c r="L682" t="e">
        <f>VLOOKUP(salidas[[#This Row],[Codigo de producto]],productos[],2,FALSE)</f>
        <v>#N/A</v>
      </c>
      <c r="N682" s="10">
        <f>+salidas[[#This Row],[Cantidad]]*salidas[[#This Row],[Precio U.]]</f>
        <v>0</v>
      </c>
      <c r="P682" s="1"/>
      <c r="T682" t="e">
        <f>VLOOKUP(entradas[[#This Row],[Codigo de producto]],productos[],2,FALSE)</f>
        <v>#N/A</v>
      </c>
      <c r="V682" s="1"/>
    </row>
    <row r="683" spans="8:22" x14ac:dyDescent="0.35">
      <c r="H683" s="1"/>
      <c r="L683" t="e">
        <f>VLOOKUP(salidas[[#This Row],[Codigo de producto]],productos[],2,FALSE)</f>
        <v>#N/A</v>
      </c>
      <c r="N683" s="10">
        <f>+salidas[[#This Row],[Cantidad]]*salidas[[#This Row],[Precio U.]]</f>
        <v>0</v>
      </c>
      <c r="P683" s="1"/>
      <c r="T683" t="e">
        <f>VLOOKUP(entradas[[#This Row],[Codigo de producto]],productos[],2,FALSE)</f>
        <v>#N/A</v>
      </c>
      <c r="V683" s="1"/>
    </row>
    <row r="684" spans="8:22" x14ac:dyDescent="0.35">
      <c r="H684" s="1"/>
      <c r="L684" t="e">
        <f>VLOOKUP(salidas[[#This Row],[Codigo de producto]],productos[],2,FALSE)</f>
        <v>#N/A</v>
      </c>
      <c r="N684" s="10">
        <f>+salidas[[#This Row],[Cantidad]]*salidas[[#This Row],[Precio U.]]</f>
        <v>0</v>
      </c>
      <c r="P684" s="1"/>
      <c r="T684" t="e">
        <f>VLOOKUP(entradas[[#This Row],[Codigo de producto]],productos[],2,FALSE)</f>
        <v>#N/A</v>
      </c>
      <c r="V684" s="1"/>
    </row>
    <row r="685" spans="8:22" x14ac:dyDescent="0.35">
      <c r="H685" s="1"/>
      <c r="L685" t="e">
        <f>VLOOKUP(salidas[[#This Row],[Codigo de producto]],productos[],2,FALSE)</f>
        <v>#N/A</v>
      </c>
      <c r="N685" s="10">
        <f>+salidas[[#This Row],[Cantidad]]*salidas[[#This Row],[Precio U.]]</f>
        <v>0</v>
      </c>
      <c r="P685" s="1"/>
      <c r="T685" t="e">
        <f>VLOOKUP(entradas[[#This Row],[Codigo de producto]],productos[],2,FALSE)</f>
        <v>#N/A</v>
      </c>
      <c r="V685" s="1"/>
    </row>
    <row r="686" spans="8:22" x14ac:dyDescent="0.35">
      <c r="H686" s="1"/>
      <c r="L686" t="e">
        <f>VLOOKUP(salidas[[#This Row],[Codigo de producto]],productos[],2,FALSE)</f>
        <v>#N/A</v>
      </c>
      <c r="N686" s="10">
        <f>+salidas[[#This Row],[Cantidad]]*salidas[[#This Row],[Precio U.]]</f>
        <v>0</v>
      </c>
      <c r="P686" s="1"/>
      <c r="T686" t="e">
        <f>VLOOKUP(entradas[[#This Row],[Codigo de producto]],productos[],2,FALSE)</f>
        <v>#N/A</v>
      </c>
      <c r="V686" s="1"/>
    </row>
    <row r="687" spans="8:22" x14ac:dyDescent="0.35">
      <c r="H687" s="1"/>
      <c r="L687" t="e">
        <f>VLOOKUP(salidas[[#This Row],[Codigo de producto]],productos[],2,FALSE)</f>
        <v>#N/A</v>
      </c>
      <c r="N687" s="10">
        <f>+salidas[[#This Row],[Cantidad]]*salidas[[#This Row],[Precio U.]]</f>
        <v>0</v>
      </c>
      <c r="P687" s="1"/>
      <c r="T687" t="e">
        <f>VLOOKUP(entradas[[#This Row],[Codigo de producto]],productos[],2,FALSE)</f>
        <v>#N/A</v>
      </c>
      <c r="V687" s="1"/>
    </row>
    <row r="688" spans="8:22" x14ac:dyDescent="0.35">
      <c r="H688" s="1"/>
      <c r="L688" t="e">
        <f>VLOOKUP(salidas[[#This Row],[Codigo de producto]],productos[],2,FALSE)</f>
        <v>#N/A</v>
      </c>
      <c r="N688" s="10">
        <f>+salidas[[#This Row],[Cantidad]]*salidas[[#This Row],[Precio U.]]</f>
        <v>0</v>
      </c>
      <c r="P688" s="1"/>
      <c r="T688" t="e">
        <f>VLOOKUP(entradas[[#This Row],[Codigo de producto]],productos[],2,FALSE)</f>
        <v>#N/A</v>
      </c>
      <c r="V688" s="1"/>
    </row>
    <row r="689" spans="8:22" x14ac:dyDescent="0.35">
      <c r="H689" s="1"/>
      <c r="L689" t="e">
        <f>VLOOKUP(salidas[[#This Row],[Codigo de producto]],productos[],2,FALSE)</f>
        <v>#N/A</v>
      </c>
      <c r="N689" s="10">
        <f>+salidas[[#This Row],[Cantidad]]*salidas[[#This Row],[Precio U.]]</f>
        <v>0</v>
      </c>
      <c r="P689" s="1"/>
      <c r="T689" t="e">
        <f>VLOOKUP(entradas[[#This Row],[Codigo de producto]],productos[],2,FALSE)</f>
        <v>#N/A</v>
      </c>
      <c r="V689" s="1"/>
    </row>
    <row r="690" spans="8:22" x14ac:dyDescent="0.35">
      <c r="H690" s="1"/>
      <c r="L690" t="e">
        <f>VLOOKUP(salidas[[#This Row],[Codigo de producto]],productos[],2,FALSE)</f>
        <v>#N/A</v>
      </c>
      <c r="N690" s="10">
        <f>+salidas[[#This Row],[Cantidad]]*salidas[[#This Row],[Precio U.]]</f>
        <v>0</v>
      </c>
      <c r="P690" s="1"/>
      <c r="T690" t="e">
        <f>VLOOKUP(entradas[[#This Row],[Codigo de producto]],productos[],2,FALSE)</f>
        <v>#N/A</v>
      </c>
      <c r="V690" s="1"/>
    </row>
    <row r="691" spans="8:22" x14ac:dyDescent="0.35">
      <c r="H691" s="1"/>
      <c r="L691" t="e">
        <f>VLOOKUP(salidas[[#This Row],[Codigo de producto]],productos[],2,FALSE)</f>
        <v>#N/A</v>
      </c>
      <c r="N691" s="10">
        <f>+salidas[[#This Row],[Cantidad]]*salidas[[#This Row],[Precio U.]]</f>
        <v>0</v>
      </c>
      <c r="P691" s="1"/>
      <c r="T691" t="e">
        <f>VLOOKUP(entradas[[#This Row],[Codigo de producto]],productos[],2,FALSE)</f>
        <v>#N/A</v>
      </c>
      <c r="V691" s="1"/>
    </row>
    <row r="692" spans="8:22" x14ac:dyDescent="0.35">
      <c r="H692" s="1"/>
      <c r="L692" t="e">
        <f>VLOOKUP(salidas[[#This Row],[Codigo de producto]],productos[],2,FALSE)</f>
        <v>#N/A</v>
      </c>
      <c r="N692" s="10">
        <f>+salidas[[#This Row],[Cantidad]]*salidas[[#This Row],[Precio U.]]</f>
        <v>0</v>
      </c>
      <c r="P692" s="1"/>
      <c r="T692" t="e">
        <f>VLOOKUP(entradas[[#This Row],[Codigo de producto]],productos[],2,FALSE)</f>
        <v>#N/A</v>
      </c>
      <c r="V692" s="1"/>
    </row>
    <row r="693" spans="8:22" x14ac:dyDescent="0.35">
      <c r="H693" s="1"/>
      <c r="L693" t="e">
        <f>VLOOKUP(salidas[[#This Row],[Codigo de producto]],productos[],2,FALSE)</f>
        <v>#N/A</v>
      </c>
      <c r="N693" s="10">
        <f>+salidas[[#This Row],[Cantidad]]*salidas[[#This Row],[Precio U.]]</f>
        <v>0</v>
      </c>
      <c r="P693" s="1"/>
      <c r="T693" t="e">
        <f>VLOOKUP(entradas[[#This Row],[Codigo de producto]],productos[],2,FALSE)</f>
        <v>#N/A</v>
      </c>
      <c r="V693" s="1"/>
    </row>
    <row r="694" spans="8:22" x14ac:dyDescent="0.35">
      <c r="H694" s="1"/>
      <c r="L694" t="e">
        <f>VLOOKUP(salidas[[#This Row],[Codigo de producto]],productos[],2,FALSE)</f>
        <v>#N/A</v>
      </c>
      <c r="N694" s="10">
        <f>+salidas[[#This Row],[Cantidad]]*salidas[[#This Row],[Precio U.]]</f>
        <v>0</v>
      </c>
      <c r="P694" s="1"/>
      <c r="T694" t="e">
        <f>VLOOKUP(entradas[[#This Row],[Codigo de producto]],productos[],2,FALSE)</f>
        <v>#N/A</v>
      </c>
      <c r="V694" s="1"/>
    </row>
    <row r="695" spans="8:22" x14ac:dyDescent="0.35">
      <c r="H695" s="1"/>
      <c r="L695" t="e">
        <f>VLOOKUP(salidas[[#This Row],[Codigo de producto]],productos[],2,FALSE)</f>
        <v>#N/A</v>
      </c>
      <c r="N695" s="10">
        <f>+salidas[[#This Row],[Cantidad]]*salidas[[#This Row],[Precio U.]]</f>
        <v>0</v>
      </c>
      <c r="P695" s="1"/>
      <c r="T695" t="e">
        <f>VLOOKUP(entradas[[#This Row],[Codigo de producto]],productos[],2,FALSE)</f>
        <v>#N/A</v>
      </c>
      <c r="V695" s="1"/>
    </row>
    <row r="696" spans="8:22" x14ac:dyDescent="0.35">
      <c r="H696" s="1"/>
      <c r="L696" t="e">
        <f>VLOOKUP(salidas[[#This Row],[Codigo de producto]],productos[],2,FALSE)</f>
        <v>#N/A</v>
      </c>
      <c r="N696" s="10">
        <f>+salidas[[#This Row],[Cantidad]]*salidas[[#This Row],[Precio U.]]</f>
        <v>0</v>
      </c>
      <c r="P696" s="1"/>
      <c r="T696" t="e">
        <f>VLOOKUP(entradas[[#This Row],[Codigo de producto]],productos[],2,FALSE)</f>
        <v>#N/A</v>
      </c>
      <c r="V696" s="1"/>
    </row>
    <row r="697" spans="8:22" x14ac:dyDescent="0.35">
      <c r="H697" s="1"/>
      <c r="L697" t="e">
        <f>VLOOKUP(salidas[[#This Row],[Codigo de producto]],productos[],2,FALSE)</f>
        <v>#N/A</v>
      </c>
      <c r="N697" s="10">
        <f>+salidas[[#This Row],[Cantidad]]*salidas[[#This Row],[Precio U.]]</f>
        <v>0</v>
      </c>
      <c r="P697" s="1"/>
      <c r="T697" t="e">
        <f>VLOOKUP(entradas[[#This Row],[Codigo de producto]],productos[],2,FALSE)</f>
        <v>#N/A</v>
      </c>
      <c r="V697" s="1"/>
    </row>
    <row r="698" spans="8:22" x14ac:dyDescent="0.35">
      <c r="H698" s="1"/>
      <c r="L698" t="e">
        <f>VLOOKUP(salidas[[#This Row],[Codigo de producto]],productos[],2,FALSE)</f>
        <v>#N/A</v>
      </c>
      <c r="N698" s="10">
        <f>+salidas[[#This Row],[Cantidad]]*salidas[[#This Row],[Precio U.]]</f>
        <v>0</v>
      </c>
      <c r="P698" s="1"/>
      <c r="T698" t="e">
        <f>VLOOKUP(entradas[[#This Row],[Codigo de producto]],productos[],2,FALSE)</f>
        <v>#N/A</v>
      </c>
      <c r="V698" s="1"/>
    </row>
    <row r="699" spans="8:22" x14ac:dyDescent="0.35">
      <c r="H699" s="1"/>
      <c r="L699" t="e">
        <f>VLOOKUP(salidas[[#This Row],[Codigo de producto]],productos[],2,FALSE)</f>
        <v>#N/A</v>
      </c>
      <c r="N699" s="10">
        <f>+salidas[[#This Row],[Cantidad]]*salidas[[#This Row],[Precio U.]]</f>
        <v>0</v>
      </c>
      <c r="P699" s="1"/>
      <c r="T699" t="e">
        <f>VLOOKUP(entradas[[#This Row],[Codigo de producto]],productos[],2,FALSE)</f>
        <v>#N/A</v>
      </c>
      <c r="V699" s="1"/>
    </row>
    <row r="700" spans="8:22" x14ac:dyDescent="0.35">
      <c r="H700" s="1"/>
      <c r="L700" t="e">
        <f>VLOOKUP(salidas[[#This Row],[Codigo de producto]],productos[],2,FALSE)</f>
        <v>#N/A</v>
      </c>
      <c r="N700" s="10">
        <f>+salidas[[#This Row],[Cantidad]]*salidas[[#This Row],[Precio U.]]</f>
        <v>0</v>
      </c>
      <c r="P700" s="1"/>
      <c r="T700" t="e">
        <f>VLOOKUP(entradas[[#This Row],[Codigo de producto]],productos[],2,FALSE)</f>
        <v>#N/A</v>
      </c>
      <c r="V700" s="1"/>
    </row>
    <row r="701" spans="8:22" x14ac:dyDescent="0.35">
      <c r="H701" s="1"/>
      <c r="L701" t="e">
        <f>VLOOKUP(salidas[[#This Row],[Codigo de producto]],productos[],2,FALSE)</f>
        <v>#N/A</v>
      </c>
      <c r="N701" s="10">
        <f>+salidas[[#This Row],[Cantidad]]*salidas[[#This Row],[Precio U.]]</f>
        <v>0</v>
      </c>
      <c r="P701" s="1"/>
      <c r="T701" t="e">
        <f>VLOOKUP(entradas[[#This Row],[Codigo de producto]],productos[],2,FALSE)</f>
        <v>#N/A</v>
      </c>
      <c r="V701" s="1"/>
    </row>
    <row r="702" spans="8:22" x14ac:dyDescent="0.35">
      <c r="H702" s="1"/>
      <c r="L702" t="e">
        <f>VLOOKUP(salidas[[#This Row],[Codigo de producto]],productos[],2,FALSE)</f>
        <v>#N/A</v>
      </c>
      <c r="N702" s="10">
        <f>+salidas[[#This Row],[Cantidad]]*salidas[[#This Row],[Precio U.]]</f>
        <v>0</v>
      </c>
      <c r="P702" s="1"/>
      <c r="T702" t="e">
        <f>VLOOKUP(entradas[[#This Row],[Codigo de producto]],productos[],2,FALSE)</f>
        <v>#N/A</v>
      </c>
      <c r="V702" s="1"/>
    </row>
    <row r="703" spans="8:22" x14ac:dyDescent="0.35">
      <c r="H703" s="1"/>
      <c r="L703" t="e">
        <f>VLOOKUP(salidas[[#This Row],[Codigo de producto]],productos[],2,FALSE)</f>
        <v>#N/A</v>
      </c>
      <c r="N703" s="10">
        <f>+salidas[[#This Row],[Cantidad]]*salidas[[#This Row],[Precio U.]]</f>
        <v>0</v>
      </c>
      <c r="P703" s="1"/>
      <c r="T703" t="e">
        <f>VLOOKUP(entradas[[#This Row],[Codigo de producto]],productos[],2,FALSE)</f>
        <v>#N/A</v>
      </c>
      <c r="V703" s="1"/>
    </row>
    <row r="704" spans="8:22" x14ac:dyDescent="0.35">
      <c r="H704" s="1"/>
      <c r="L704" t="e">
        <f>VLOOKUP(salidas[[#This Row],[Codigo de producto]],productos[],2,FALSE)</f>
        <v>#N/A</v>
      </c>
      <c r="N704" s="10">
        <f>+salidas[[#This Row],[Cantidad]]*salidas[[#This Row],[Precio U.]]</f>
        <v>0</v>
      </c>
      <c r="P704" s="1"/>
      <c r="T704" t="e">
        <f>VLOOKUP(entradas[[#This Row],[Codigo de producto]],productos[],2,FALSE)</f>
        <v>#N/A</v>
      </c>
      <c r="V704" s="1"/>
    </row>
    <row r="705" spans="8:22" x14ac:dyDescent="0.35">
      <c r="H705" s="1"/>
      <c r="L705" t="e">
        <f>VLOOKUP(salidas[[#This Row],[Codigo de producto]],productos[],2,FALSE)</f>
        <v>#N/A</v>
      </c>
      <c r="N705" s="10">
        <f>+salidas[[#This Row],[Cantidad]]*salidas[[#This Row],[Precio U.]]</f>
        <v>0</v>
      </c>
      <c r="P705" s="1"/>
      <c r="T705" t="e">
        <f>VLOOKUP(entradas[[#This Row],[Codigo de producto]],productos[],2,FALSE)</f>
        <v>#N/A</v>
      </c>
      <c r="V705" s="1"/>
    </row>
    <row r="706" spans="8:22" x14ac:dyDescent="0.35">
      <c r="H706" s="1"/>
      <c r="L706" t="e">
        <f>VLOOKUP(salidas[[#This Row],[Codigo de producto]],productos[],2,FALSE)</f>
        <v>#N/A</v>
      </c>
      <c r="N706" s="10">
        <f>+salidas[[#This Row],[Cantidad]]*salidas[[#This Row],[Precio U.]]</f>
        <v>0</v>
      </c>
      <c r="P706" s="1"/>
      <c r="T706" t="e">
        <f>VLOOKUP(entradas[[#This Row],[Codigo de producto]],productos[],2,FALSE)</f>
        <v>#N/A</v>
      </c>
      <c r="V706" s="1"/>
    </row>
    <row r="707" spans="8:22" x14ac:dyDescent="0.35">
      <c r="H707" s="1"/>
      <c r="L707" t="e">
        <f>VLOOKUP(salidas[[#This Row],[Codigo de producto]],productos[],2,FALSE)</f>
        <v>#N/A</v>
      </c>
      <c r="N707" s="10">
        <f>+salidas[[#This Row],[Cantidad]]*salidas[[#This Row],[Precio U.]]</f>
        <v>0</v>
      </c>
      <c r="P707" s="1"/>
      <c r="T707" t="e">
        <f>VLOOKUP(entradas[[#This Row],[Codigo de producto]],productos[],2,FALSE)</f>
        <v>#N/A</v>
      </c>
      <c r="V707" s="1"/>
    </row>
    <row r="708" spans="8:22" x14ac:dyDescent="0.35">
      <c r="H708" s="1"/>
      <c r="L708" t="e">
        <f>VLOOKUP(salidas[[#This Row],[Codigo de producto]],productos[],2,FALSE)</f>
        <v>#N/A</v>
      </c>
      <c r="N708" s="10">
        <f>+salidas[[#This Row],[Cantidad]]*salidas[[#This Row],[Precio U.]]</f>
        <v>0</v>
      </c>
      <c r="P708" s="1"/>
      <c r="T708" t="e">
        <f>VLOOKUP(entradas[[#This Row],[Codigo de producto]],productos[],2,FALSE)</f>
        <v>#N/A</v>
      </c>
      <c r="V708" s="1"/>
    </row>
    <row r="709" spans="8:22" x14ac:dyDescent="0.35">
      <c r="H709" s="1"/>
      <c r="L709" t="e">
        <f>VLOOKUP(salidas[[#This Row],[Codigo de producto]],productos[],2,FALSE)</f>
        <v>#N/A</v>
      </c>
      <c r="N709" s="10">
        <f>+salidas[[#This Row],[Cantidad]]*salidas[[#This Row],[Precio U.]]</f>
        <v>0</v>
      </c>
      <c r="P709" s="1"/>
      <c r="T709" t="e">
        <f>VLOOKUP(entradas[[#This Row],[Codigo de producto]],productos[],2,FALSE)</f>
        <v>#N/A</v>
      </c>
      <c r="V709" s="1"/>
    </row>
    <row r="710" spans="8:22" x14ac:dyDescent="0.35">
      <c r="H710" s="1"/>
      <c r="L710" t="e">
        <f>VLOOKUP(salidas[[#This Row],[Codigo de producto]],productos[],2,FALSE)</f>
        <v>#N/A</v>
      </c>
      <c r="N710" s="10">
        <f>+salidas[[#This Row],[Cantidad]]*salidas[[#This Row],[Precio U.]]</f>
        <v>0</v>
      </c>
      <c r="P710" s="1"/>
      <c r="T710" t="e">
        <f>VLOOKUP(entradas[[#This Row],[Codigo de producto]],productos[],2,FALSE)</f>
        <v>#N/A</v>
      </c>
      <c r="V710" s="1"/>
    </row>
    <row r="711" spans="8:22" x14ac:dyDescent="0.35">
      <c r="H711" s="1"/>
      <c r="L711" t="e">
        <f>VLOOKUP(salidas[[#This Row],[Codigo de producto]],productos[],2,FALSE)</f>
        <v>#N/A</v>
      </c>
      <c r="N711" s="10">
        <f>+salidas[[#This Row],[Cantidad]]*salidas[[#This Row],[Precio U.]]</f>
        <v>0</v>
      </c>
      <c r="P711" s="1"/>
      <c r="T711" t="e">
        <f>VLOOKUP(entradas[[#This Row],[Codigo de producto]],productos[],2,FALSE)</f>
        <v>#N/A</v>
      </c>
      <c r="V711" s="1"/>
    </row>
    <row r="712" spans="8:22" x14ac:dyDescent="0.35">
      <c r="H712" s="1"/>
      <c r="L712" t="e">
        <f>VLOOKUP(salidas[[#This Row],[Codigo de producto]],productos[],2,FALSE)</f>
        <v>#N/A</v>
      </c>
      <c r="N712" s="10">
        <f>+salidas[[#This Row],[Cantidad]]*salidas[[#This Row],[Precio U.]]</f>
        <v>0</v>
      </c>
      <c r="P712" s="1"/>
      <c r="T712" t="e">
        <f>VLOOKUP(entradas[[#This Row],[Codigo de producto]],productos[],2,FALSE)</f>
        <v>#N/A</v>
      </c>
      <c r="V712" s="1"/>
    </row>
    <row r="713" spans="8:22" x14ac:dyDescent="0.35">
      <c r="H713" s="1"/>
      <c r="L713" t="e">
        <f>VLOOKUP(salidas[[#This Row],[Codigo de producto]],productos[],2,FALSE)</f>
        <v>#N/A</v>
      </c>
      <c r="N713" s="10">
        <f>+salidas[[#This Row],[Cantidad]]*salidas[[#This Row],[Precio U.]]</f>
        <v>0</v>
      </c>
      <c r="P713" s="1"/>
      <c r="T713" t="e">
        <f>VLOOKUP(entradas[[#This Row],[Codigo de producto]],productos[],2,FALSE)</f>
        <v>#N/A</v>
      </c>
      <c r="V713" s="1"/>
    </row>
    <row r="714" spans="8:22" x14ac:dyDescent="0.35">
      <c r="H714" s="1"/>
      <c r="L714" t="e">
        <f>VLOOKUP(salidas[[#This Row],[Codigo de producto]],productos[],2,FALSE)</f>
        <v>#N/A</v>
      </c>
      <c r="N714" s="10">
        <f>+salidas[[#This Row],[Cantidad]]*salidas[[#This Row],[Precio U.]]</f>
        <v>0</v>
      </c>
      <c r="P714" s="1"/>
      <c r="T714" t="e">
        <f>VLOOKUP(entradas[[#This Row],[Codigo de producto]],productos[],2,FALSE)</f>
        <v>#N/A</v>
      </c>
      <c r="V714" s="1"/>
    </row>
    <row r="715" spans="8:22" x14ac:dyDescent="0.35">
      <c r="H715" s="1"/>
      <c r="L715" t="e">
        <f>VLOOKUP(salidas[[#This Row],[Codigo de producto]],productos[],2,FALSE)</f>
        <v>#N/A</v>
      </c>
      <c r="N715" s="10">
        <f>+salidas[[#This Row],[Cantidad]]*salidas[[#This Row],[Precio U.]]</f>
        <v>0</v>
      </c>
      <c r="P715" s="1"/>
      <c r="T715" t="e">
        <f>VLOOKUP(entradas[[#This Row],[Codigo de producto]],productos[],2,FALSE)</f>
        <v>#N/A</v>
      </c>
      <c r="V715" s="1"/>
    </row>
    <row r="716" spans="8:22" x14ac:dyDescent="0.35">
      <c r="H716" s="1"/>
      <c r="L716" t="e">
        <f>VLOOKUP(salidas[[#This Row],[Codigo de producto]],productos[],2,FALSE)</f>
        <v>#N/A</v>
      </c>
      <c r="N716" s="10">
        <f>+salidas[[#This Row],[Cantidad]]*salidas[[#This Row],[Precio U.]]</f>
        <v>0</v>
      </c>
      <c r="P716" s="1"/>
      <c r="T716" t="e">
        <f>VLOOKUP(entradas[[#This Row],[Codigo de producto]],productos[],2,FALSE)</f>
        <v>#N/A</v>
      </c>
      <c r="V716" s="1"/>
    </row>
    <row r="717" spans="8:22" x14ac:dyDescent="0.35">
      <c r="H717" s="1"/>
      <c r="L717" t="e">
        <f>VLOOKUP(salidas[[#This Row],[Codigo de producto]],productos[],2,FALSE)</f>
        <v>#N/A</v>
      </c>
      <c r="N717" s="10">
        <f>+salidas[[#This Row],[Cantidad]]*salidas[[#This Row],[Precio U.]]</f>
        <v>0</v>
      </c>
      <c r="P717" s="1"/>
      <c r="T717" t="e">
        <f>VLOOKUP(entradas[[#This Row],[Codigo de producto]],productos[],2,FALSE)</f>
        <v>#N/A</v>
      </c>
      <c r="V717" s="1"/>
    </row>
    <row r="718" spans="8:22" x14ac:dyDescent="0.35">
      <c r="H718" s="1"/>
      <c r="L718" t="e">
        <f>VLOOKUP(salidas[[#This Row],[Codigo de producto]],productos[],2,FALSE)</f>
        <v>#N/A</v>
      </c>
      <c r="N718" s="10">
        <f>+salidas[[#This Row],[Cantidad]]*salidas[[#This Row],[Precio U.]]</f>
        <v>0</v>
      </c>
      <c r="P718" s="1"/>
      <c r="T718" t="e">
        <f>VLOOKUP(entradas[[#This Row],[Codigo de producto]],productos[],2,FALSE)</f>
        <v>#N/A</v>
      </c>
      <c r="V718" s="1"/>
    </row>
    <row r="719" spans="8:22" x14ac:dyDescent="0.35">
      <c r="H719" s="1"/>
      <c r="L719" t="e">
        <f>VLOOKUP(salidas[[#This Row],[Codigo de producto]],productos[],2,FALSE)</f>
        <v>#N/A</v>
      </c>
      <c r="N719" s="10">
        <f>+salidas[[#This Row],[Cantidad]]*salidas[[#This Row],[Precio U.]]</f>
        <v>0</v>
      </c>
      <c r="P719" s="1"/>
      <c r="T719" t="e">
        <f>VLOOKUP(entradas[[#This Row],[Codigo de producto]],productos[],2,FALSE)</f>
        <v>#N/A</v>
      </c>
      <c r="V719" s="1"/>
    </row>
    <row r="720" spans="8:22" x14ac:dyDescent="0.35">
      <c r="H720" s="1"/>
      <c r="L720" t="e">
        <f>VLOOKUP(salidas[[#This Row],[Codigo de producto]],productos[],2,FALSE)</f>
        <v>#N/A</v>
      </c>
      <c r="N720" s="10">
        <f>+salidas[[#This Row],[Cantidad]]*salidas[[#This Row],[Precio U.]]</f>
        <v>0</v>
      </c>
      <c r="P720" s="1"/>
      <c r="T720" t="e">
        <f>VLOOKUP(entradas[[#This Row],[Codigo de producto]],productos[],2,FALSE)</f>
        <v>#N/A</v>
      </c>
      <c r="V720" s="1"/>
    </row>
    <row r="721" spans="8:22" x14ac:dyDescent="0.35">
      <c r="H721" s="1"/>
      <c r="L721" t="e">
        <f>VLOOKUP(salidas[[#This Row],[Codigo de producto]],productos[],2,FALSE)</f>
        <v>#N/A</v>
      </c>
      <c r="N721" s="10">
        <f>+salidas[[#This Row],[Cantidad]]*salidas[[#This Row],[Precio U.]]</f>
        <v>0</v>
      </c>
      <c r="P721" s="1"/>
      <c r="T721" t="e">
        <f>VLOOKUP(entradas[[#This Row],[Codigo de producto]],productos[],2,FALSE)</f>
        <v>#N/A</v>
      </c>
      <c r="V721" s="1"/>
    </row>
    <row r="722" spans="8:22" x14ac:dyDescent="0.35">
      <c r="H722" s="1"/>
      <c r="L722" t="e">
        <f>VLOOKUP(salidas[[#This Row],[Codigo de producto]],productos[],2,FALSE)</f>
        <v>#N/A</v>
      </c>
      <c r="N722" s="10">
        <f>+salidas[[#This Row],[Cantidad]]*salidas[[#This Row],[Precio U.]]</f>
        <v>0</v>
      </c>
      <c r="P722" s="1"/>
      <c r="T722" t="e">
        <f>VLOOKUP(entradas[[#This Row],[Codigo de producto]],productos[],2,FALSE)</f>
        <v>#N/A</v>
      </c>
      <c r="V722" s="1"/>
    </row>
    <row r="723" spans="8:22" x14ac:dyDescent="0.35">
      <c r="H723" s="1"/>
      <c r="L723" t="e">
        <f>VLOOKUP(salidas[[#This Row],[Codigo de producto]],productos[],2,FALSE)</f>
        <v>#N/A</v>
      </c>
      <c r="N723" s="10">
        <f>+salidas[[#This Row],[Cantidad]]*salidas[[#This Row],[Precio U.]]</f>
        <v>0</v>
      </c>
      <c r="P723" s="1"/>
      <c r="T723" t="e">
        <f>VLOOKUP(entradas[[#This Row],[Codigo de producto]],productos[],2,FALSE)</f>
        <v>#N/A</v>
      </c>
      <c r="V723" s="1"/>
    </row>
    <row r="724" spans="8:22" x14ac:dyDescent="0.35">
      <c r="H724" s="1"/>
      <c r="L724" t="e">
        <f>VLOOKUP(salidas[[#This Row],[Codigo de producto]],productos[],2,FALSE)</f>
        <v>#N/A</v>
      </c>
      <c r="N724" s="10">
        <f>+salidas[[#This Row],[Cantidad]]*salidas[[#This Row],[Precio U.]]</f>
        <v>0</v>
      </c>
      <c r="P724" s="1"/>
      <c r="T724" t="e">
        <f>VLOOKUP(entradas[[#This Row],[Codigo de producto]],productos[],2,FALSE)</f>
        <v>#N/A</v>
      </c>
      <c r="V724" s="1"/>
    </row>
    <row r="725" spans="8:22" x14ac:dyDescent="0.35">
      <c r="H725" s="1"/>
      <c r="L725" t="e">
        <f>VLOOKUP(salidas[[#This Row],[Codigo de producto]],productos[],2,FALSE)</f>
        <v>#N/A</v>
      </c>
      <c r="N725" s="10">
        <f>+salidas[[#This Row],[Cantidad]]*salidas[[#This Row],[Precio U.]]</f>
        <v>0</v>
      </c>
      <c r="P725" s="1"/>
      <c r="T725" t="e">
        <f>VLOOKUP(entradas[[#This Row],[Codigo de producto]],productos[],2,FALSE)</f>
        <v>#N/A</v>
      </c>
      <c r="V725" s="1"/>
    </row>
    <row r="726" spans="8:22" x14ac:dyDescent="0.35">
      <c r="H726" s="1"/>
      <c r="L726" t="e">
        <f>VLOOKUP(salidas[[#This Row],[Codigo de producto]],productos[],2,FALSE)</f>
        <v>#N/A</v>
      </c>
      <c r="N726" s="10">
        <f>+salidas[[#This Row],[Cantidad]]*salidas[[#This Row],[Precio U.]]</f>
        <v>0</v>
      </c>
      <c r="P726" s="1"/>
      <c r="T726" t="e">
        <f>VLOOKUP(entradas[[#This Row],[Codigo de producto]],productos[],2,FALSE)</f>
        <v>#N/A</v>
      </c>
      <c r="V726" s="1"/>
    </row>
    <row r="727" spans="8:22" x14ac:dyDescent="0.35">
      <c r="H727" s="1"/>
      <c r="L727" t="e">
        <f>VLOOKUP(salidas[[#This Row],[Codigo de producto]],productos[],2,FALSE)</f>
        <v>#N/A</v>
      </c>
      <c r="N727" s="10">
        <f>+salidas[[#This Row],[Cantidad]]*salidas[[#This Row],[Precio U.]]</f>
        <v>0</v>
      </c>
      <c r="P727" s="1"/>
      <c r="T727" t="e">
        <f>VLOOKUP(entradas[[#This Row],[Codigo de producto]],productos[],2,FALSE)</f>
        <v>#N/A</v>
      </c>
      <c r="V727" s="1"/>
    </row>
    <row r="728" spans="8:22" x14ac:dyDescent="0.35">
      <c r="H728" s="1"/>
      <c r="L728" t="e">
        <f>VLOOKUP(salidas[[#This Row],[Codigo de producto]],productos[],2,FALSE)</f>
        <v>#N/A</v>
      </c>
      <c r="N728" s="10">
        <f>+salidas[[#This Row],[Cantidad]]*salidas[[#This Row],[Precio U.]]</f>
        <v>0</v>
      </c>
      <c r="P728" s="1"/>
      <c r="T728" t="e">
        <f>VLOOKUP(entradas[[#This Row],[Codigo de producto]],productos[],2,FALSE)</f>
        <v>#N/A</v>
      </c>
      <c r="V728" s="1"/>
    </row>
    <row r="729" spans="8:22" x14ac:dyDescent="0.35">
      <c r="H729" s="1"/>
      <c r="L729" t="e">
        <f>VLOOKUP(salidas[[#This Row],[Codigo de producto]],productos[],2,FALSE)</f>
        <v>#N/A</v>
      </c>
      <c r="N729" s="10">
        <f>+salidas[[#This Row],[Cantidad]]*salidas[[#This Row],[Precio U.]]</f>
        <v>0</v>
      </c>
      <c r="P729" s="1"/>
      <c r="T729" t="e">
        <f>VLOOKUP(entradas[[#This Row],[Codigo de producto]],productos[],2,FALSE)</f>
        <v>#N/A</v>
      </c>
      <c r="V729" s="1"/>
    </row>
    <row r="730" spans="8:22" x14ac:dyDescent="0.35">
      <c r="H730" s="1"/>
      <c r="L730" t="e">
        <f>VLOOKUP(salidas[[#This Row],[Codigo de producto]],productos[],2,FALSE)</f>
        <v>#N/A</v>
      </c>
      <c r="N730" s="10">
        <f>+salidas[[#This Row],[Cantidad]]*salidas[[#This Row],[Precio U.]]</f>
        <v>0</v>
      </c>
      <c r="P730" s="1"/>
      <c r="T730" t="e">
        <f>VLOOKUP(entradas[[#This Row],[Codigo de producto]],productos[],2,FALSE)</f>
        <v>#N/A</v>
      </c>
      <c r="V730" s="1"/>
    </row>
    <row r="731" spans="8:22" x14ac:dyDescent="0.35">
      <c r="H731" s="1"/>
      <c r="L731" t="e">
        <f>VLOOKUP(salidas[[#This Row],[Codigo de producto]],productos[],2,FALSE)</f>
        <v>#N/A</v>
      </c>
      <c r="N731" s="10">
        <f>+salidas[[#This Row],[Cantidad]]*salidas[[#This Row],[Precio U.]]</f>
        <v>0</v>
      </c>
      <c r="P731" s="1"/>
      <c r="T731" t="e">
        <f>VLOOKUP(entradas[[#This Row],[Codigo de producto]],productos[],2,FALSE)</f>
        <v>#N/A</v>
      </c>
      <c r="V731" s="1"/>
    </row>
    <row r="732" spans="8:22" x14ac:dyDescent="0.35">
      <c r="H732" s="1"/>
      <c r="L732" t="e">
        <f>VLOOKUP(salidas[[#This Row],[Codigo de producto]],productos[],2,FALSE)</f>
        <v>#N/A</v>
      </c>
      <c r="N732" s="10">
        <f>+salidas[[#This Row],[Cantidad]]*salidas[[#This Row],[Precio U.]]</f>
        <v>0</v>
      </c>
      <c r="P732" s="1"/>
      <c r="T732" t="e">
        <f>VLOOKUP(entradas[[#This Row],[Codigo de producto]],productos[],2,FALSE)</f>
        <v>#N/A</v>
      </c>
      <c r="V732" s="1"/>
    </row>
    <row r="733" spans="8:22" x14ac:dyDescent="0.35">
      <c r="H733" s="1"/>
      <c r="L733" t="e">
        <f>VLOOKUP(salidas[[#This Row],[Codigo de producto]],productos[],2,FALSE)</f>
        <v>#N/A</v>
      </c>
      <c r="N733" s="10">
        <f>+salidas[[#This Row],[Cantidad]]*salidas[[#This Row],[Precio U.]]</f>
        <v>0</v>
      </c>
      <c r="P733" s="1"/>
      <c r="T733" t="e">
        <f>VLOOKUP(entradas[[#This Row],[Codigo de producto]],productos[],2,FALSE)</f>
        <v>#N/A</v>
      </c>
      <c r="V733" s="1"/>
    </row>
    <row r="734" spans="8:22" x14ac:dyDescent="0.35">
      <c r="H734" s="1"/>
      <c r="L734" t="e">
        <f>VLOOKUP(salidas[[#This Row],[Codigo de producto]],productos[],2,FALSE)</f>
        <v>#N/A</v>
      </c>
      <c r="N734" s="10">
        <f>+salidas[[#This Row],[Cantidad]]*salidas[[#This Row],[Precio U.]]</f>
        <v>0</v>
      </c>
      <c r="P734" s="1"/>
      <c r="T734" t="e">
        <f>VLOOKUP(entradas[[#This Row],[Codigo de producto]],productos[],2,FALSE)</f>
        <v>#N/A</v>
      </c>
      <c r="V734" s="1"/>
    </row>
    <row r="735" spans="8:22" x14ac:dyDescent="0.35">
      <c r="H735" s="1"/>
      <c r="L735" t="e">
        <f>VLOOKUP(salidas[[#This Row],[Codigo de producto]],productos[],2,FALSE)</f>
        <v>#N/A</v>
      </c>
      <c r="N735" s="10">
        <f>+salidas[[#This Row],[Cantidad]]*salidas[[#This Row],[Precio U.]]</f>
        <v>0</v>
      </c>
      <c r="P735" s="1"/>
      <c r="T735" t="e">
        <f>VLOOKUP(entradas[[#This Row],[Codigo de producto]],productos[],2,FALSE)</f>
        <v>#N/A</v>
      </c>
      <c r="V735" s="1"/>
    </row>
    <row r="736" spans="8:22" x14ac:dyDescent="0.35">
      <c r="H736" s="1"/>
      <c r="L736" t="e">
        <f>VLOOKUP(salidas[[#This Row],[Codigo de producto]],productos[],2,FALSE)</f>
        <v>#N/A</v>
      </c>
      <c r="N736" s="10">
        <f>+salidas[[#This Row],[Cantidad]]*salidas[[#This Row],[Precio U.]]</f>
        <v>0</v>
      </c>
      <c r="P736" s="1"/>
      <c r="T736" t="e">
        <f>VLOOKUP(entradas[[#This Row],[Codigo de producto]],productos[],2,FALSE)</f>
        <v>#N/A</v>
      </c>
      <c r="V736" s="1"/>
    </row>
    <row r="737" spans="8:22" x14ac:dyDescent="0.35">
      <c r="H737" s="1"/>
      <c r="L737" t="e">
        <f>VLOOKUP(salidas[[#This Row],[Codigo de producto]],productos[],2,FALSE)</f>
        <v>#N/A</v>
      </c>
      <c r="N737" s="10">
        <f>+salidas[[#This Row],[Cantidad]]*salidas[[#This Row],[Precio U.]]</f>
        <v>0</v>
      </c>
      <c r="P737" s="1"/>
      <c r="T737" t="e">
        <f>VLOOKUP(entradas[[#This Row],[Codigo de producto]],productos[],2,FALSE)</f>
        <v>#N/A</v>
      </c>
      <c r="V737" s="1"/>
    </row>
    <row r="738" spans="8:22" x14ac:dyDescent="0.35">
      <c r="H738" s="1"/>
      <c r="L738" t="e">
        <f>VLOOKUP(salidas[[#This Row],[Codigo de producto]],productos[],2,FALSE)</f>
        <v>#N/A</v>
      </c>
      <c r="N738" s="10">
        <f>+salidas[[#This Row],[Cantidad]]*salidas[[#This Row],[Precio U.]]</f>
        <v>0</v>
      </c>
      <c r="P738" s="1"/>
      <c r="T738" t="e">
        <f>VLOOKUP(entradas[[#This Row],[Codigo de producto]],productos[],2,FALSE)</f>
        <v>#N/A</v>
      </c>
      <c r="V738" s="1"/>
    </row>
    <row r="739" spans="8:22" x14ac:dyDescent="0.35">
      <c r="H739" s="1"/>
      <c r="L739" t="e">
        <f>VLOOKUP(salidas[[#This Row],[Codigo de producto]],productos[],2,FALSE)</f>
        <v>#N/A</v>
      </c>
      <c r="N739" s="10">
        <f>+salidas[[#This Row],[Cantidad]]*salidas[[#This Row],[Precio U.]]</f>
        <v>0</v>
      </c>
      <c r="P739" s="1"/>
      <c r="T739" t="e">
        <f>VLOOKUP(entradas[[#This Row],[Codigo de producto]],productos[],2,FALSE)</f>
        <v>#N/A</v>
      </c>
      <c r="V739" s="1"/>
    </row>
    <row r="740" spans="8:22" x14ac:dyDescent="0.35">
      <c r="H740" s="1"/>
      <c r="L740" t="e">
        <f>VLOOKUP(salidas[[#This Row],[Codigo de producto]],productos[],2,FALSE)</f>
        <v>#N/A</v>
      </c>
      <c r="N740" s="10">
        <f>+salidas[[#This Row],[Cantidad]]*salidas[[#This Row],[Precio U.]]</f>
        <v>0</v>
      </c>
      <c r="P740" s="1"/>
      <c r="T740" t="e">
        <f>VLOOKUP(entradas[[#This Row],[Codigo de producto]],productos[],2,FALSE)</f>
        <v>#N/A</v>
      </c>
      <c r="V740" s="1"/>
    </row>
    <row r="741" spans="8:22" x14ac:dyDescent="0.35">
      <c r="H741" s="1"/>
      <c r="L741" t="e">
        <f>VLOOKUP(salidas[[#This Row],[Codigo de producto]],productos[],2,FALSE)</f>
        <v>#N/A</v>
      </c>
      <c r="N741" s="10">
        <f>+salidas[[#This Row],[Cantidad]]*salidas[[#This Row],[Precio U.]]</f>
        <v>0</v>
      </c>
      <c r="P741" s="1"/>
      <c r="T741" t="e">
        <f>VLOOKUP(entradas[[#This Row],[Codigo de producto]],productos[],2,FALSE)</f>
        <v>#N/A</v>
      </c>
      <c r="V741" s="1"/>
    </row>
    <row r="742" spans="8:22" x14ac:dyDescent="0.35">
      <c r="H742" s="1"/>
      <c r="L742" t="e">
        <f>VLOOKUP(salidas[[#This Row],[Codigo de producto]],productos[],2,FALSE)</f>
        <v>#N/A</v>
      </c>
      <c r="N742" s="10">
        <f>+salidas[[#This Row],[Cantidad]]*salidas[[#This Row],[Precio U.]]</f>
        <v>0</v>
      </c>
      <c r="P742" s="1"/>
      <c r="T742" t="e">
        <f>VLOOKUP(entradas[[#This Row],[Codigo de producto]],productos[],2,FALSE)</f>
        <v>#N/A</v>
      </c>
      <c r="V742" s="1"/>
    </row>
    <row r="743" spans="8:22" x14ac:dyDescent="0.35">
      <c r="H743" s="1"/>
      <c r="L743" t="e">
        <f>VLOOKUP(salidas[[#This Row],[Codigo de producto]],productos[],2,FALSE)</f>
        <v>#N/A</v>
      </c>
      <c r="N743" s="10">
        <f>+salidas[[#This Row],[Cantidad]]*salidas[[#This Row],[Precio U.]]</f>
        <v>0</v>
      </c>
      <c r="P743" s="1"/>
      <c r="T743" t="e">
        <f>VLOOKUP(entradas[[#This Row],[Codigo de producto]],productos[],2,FALSE)</f>
        <v>#N/A</v>
      </c>
      <c r="V743" s="1"/>
    </row>
    <row r="744" spans="8:22" x14ac:dyDescent="0.35">
      <c r="H744" s="1"/>
      <c r="L744" t="e">
        <f>VLOOKUP(salidas[[#This Row],[Codigo de producto]],productos[],2,FALSE)</f>
        <v>#N/A</v>
      </c>
      <c r="N744" s="10">
        <f>+salidas[[#This Row],[Cantidad]]*salidas[[#This Row],[Precio U.]]</f>
        <v>0</v>
      </c>
      <c r="P744" s="1"/>
      <c r="T744" t="e">
        <f>VLOOKUP(entradas[[#This Row],[Codigo de producto]],productos[],2,FALSE)</f>
        <v>#N/A</v>
      </c>
      <c r="V744" s="1"/>
    </row>
    <row r="745" spans="8:22" x14ac:dyDescent="0.35">
      <c r="H745" s="1"/>
      <c r="L745" t="e">
        <f>VLOOKUP(salidas[[#This Row],[Codigo de producto]],productos[],2,FALSE)</f>
        <v>#N/A</v>
      </c>
      <c r="N745" s="10">
        <f>+salidas[[#This Row],[Cantidad]]*salidas[[#This Row],[Precio U.]]</f>
        <v>0</v>
      </c>
      <c r="P745" s="1"/>
      <c r="T745" t="e">
        <f>VLOOKUP(entradas[[#This Row],[Codigo de producto]],productos[],2,FALSE)</f>
        <v>#N/A</v>
      </c>
      <c r="V745" s="1"/>
    </row>
    <row r="746" spans="8:22" x14ac:dyDescent="0.35">
      <c r="H746" s="1"/>
      <c r="L746" t="e">
        <f>VLOOKUP(salidas[[#This Row],[Codigo de producto]],productos[],2,FALSE)</f>
        <v>#N/A</v>
      </c>
      <c r="N746" s="10">
        <f>+salidas[[#This Row],[Cantidad]]*salidas[[#This Row],[Precio U.]]</f>
        <v>0</v>
      </c>
      <c r="P746" s="1"/>
      <c r="T746" t="e">
        <f>VLOOKUP(entradas[[#This Row],[Codigo de producto]],productos[],2,FALSE)</f>
        <v>#N/A</v>
      </c>
      <c r="V746" s="1"/>
    </row>
    <row r="747" spans="8:22" x14ac:dyDescent="0.35">
      <c r="H747" s="1"/>
      <c r="L747" t="e">
        <f>VLOOKUP(salidas[[#This Row],[Codigo de producto]],productos[],2,FALSE)</f>
        <v>#N/A</v>
      </c>
      <c r="N747" s="10">
        <f>+salidas[[#This Row],[Cantidad]]*salidas[[#This Row],[Precio U.]]</f>
        <v>0</v>
      </c>
      <c r="P747" s="1"/>
      <c r="T747" t="e">
        <f>VLOOKUP(entradas[[#This Row],[Codigo de producto]],productos[],2,FALSE)</f>
        <v>#N/A</v>
      </c>
      <c r="V747" s="1"/>
    </row>
    <row r="748" spans="8:22" x14ac:dyDescent="0.35">
      <c r="H748" s="1"/>
      <c r="L748" t="e">
        <f>VLOOKUP(salidas[[#This Row],[Codigo de producto]],productos[],2,FALSE)</f>
        <v>#N/A</v>
      </c>
      <c r="N748" s="10">
        <f>+salidas[[#This Row],[Cantidad]]*salidas[[#This Row],[Precio U.]]</f>
        <v>0</v>
      </c>
      <c r="P748" s="1"/>
      <c r="T748" t="e">
        <f>VLOOKUP(entradas[[#This Row],[Codigo de producto]],productos[],2,FALSE)</f>
        <v>#N/A</v>
      </c>
      <c r="V748" s="1"/>
    </row>
    <row r="749" spans="8:22" x14ac:dyDescent="0.35">
      <c r="H749" s="1"/>
      <c r="L749" t="e">
        <f>VLOOKUP(salidas[[#This Row],[Codigo de producto]],productos[],2,FALSE)</f>
        <v>#N/A</v>
      </c>
      <c r="N749" s="10">
        <f>+salidas[[#This Row],[Cantidad]]*salidas[[#This Row],[Precio U.]]</f>
        <v>0</v>
      </c>
      <c r="P749" s="1"/>
      <c r="T749" t="e">
        <f>VLOOKUP(entradas[[#This Row],[Codigo de producto]],productos[],2,FALSE)</f>
        <v>#N/A</v>
      </c>
      <c r="V749" s="1"/>
    </row>
    <row r="750" spans="8:22" x14ac:dyDescent="0.35">
      <c r="H750" s="1"/>
      <c r="L750" t="e">
        <f>VLOOKUP(salidas[[#This Row],[Codigo de producto]],productos[],2,FALSE)</f>
        <v>#N/A</v>
      </c>
      <c r="N750" s="10">
        <f>+salidas[[#This Row],[Cantidad]]*salidas[[#This Row],[Precio U.]]</f>
        <v>0</v>
      </c>
      <c r="P750" s="1"/>
      <c r="T750" t="e">
        <f>VLOOKUP(entradas[[#This Row],[Codigo de producto]],productos[],2,FALSE)</f>
        <v>#N/A</v>
      </c>
      <c r="V750" s="1"/>
    </row>
    <row r="751" spans="8:22" x14ac:dyDescent="0.35">
      <c r="H751" s="1"/>
      <c r="L751" t="e">
        <f>VLOOKUP(salidas[[#This Row],[Codigo de producto]],productos[],2,FALSE)</f>
        <v>#N/A</v>
      </c>
      <c r="N751" s="10">
        <f>+salidas[[#This Row],[Cantidad]]*salidas[[#This Row],[Precio U.]]</f>
        <v>0</v>
      </c>
      <c r="P751" s="1"/>
      <c r="T751" t="e">
        <f>VLOOKUP(entradas[[#This Row],[Codigo de producto]],productos[],2,FALSE)</f>
        <v>#N/A</v>
      </c>
      <c r="V751" s="1"/>
    </row>
    <row r="752" spans="8:22" x14ac:dyDescent="0.35">
      <c r="H752" s="1"/>
      <c r="L752" t="e">
        <f>VLOOKUP(salidas[[#This Row],[Codigo de producto]],productos[],2,FALSE)</f>
        <v>#N/A</v>
      </c>
      <c r="N752" s="10">
        <f>+salidas[[#This Row],[Cantidad]]*salidas[[#This Row],[Precio U.]]</f>
        <v>0</v>
      </c>
      <c r="P752" s="1"/>
      <c r="T752" t="e">
        <f>VLOOKUP(entradas[[#This Row],[Codigo de producto]],productos[],2,FALSE)</f>
        <v>#N/A</v>
      </c>
      <c r="V752" s="1"/>
    </row>
    <row r="753" spans="8:22" x14ac:dyDescent="0.35">
      <c r="H753" s="1"/>
      <c r="L753" t="e">
        <f>VLOOKUP(salidas[[#This Row],[Codigo de producto]],productos[],2,FALSE)</f>
        <v>#N/A</v>
      </c>
      <c r="N753" s="10">
        <f>+salidas[[#This Row],[Cantidad]]*salidas[[#This Row],[Precio U.]]</f>
        <v>0</v>
      </c>
      <c r="P753" s="1"/>
      <c r="T753" t="e">
        <f>VLOOKUP(entradas[[#This Row],[Codigo de producto]],productos[],2,FALSE)</f>
        <v>#N/A</v>
      </c>
      <c r="V753" s="1"/>
    </row>
    <row r="754" spans="8:22" x14ac:dyDescent="0.35">
      <c r="H754" s="1"/>
      <c r="L754" t="e">
        <f>VLOOKUP(salidas[[#This Row],[Codigo de producto]],productos[],2,FALSE)</f>
        <v>#N/A</v>
      </c>
      <c r="N754" s="10">
        <f>+salidas[[#This Row],[Cantidad]]*salidas[[#This Row],[Precio U.]]</f>
        <v>0</v>
      </c>
      <c r="P754" s="1"/>
      <c r="T754" t="e">
        <f>VLOOKUP(entradas[[#This Row],[Codigo de producto]],productos[],2,FALSE)</f>
        <v>#N/A</v>
      </c>
      <c r="V754" s="1"/>
    </row>
    <row r="755" spans="8:22" x14ac:dyDescent="0.35">
      <c r="H755" s="1"/>
      <c r="L755" t="e">
        <f>VLOOKUP(salidas[[#This Row],[Codigo de producto]],productos[],2,FALSE)</f>
        <v>#N/A</v>
      </c>
      <c r="N755" s="10">
        <f>+salidas[[#This Row],[Cantidad]]*salidas[[#This Row],[Precio U.]]</f>
        <v>0</v>
      </c>
      <c r="P755" s="1"/>
      <c r="T755" t="e">
        <f>VLOOKUP(entradas[[#This Row],[Codigo de producto]],productos[],2,FALSE)</f>
        <v>#N/A</v>
      </c>
      <c r="V755" s="1"/>
    </row>
    <row r="756" spans="8:22" x14ac:dyDescent="0.35">
      <c r="H756" s="1"/>
      <c r="L756" t="e">
        <f>VLOOKUP(salidas[[#This Row],[Codigo de producto]],productos[],2,FALSE)</f>
        <v>#N/A</v>
      </c>
      <c r="N756" s="10">
        <f>+salidas[[#This Row],[Cantidad]]*salidas[[#This Row],[Precio U.]]</f>
        <v>0</v>
      </c>
      <c r="P756" s="1"/>
      <c r="T756" t="e">
        <f>VLOOKUP(entradas[[#This Row],[Codigo de producto]],productos[],2,FALSE)</f>
        <v>#N/A</v>
      </c>
      <c r="V756" s="1"/>
    </row>
    <row r="757" spans="8:22" x14ac:dyDescent="0.35">
      <c r="H757" s="1"/>
      <c r="L757" t="e">
        <f>VLOOKUP(salidas[[#This Row],[Codigo de producto]],productos[],2,FALSE)</f>
        <v>#N/A</v>
      </c>
      <c r="N757" s="10">
        <f>+salidas[[#This Row],[Cantidad]]*salidas[[#This Row],[Precio U.]]</f>
        <v>0</v>
      </c>
      <c r="P757" s="1"/>
      <c r="T757" t="e">
        <f>VLOOKUP(entradas[[#This Row],[Codigo de producto]],productos[],2,FALSE)</f>
        <v>#N/A</v>
      </c>
      <c r="V757" s="1"/>
    </row>
    <row r="758" spans="8:22" x14ac:dyDescent="0.35">
      <c r="H758" s="1"/>
      <c r="L758" t="e">
        <f>VLOOKUP(salidas[[#This Row],[Codigo de producto]],productos[],2,FALSE)</f>
        <v>#N/A</v>
      </c>
      <c r="N758" s="10">
        <f>+salidas[[#This Row],[Cantidad]]*salidas[[#This Row],[Precio U.]]</f>
        <v>0</v>
      </c>
      <c r="P758" s="1"/>
      <c r="T758" t="e">
        <f>VLOOKUP(entradas[[#This Row],[Codigo de producto]],productos[],2,FALSE)</f>
        <v>#N/A</v>
      </c>
      <c r="V758" s="1"/>
    </row>
    <row r="759" spans="8:22" x14ac:dyDescent="0.35">
      <c r="H759" s="1"/>
      <c r="L759" t="e">
        <f>VLOOKUP(salidas[[#This Row],[Codigo de producto]],productos[],2,FALSE)</f>
        <v>#N/A</v>
      </c>
      <c r="N759" s="10">
        <f>+salidas[[#This Row],[Cantidad]]*salidas[[#This Row],[Precio U.]]</f>
        <v>0</v>
      </c>
      <c r="P759" s="1"/>
      <c r="T759" t="e">
        <f>VLOOKUP(entradas[[#This Row],[Codigo de producto]],productos[],2,FALSE)</f>
        <v>#N/A</v>
      </c>
      <c r="V759" s="1"/>
    </row>
    <row r="760" spans="8:22" x14ac:dyDescent="0.35">
      <c r="H760" s="1"/>
      <c r="L760" t="e">
        <f>VLOOKUP(salidas[[#This Row],[Codigo de producto]],productos[],2,FALSE)</f>
        <v>#N/A</v>
      </c>
      <c r="N760" s="10">
        <f>+salidas[[#This Row],[Cantidad]]*salidas[[#This Row],[Precio U.]]</f>
        <v>0</v>
      </c>
      <c r="P760" s="1"/>
      <c r="T760" t="e">
        <f>VLOOKUP(entradas[[#This Row],[Codigo de producto]],productos[],2,FALSE)</f>
        <v>#N/A</v>
      </c>
      <c r="V760" s="1"/>
    </row>
    <row r="761" spans="8:22" x14ac:dyDescent="0.35">
      <c r="H761" s="1"/>
      <c r="L761" t="e">
        <f>VLOOKUP(salidas[[#This Row],[Codigo de producto]],productos[],2,FALSE)</f>
        <v>#N/A</v>
      </c>
      <c r="N761" s="10">
        <f>+salidas[[#This Row],[Cantidad]]*salidas[[#This Row],[Precio U.]]</f>
        <v>0</v>
      </c>
      <c r="P761" s="1"/>
      <c r="T761" t="e">
        <f>VLOOKUP(entradas[[#This Row],[Codigo de producto]],productos[],2,FALSE)</f>
        <v>#N/A</v>
      </c>
      <c r="V761" s="1"/>
    </row>
    <row r="762" spans="8:22" x14ac:dyDescent="0.35">
      <c r="H762" s="1"/>
      <c r="L762" t="e">
        <f>VLOOKUP(salidas[[#This Row],[Codigo de producto]],productos[],2,FALSE)</f>
        <v>#N/A</v>
      </c>
      <c r="N762" s="10">
        <f>+salidas[[#This Row],[Cantidad]]*salidas[[#This Row],[Precio U.]]</f>
        <v>0</v>
      </c>
      <c r="P762" s="1"/>
      <c r="T762" t="e">
        <f>VLOOKUP(entradas[[#This Row],[Codigo de producto]],productos[],2,FALSE)</f>
        <v>#N/A</v>
      </c>
      <c r="V762" s="1"/>
    </row>
    <row r="763" spans="8:22" x14ac:dyDescent="0.35">
      <c r="H763" s="1"/>
      <c r="L763" t="e">
        <f>VLOOKUP(salidas[[#This Row],[Codigo de producto]],productos[],2,FALSE)</f>
        <v>#N/A</v>
      </c>
      <c r="N763" s="10">
        <f>+salidas[[#This Row],[Cantidad]]*salidas[[#This Row],[Precio U.]]</f>
        <v>0</v>
      </c>
      <c r="P763" s="1"/>
      <c r="T763" t="e">
        <f>VLOOKUP(entradas[[#This Row],[Codigo de producto]],productos[],2,FALSE)</f>
        <v>#N/A</v>
      </c>
      <c r="V763" s="1"/>
    </row>
    <row r="764" spans="8:22" x14ac:dyDescent="0.35">
      <c r="H764" s="1"/>
      <c r="L764" t="e">
        <f>VLOOKUP(salidas[[#This Row],[Codigo de producto]],productos[],2,FALSE)</f>
        <v>#N/A</v>
      </c>
      <c r="N764" s="10">
        <f>+salidas[[#This Row],[Cantidad]]*salidas[[#This Row],[Precio U.]]</f>
        <v>0</v>
      </c>
      <c r="P764" s="1"/>
      <c r="T764" t="e">
        <f>VLOOKUP(entradas[[#This Row],[Codigo de producto]],productos[],2,FALSE)</f>
        <v>#N/A</v>
      </c>
      <c r="V764" s="1"/>
    </row>
    <row r="765" spans="8:22" x14ac:dyDescent="0.35">
      <c r="H765" s="1"/>
      <c r="L765" t="e">
        <f>VLOOKUP(salidas[[#This Row],[Codigo de producto]],productos[],2,FALSE)</f>
        <v>#N/A</v>
      </c>
      <c r="N765" s="10">
        <f>+salidas[[#This Row],[Cantidad]]*salidas[[#This Row],[Precio U.]]</f>
        <v>0</v>
      </c>
      <c r="P765" s="1"/>
      <c r="T765" t="e">
        <f>VLOOKUP(entradas[[#This Row],[Codigo de producto]],productos[],2,FALSE)</f>
        <v>#N/A</v>
      </c>
      <c r="V765" s="1"/>
    </row>
    <row r="766" spans="8:22" x14ac:dyDescent="0.35">
      <c r="H766" s="1"/>
      <c r="L766" t="e">
        <f>VLOOKUP(salidas[[#This Row],[Codigo de producto]],productos[],2,FALSE)</f>
        <v>#N/A</v>
      </c>
      <c r="N766" s="10">
        <f>+salidas[[#This Row],[Cantidad]]*salidas[[#This Row],[Precio U.]]</f>
        <v>0</v>
      </c>
      <c r="P766" s="1"/>
      <c r="T766" t="e">
        <f>VLOOKUP(entradas[[#This Row],[Codigo de producto]],productos[],2,FALSE)</f>
        <v>#N/A</v>
      </c>
      <c r="V766" s="1"/>
    </row>
    <row r="767" spans="8:22" x14ac:dyDescent="0.35">
      <c r="H767" s="1"/>
      <c r="L767" t="e">
        <f>VLOOKUP(salidas[[#This Row],[Codigo de producto]],productos[],2,FALSE)</f>
        <v>#N/A</v>
      </c>
      <c r="N767" s="10">
        <f>+salidas[[#This Row],[Cantidad]]*salidas[[#This Row],[Precio U.]]</f>
        <v>0</v>
      </c>
      <c r="P767" s="1"/>
      <c r="T767" t="e">
        <f>VLOOKUP(entradas[[#This Row],[Codigo de producto]],productos[],2,FALSE)</f>
        <v>#N/A</v>
      </c>
      <c r="V767" s="1"/>
    </row>
    <row r="768" spans="8:22" x14ac:dyDescent="0.35">
      <c r="H768" s="1"/>
      <c r="L768" t="e">
        <f>VLOOKUP(salidas[[#This Row],[Codigo de producto]],productos[],2,FALSE)</f>
        <v>#N/A</v>
      </c>
      <c r="N768" s="10">
        <f>+salidas[[#This Row],[Cantidad]]*salidas[[#This Row],[Precio U.]]</f>
        <v>0</v>
      </c>
      <c r="P768" s="1"/>
      <c r="T768" t="e">
        <f>VLOOKUP(entradas[[#This Row],[Codigo de producto]],productos[],2,FALSE)</f>
        <v>#N/A</v>
      </c>
      <c r="V768" s="1"/>
    </row>
    <row r="769" spans="8:22" x14ac:dyDescent="0.35">
      <c r="H769" s="1"/>
      <c r="L769" t="e">
        <f>VLOOKUP(salidas[[#This Row],[Codigo de producto]],productos[],2,FALSE)</f>
        <v>#N/A</v>
      </c>
      <c r="N769" s="10">
        <f>+salidas[[#This Row],[Cantidad]]*salidas[[#This Row],[Precio U.]]</f>
        <v>0</v>
      </c>
      <c r="P769" s="1"/>
      <c r="T769" t="e">
        <f>VLOOKUP(entradas[[#This Row],[Codigo de producto]],productos[],2,FALSE)</f>
        <v>#N/A</v>
      </c>
      <c r="V769" s="1"/>
    </row>
    <row r="770" spans="8:22" x14ac:dyDescent="0.35">
      <c r="H770" s="1"/>
      <c r="L770" t="e">
        <f>VLOOKUP(salidas[[#This Row],[Codigo de producto]],productos[],2,FALSE)</f>
        <v>#N/A</v>
      </c>
      <c r="N770" s="10">
        <f>+salidas[[#This Row],[Cantidad]]*salidas[[#This Row],[Precio U.]]</f>
        <v>0</v>
      </c>
      <c r="P770" s="1"/>
      <c r="T770" t="e">
        <f>VLOOKUP(entradas[[#This Row],[Codigo de producto]],productos[],2,FALSE)</f>
        <v>#N/A</v>
      </c>
      <c r="V770" s="1"/>
    </row>
    <row r="771" spans="8:22" x14ac:dyDescent="0.35">
      <c r="H771" s="1"/>
      <c r="L771" t="e">
        <f>VLOOKUP(salidas[[#This Row],[Codigo de producto]],productos[],2,FALSE)</f>
        <v>#N/A</v>
      </c>
      <c r="N771" s="10">
        <f>+salidas[[#This Row],[Cantidad]]*salidas[[#This Row],[Precio U.]]</f>
        <v>0</v>
      </c>
      <c r="P771" s="1"/>
      <c r="T771" t="e">
        <f>VLOOKUP(entradas[[#This Row],[Codigo de producto]],productos[],2,FALSE)</f>
        <v>#N/A</v>
      </c>
      <c r="V771" s="1"/>
    </row>
    <row r="772" spans="8:22" x14ac:dyDescent="0.35">
      <c r="H772" s="1"/>
      <c r="L772" t="e">
        <f>VLOOKUP(salidas[[#This Row],[Codigo de producto]],productos[],2,FALSE)</f>
        <v>#N/A</v>
      </c>
      <c r="N772" s="10">
        <f>+salidas[[#This Row],[Cantidad]]*salidas[[#This Row],[Precio U.]]</f>
        <v>0</v>
      </c>
      <c r="P772" s="1"/>
      <c r="T772" t="e">
        <f>VLOOKUP(entradas[[#This Row],[Codigo de producto]],productos[],2,FALSE)</f>
        <v>#N/A</v>
      </c>
      <c r="V772" s="1"/>
    </row>
    <row r="773" spans="8:22" x14ac:dyDescent="0.35">
      <c r="H773" s="1"/>
      <c r="L773" t="e">
        <f>VLOOKUP(salidas[[#This Row],[Codigo de producto]],productos[],2,FALSE)</f>
        <v>#N/A</v>
      </c>
      <c r="N773" s="10">
        <f>+salidas[[#This Row],[Cantidad]]*salidas[[#This Row],[Precio U.]]</f>
        <v>0</v>
      </c>
      <c r="P773" s="1"/>
      <c r="T773" t="e">
        <f>VLOOKUP(entradas[[#This Row],[Codigo de producto]],productos[],2,FALSE)</f>
        <v>#N/A</v>
      </c>
      <c r="V773" s="1"/>
    </row>
    <row r="774" spans="8:22" x14ac:dyDescent="0.35">
      <c r="H774" s="1"/>
      <c r="L774" t="e">
        <f>VLOOKUP(salidas[[#This Row],[Codigo de producto]],productos[],2,FALSE)</f>
        <v>#N/A</v>
      </c>
      <c r="N774" s="10">
        <f>+salidas[[#This Row],[Cantidad]]*salidas[[#This Row],[Precio U.]]</f>
        <v>0</v>
      </c>
      <c r="P774" s="1"/>
      <c r="T774" t="e">
        <f>VLOOKUP(entradas[[#This Row],[Codigo de producto]],productos[],2,FALSE)</f>
        <v>#N/A</v>
      </c>
      <c r="V774" s="1"/>
    </row>
    <row r="775" spans="8:22" x14ac:dyDescent="0.35">
      <c r="H775" s="1"/>
      <c r="L775" t="e">
        <f>VLOOKUP(salidas[[#This Row],[Codigo de producto]],productos[],2,FALSE)</f>
        <v>#N/A</v>
      </c>
      <c r="N775" s="10">
        <f>+salidas[[#This Row],[Cantidad]]*salidas[[#This Row],[Precio U.]]</f>
        <v>0</v>
      </c>
      <c r="P775" s="1"/>
      <c r="T775" t="e">
        <f>VLOOKUP(entradas[[#This Row],[Codigo de producto]],productos[],2,FALSE)</f>
        <v>#N/A</v>
      </c>
      <c r="V775" s="1"/>
    </row>
    <row r="776" spans="8:22" x14ac:dyDescent="0.35">
      <c r="H776" s="1"/>
      <c r="L776" t="e">
        <f>VLOOKUP(salidas[[#This Row],[Codigo de producto]],productos[],2,FALSE)</f>
        <v>#N/A</v>
      </c>
      <c r="N776" s="10">
        <f>+salidas[[#This Row],[Cantidad]]*salidas[[#This Row],[Precio U.]]</f>
        <v>0</v>
      </c>
      <c r="P776" s="1"/>
      <c r="T776" t="e">
        <f>VLOOKUP(entradas[[#This Row],[Codigo de producto]],productos[],2,FALSE)</f>
        <v>#N/A</v>
      </c>
      <c r="V776" s="1"/>
    </row>
    <row r="777" spans="8:22" x14ac:dyDescent="0.35">
      <c r="H777" s="1"/>
      <c r="L777" t="e">
        <f>VLOOKUP(salidas[[#This Row],[Codigo de producto]],productos[],2,FALSE)</f>
        <v>#N/A</v>
      </c>
      <c r="N777" s="10">
        <f>+salidas[[#This Row],[Cantidad]]*salidas[[#This Row],[Precio U.]]</f>
        <v>0</v>
      </c>
      <c r="P777" s="1"/>
      <c r="T777" t="e">
        <f>VLOOKUP(entradas[[#This Row],[Codigo de producto]],productos[],2,FALSE)</f>
        <v>#N/A</v>
      </c>
      <c r="V777" s="1"/>
    </row>
    <row r="778" spans="8:22" x14ac:dyDescent="0.35">
      <c r="H778" s="1"/>
      <c r="L778" t="e">
        <f>VLOOKUP(salidas[[#This Row],[Codigo de producto]],productos[],2,FALSE)</f>
        <v>#N/A</v>
      </c>
      <c r="N778" s="10">
        <f>+salidas[[#This Row],[Cantidad]]*salidas[[#This Row],[Precio U.]]</f>
        <v>0</v>
      </c>
      <c r="P778" s="1"/>
      <c r="T778" t="e">
        <f>VLOOKUP(entradas[[#This Row],[Codigo de producto]],productos[],2,FALSE)</f>
        <v>#N/A</v>
      </c>
      <c r="V778" s="1"/>
    </row>
    <row r="779" spans="8:22" x14ac:dyDescent="0.35">
      <c r="H779" s="1"/>
      <c r="L779" t="e">
        <f>VLOOKUP(salidas[[#This Row],[Codigo de producto]],productos[],2,FALSE)</f>
        <v>#N/A</v>
      </c>
      <c r="N779" s="10">
        <f>+salidas[[#This Row],[Cantidad]]*salidas[[#This Row],[Precio U.]]</f>
        <v>0</v>
      </c>
      <c r="P779" s="1"/>
      <c r="T779" t="e">
        <f>VLOOKUP(entradas[[#This Row],[Codigo de producto]],productos[],2,FALSE)</f>
        <v>#N/A</v>
      </c>
      <c r="V779" s="1"/>
    </row>
    <row r="780" spans="8:22" x14ac:dyDescent="0.35">
      <c r="H780" s="1"/>
      <c r="L780" t="e">
        <f>VLOOKUP(salidas[[#This Row],[Codigo de producto]],productos[],2,FALSE)</f>
        <v>#N/A</v>
      </c>
      <c r="N780" s="10">
        <f>+salidas[[#This Row],[Cantidad]]*salidas[[#This Row],[Precio U.]]</f>
        <v>0</v>
      </c>
      <c r="P780" s="1"/>
      <c r="T780" t="e">
        <f>VLOOKUP(entradas[[#This Row],[Codigo de producto]],productos[],2,FALSE)</f>
        <v>#N/A</v>
      </c>
      <c r="V780" s="1"/>
    </row>
    <row r="781" spans="8:22" x14ac:dyDescent="0.35">
      <c r="H781" s="1"/>
      <c r="L781" t="e">
        <f>VLOOKUP(salidas[[#This Row],[Codigo de producto]],productos[],2,FALSE)</f>
        <v>#N/A</v>
      </c>
      <c r="N781" s="10">
        <f>+salidas[[#This Row],[Cantidad]]*salidas[[#This Row],[Precio U.]]</f>
        <v>0</v>
      </c>
      <c r="P781" s="1"/>
      <c r="T781" t="e">
        <f>VLOOKUP(entradas[[#This Row],[Codigo de producto]],productos[],2,FALSE)</f>
        <v>#N/A</v>
      </c>
      <c r="V781" s="1"/>
    </row>
    <row r="782" spans="8:22" x14ac:dyDescent="0.35">
      <c r="H782" s="1"/>
      <c r="L782" t="e">
        <f>VLOOKUP(salidas[[#This Row],[Codigo de producto]],productos[],2,FALSE)</f>
        <v>#N/A</v>
      </c>
      <c r="N782" s="10">
        <f>+salidas[[#This Row],[Cantidad]]*salidas[[#This Row],[Precio U.]]</f>
        <v>0</v>
      </c>
      <c r="P782" s="1"/>
      <c r="T782" t="e">
        <f>VLOOKUP(entradas[[#This Row],[Codigo de producto]],productos[],2,FALSE)</f>
        <v>#N/A</v>
      </c>
      <c r="V782" s="1"/>
    </row>
    <row r="783" spans="8:22" x14ac:dyDescent="0.35">
      <c r="H783" s="1"/>
      <c r="L783" t="e">
        <f>VLOOKUP(salidas[[#This Row],[Codigo de producto]],productos[],2,FALSE)</f>
        <v>#N/A</v>
      </c>
      <c r="N783" s="10">
        <f>+salidas[[#This Row],[Cantidad]]*salidas[[#This Row],[Precio U.]]</f>
        <v>0</v>
      </c>
      <c r="P783" s="1"/>
      <c r="T783" t="e">
        <f>VLOOKUP(entradas[[#This Row],[Codigo de producto]],productos[],2,FALSE)</f>
        <v>#N/A</v>
      </c>
      <c r="V783" s="1"/>
    </row>
    <row r="784" spans="8:22" x14ac:dyDescent="0.35">
      <c r="H784" s="1"/>
      <c r="L784" t="e">
        <f>VLOOKUP(salidas[[#This Row],[Codigo de producto]],productos[],2,FALSE)</f>
        <v>#N/A</v>
      </c>
      <c r="N784" s="10">
        <f>+salidas[[#This Row],[Cantidad]]*salidas[[#This Row],[Precio U.]]</f>
        <v>0</v>
      </c>
      <c r="P784" s="1"/>
      <c r="T784" t="e">
        <f>VLOOKUP(entradas[[#This Row],[Codigo de producto]],productos[],2,FALSE)</f>
        <v>#N/A</v>
      </c>
      <c r="V784" s="1"/>
    </row>
    <row r="785" spans="8:22" x14ac:dyDescent="0.35">
      <c r="H785" s="1"/>
      <c r="L785" t="e">
        <f>VLOOKUP(salidas[[#This Row],[Codigo de producto]],productos[],2,FALSE)</f>
        <v>#N/A</v>
      </c>
      <c r="N785" s="10">
        <f>+salidas[[#This Row],[Cantidad]]*salidas[[#This Row],[Precio U.]]</f>
        <v>0</v>
      </c>
      <c r="P785" s="1"/>
      <c r="T785" t="e">
        <f>VLOOKUP(entradas[[#This Row],[Codigo de producto]],productos[],2,FALSE)</f>
        <v>#N/A</v>
      </c>
      <c r="V785" s="1"/>
    </row>
    <row r="786" spans="8:22" x14ac:dyDescent="0.35">
      <c r="H786" s="1"/>
      <c r="L786" t="e">
        <f>VLOOKUP(salidas[[#This Row],[Codigo de producto]],productos[],2,FALSE)</f>
        <v>#N/A</v>
      </c>
      <c r="N786" s="10">
        <f>+salidas[[#This Row],[Cantidad]]*salidas[[#This Row],[Precio U.]]</f>
        <v>0</v>
      </c>
      <c r="P786" s="1"/>
      <c r="T786" t="e">
        <f>VLOOKUP(entradas[[#This Row],[Codigo de producto]],productos[],2,FALSE)</f>
        <v>#N/A</v>
      </c>
      <c r="V786" s="1"/>
    </row>
    <row r="787" spans="8:22" x14ac:dyDescent="0.35">
      <c r="H787" s="1"/>
      <c r="L787" t="e">
        <f>VLOOKUP(salidas[[#This Row],[Codigo de producto]],productos[],2,FALSE)</f>
        <v>#N/A</v>
      </c>
      <c r="N787" s="10">
        <f>+salidas[[#This Row],[Cantidad]]*salidas[[#This Row],[Precio U.]]</f>
        <v>0</v>
      </c>
      <c r="P787" s="1"/>
      <c r="T787" t="e">
        <f>VLOOKUP(entradas[[#This Row],[Codigo de producto]],productos[],2,FALSE)</f>
        <v>#N/A</v>
      </c>
      <c r="V787" s="1"/>
    </row>
    <row r="788" spans="8:22" x14ac:dyDescent="0.35">
      <c r="H788" s="1"/>
      <c r="L788" t="e">
        <f>VLOOKUP(salidas[[#This Row],[Codigo de producto]],productos[],2,FALSE)</f>
        <v>#N/A</v>
      </c>
      <c r="N788" s="10">
        <f>+salidas[[#This Row],[Cantidad]]*salidas[[#This Row],[Precio U.]]</f>
        <v>0</v>
      </c>
      <c r="P788" s="1"/>
      <c r="T788" t="e">
        <f>VLOOKUP(entradas[[#This Row],[Codigo de producto]],productos[],2,FALSE)</f>
        <v>#N/A</v>
      </c>
      <c r="V788" s="1"/>
    </row>
    <row r="789" spans="8:22" x14ac:dyDescent="0.35">
      <c r="H789" s="1"/>
      <c r="L789" t="e">
        <f>VLOOKUP(salidas[[#This Row],[Codigo de producto]],productos[],2,FALSE)</f>
        <v>#N/A</v>
      </c>
      <c r="N789" s="10">
        <f>+salidas[[#This Row],[Cantidad]]*salidas[[#This Row],[Precio U.]]</f>
        <v>0</v>
      </c>
      <c r="P789" s="1"/>
      <c r="T789" t="e">
        <f>VLOOKUP(entradas[[#This Row],[Codigo de producto]],productos[],2,FALSE)</f>
        <v>#N/A</v>
      </c>
      <c r="V789" s="1"/>
    </row>
    <row r="790" spans="8:22" x14ac:dyDescent="0.35">
      <c r="H790" s="1"/>
      <c r="L790" t="e">
        <f>VLOOKUP(salidas[[#This Row],[Codigo de producto]],productos[],2,FALSE)</f>
        <v>#N/A</v>
      </c>
      <c r="N790" s="10">
        <f>+salidas[[#This Row],[Cantidad]]*salidas[[#This Row],[Precio U.]]</f>
        <v>0</v>
      </c>
      <c r="P790" s="1"/>
      <c r="T790" t="e">
        <f>VLOOKUP(entradas[[#This Row],[Codigo de producto]],productos[],2,FALSE)</f>
        <v>#N/A</v>
      </c>
      <c r="V790" s="1"/>
    </row>
    <row r="791" spans="8:22" x14ac:dyDescent="0.35">
      <c r="H791" s="1"/>
      <c r="L791" t="e">
        <f>VLOOKUP(salidas[[#This Row],[Codigo de producto]],productos[],2,FALSE)</f>
        <v>#N/A</v>
      </c>
      <c r="N791" s="10">
        <f>+salidas[[#This Row],[Cantidad]]*salidas[[#This Row],[Precio U.]]</f>
        <v>0</v>
      </c>
      <c r="P791" s="1"/>
      <c r="T791" t="e">
        <f>VLOOKUP(entradas[[#This Row],[Codigo de producto]],productos[],2,FALSE)</f>
        <v>#N/A</v>
      </c>
      <c r="V791" s="1"/>
    </row>
    <row r="792" spans="8:22" x14ac:dyDescent="0.35">
      <c r="H792" s="1"/>
      <c r="L792" t="e">
        <f>VLOOKUP(salidas[[#This Row],[Codigo de producto]],productos[],2,FALSE)</f>
        <v>#N/A</v>
      </c>
      <c r="N792" s="10">
        <f>+salidas[[#This Row],[Cantidad]]*salidas[[#This Row],[Precio U.]]</f>
        <v>0</v>
      </c>
      <c r="P792" s="1"/>
      <c r="T792" t="e">
        <f>VLOOKUP(entradas[[#This Row],[Codigo de producto]],productos[],2,FALSE)</f>
        <v>#N/A</v>
      </c>
      <c r="V792" s="1"/>
    </row>
    <row r="793" spans="8:22" x14ac:dyDescent="0.35">
      <c r="H793" s="1"/>
      <c r="L793" t="e">
        <f>VLOOKUP(salidas[[#This Row],[Codigo de producto]],productos[],2,FALSE)</f>
        <v>#N/A</v>
      </c>
      <c r="N793" s="10">
        <f>+salidas[[#This Row],[Cantidad]]*salidas[[#This Row],[Precio U.]]</f>
        <v>0</v>
      </c>
      <c r="P793" s="1"/>
      <c r="T793" t="e">
        <f>VLOOKUP(entradas[[#This Row],[Codigo de producto]],productos[],2,FALSE)</f>
        <v>#N/A</v>
      </c>
      <c r="V793" s="1"/>
    </row>
    <row r="794" spans="8:22" x14ac:dyDescent="0.35">
      <c r="H794" s="1"/>
      <c r="L794" t="e">
        <f>VLOOKUP(salidas[[#This Row],[Codigo de producto]],productos[],2,FALSE)</f>
        <v>#N/A</v>
      </c>
      <c r="N794" s="10">
        <f>+salidas[[#This Row],[Cantidad]]*salidas[[#This Row],[Precio U.]]</f>
        <v>0</v>
      </c>
      <c r="P794" s="1"/>
      <c r="T794" t="e">
        <f>VLOOKUP(entradas[[#This Row],[Codigo de producto]],productos[],2,FALSE)</f>
        <v>#N/A</v>
      </c>
      <c r="V794" s="1"/>
    </row>
    <row r="795" spans="8:22" x14ac:dyDescent="0.35">
      <c r="H795" s="1"/>
      <c r="L795" t="e">
        <f>VLOOKUP(salidas[[#This Row],[Codigo de producto]],productos[],2,FALSE)</f>
        <v>#N/A</v>
      </c>
      <c r="N795" s="10">
        <f>+salidas[[#This Row],[Cantidad]]*salidas[[#This Row],[Precio U.]]</f>
        <v>0</v>
      </c>
      <c r="P795" s="1"/>
      <c r="T795" t="e">
        <f>VLOOKUP(entradas[[#This Row],[Codigo de producto]],productos[],2,FALSE)</f>
        <v>#N/A</v>
      </c>
      <c r="V795" s="1"/>
    </row>
    <row r="796" spans="8:22" x14ac:dyDescent="0.35">
      <c r="H796" s="1"/>
      <c r="L796" t="e">
        <f>VLOOKUP(salidas[[#This Row],[Codigo de producto]],productos[],2,FALSE)</f>
        <v>#N/A</v>
      </c>
      <c r="N796" s="10">
        <f>+salidas[[#This Row],[Cantidad]]*salidas[[#This Row],[Precio U.]]</f>
        <v>0</v>
      </c>
      <c r="P796" s="1"/>
      <c r="T796" t="e">
        <f>VLOOKUP(entradas[[#This Row],[Codigo de producto]],productos[],2,FALSE)</f>
        <v>#N/A</v>
      </c>
      <c r="V796" s="1"/>
    </row>
    <row r="797" spans="8:22" x14ac:dyDescent="0.35">
      <c r="H797" s="1"/>
      <c r="L797" t="e">
        <f>VLOOKUP(salidas[[#This Row],[Codigo de producto]],productos[],2,FALSE)</f>
        <v>#N/A</v>
      </c>
      <c r="N797" s="10">
        <f>+salidas[[#This Row],[Cantidad]]*salidas[[#This Row],[Precio U.]]</f>
        <v>0</v>
      </c>
      <c r="P797" s="1"/>
      <c r="T797" t="e">
        <f>VLOOKUP(entradas[[#This Row],[Codigo de producto]],productos[],2,FALSE)</f>
        <v>#N/A</v>
      </c>
      <c r="V797" s="1"/>
    </row>
    <row r="798" spans="8:22" x14ac:dyDescent="0.35">
      <c r="H798" s="1"/>
      <c r="L798" t="e">
        <f>VLOOKUP(salidas[[#This Row],[Codigo de producto]],productos[],2,FALSE)</f>
        <v>#N/A</v>
      </c>
      <c r="N798" s="10">
        <f>+salidas[[#This Row],[Cantidad]]*salidas[[#This Row],[Precio U.]]</f>
        <v>0</v>
      </c>
      <c r="P798" s="1"/>
      <c r="T798" t="e">
        <f>VLOOKUP(entradas[[#This Row],[Codigo de producto]],productos[],2,FALSE)</f>
        <v>#N/A</v>
      </c>
      <c r="V798" s="1"/>
    </row>
    <row r="799" spans="8:22" x14ac:dyDescent="0.35">
      <c r="H799" s="1"/>
      <c r="L799" t="e">
        <f>VLOOKUP(salidas[[#This Row],[Codigo de producto]],productos[],2,FALSE)</f>
        <v>#N/A</v>
      </c>
      <c r="N799" s="10">
        <f>+salidas[[#This Row],[Cantidad]]*salidas[[#This Row],[Precio U.]]</f>
        <v>0</v>
      </c>
      <c r="P799" s="1"/>
      <c r="T799" t="e">
        <f>VLOOKUP(entradas[[#This Row],[Codigo de producto]],productos[],2,FALSE)</f>
        <v>#N/A</v>
      </c>
      <c r="V799" s="1"/>
    </row>
    <row r="800" spans="8:22" x14ac:dyDescent="0.35">
      <c r="H800" s="1"/>
      <c r="L800" t="e">
        <f>VLOOKUP(salidas[[#This Row],[Codigo de producto]],productos[],2,FALSE)</f>
        <v>#N/A</v>
      </c>
      <c r="N800" s="10">
        <f>+salidas[[#This Row],[Cantidad]]*salidas[[#This Row],[Precio U.]]</f>
        <v>0</v>
      </c>
      <c r="P800" s="1"/>
      <c r="T800" t="e">
        <f>VLOOKUP(entradas[[#This Row],[Codigo de producto]],productos[],2,FALSE)</f>
        <v>#N/A</v>
      </c>
      <c r="V800" s="1"/>
    </row>
    <row r="801" spans="8:22" x14ac:dyDescent="0.35">
      <c r="H801" s="1"/>
      <c r="L801" t="e">
        <f>VLOOKUP(salidas[[#This Row],[Codigo de producto]],productos[],2,FALSE)</f>
        <v>#N/A</v>
      </c>
      <c r="N801" s="10">
        <f>+salidas[[#This Row],[Cantidad]]*salidas[[#This Row],[Precio U.]]</f>
        <v>0</v>
      </c>
      <c r="P801" s="1"/>
      <c r="T801" t="e">
        <f>VLOOKUP(entradas[[#This Row],[Codigo de producto]],productos[],2,FALSE)</f>
        <v>#N/A</v>
      </c>
      <c r="V801" s="1"/>
    </row>
    <row r="802" spans="8:22" x14ac:dyDescent="0.35">
      <c r="H802" s="1"/>
      <c r="L802" t="e">
        <f>VLOOKUP(salidas[[#This Row],[Codigo de producto]],productos[],2,FALSE)</f>
        <v>#N/A</v>
      </c>
      <c r="N802" s="10">
        <f>+salidas[[#This Row],[Cantidad]]*salidas[[#This Row],[Precio U.]]</f>
        <v>0</v>
      </c>
      <c r="P802" s="1"/>
      <c r="T802" t="e">
        <f>VLOOKUP(entradas[[#This Row],[Codigo de producto]],productos[],2,FALSE)</f>
        <v>#N/A</v>
      </c>
      <c r="V802" s="1"/>
    </row>
    <row r="803" spans="8:22" x14ac:dyDescent="0.35">
      <c r="H803" s="1"/>
      <c r="L803" t="e">
        <f>VLOOKUP(salidas[[#This Row],[Codigo de producto]],productos[],2,FALSE)</f>
        <v>#N/A</v>
      </c>
      <c r="N803" s="10">
        <f>+salidas[[#This Row],[Cantidad]]*salidas[[#This Row],[Precio U.]]</f>
        <v>0</v>
      </c>
      <c r="P803" s="1"/>
      <c r="T803" t="e">
        <f>VLOOKUP(entradas[[#This Row],[Codigo de producto]],productos[],2,FALSE)</f>
        <v>#N/A</v>
      </c>
      <c r="V803" s="1"/>
    </row>
    <row r="804" spans="8:22" x14ac:dyDescent="0.35">
      <c r="H804" s="1"/>
      <c r="L804" t="e">
        <f>VLOOKUP(salidas[[#This Row],[Codigo de producto]],productos[],2,FALSE)</f>
        <v>#N/A</v>
      </c>
      <c r="N804" s="10">
        <f>+salidas[[#This Row],[Cantidad]]*salidas[[#This Row],[Precio U.]]</f>
        <v>0</v>
      </c>
      <c r="P804" s="1"/>
      <c r="T804" t="e">
        <f>VLOOKUP(entradas[[#This Row],[Codigo de producto]],productos[],2,FALSE)</f>
        <v>#N/A</v>
      </c>
      <c r="V804" s="1"/>
    </row>
    <row r="805" spans="8:22" x14ac:dyDescent="0.35">
      <c r="H805" s="1"/>
      <c r="L805" t="e">
        <f>VLOOKUP(salidas[[#This Row],[Codigo de producto]],productos[],2,FALSE)</f>
        <v>#N/A</v>
      </c>
      <c r="N805" s="10">
        <f>+salidas[[#This Row],[Cantidad]]*salidas[[#This Row],[Precio U.]]</f>
        <v>0</v>
      </c>
      <c r="P805" s="1"/>
      <c r="T805" t="e">
        <f>VLOOKUP(entradas[[#This Row],[Codigo de producto]],productos[],2,FALSE)</f>
        <v>#N/A</v>
      </c>
      <c r="V805" s="1"/>
    </row>
    <row r="806" spans="8:22" x14ac:dyDescent="0.35">
      <c r="H806" s="1"/>
      <c r="L806" t="e">
        <f>VLOOKUP(salidas[[#This Row],[Codigo de producto]],productos[],2,FALSE)</f>
        <v>#N/A</v>
      </c>
      <c r="N806" s="10">
        <f>+salidas[[#This Row],[Cantidad]]*salidas[[#This Row],[Precio U.]]</f>
        <v>0</v>
      </c>
      <c r="P806" s="1"/>
      <c r="T806" t="e">
        <f>VLOOKUP(entradas[[#This Row],[Codigo de producto]],productos[],2,FALSE)</f>
        <v>#N/A</v>
      </c>
      <c r="V806" s="1"/>
    </row>
    <row r="807" spans="8:22" x14ac:dyDescent="0.35">
      <c r="H807" s="1"/>
      <c r="L807" t="e">
        <f>VLOOKUP(salidas[[#This Row],[Codigo de producto]],productos[],2,FALSE)</f>
        <v>#N/A</v>
      </c>
      <c r="N807" s="10">
        <f>+salidas[[#This Row],[Cantidad]]*salidas[[#This Row],[Precio U.]]</f>
        <v>0</v>
      </c>
      <c r="P807" s="1"/>
      <c r="T807" t="e">
        <f>VLOOKUP(entradas[[#This Row],[Codigo de producto]],productos[],2,FALSE)</f>
        <v>#N/A</v>
      </c>
      <c r="V807" s="1"/>
    </row>
    <row r="808" spans="8:22" x14ac:dyDescent="0.35">
      <c r="H808" s="1"/>
      <c r="L808" t="e">
        <f>VLOOKUP(salidas[[#This Row],[Codigo de producto]],productos[],2,FALSE)</f>
        <v>#N/A</v>
      </c>
      <c r="N808" s="10">
        <f>+salidas[[#This Row],[Cantidad]]*salidas[[#This Row],[Precio U.]]</f>
        <v>0</v>
      </c>
      <c r="P808" s="1"/>
      <c r="T808" t="e">
        <f>VLOOKUP(entradas[[#This Row],[Codigo de producto]],productos[],2,FALSE)</f>
        <v>#N/A</v>
      </c>
      <c r="V808" s="1"/>
    </row>
    <row r="809" spans="8:22" x14ac:dyDescent="0.35">
      <c r="H809" s="1"/>
      <c r="L809" t="e">
        <f>VLOOKUP(salidas[[#This Row],[Codigo de producto]],productos[],2,FALSE)</f>
        <v>#N/A</v>
      </c>
      <c r="N809" s="10">
        <f>+salidas[[#This Row],[Cantidad]]*salidas[[#This Row],[Precio U.]]</f>
        <v>0</v>
      </c>
      <c r="P809" s="1"/>
      <c r="T809" t="e">
        <f>VLOOKUP(entradas[[#This Row],[Codigo de producto]],productos[],2,FALSE)</f>
        <v>#N/A</v>
      </c>
      <c r="V809" s="1"/>
    </row>
    <row r="810" spans="8:22" x14ac:dyDescent="0.35">
      <c r="H810" s="1"/>
      <c r="L810" t="e">
        <f>VLOOKUP(salidas[[#This Row],[Codigo de producto]],productos[],2,FALSE)</f>
        <v>#N/A</v>
      </c>
      <c r="N810" s="10">
        <f>+salidas[[#This Row],[Cantidad]]*salidas[[#This Row],[Precio U.]]</f>
        <v>0</v>
      </c>
      <c r="P810" s="1"/>
      <c r="T810" t="e">
        <f>VLOOKUP(entradas[[#This Row],[Codigo de producto]],productos[],2,FALSE)</f>
        <v>#N/A</v>
      </c>
      <c r="V810" s="1"/>
    </row>
    <row r="811" spans="8:22" x14ac:dyDescent="0.35">
      <c r="H811" s="1"/>
      <c r="L811" t="e">
        <f>VLOOKUP(salidas[[#This Row],[Codigo de producto]],productos[],2,FALSE)</f>
        <v>#N/A</v>
      </c>
      <c r="N811" s="10">
        <f>+salidas[[#This Row],[Cantidad]]*salidas[[#This Row],[Precio U.]]</f>
        <v>0</v>
      </c>
      <c r="P811" s="1"/>
      <c r="T811" t="e">
        <f>VLOOKUP(entradas[[#This Row],[Codigo de producto]],productos[],2,FALSE)</f>
        <v>#N/A</v>
      </c>
      <c r="V811" s="1"/>
    </row>
    <row r="812" spans="8:22" x14ac:dyDescent="0.35">
      <c r="H812" s="1"/>
      <c r="L812" t="e">
        <f>VLOOKUP(salidas[[#This Row],[Codigo de producto]],productos[],2,FALSE)</f>
        <v>#N/A</v>
      </c>
      <c r="N812" s="10">
        <f>+salidas[[#This Row],[Cantidad]]*salidas[[#This Row],[Precio U.]]</f>
        <v>0</v>
      </c>
      <c r="P812" s="1"/>
      <c r="T812" t="e">
        <f>VLOOKUP(entradas[[#This Row],[Codigo de producto]],productos[],2,FALSE)</f>
        <v>#N/A</v>
      </c>
      <c r="V812" s="1"/>
    </row>
    <row r="813" spans="8:22" x14ac:dyDescent="0.35">
      <c r="H813" s="1"/>
      <c r="L813" t="e">
        <f>VLOOKUP(salidas[[#This Row],[Codigo de producto]],productos[],2,FALSE)</f>
        <v>#N/A</v>
      </c>
      <c r="N813" s="10">
        <f>+salidas[[#This Row],[Cantidad]]*salidas[[#This Row],[Precio U.]]</f>
        <v>0</v>
      </c>
      <c r="P813" s="1"/>
      <c r="T813" t="e">
        <f>VLOOKUP(entradas[[#This Row],[Codigo de producto]],productos[],2,FALSE)</f>
        <v>#N/A</v>
      </c>
      <c r="V813" s="1"/>
    </row>
    <row r="814" spans="8:22" x14ac:dyDescent="0.35">
      <c r="H814" s="1"/>
      <c r="L814" t="e">
        <f>VLOOKUP(salidas[[#This Row],[Codigo de producto]],productos[],2,FALSE)</f>
        <v>#N/A</v>
      </c>
      <c r="N814" s="10">
        <f>+salidas[[#This Row],[Cantidad]]*salidas[[#This Row],[Precio U.]]</f>
        <v>0</v>
      </c>
      <c r="P814" s="1"/>
      <c r="T814" t="e">
        <f>VLOOKUP(entradas[[#This Row],[Codigo de producto]],productos[],2,FALSE)</f>
        <v>#N/A</v>
      </c>
      <c r="V814" s="1"/>
    </row>
    <row r="815" spans="8:22" x14ac:dyDescent="0.35">
      <c r="H815" s="1"/>
      <c r="L815" t="e">
        <f>VLOOKUP(salidas[[#This Row],[Codigo de producto]],productos[],2,FALSE)</f>
        <v>#N/A</v>
      </c>
      <c r="N815" s="10">
        <f>+salidas[[#This Row],[Cantidad]]*salidas[[#This Row],[Precio U.]]</f>
        <v>0</v>
      </c>
      <c r="P815" s="1"/>
      <c r="T815" t="e">
        <f>VLOOKUP(entradas[[#This Row],[Codigo de producto]],productos[],2,FALSE)</f>
        <v>#N/A</v>
      </c>
      <c r="V815" s="1"/>
    </row>
    <row r="816" spans="8:22" x14ac:dyDescent="0.35">
      <c r="H816" s="1"/>
      <c r="L816" t="e">
        <f>VLOOKUP(salidas[[#This Row],[Codigo de producto]],productos[],2,FALSE)</f>
        <v>#N/A</v>
      </c>
      <c r="N816" s="10">
        <f>+salidas[[#This Row],[Cantidad]]*salidas[[#This Row],[Precio U.]]</f>
        <v>0</v>
      </c>
      <c r="P816" s="1"/>
      <c r="T816" t="e">
        <f>VLOOKUP(entradas[[#This Row],[Codigo de producto]],productos[],2,FALSE)</f>
        <v>#N/A</v>
      </c>
      <c r="V816" s="1"/>
    </row>
    <row r="817" spans="8:22" x14ac:dyDescent="0.35">
      <c r="H817" s="1"/>
      <c r="L817" t="e">
        <f>VLOOKUP(salidas[[#This Row],[Codigo de producto]],productos[],2,FALSE)</f>
        <v>#N/A</v>
      </c>
      <c r="N817" s="10">
        <f>+salidas[[#This Row],[Cantidad]]*salidas[[#This Row],[Precio U.]]</f>
        <v>0</v>
      </c>
      <c r="P817" s="1"/>
      <c r="T817" t="e">
        <f>VLOOKUP(entradas[[#This Row],[Codigo de producto]],productos[],2,FALSE)</f>
        <v>#N/A</v>
      </c>
      <c r="V817" s="1"/>
    </row>
    <row r="818" spans="8:22" x14ac:dyDescent="0.35">
      <c r="H818" s="1"/>
      <c r="L818" t="e">
        <f>VLOOKUP(salidas[[#This Row],[Codigo de producto]],productos[],2,FALSE)</f>
        <v>#N/A</v>
      </c>
      <c r="N818" s="10">
        <f>+salidas[[#This Row],[Cantidad]]*salidas[[#This Row],[Precio U.]]</f>
        <v>0</v>
      </c>
      <c r="P818" s="1"/>
      <c r="T818" t="e">
        <f>VLOOKUP(entradas[[#This Row],[Codigo de producto]],productos[],2,FALSE)</f>
        <v>#N/A</v>
      </c>
      <c r="V818" s="1"/>
    </row>
    <row r="819" spans="8:22" x14ac:dyDescent="0.35">
      <c r="H819" s="1"/>
      <c r="L819" t="e">
        <f>VLOOKUP(salidas[[#This Row],[Codigo de producto]],productos[],2,FALSE)</f>
        <v>#N/A</v>
      </c>
      <c r="N819" s="10">
        <f>+salidas[[#This Row],[Cantidad]]*salidas[[#This Row],[Precio U.]]</f>
        <v>0</v>
      </c>
      <c r="P819" s="1"/>
      <c r="T819" t="e">
        <f>VLOOKUP(entradas[[#This Row],[Codigo de producto]],productos[],2,FALSE)</f>
        <v>#N/A</v>
      </c>
      <c r="V819" s="1"/>
    </row>
    <row r="820" spans="8:22" x14ac:dyDescent="0.35">
      <c r="H820" s="1"/>
      <c r="L820" t="e">
        <f>VLOOKUP(salidas[[#This Row],[Codigo de producto]],productos[],2,FALSE)</f>
        <v>#N/A</v>
      </c>
      <c r="N820" s="10">
        <f>+salidas[[#This Row],[Cantidad]]*salidas[[#This Row],[Precio U.]]</f>
        <v>0</v>
      </c>
      <c r="P820" s="1"/>
      <c r="T820" t="e">
        <f>VLOOKUP(entradas[[#This Row],[Codigo de producto]],productos[],2,FALSE)</f>
        <v>#N/A</v>
      </c>
      <c r="V820" s="1"/>
    </row>
    <row r="821" spans="8:22" x14ac:dyDescent="0.35">
      <c r="H821" s="1"/>
      <c r="L821" t="e">
        <f>VLOOKUP(salidas[[#This Row],[Codigo de producto]],productos[],2,FALSE)</f>
        <v>#N/A</v>
      </c>
      <c r="N821" s="10">
        <f>+salidas[[#This Row],[Cantidad]]*salidas[[#This Row],[Precio U.]]</f>
        <v>0</v>
      </c>
      <c r="P821" s="1"/>
      <c r="T821" t="e">
        <f>VLOOKUP(entradas[[#This Row],[Codigo de producto]],productos[],2,FALSE)</f>
        <v>#N/A</v>
      </c>
      <c r="V821" s="1"/>
    </row>
    <row r="822" spans="8:22" x14ac:dyDescent="0.35">
      <c r="H822" s="1"/>
      <c r="L822" t="e">
        <f>VLOOKUP(salidas[[#This Row],[Codigo de producto]],productos[],2,FALSE)</f>
        <v>#N/A</v>
      </c>
      <c r="N822" s="10">
        <f>+salidas[[#This Row],[Cantidad]]*salidas[[#This Row],[Precio U.]]</f>
        <v>0</v>
      </c>
      <c r="P822" s="1"/>
      <c r="T822" t="e">
        <f>VLOOKUP(entradas[[#This Row],[Codigo de producto]],productos[],2,FALSE)</f>
        <v>#N/A</v>
      </c>
      <c r="V822" s="1"/>
    </row>
    <row r="823" spans="8:22" x14ac:dyDescent="0.35">
      <c r="H823" s="1"/>
      <c r="L823" t="e">
        <f>VLOOKUP(salidas[[#This Row],[Codigo de producto]],productos[],2,FALSE)</f>
        <v>#N/A</v>
      </c>
      <c r="N823" s="10">
        <f>+salidas[[#This Row],[Cantidad]]*salidas[[#This Row],[Precio U.]]</f>
        <v>0</v>
      </c>
      <c r="P823" s="1"/>
      <c r="T823" t="e">
        <f>VLOOKUP(entradas[[#This Row],[Codigo de producto]],productos[],2,FALSE)</f>
        <v>#N/A</v>
      </c>
      <c r="V823" s="1"/>
    </row>
    <row r="824" spans="8:22" x14ac:dyDescent="0.35">
      <c r="H824" s="1"/>
      <c r="L824" t="e">
        <f>VLOOKUP(salidas[[#This Row],[Codigo de producto]],productos[],2,FALSE)</f>
        <v>#N/A</v>
      </c>
      <c r="N824" s="10">
        <f>+salidas[[#This Row],[Cantidad]]*salidas[[#This Row],[Precio U.]]</f>
        <v>0</v>
      </c>
      <c r="P824" s="1"/>
      <c r="T824" t="e">
        <f>VLOOKUP(entradas[[#This Row],[Codigo de producto]],productos[],2,FALSE)</f>
        <v>#N/A</v>
      </c>
      <c r="V824" s="1"/>
    </row>
    <row r="825" spans="8:22" x14ac:dyDescent="0.35">
      <c r="H825" s="1"/>
      <c r="L825" t="e">
        <f>VLOOKUP(salidas[[#This Row],[Codigo de producto]],productos[],2,FALSE)</f>
        <v>#N/A</v>
      </c>
      <c r="N825" s="10">
        <f>+salidas[[#This Row],[Cantidad]]*salidas[[#This Row],[Precio U.]]</f>
        <v>0</v>
      </c>
      <c r="P825" s="1"/>
      <c r="T825" t="e">
        <f>VLOOKUP(entradas[[#This Row],[Codigo de producto]],productos[],2,FALSE)</f>
        <v>#N/A</v>
      </c>
      <c r="V825" s="1"/>
    </row>
    <row r="826" spans="8:22" x14ac:dyDescent="0.35">
      <c r="H826" s="1"/>
      <c r="L826" t="e">
        <f>VLOOKUP(salidas[[#This Row],[Codigo de producto]],productos[],2,FALSE)</f>
        <v>#N/A</v>
      </c>
      <c r="N826" s="10">
        <f>+salidas[[#This Row],[Cantidad]]*salidas[[#This Row],[Precio U.]]</f>
        <v>0</v>
      </c>
      <c r="P826" s="1"/>
      <c r="T826" t="e">
        <f>VLOOKUP(entradas[[#This Row],[Codigo de producto]],productos[],2,FALSE)</f>
        <v>#N/A</v>
      </c>
      <c r="V826" s="1"/>
    </row>
    <row r="827" spans="8:22" x14ac:dyDescent="0.35">
      <c r="H827" s="1"/>
      <c r="L827" t="e">
        <f>VLOOKUP(salidas[[#This Row],[Codigo de producto]],productos[],2,FALSE)</f>
        <v>#N/A</v>
      </c>
      <c r="N827" s="10">
        <f>+salidas[[#This Row],[Cantidad]]*salidas[[#This Row],[Precio U.]]</f>
        <v>0</v>
      </c>
      <c r="P827" s="1"/>
      <c r="T827" t="e">
        <f>VLOOKUP(entradas[[#This Row],[Codigo de producto]],productos[],2,FALSE)</f>
        <v>#N/A</v>
      </c>
      <c r="V827" s="1"/>
    </row>
    <row r="828" spans="8:22" x14ac:dyDescent="0.35">
      <c r="H828" s="1"/>
      <c r="L828" t="e">
        <f>VLOOKUP(salidas[[#This Row],[Codigo de producto]],productos[],2,FALSE)</f>
        <v>#N/A</v>
      </c>
      <c r="N828" s="10">
        <f>+salidas[[#This Row],[Cantidad]]*salidas[[#This Row],[Precio U.]]</f>
        <v>0</v>
      </c>
      <c r="P828" s="1"/>
      <c r="T828" t="e">
        <f>VLOOKUP(entradas[[#This Row],[Codigo de producto]],productos[],2,FALSE)</f>
        <v>#N/A</v>
      </c>
      <c r="V828" s="1"/>
    </row>
    <row r="829" spans="8:22" x14ac:dyDescent="0.35">
      <c r="H829" s="1"/>
      <c r="L829" t="e">
        <f>VLOOKUP(salidas[[#This Row],[Codigo de producto]],productos[],2,FALSE)</f>
        <v>#N/A</v>
      </c>
      <c r="N829" s="10">
        <f>+salidas[[#This Row],[Cantidad]]*salidas[[#This Row],[Precio U.]]</f>
        <v>0</v>
      </c>
      <c r="P829" s="1"/>
      <c r="T829" t="e">
        <f>VLOOKUP(entradas[[#This Row],[Codigo de producto]],productos[],2,FALSE)</f>
        <v>#N/A</v>
      </c>
      <c r="V829" s="1"/>
    </row>
    <row r="830" spans="8:22" x14ac:dyDescent="0.35">
      <c r="H830" s="1"/>
      <c r="L830" t="e">
        <f>VLOOKUP(salidas[[#This Row],[Codigo de producto]],productos[],2,FALSE)</f>
        <v>#N/A</v>
      </c>
      <c r="N830" s="10">
        <f>+salidas[[#This Row],[Cantidad]]*salidas[[#This Row],[Precio U.]]</f>
        <v>0</v>
      </c>
      <c r="P830" s="1"/>
      <c r="T830" t="e">
        <f>VLOOKUP(entradas[[#This Row],[Codigo de producto]],productos[],2,FALSE)</f>
        <v>#N/A</v>
      </c>
      <c r="V830" s="1"/>
    </row>
    <row r="831" spans="8:22" x14ac:dyDescent="0.35">
      <c r="H831" s="1"/>
      <c r="L831" t="e">
        <f>VLOOKUP(salidas[[#This Row],[Codigo de producto]],productos[],2,FALSE)</f>
        <v>#N/A</v>
      </c>
      <c r="N831" s="10">
        <f>+salidas[[#This Row],[Cantidad]]*salidas[[#This Row],[Precio U.]]</f>
        <v>0</v>
      </c>
      <c r="P831" s="1"/>
      <c r="T831" t="e">
        <f>VLOOKUP(entradas[[#This Row],[Codigo de producto]],productos[],2,FALSE)</f>
        <v>#N/A</v>
      </c>
      <c r="V831" s="1"/>
    </row>
    <row r="832" spans="8:22" x14ac:dyDescent="0.35">
      <c r="H832" s="1"/>
      <c r="L832" t="e">
        <f>VLOOKUP(salidas[[#This Row],[Codigo de producto]],productos[],2,FALSE)</f>
        <v>#N/A</v>
      </c>
      <c r="N832" s="10">
        <f>+salidas[[#This Row],[Cantidad]]*salidas[[#This Row],[Precio U.]]</f>
        <v>0</v>
      </c>
      <c r="P832" s="1"/>
      <c r="T832" t="e">
        <f>VLOOKUP(entradas[[#This Row],[Codigo de producto]],productos[],2,FALSE)</f>
        <v>#N/A</v>
      </c>
      <c r="V832" s="1"/>
    </row>
    <row r="833" spans="8:22" x14ac:dyDescent="0.35">
      <c r="H833" s="1"/>
      <c r="L833" t="e">
        <f>VLOOKUP(salidas[[#This Row],[Codigo de producto]],productos[],2,FALSE)</f>
        <v>#N/A</v>
      </c>
      <c r="N833" s="10">
        <f>+salidas[[#This Row],[Cantidad]]*salidas[[#This Row],[Precio U.]]</f>
        <v>0</v>
      </c>
      <c r="P833" s="1"/>
      <c r="T833" t="e">
        <f>VLOOKUP(entradas[[#This Row],[Codigo de producto]],productos[],2,FALSE)</f>
        <v>#N/A</v>
      </c>
      <c r="V833" s="1"/>
    </row>
    <row r="834" spans="8:22" x14ac:dyDescent="0.35">
      <c r="H834" s="1"/>
      <c r="L834" t="e">
        <f>VLOOKUP(salidas[[#This Row],[Codigo de producto]],productos[],2,FALSE)</f>
        <v>#N/A</v>
      </c>
      <c r="N834" s="10">
        <f>+salidas[[#This Row],[Cantidad]]*salidas[[#This Row],[Precio U.]]</f>
        <v>0</v>
      </c>
      <c r="P834" s="1"/>
      <c r="T834" t="e">
        <f>VLOOKUP(entradas[[#This Row],[Codigo de producto]],productos[],2,FALSE)</f>
        <v>#N/A</v>
      </c>
      <c r="V834" s="1"/>
    </row>
    <row r="835" spans="8:22" x14ac:dyDescent="0.35">
      <c r="H835" s="1"/>
      <c r="L835" t="e">
        <f>VLOOKUP(salidas[[#This Row],[Codigo de producto]],productos[],2,FALSE)</f>
        <v>#N/A</v>
      </c>
      <c r="N835" s="10">
        <f>+salidas[[#This Row],[Cantidad]]*salidas[[#This Row],[Precio U.]]</f>
        <v>0</v>
      </c>
      <c r="P835" s="1"/>
      <c r="T835" t="e">
        <f>VLOOKUP(entradas[[#This Row],[Codigo de producto]],productos[],2,FALSE)</f>
        <v>#N/A</v>
      </c>
      <c r="V835" s="1"/>
    </row>
    <row r="836" spans="8:22" x14ac:dyDescent="0.35">
      <c r="H836" s="1"/>
      <c r="L836" t="e">
        <f>VLOOKUP(salidas[[#This Row],[Codigo de producto]],productos[],2,FALSE)</f>
        <v>#N/A</v>
      </c>
      <c r="N836" s="10">
        <f>+salidas[[#This Row],[Cantidad]]*salidas[[#This Row],[Precio U.]]</f>
        <v>0</v>
      </c>
      <c r="P836" s="1"/>
      <c r="T836" t="e">
        <f>VLOOKUP(entradas[[#This Row],[Codigo de producto]],productos[],2,FALSE)</f>
        <v>#N/A</v>
      </c>
      <c r="V836" s="1"/>
    </row>
    <row r="837" spans="8:22" x14ac:dyDescent="0.35">
      <c r="H837" s="1"/>
      <c r="L837" t="e">
        <f>VLOOKUP(salidas[[#This Row],[Codigo de producto]],productos[],2,FALSE)</f>
        <v>#N/A</v>
      </c>
      <c r="N837" s="10">
        <f>+salidas[[#This Row],[Cantidad]]*salidas[[#This Row],[Precio U.]]</f>
        <v>0</v>
      </c>
      <c r="P837" s="1"/>
      <c r="T837" t="e">
        <f>VLOOKUP(entradas[[#This Row],[Codigo de producto]],productos[],2,FALSE)</f>
        <v>#N/A</v>
      </c>
      <c r="V837" s="1"/>
    </row>
    <row r="838" spans="8:22" x14ac:dyDescent="0.35">
      <c r="H838" s="1"/>
      <c r="L838" t="e">
        <f>VLOOKUP(salidas[[#This Row],[Codigo de producto]],productos[],2,FALSE)</f>
        <v>#N/A</v>
      </c>
      <c r="N838" s="10">
        <f>+salidas[[#This Row],[Cantidad]]*salidas[[#This Row],[Precio U.]]</f>
        <v>0</v>
      </c>
      <c r="P838" s="1"/>
      <c r="T838" t="e">
        <f>VLOOKUP(entradas[[#This Row],[Codigo de producto]],productos[],2,FALSE)</f>
        <v>#N/A</v>
      </c>
      <c r="V838" s="1"/>
    </row>
    <row r="839" spans="8:22" x14ac:dyDescent="0.35">
      <c r="H839" s="1"/>
      <c r="L839" t="e">
        <f>VLOOKUP(salidas[[#This Row],[Codigo de producto]],productos[],2,FALSE)</f>
        <v>#N/A</v>
      </c>
      <c r="N839" s="10">
        <f>+salidas[[#This Row],[Cantidad]]*salidas[[#This Row],[Precio U.]]</f>
        <v>0</v>
      </c>
      <c r="P839" s="1"/>
      <c r="T839" t="e">
        <f>VLOOKUP(entradas[[#This Row],[Codigo de producto]],productos[],2,FALSE)</f>
        <v>#N/A</v>
      </c>
      <c r="V839" s="1"/>
    </row>
    <row r="840" spans="8:22" x14ac:dyDescent="0.35">
      <c r="H840" s="1"/>
      <c r="L840" t="e">
        <f>VLOOKUP(salidas[[#This Row],[Codigo de producto]],productos[],2,FALSE)</f>
        <v>#N/A</v>
      </c>
      <c r="N840" s="10">
        <f>+salidas[[#This Row],[Cantidad]]*salidas[[#This Row],[Precio U.]]</f>
        <v>0</v>
      </c>
      <c r="P840" s="1"/>
      <c r="T840" t="e">
        <f>VLOOKUP(entradas[[#This Row],[Codigo de producto]],productos[],2,FALSE)</f>
        <v>#N/A</v>
      </c>
      <c r="V840" s="1"/>
    </row>
    <row r="841" spans="8:22" x14ac:dyDescent="0.35">
      <c r="H841" s="1"/>
      <c r="L841" t="e">
        <f>VLOOKUP(salidas[[#This Row],[Codigo de producto]],productos[],2,FALSE)</f>
        <v>#N/A</v>
      </c>
      <c r="N841" s="10">
        <f>+salidas[[#This Row],[Cantidad]]*salidas[[#This Row],[Precio U.]]</f>
        <v>0</v>
      </c>
      <c r="P841" s="1"/>
      <c r="T841" t="e">
        <f>VLOOKUP(entradas[[#This Row],[Codigo de producto]],productos[],2,FALSE)</f>
        <v>#N/A</v>
      </c>
      <c r="V841" s="1"/>
    </row>
    <row r="842" spans="8:22" x14ac:dyDescent="0.35">
      <c r="H842" s="1"/>
      <c r="L842" t="e">
        <f>VLOOKUP(salidas[[#This Row],[Codigo de producto]],productos[],2,FALSE)</f>
        <v>#N/A</v>
      </c>
      <c r="N842" s="10">
        <f>+salidas[[#This Row],[Cantidad]]*salidas[[#This Row],[Precio U.]]</f>
        <v>0</v>
      </c>
      <c r="P842" s="1"/>
      <c r="T842" t="e">
        <f>VLOOKUP(entradas[[#This Row],[Codigo de producto]],productos[],2,FALSE)</f>
        <v>#N/A</v>
      </c>
      <c r="V842" s="1"/>
    </row>
    <row r="843" spans="8:22" x14ac:dyDescent="0.35">
      <c r="H843" s="1"/>
      <c r="L843" t="e">
        <f>VLOOKUP(salidas[[#This Row],[Codigo de producto]],productos[],2,FALSE)</f>
        <v>#N/A</v>
      </c>
      <c r="N843" s="10">
        <f>+salidas[[#This Row],[Cantidad]]*salidas[[#This Row],[Precio U.]]</f>
        <v>0</v>
      </c>
      <c r="P843" s="1"/>
      <c r="T843" t="e">
        <f>VLOOKUP(entradas[[#This Row],[Codigo de producto]],productos[],2,FALSE)</f>
        <v>#N/A</v>
      </c>
      <c r="V843" s="1"/>
    </row>
    <row r="844" spans="8:22" x14ac:dyDescent="0.35">
      <c r="H844" s="1"/>
      <c r="L844" t="e">
        <f>VLOOKUP(salidas[[#This Row],[Codigo de producto]],productos[],2,FALSE)</f>
        <v>#N/A</v>
      </c>
      <c r="N844" s="10">
        <f>+salidas[[#This Row],[Cantidad]]*salidas[[#This Row],[Precio U.]]</f>
        <v>0</v>
      </c>
      <c r="P844" s="1"/>
      <c r="T844" t="e">
        <f>VLOOKUP(entradas[[#This Row],[Codigo de producto]],productos[],2,FALSE)</f>
        <v>#N/A</v>
      </c>
      <c r="V844" s="1"/>
    </row>
    <row r="845" spans="8:22" x14ac:dyDescent="0.35">
      <c r="H845" s="1"/>
      <c r="L845" t="e">
        <f>VLOOKUP(salidas[[#This Row],[Codigo de producto]],productos[],2,FALSE)</f>
        <v>#N/A</v>
      </c>
      <c r="N845" s="10">
        <f>+salidas[[#This Row],[Cantidad]]*salidas[[#This Row],[Precio U.]]</f>
        <v>0</v>
      </c>
      <c r="P845" s="1"/>
      <c r="T845" t="e">
        <f>VLOOKUP(entradas[[#This Row],[Codigo de producto]],productos[],2,FALSE)</f>
        <v>#N/A</v>
      </c>
      <c r="V845" s="1"/>
    </row>
    <row r="846" spans="8:22" x14ac:dyDescent="0.35">
      <c r="H846" s="1"/>
      <c r="L846" t="e">
        <f>VLOOKUP(salidas[[#This Row],[Codigo de producto]],productos[],2,FALSE)</f>
        <v>#N/A</v>
      </c>
      <c r="N846" s="10">
        <f>+salidas[[#This Row],[Cantidad]]*salidas[[#This Row],[Precio U.]]</f>
        <v>0</v>
      </c>
      <c r="P846" s="1"/>
      <c r="T846" t="e">
        <f>VLOOKUP(entradas[[#This Row],[Codigo de producto]],productos[],2,FALSE)</f>
        <v>#N/A</v>
      </c>
      <c r="V846" s="1"/>
    </row>
    <row r="847" spans="8:22" x14ac:dyDescent="0.35">
      <c r="H847" s="1"/>
      <c r="L847" t="e">
        <f>VLOOKUP(salidas[[#This Row],[Codigo de producto]],productos[],2,FALSE)</f>
        <v>#N/A</v>
      </c>
      <c r="N847" s="10">
        <f>+salidas[[#This Row],[Cantidad]]*salidas[[#This Row],[Precio U.]]</f>
        <v>0</v>
      </c>
      <c r="P847" s="1"/>
      <c r="T847" t="e">
        <f>VLOOKUP(entradas[[#This Row],[Codigo de producto]],productos[],2,FALSE)</f>
        <v>#N/A</v>
      </c>
      <c r="V847" s="1"/>
    </row>
    <row r="848" spans="8:22" x14ac:dyDescent="0.35">
      <c r="H848" s="1"/>
      <c r="L848" t="e">
        <f>VLOOKUP(salidas[[#This Row],[Codigo de producto]],productos[],2,FALSE)</f>
        <v>#N/A</v>
      </c>
      <c r="N848" s="10">
        <f>+salidas[[#This Row],[Cantidad]]*salidas[[#This Row],[Precio U.]]</f>
        <v>0</v>
      </c>
      <c r="P848" s="1"/>
      <c r="T848" t="e">
        <f>VLOOKUP(entradas[[#This Row],[Codigo de producto]],productos[],2,FALSE)</f>
        <v>#N/A</v>
      </c>
      <c r="V848" s="1"/>
    </row>
    <row r="849" spans="8:22" x14ac:dyDescent="0.35">
      <c r="H849" s="1"/>
      <c r="L849" t="e">
        <f>VLOOKUP(salidas[[#This Row],[Codigo de producto]],productos[],2,FALSE)</f>
        <v>#N/A</v>
      </c>
      <c r="N849" s="10">
        <f>+salidas[[#This Row],[Cantidad]]*salidas[[#This Row],[Precio U.]]</f>
        <v>0</v>
      </c>
      <c r="P849" s="1"/>
      <c r="T849" t="e">
        <f>VLOOKUP(entradas[[#This Row],[Codigo de producto]],productos[],2,FALSE)</f>
        <v>#N/A</v>
      </c>
      <c r="V849" s="1"/>
    </row>
    <row r="850" spans="8:22" x14ac:dyDescent="0.35">
      <c r="H850" s="1"/>
      <c r="L850" t="e">
        <f>VLOOKUP(salidas[[#This Row],[Codigo de producto]],productos[],2,FALSE)</f>
        <v>#N/A</v>
      </c>
      <c r="N850" s="10">
        <f>+salidas[[#This Row],[Cantidad]]*salidas[[#This Row],[Precio U.]]</f>
        <v>0</v>
      </c>
      <c r="P850" s="1"/>
      <c r="T850" t="e">
        <f>VLOOKUP(entradas[[#This Row],[Codigo de producto]],productos[],2,FALSE)</f>
        <v>#N/A</v>
      </c>
      <c r="V850" s="1"/>
    </row>
    <row r="851" spans="8:22" x14ac:dyDescent="0.35">
      <c r="H851" s="1"/>
      <c r="L851" t="e">
        <f>VLOOKUP(salidas[[#This Row],[Codigo de producto]],productos[],2,FALSE)</f>
        <v>#N/A</v>
      </c>
      <c r="N851" s="10">
        <f>+salidas[[#This Row],[Cantidad]]*salidas[[#This Row],[Precio U.]]</f>
        <v>0</v>
      </c>
      <c r="P851" s="1"/>
      <c r="T851" t="e">
        <f>VLOOKUP(entradas[[#This Row],[Codigo de producto]],productos[],2,FALSE)</f>
        <v>#N/A</v>
      </c>
      <c r="V851" s="1"/>
    </row>
    <row r="852" spans="8:22" x14ac:dyDescent="0.35">
      <c r="H852" s="1"/>
      <c r="L852" t="e">
        <f>VLOOKUP(salidas[[#This Row],[Codigo de producto]],productos[],2,FALSE)</f>
        <v>#N/A</v>
      </c>
      <c r="N852" s="10">
        <f>+salidas[[#This Row],[Cantidad]]*salidas[[#This Row],[Precio U.]]</f>
        <v>0</v>
      </c>
      <c r="P852" s="1"/>
      <c r="T852" t="e">
        <f>VLOOKUP(entradas[[#This Row],[Codigo de producto]],productos[],2,FALSE)</f>
        <v>#N/A</v>
      </c>
      <c r="V852" s="1"/>
    </row>
    <row r="853" spans="8:22" x14ac:dyDescent="0.35">
      <c r="H853" s="1"/>
      <c r="L853" t="e">
        <f>VLOOKUP(salidas[[#This Row],[Codigo de producto]],productos[],2,FALSE)</f>
        <v>#N/A</v>
      </c>
      <c r="N853" s="10">
        <f>+salidas[[#This Row],[Cantidad]]*salidas[[#This Row],[Precio U.]]</f>
        <v>0</v>
      </c>
      <c r="P853" s="1"/>
      <c r="T853" t="e">
        <f>VLOOKUP(entradas[[#This Row],[Codigo de producto]],productos[],2,FALSE)</f>
        <v>#N/A</v>
      </c>
      <c r="V853" s="1"/>
    </row>
    <row r="854" spans="8:22" x14ac:dyDescent="0.35">
      <c r="H854" s="1"/>
      <c r="L854" t="e">
        <f>VLOOKUP(salidas[[#This Row],[Codigo de producto]],productos[],2,FALSE)</f>
        <v>#N/A</v>
      </c>
      <c r="N854" s="10">
        <f>+salidas[[#This Row],[Cantidad]]*salidas[[#This Row],[Precio U.]]</f>
        <v>0</v>
      </c>
      <c r="P854" s="1"/>
      <c r="T854" t="e">
        <f>VLOOKUP(entradas[[#This Row],[Codigo de producto]],productos[],2,FALSE)</f>
        <v>#N/A</v>
      </c>
      <c r="V854" s="1"/>
    </row>
    <row r="855" spans="8:22" x14ac:dyDescent="0.35">
      <c r="H855" s="1"/>
      <c r="L855" t="e">
        <f>VLOOKUP(salidas[[#This Row],[Codigo de producto]],productos[],2,FALSE)</f>
        <v>#N/A</v>
      </c>
      <c r="N855" s="10">
        <f>+salidas[[#This Row],[Cantidad]]*salidas[[#This Row],[Precio U.]]</f>
        <v>0</v>
      </c>
      <c r="P855" s="1"/>
      <c r="T855" t="e">
        <f>VLOOKUP(entradas[[#This Row],[Codigo de producto]],productos[],2,FALSE)</f>
        <v>#N/A</v>
      </c>
      <c r="V855" s="1"/>
    </row>
    <row r="856" spans="8:22" x14ac:dyDescent="0.35">
      <c r="H856" s="1"/>
      <c r="L856" t="e">
        <f>VLOOKUP(salidas[[#This Row],[Codigo de producto]],productos[],2,FALSE)</f>
        <v>#N/A</v>
      </c>
      <c r="N856" s="10">
        <f>+salidas[[#This Row],[Cantidad]]*salidas[[#This Row],[Precio U.]]</f>
        <v>0</v>
      </c>
      <c r="P856" s="1"/>
      <c r="T856" t="e">
        <f>VLOOKUP(entradas[[#This Row],[Codigo de producto]],productos[],2,FALSE)</f>
        <v>#N/A</v>
      </c>
      <c r="V856" s="1"/>
    </row>
    <row r="857" spans="8:22" x14ac:dyDescent="0.35">
      <c r="H857" s="1"/>
      <c r="L857" t="e">
        <f>VLOOKUP(salidas[[#This Row],[Codigo de producto]],productos[],2,FALSE)</f>
        <v>#N/A</v>
      </c>
      <c r="N857" s="10">
        <f>+salidas[[#This Row],[Cantidad]]*salidas[[#This Row],[Precio U.]]</f>
        <v>0</v>
      </c>
      <c r="P857" s="1"/>
      <c r="T857" t="e">
        <f>VLOOKUP(entradas[[#This Row],[Codigo de producto]],productos[],2,FALSE)</f>
        <v>#N/A</v>
      </c>
      <c r="V857" s="1"/>
    </row>
    <row r="858" spans="8:22" x14ac:dyDescent="0.35">
      <c r="H858" s="1"/>
      <c r="L858" t="e">
        <f>VLOOKUP(salidas[[#This Row],[Codigo de producto]],productos[],2,FALSE)</f>
        <v>#N/A</v>
      </c>
      <c r="N858" s="10">
        <f>+salidas[[#This Row],[Cantidad]]*salidas[[#This Row],[Precio U.]]</f>
        <v>0</v>
      </c>
      <c r="P858" s="1"/>
      <c r="T858" t="e">
        <f>VLOOKUP(entradas[[#This Row],[Codigo de producto]],productos[],2,FALSE)</f>
        <v>#N/A</v>
      </c>
      <c r="V858" s="1"/>
    </row>
    <row r="859" spans="8:22" x14ac:dyDescent="0.35">
      <c r="H859" s="1"/>
      <c r="L859" t="e">
        <f>VLOOKUP(salidas[[#This Row],[Codigo de producto]],productos[],2,FALSE)</f>
        <v>#N/A</v>
      </c>
      <c r="N859" s="10">
        <f>+salidas[[#This Row],[Cantidad]]*salidas[[#This Row],[Precio U.]]</f>
        <v>0</v>
      </c>
      <c r="P859" s="1"/>
      <c r="T859" t="e">
        <f>VLOOKUP(entradas[[#This Row],[Codigo de producto]],productos[],2,FALSE)</f>
        <v>#N/A</v>
      </c>
      <c r="V859" s="1"/>
    </row>
    <row r="860" spans="8:22" x14ac:dyDescent="0.35">
      <c r="H860" s="1"/>
      <c r="L860" t="e">
        <f>VLOOKUP(salidas[[#This Row],[Codigo de producto]],productos[],2,FALSE)</f>
        <v>#N/A</v>
      </c>
      <c r="N860" s="10">
        <f>+salidas[[#This Row],[Cantidad]]*salidas[[#This Row],[Precio U.]]</f>
        <v>0</v>
      </c>
      <c r="P860" s="1"/>
      <c r="T860" t="e">
        <f>VLOOKUP(entradas[[#This Row],[Codigo de producto]],productos[],2,FALSE)</f>
        <v>#N/A</v>
      </c>
      <c r="V860" s="1"/>
    </row>
    <row r="861" spans="8:22" x14ac:dyDescent="0.35">
      <c r="H861" s="1"/>
      <c r="L861" t="e">
        <f>VLOOKUP(salidas[[#This Row],[Codigo de producto]],productos[],2,FALSE)</f>
        <v>#N/A</v>
      </c>
      <c r="N861" s="10">
        <f>+salidas[[#This Row],[Cantidad]]*salidas[[#This Row],[Precio U.]]</f>
        <v>0</v>
      </c>
      <c r="P861" s="1"/>
      <c r="T861" t="e">
        <f>VLOOKUP(entradas[[#This Row],[Codigo de producto]],productos[],2,FALSE)</f>
        <v>#N/A</v>
      </c>
      <c r="V861" s="1"/>
    </row>
    <row r="862" spans="8:22" x14ac:dyDescent="0.35">
      <c r="H862" s="1"/>
      <c r="L862" t="e">
        <f>VLOOKUP(salidas[[#This Row],[Codigo de producto]],productos[],2,FALSE)</f>
        <v>#N/A</v>
      </c>
      <c r="N862" s="10">
        <f>+salidas[[#This Row],[Cantidad]]*salidas[[#This Row],[Precio U.]]</f>
        <v>0</v>
      </c>
      <c r="P862" s="1"/>
      <c r="T862" t="e">
        <f>VLOOKUP(entradas[[#This Row],[Codigo de producto]],productos[],2,FALSE)</f>
        <v>#N/A</v>
      </c>
      <c r="V862" s="1"/>
    </row>
    <row r="863" spans="8:22" x14ac:dyDescent="0.35">
      <c r="H863" s="1"/>
      <c r="L863" t="e">
        <f>VLOOKUP(salidas[[#This Row],[Codigo de producto]],productos[],2,FALSE)</f>
        <v>#N/A</v>
      </c>
      <c r="N863" s="10">
        <f>+salidas[[#This Row],[Cantidad]]*salidas[[#This Row],[Precio U.]]</f>
        <v>0</v>
      </c>
      <c r="P863" s="1"/>
      <c r="T863" t="e">
        <f>VLOOKUP(entradas[[#This Row],[Codigo de producto]],productos[],2,FALSE)</f>
        <v>#N/A</v>
      </c>
      <c r="V863" s="1"/>
    </row>
    <row r="864" spans="8:22" x14ac:dyDescent="0.35">
      <c r="H864" s="1"/>
      <c r="L864" t="e">
        <f>VLOOKUP(salidas[[#This Row],[Codigo de producto]],productos[],2,FALSE)</f>
        <v>#N/A</v>
      </c>
      <c r="N864" s="10">
        <f>+salidas[[#This Row],[Cantidad]]*salidas[[#This Row],[Precio U.]]</f>
        <v>0</v>
      </c>
      <c r="P864" s="1"/>
      <c r="T864" t="e">
        <f>VLOOKUP(entradas[[#This Row],[Codigo de producto]],productos[],2,FALSE)</f>
        <v>#N/A</v>
      </c>
      <c r="V864" s="1"/>
    </row>
    <row r="865" spans="8:22" x14ac:dyDescent="0.35">
      <c r="H865" s="1"/>
      <c r="L865" t="e">
        <f>VLOOKUP(salidas[[#This Row],[Codigo de producto]],productos[],2,FALSE)</f>
        <v>#N/A</v>
      </c>
      <c r="N865" s="10">
        <f>+salidas[[#This Row],[Cantidad]]*salidas[[#This Row],[Precio U.]]</f>
        <v>0</v>
      </c>
      <c r="P865" s="1"/>
      <c r="T865" t="e">
        <f>VLOOKUP(entradas[[#This Row],[Codigo de producto]],productos[],2,FALSE)</f>
        <v>#N/A</v>
      </c>
      <c r="V865" s="1"/>
    </row>
    <row r="866" spans="8:22" x14ac:dyDescent="0.35">
      <c r="H866" s="1"/>
      <c r="L866" t="e">
        <f>VLOOKUP(salidas[[#This Row],[Codigo de producto]],productos[],2,FALSE)</f>
        <v>#N/A</v>
      </c>
      <c r="N866" s="10">
        <f>+salidas[[#This Row],[Cantidad]]*salidas[[#This Row],[Precio U.]]</f>
        <v>0</v>
      </c>
      <c r="P866" s="1"/>
      <c r="T866" t="e">
        <f>VLOOKUP(entradas[[#This Row],[Codigo de producto]],productos[],2,FALSE)</f>
        <v>#N/A</v>
      </c>
      <c r="V866" s="1"/>
    </row>
    <row r="867" spans="8:22" x14ac:dyDescent="0.35">
      <c r="H867" s="1"/>
      <c r="L867" t="e">
        <f>VLOOKUP(salidas[[#This Row],[Codigo de producto]],productos[],2,FALSE)</f>
        <v>#N/A</v>
      </c>
      <c r="N867" s="10">
        <f>+salidas[[#This Row],[Cantidad]]*salidas[[#This Row],[Precio U.]]</f>
        <v>0</v>
      </c>
      <c r="P867" s="1"/>
      <c r="T867" t="e">
        <f>VLOOKUP(entradas[[#This Row],[Codigo de producto]],productos[],2,FALSE)</f>
        <v>#N/A</v>
      </c>
      <c r="V867" s="1"/>
    </row>
    <row r="868" spans="8:22" x14ac:dyDescent="0.35">
      <c r="H868" s="1"/>
      <c r="L868" t="e">
        <f>VLOOKUP(salidas[[#This Row],[Codigo de producto]],productos[],2,FALSE)</f>
        <v>#N/A</v>
      </c>
      <c r="N868" s="10">
        <f>+salidas[[#This Row],[Cantidad]]*salidas[[#This Row],[Precio U.]]</f>
        <v>0</v>
      </c>
      <c r="P868" s="1"/>
      <c r="T868" t="e">
        <f>VLOOKUP(entradas[[#This Row],[Codigo de producto]],productos[],2,FALSE)</f>
        <v>#N/A</v>
      </c>
      <c r="V868" s="1"/>
    </row>
    <row r="869" spans="8:22" x14ac:dyDescent="0.35">
      <c r="H869" s="1"/>
      <c r="L869" t="e">
        <f>VLOOKUP(salidas[[#This Row],[Codigo de producto]],productos[],2,FALSE)</f>
        <v>#N/A</v>
      </c>
      <c r="N869" s="10">
        <f>+salidas[[#This Row],[Cantidad]]*salidas[[#This Row],[Precio U.]]</f>
        <v>0</v>
      </c>
      <c r="P869" s="1"/>
      <c r="T869" t="e">
        <f>VLOOKUP(entradas[[#This Row],[Codigo de producto]],productos[],2,FALSE)</f>
        <v>#N/A</v>
      </c>
      <c r="V869" s="1"/>
    </row>
    <row r="870" spans="8:22" x14ac:dyDescent="0.35">
      <c r="H870" s="1"/>
      <c r="L870" t="e">
        <f>VLOOKUP(salidas[[#This Row],[Codigo de producto]],productos[],2,FALSE)</f>
        <v>#N/A</v>
      </c>
      <c r="N870" s="10">
        <f>+salidas[[#This Row],[Cantidad]]*salidas[[#This Row],[Precio U.]]</f>
        <v>0</v>
      </c>
      <c r="P870" s="1"/>
      <c r="T870" t="e">
        <f>VLOOKUP(entradas[[#This Row],[Codigo de producto]],productos[],2,FALSE)</f>
        <v>#N/A</v>
      </c>
      <c r="V870" s="1"/>
    </row>
    <row r="871" spans="8:22" x14ac:dyDescent="0.35">
      <c r="H871" s="1"/>
      <c r="L871" t="e">
        <f>VLOOKUP(salidas[[#This Row],[Codigo de producto]],productos[],2,FALSE)</f>
        <v>#N/A</v>
      </c>
      <c r="N871" s="10">
        <f>+salidas[[#This Row],[Cantidad]]*salidas[[#This Row],[Precio U.]]</f>
        <v>0</v>
      </c>
      <c r="P871" s="1"/>
      <c r="T871" t="e">
        <f>VLOOKUP(entradas[[#This Row],[Codigo de producto]],productos[],2,FALSE)</f>
        <v>#N/A</v>
      </c>
      <c r="V871" s="1"/>
    </row>
    <row r="872" spans="8:22" x14ac:dyDescent="0.35">
      <c r="H872" s="1"/>
      <c r="L872" t="e">
        <f>VLOOKUP(salidas[[#This Row],[Codigo de producto]],productos[],2,FALSE)</f>
        <v>#N/A</v>
      </c>
      <c r="N872" s="10">
        <f>+salidas[[#This Row],[Cantidad]]*salidas[[#This Row],[Precio U.]]</f>
        <v>0</v>
      </c>
      <c r="P872" s="1"/>
      <c r="T872" t="e">
        <f>VLOOKUP(entradas[[#This Row],[Codigo de producto]],productos[],2,FALSE)</f>
        <v>#N/A</v>
      </c>
      <c r="V872" s="1"/>
    </row>
    <row r="873" spans="8:22" x14ac:dyDescent="0.35">
      <c r="H873" s="1"/>
      <c r="L873" t="e">
        <f>VLOOKUP(salidas[[#This Row],[Codigo de producto]],productos[],2,FALSE)</f>
        <v>#N/A</v>
      </c>
      <c r="N873" s="10">
        <f>+salidas[[#This Row],[Cantidad]]*salidas[[#This Row],[Precio U.]]</f>
        <v>0</v>
      </c>
      <c r="P873" s="1"/>
      <c r="T873" t="e">
        <f>VLOOKUP(entradas[[#This Row],[Codigo de producto]],productos[],2,FALSE)</f>
        <v>#N/A</v>
      </c>
      <c r="V873" s="1"/>
    </row>
    <row r="874" spans="8:22" x14ac:dyDescent="0.35">
      <c r="H874" s="1"/>
      <c r="L874" t="e">
        <f>VLOOKUP(salidas[[#This Row],[Codigo de producto]],productos[],2,FALSE)</f>
        <v>#N/A</v>
      </c>
      <c r="N874" s="10">
        <f>+salidas[[#This Row],[Cantidad]]*salidas[[#This Row],[Precio U.]]</f>
        <v>0</v>
      </c>
      <c r="P874" s="1"/>
      <c r="T874" t="e">
        <f>VLOOKUP(entradas[[#This Row],[Codigo de producto]],productos[],2,FALSE)</f>
        <v>#N/A</v>
      </c>
      <c r="V874" s="1"/>
    </row>
    <row r="875" spans="8:22" x14ac:dyDescent="0.35">
      <c r="H875" s="1"/>
      <c r="L875" t="e">
        <f>VLOOKUP(salidas[[#This Row],[Codigo de producto]],productos[],2,FALSE)</f>
        <v>#N/A</v>
      </c>
      <c r="N875" s="10">
        <f>+salidas[[#This Row],[Cantidad]]*salidas[[#This Row],[Precio U.]]</f>
        <v>0</v>
      </c>
      <c r="P875" s="1"/>
      <c r="T875" t="e">
        <f>VLOOKUP(entradas[[#This Row],[Codigo de producto]],productos[],2,FALSE)</f>
        <v>#N/A</v>
      </c>
      <c r="V875" s="1"/>
    </row>
    <row r="876" spans="8:22" x14ac:dyDescent="0.35">
      <c r="H876" s="1"/>
      <c r="L876" t="e">
        <f>VLOOKUP(salidas[[#This Row],[Codigo de producto]],productos[],2,FALSE)</f>
        <v>#N/A</v>
      </c>
      <c r="N876" s="10">
        <f>+salidas[[#This Row],[Cantidad]]*salidas[[#This Row],[Precio U.]]</f>
        <v>0</v>
      </c>
      <c r="P876" s="1"/>
      <c r="T876" t="e">
        <f>VLOOKUP(entradas[[#This Row],[Codigo de producto]],productos[],2,FALSE)</f>
        <v>#N/A</v>
      </c>
      <c r="V876" s="1"/>
    </row>
    <row r="877" spans="8:22" x14ac:dyDescent="0.35">
      <c r="H877" s="1"/>
      <c r="L877" t="e">
        <f>VLOOKUP(salidas[[#This Row],[Codigo de producto]],productos[],2,FALSE)</f>
        <v>#N/A</v>
      </c>
      <c r="N877" s="10">
        <f>+salidas[[#This Row],[Cantidad]]*salidas[[#This Row],[Precio U.]]</f>
        <v>0</v>
      </c>
      <c r="P877" s="1"/>
      <c r="T877" t="e">
        <f>VLOOKUP(entradas[[#This Row],[Codigo de producto]],productos[],2,FALSE)</f>
        <v>#N/A</v>
      </c>
      <c r="V877" s="1"/>
    </row>
    <row r="878" spans="8:22" x14ac:dyDescent="0.35">
      <c r="H878" s="1"/>
      <c r="L878" t="e">
        <f>VLOOKUP(salidas[[#This Row],[Codigo de producto]],productos[],2,FALSE)</f>
        <v>#N/A</v>
      </c>
      <c r="N878" s="10">
        <f>+salidas[[#This Row],[Cantidad]]*salidas[[#This Row],[Precio U.]]</f>
        <v>0</v>
      </c>
      <c r="P878" s="1"/>
      <c r="T878" t="e">
        <f>VLOOKUP(entradas[[#This Row],[Codigo de producto]],productos[],2,FALSE)</f>
        <v>#N/A</v>
      </c>
      <c r="V878" s="1"/>
    </row>
    <row r="879" spans="8:22" x14ac:dyDescent="0.35">
      <c r="H879" s="1"/>
      <c r="L879" t="e">
        <f>VLOOKUP(salidas[[#This Row],[Codigo de producto]],productos[],2,FALSE)</f>
        <v>#N/A</v>
      </c>
      <c r="N879" s="10">
        <f>+salidas[[#This Row],[Cantidad]]*salidas[[#This Row],[Precio U.]]</f>
        <v>0</v>
      </c>
      <c r="P879" s="1"/>
      <c r="T879" t="e">
        <f>VLOOKUP(entradas[[#This Row],[Codigo de producto]],productos[],2,FALSE)</f>
        <v>#N/A</v>
      </c>
      <c r="V879" s="1"/>
    </row>
    <row r="880" spans="8:22" x14ac:dyDescent="0.35">
      <c r="H880" s="1"/>
      <c r="L880" t="e">
        <f>VLOOKUP(salidas[[#This Row],[Codigo de producto]],productos[],2,FALSE)</f>
        <v>#N/A</v>
      </c>
      <c r="N880" s="10">
        <f>+salidas[[#This Row],[Cantidad]]*salidas[[#This Row],[Precio U.]]</f>
        <v>0</v>
      </c>
      <c r="P880" s="1"/>
      <c r="T880" t="e">
        <f>VLOOKUP(entradas[[#This Row],[Codigo de producto]],productos[],2,FALSE)</f>
        <v>#N/A</v>
      </c>
      <c r="V880" s="1"/>
    </row>
    <row r="881" spans="8:22" x14ac:dyDescent="0.35">
      <c r="H881" s="1"/>
      <c r="L881" t="e">
        <f>VLOOKUP(salidas[[#This Row],[Codigo de producto]],productos[],2,FALSE)</f>
        <v>#N/A</v>
      </c>
      <c r="N881" s="10">
        <f>+salidas[[#This Row],[Cantidad]]*salidas[[#This Row],[Precio U.]]</f>
        <v>0</v>
      </c>
      <c r="P881" s="1"/>
      <c r="T881" t="e">
        <f>VLOOKUP(entradas[[#This Row],[Codigo de producto]],productos[],2,FALSE)</f>
        <v>#N/A</v>
      </c>
      <c r="V881" s="1"/>
    </row>
    <row r="882" spans="8:22" x14ac:dyDescent="0.35">
      <c r="H882" s="1"/>
      <c r="L882" t="e">
        <f>VLOOKUP(salidas[[#This Row],[Codigo de producto]],productos[],2,FALSE)</f>
        <v>#N/A</v>
      </c>
      <c r="N882" s="10">
        <f>+salidas[[#This Row],[Cantidad]]*salidas[[#This Row],[Precio U.]]</f>
        <v>0</v>
      </c>
      <c r="P882" s="1"/>
      <c r="T882" t="e">
        <f>VLOOKUP(entradas[[#This Row],[Codigo de producto]],productos[],2,FALSE)</f>
        <v>#N/A</v>
      </c>
      <c r="V882" s="1"/>
    </row>
    <row r="883" spans="8:22" x14ac:dyDescent="0.35">
      <c r="H883" s="1"/>
      <c r="L883" t="e">
        <f>VLOOKUP(salidas[[#This Row],[Codigo de producto]],productos[],2,FALSE)</f>
        <v>#N/A</v>
      </c>
      <c r="N883" s="10">
        <f>+salidas[[#This Row],[Cantidad]]*salidas[[#This Row],[Precio U.]]</f>
        <v>0</v>
      </c>
      <c r="P883" s="1"/>
      <c r="T883" t="e">
        <f>VLOOKUP(entradas[[#This Row],[Codigo de producto]],productos[],2,FALSE)</f>
        <v>#N/A</v>
      </c>
      <c r="V883" s="1"/>
    </row>
    <row r="884" spans="8:22" x14ac:dyDescent="0.35">
      <c r="H884" s="1"/>
      <c r="L884" t="e">
        <f>VLOOKUP(salidas[[#This Row],[Codigo de producto]],productos[],2,FALSE)</f>
        <v>#N/A</v>
      </c>
      <c r="N884" s="10">
        <f>+salidas[[#This Row],[Cantidad]]*salidas[[#This Row],[Precio U.]]</f>
        <v>0</v>
      </c>
      <c r="P884" s="1"/>
      <c r="T884" t="e">
        <f>VLOOKUP(entradas[[#This Row],[Codigo de producto]],productos[],2,FALSE)</f>
        <v>#N/A</v>
      </c>
      <c r="V884" s="1"/>
    </row>
    <row r="885" spans="8:22" x14ac:dyDescent="0.35">
      <c r="H885" s="1"/>
      <c r="L885" t="e">
        <f>VLOOKUP(salidas[[#This Row],[Codigo de producto]],productos[],2,FALSE)</f>
        <v>#N/A</v>
      </c>
      <c r="N885" s="10">
        <f>+salidas[[#This Row],[Cantidad]]*salidas[[#This Row],[Precio U.]]</f>
        <v>0</v>
      </c>
      <c r="P885" s="1"/>
      <c r="T885" t="e">
        <f>VLOOKUP(entradas[[#This Row],[Codigo de producto]],productos[],2,FALSE)</f>
        <v>#N/A</v>
      </c>
      <c r="V885" s="1"/>
    </row>
    <row r="886" spans="8:22" x14ac:dyDescent="0.35">
      <c r="H886" s="1"/>
      <c r="L886" t="e">
        <f>VLOOKUP(salidas[[#This Row],[Codigo de producto]],productos[],2,FALSE)</f>
        <v>#N/A</v>
      </c>
      <c r="N886" s="10">
        <f>+salidas[[#This Row],[Cantidad]]*salidas[[#This Row],[Precio U.]]</f>
        <v>0</v>
      </c>
      <c r="P886" s="1"/>
      <c r="T886" t="e">
        <f>VLOOKUP(entradas[[#This Row],[Codigo de producto]],productos[],2,FALSE)</f>
        <v>#N/A</v>
      </c>
      <c r="V886" s="1"/>
    </row>
    <row r="887" spans="8:22" x14ac:dyDescent="0.35">
      <c r="H887" s="1"/>
      <c r="L887" t="e">
        <f>VLOOKUP(salidas[[#This Row],[Codigo de producto]],productos[],2,FALSE)</f>
        <v>#N/A</v>
      </c>
      <c r="N887" s="10">
        <f>+salidas[[#This Row],[Cantidad]]*salidas[[#This Row],[Precio U.]]</f>
        <v>0</v>
      </c>
      <c r="P887" s="1"/>
      <c r="T887" t="e">
        <f>VLOOKUP(entradas[[#This Row],[Codigo de producto]],productos[],2,FALSE)</f>
        <v>#N/A</v>
      </c>
      <c r="V887" s="1"/>
    </row>
    <row r="888" spans="8:22" x14ac:dyDescent="0.35">
      <c r="H888" s="1"/>
      <c r="L888" t="e">
        <f>VLOOKUP(salidas[[#This Row],[Codigo de producto]],productos[],2,FALSE)</f>
        <v>#N/A</v>
      </c>
      <c r="N888" s="10">
        <f>+salidas[[#This Row],[Cantidad]]*salidas[[#This Row],[Precio U.]]</f>
        <v>0</v>
      </c>
      <c r="P888" s="1"/>
      <c r="T888" t="e">
        <f>VLOOKUP(entradas[[#This Row],[Codigo de producto]],productos[],2,FALSE)</f>
        <v>#N/A</v>
      </c>
      <c r="V888" s="1"/>
    </row>
    <row r="889" spans="8:22" x14ac:dyDescent="0.35">
      <c r="H889" s="1"/>
      <c r="L889" t="e">
        <f>VLOOKUP(salidas[[#This Row],[Codigo de producto]],productos[],2,FALSE)</f>
        <v>#N/A</v>
      </c>
      <c r="N889" s="10">
        <f>+salidas[[#This Row],[Cantidad]]*salidas[[#This Row],[Precio U.]]</f>
        <v>0</v>
      </c>
      <c r="P889" s="1"/>
      <c r="T889" t="e">
        <f>VLOOKUP(entradas[[#This Row],[Codigo de producto]],productos[],2,FALSE)</f>
        <v>#N/A</v>
      </c>
      <c r="V889" s="1"/>
    </row>
    <row r="890" spans="8:22" x14ac:dyDescent="0.35">
      <c r="H890" s="1"/>
      <c r="L890" t="e">
        <f>VLOOKUP(salidas[[#This Row],[Codigo de producto]],productos[],2,FALSE)</f>
        <v>#N/A</v>
      </c>
      <c r="N890" s="10">
        <f>+salidas[[#This Row],[Cantidad]]*salidas[[#This Row],[Precio U.]]</f>
        <v>0</v>
      </c>
      <c r="P890" s="1"/>
      <c r="T890" t="e">
        <f>VLOOKUP(entradas[[#This Row],[Codigo de producto]],productos[],2,FALSE)</f>
        <v>#N/A</v>
      </c>
      <c r="V890" s="1"/>
    </row>
    <row r="891" spans="8:22" x14ac:dyDescent="0.35">
      <c r="H891" s="1"/>
      <c r="L891" t="e">
        <f>VLOOKUP(salidas[[#This Row],[Codigo de producto]],productos[],2,FALSE)</f>
        <v>#N/A</v>
      </c>
      <c r="N891" s="10">
        <f>+salidas[[#This Row],[Cantidad]]*salidas[[#This Row],[Precio U.]]</f>
        <v>0</v>
      </c>
      <c r="P891" s="1"/>
      <c r="T891" t="e">
        <f>VLOOKUP(entradas[[#This Row],[Codigo de producto]],productos[],2,FALSE)</f>
        <v>#N/A</v>
      </c>
      <c r="V891" s="1"/>
    </row>
    <row r="892" spans="8:22" x14ac:dyDescent="0.35">
      <c r="H892" s="1"/>
      <c r="L892" t="e">
        <f>VLOOKUP(salidas[[#This Row],[Codigo de producto]],productos[],2,FALSE)</f>
        <v>#N/A</v>
      </c>
      <c r="N892" s="10">
        <f>+salidas[[#This Row],[Cantidad]]*salidas[[#This Row],[Precio U.]]</f>
        <v>0</v>
      </c>
      <c r="P892" s="1"/>
      <c r="T892" t="e">
        <f>VLOOKUP(entradas[[#This Row],[Codigo de producto]],productos[],2,FALSE)</f>
        <v>#N/A</v>
      </c>
      <c r="V892" s="1"/>
    </row>
    <row r="893" spans="8:22" x14ac:dyDescent="0.35">
      <c r="H893" s="1"/>
      <c r="L893" t="e">
        <f>VLOOKUP(salidas[[#This Row],[Codigo de producto]],productos[],2,FALSE)</f>
        <v>#N/A</v>
      </c>
      <c r="N893" s="10">
        <f>+salidas[[#This Row],[Cantidad]]*salidas[[#This Row],[Precio U.]]</f>
        <v>0</v>
      </c>
      <c r="P893" s="1"/>
      <c r="T893" t="e">
        <f>VLOOKUP(entradas[[#This Row],[Codigo de producto]],productos[],2,FALSE)</f>
        <v>#N/A</v>
      </c>
      <c r="V893" s="1"/>
    </row>
    <row r="894" spans="8:22" x14ac:dyDescent="0.35">
      <c r="H894" s="1"/>
      <c r="L894" t="e">
        <f>VLOOKUP(salidas[[#This Row],[Codigo de producto]],productos[],2,FALSE)</f>
        <v>#N/A</v>
      </c>
      <c r="N894" s="10">
        <f>+salidas[[#This Row],[Cantidad]]*salidas[[#This Row],[Precio U.]]</f>
        <v>0</v>
      </c>
      <c r="P894" s="1"/>
      <c r="T894" t="e">
        <f>VLOOKUP(entradas[[#This Row],[Codigo de producto]],productos[],2,FALSE)</f>
        <v>#N/A</v>
      </c>
      <c r="V894" s="1"/>
    </row>
    <row r="895" spans="8:22" x14ac:dyDescent="0.35">
      <c r="H895" s="1"/>
      <c r="L895" t="e">
        <f>VLOOKUP(salidas[[#This Row],[Codigo de producto]],productos[],2,FALSE)</f>
        <v>#N/A</v>
      </c>
      <c r="N895" s="10">
        <f>+salidas[[#This Row],[Cantidad]]*salidas[[#This Row],[Precio U.]]</f>
        <v>0</v>
      </c>
      <c r="P895" s="1"/>
      <c r="T895" t="e">
        <f>VLOOKUP(entradas[[#This Row],[Codigo de producto]],productos[],2,FALSE)</f>
        <v>#N/A</v>
      </c>
      <c r="V895" s="1"/>
    </row>
    <row r="896" spans="8:22" x14ac:dyDescent="0.35">
      <c r="H896" s="1"/>
      <c r="L896" t="e">
        <f>VLOOKUP(salidas[[#This Row],[Codigo de producto]],productos[],2,FALSE)</f>
        <v>#N/A</v>
      </c>
      <c r="N896" s="10">
        <f>+salidas[[#This Row],[Cantidad]]*salidas[[#This Row],[Precio U.]]</f>
        <v>0</v>
      </c>
      <c r="P896" s="1"/>
      <c r="T896" t="e">
        <f>VLOOKUP(entradas[[#This Row],[Codigo de producto]],productos[],2,FALSE)</f>
        <v>#N/A</v>
      </c>
      <c r="V896" s="1"/>
    </row>
    <row r="897" spans="8:22" x14ac:dyDescent="0.35">
      <c r="H897" s="1"/>
      <c r="L897" t="e">
        <f>VLOOKUP(salidas[[#This Row],[Codigo de producto]],productos[],2,FALSE)</f>
        <v>#N/A</v>
      </c>
      <c r="N897" s="10">
        <f>+salidas[[#This Row],[Cantidad]]*salidas[[#This Row],[Precio U.]]</f>
        <v>0</v>
      </c>
      <c r="P897" s="1"/>
      <c r="T897" t="e">
        <f>VLOOKUP(entradas[[#This Row],[Codigo de producto]],productos[],2,FALSE)</f>
        <v>#N/A</v>
      </c>
      <c r="V897" s="1"/>
    </row>
    <row r="898" spans="8:22" x14ac:dyDescent="0.35">
      <c r="H898" s="1"/>
      <c r="L898" t="e">
        <f>VLOOKUP(salidas[[#This Row],[Codigo de producto]],productos[],2,FALSE)</f>
        <v>#N/A</v>
      </c>
      <c r="N898" s="10">
        <f>+salidas[[#This Row],[Cantidad]]*salidas[[#This Row],[Precio U.]]</f>
        <v>0</v>
      </c>
      <c r="P898" s="1"/>
      <c r="T898" t="e">
        <f>VLOOKUP(entradas[[#This Row],[Codigo de producto]],productos[],2,FALSE)</f>
        <v>#N/A</v>
      </c>
      <c r="V898" s="1"/>
    </row>
    <row r="899" spans="8:22" x14ac:dyDescent="0.35">
      <c r="H899" s="1"/>
      <c r="L899" t="e">
        <f>VLOOKUP(salidas[[#This Row],[Codigo de producto]],productos[],2,FALSE)</f>
        <v>#N/A</v>
      </c>
      <c r="N899" s="10">
        <f>+salidas[[#This Row],[Cantidad]]*salidas[[#This Row],[Precio U.]]</f>
        <v>0</v>
      </c>
      <c r="P899" s="1"/>
      <c r="T899" t="e">
        <f>VLOOKUP(entradas[[#This Row],[Codigo de producto]],productos[],2,FALSE)</f>
        <v>#N/A</v>
      </c>
      <c r="V899" s="1"/>
    </row>
    <row r="900" spans="8:22" x14ac:dyDescent="0.35">
      <c r="H900" s="1"/>
      <c r="L900" t="e">
        <f>VLOOKUP(salidas[[#This Row],[Codigo de producto]],productos[],2,FALSE)</f>
        <v>#N/A</v>
      </c>
      <c r="N900" s="10">
        <f>+salidas[[#This Row],[Cantidad]]*salidas[[#This Row],[Precio U.]]</f>
        <v>0</v>
      </c>
      <c r="P900" s="1"/>
      <c r="T900" t="e">
        <f>VLOOKUP(entradas[[#This Row],[Codigo de producto]],productos[],2,FALSE)</f>
        <v>#N/A</v>
      </c>
      <c r="V900" s="1"/>
    </row>
    <row r="901" spans="8:22" x14ac:dyDescent="0.35">
      <c r="H901" s="1"/>
      <c r="L901" t="e">
        <f>VLOOKUP(salidas[[#This Row],[Codigo de producto]],productos[],2,FALSE)</f>
        <v>#N/A</v>
      </c>
      <c r="N901" s="10">
        <f>+salidas[[#This Row],[Cantidad]]*salidas[[#This Row],[Precio U.]]</f>
        <v>0</v>
      </c>
      <c r="P901" s="1"/>
      <c r="T901" t="e">
        <f>VLOOKUP(entradas[[#This Row],[Codigo de producto]],productos[],2,FALSE)</f>
        <v>#N/A</v>
      </c>
      <c r="V901" s="1"/>
    </row>
    <row r="902" spans="8:22" x14ac:dyDescent="0.35">
      <c r="H902" s="1"/>
      <c r="L902" t="e">
        <f>VLOOKUP(salidas[[#This Row],[Codigo de producto]],productos[],2,FALSE)</f>
        <v>#N/A</v>
      </c>
      <c r="N902" s="10">
        <f>+salidas[[#This Row],[Cantidad]]*salidas[[#This Row],[Precio U.]]</f>
        <v>0</v>
      </c>
      <c r="P902" s="1"/>
      <c r="T902" t="e">
        <f>VLOOKUP(entradas[[#This Row],[Codigo de producto]],productos[],2,FALSE)</f>
        <v>#N/A</v>
      </c>
      <c r="V902" s="1"/>
    </row>
    <row r="903" spans="8:22" x14ac:dyDescent="0.35">
      <c r="H903" s="1"/>
      <c r="L903" t="e">
        <f>VLOOKUP(salidas[[#This Row],[Codigo de producto]],productos[],2,FALSE)</f>
        <v>#N/A</v>
      </c>
      <c r="N903" s="10">
        <f>+salidas[[#This Row],[Cantidad]]*salidas[[#This Row],[Precio U.]]</f>
        <v>0</v>
      </c>
      <c r="P903" s="1"/>
      <c r="T903" t="e">
        <f>VLOOKUP(entradas[[#This Row],[Codigo de producto]],productos[],2,FALSE)</f>
        <v>#N/A</v>
      </c>
      <c r="V903" s="1"/>
    </row>
    <row r="904" spans="8:22" x14ac:dyDescent="0.35">
      <c r="H904" s="1"/>
      <c r="L904" t="e">
        <f>VLOOKUP(salidas[[#This Row],[Codigo de producto]],productos[],2,FALSE)</f>
        <v>#N/A</v>
      </c>
      <c r="N904" s="10">
        <f>+salidas[[#This Row],[Cantidad]]*salidas[[#This Row],[Precio U.]]</f>
        <v>0</v>
      </c>
      <c r="P904" s="1"/>
      <c r="T904" t="e">
        <f>VLOOKUP(entradas[[#This Row],[Codigo de producto]],productos[],2,FALSE)</f>
        <v>#N/A</v>
      </c>
      <c r="V904" s="1"/>
    </row>
    <row r="905" spans="8:22" x14ac:dyDescent="0.35">
      <c r="H905" s="1"/>
      <c r="L905" t="e">
        <f>VLOOKUP(salidas[[#This Row],[Codigo de producto]],productos[],2,FALSE)</f>
        <v>#N/A</v>
      </c>
      <c r="N905" s="10">
        <f>+salidas[[#This Row],[Cantidad]]*salidas[[#This Row],[Precio U.]]</f>
        <v>0</v>
      </c>
      <c r="P905" s="1"/>
      <c r="T905" t="e">
        <f>VLOOKUP(entradas[[#This Row],[Codigo de producto]],productos[],2,FALSE)</f>
        <v>#N/A</v>
      </c>
      <c r="V905" s="1"/>
    </row>
    <row r="906" spans="8:22" x14ac:dyDescent="0.35">
      <c r="H906" s="1"/>
      <c r="L906" t="e">
        <f>VLOOKUP(salidas[[#This Row],[Codigo de producto]],productos[],2,FALSE)</f>
        <v>#N/A</v>
      </c>
      <c r="N906" s="10">
        <f>+salidas[[#This Row],[Cantidad]]*salidas[[#This Row],[Precio U.]]</f>
        <v>0</v>
      </c>
      <c r="P906" s="1"/>
      <c r="T906" t="e">
        <f>VLOOKUP(entradas[[#This Row],[Codigo de producto]],productos[],2,FALSE)</f>
        <v>#N/A</v>
      </c>
      <c r="V906" s="1"/>
    </row>
    <row r="907" spans="8:22" x14ac:dyDescent="0.35">
      <c r="H907" s="1"/>
      <c r="L907" t="e">
        <f>VLOOKUP(salidas[[#This Row],[Codigo de producto]],productos[],2,FALSE)</f>
        <v>#N/A</v>
      </c>
      <c r="N907" s="10">
        <f>+salidas[[#This Row],[Cantidad]]*salidas[[#This Row],[Precio U.]]</f>
        <v>0</v>
      </c>
      <c r="P907" s="1"/>
      <c r="T907" t="e">
        <f>VLOOKUP(entradas[[#This Row],[Codigo de producto]],productos[],2,FALSE)</f>
        <v>#N/A</v>
      </c>
      <c r="V907" s="1"/>
    </row>
    <row r="908" spans="8:22" x14ac:dyDescent="0.35">
      <c r="H908" s="1"/>
      <c r="L908" t="e">
        <f>VLOOKUP(salidas[[#This Row],[Codigo de producto]],productos[],2,FALSE)</f>
        <v>#N/A</v>
      </c>
      <c r="N908" s="10">
        <f>+salidas[[#This Row],[Cantidad]]*salidas[[#This Row],[Precio U.]]</f>
        <v>0</v>
      </c>
      <c r="P908" s="1"/>
      <c r="T908" t="e">
        <f>VLOOKUP(entradas[[#This Row],[Codigo de producto]],productos[],2,FALSE)</f>
        <v>#N/A</v>
      </c>
      <c r="V908" s="1"/>
    </row>
    <row r="909" spans="8:22" x14ac:dyDescent="0.35">
      <c r="H909" s="1"/>
      <c r="L909" t="e">
        <f>VLOOKUP(salidas[[#This Row],[Codigo de producto]],productos[],2,FALSE)</f>
        <v>#N/A</v>
      </c>
      <c r="N909" s="10">
        <f>+salidas[[#This Row],[Cantidad]]*salidas[[#This Row],[Precio U.]]</f>
        <v>0</v>
      </c>
      <c r="P909" s="1"/>
      <c r="T909" t="e">
        <f>VLOOKUP(entradas[[#This Row],[Codigo de producto]],productos[],2,FALSE)</f>
        <v>#N/A</v>
      </c>
      <c r="V909" s="1"/>
    </row>
    <row r="910" spans="8:22" x14ac:dyDescent="0.35">
      <c r="H910" s="1"/>
      <c r="L910" t="e">
        <f>VLOOKUP(salidas[[#This Row],[Codigo de producto]],productos[],2,FALSE)</f>
        <v>#N/A</v>
      </c>
      <c r="N910" s="10">
        <f>+salidas[[#This Row],[Cantidad]]*salidas[[#This Row],[Precio U.]]</f>
        <v>0</v>
      </c>
      <c r="P910" s="1"/>
      <c r="T910" t="e">
        <f>VLOOKUP(entradas[[#This Row],[Codigo de producto]],productos[],2,FALSE)</f>
        <v>#N/A</v>
      </c>
      <c r="V910" s="1"/>
    </row>
    <row r="911" spans="8:22" x14ac:dyDescent="0.35">
      <c r="H911" s="1"/>
      <c r="L911" t="e">
        <f>VLOOKUP(salidas[[#This Row],[Codigo de producto]],productos[],2,FALSE)</f>
        <v>#N/A</v>
      </c>
      <c r="N911" s="10">
        <f>+salidas[[#This Row],[Cantidad]]*salidas[[#This Row],[Precio U.]]</f>
        <v>0</v>
      </c>
      <c r="P911" s="1"/>
      <c r="T911" t="e">
        <f>VLOOKUP(entradas[[#This Row],[Codigo de producto]],productos[],2,FALSE)</f>
        <v>#N/A</v>
      </c>
      <c r="V911" s="1"/>
    </row>
    <row r="912" spans="8:22" x14ac:dyDescent="0.35">
      <c r="H912" s="1"/>
      <c r="L912" t="e">
        <f>VLOOKUP(salidas[[#This Row],[Codigo de producto]],productos[],2,FALSE)</f>
        <v>#N/A</v>
      </c>
      <c r="N912" s="10">
        <f>+salidas[[#This Row],[Cantidad]]*salidas[[#This Row],[Precio U.]]</f>
        <v>0</v>
      </c>
      <c r="P912" s="1"/>
      <c r="T912" t="e">
        <f>VLOOKUP(entradas[[#This Row],[Codigo de producto]],productos[],2,FALSE)</f>
        <v>#N/A</v>
      </c>
      <c r="V912" s="1"/>
    </row>
    <row r="913" spans="8:22" x14ac:dyDescent="0.35">
      <c r="H913" s="1"/>
      <c r="L913" t="e">
        <f>VLOOKUP(salidas[[#This Row],[Codigo de producto]],productos[],2,FALSE)</f>
        <v>#N/A</v>
      </c>
      <c r="N913" s="10">
        <f>+salidas[[#This Row],[Cantidad]]*salidas[[#This Row],[Precio U.]]</f>
        <v>0</v>
      </c>
      <c r="P913" s="1"/>
      <c r="T913" t="e">
        <f>VLOOKUP(entradas[[#This Row],[Codigo de producto]],productos[],2,FALSE)</f>
        <v>#N/A</v>
      </c>
      <c r="V913" s="1"/>
    </row>
    <row r="914" spans="8:22" x14ac:dyDescent="0.35">
      <c r="H914" s="1"/>
      <c r="L914" t="e">
        <f>VLOOKUP(salidas[[#This Row],[Codigo de producto]],productos[],2,FALSE)</f>
        <v>#N/A</v>
      </c>
      <c r="N914" s="10">
        <f>+salidas[[#This Row],[Cantidad]]*salidas[[#This Row],[Precio U.]]</f>
        <v>0</v>
      </c>
      <c r="P914" s="1"/>
      <c r="T914" t="e">
        <f>VLOOKUP(entradas[[#This Row],[Codigo de producto]],productos[],2,FALSE)</f>
        <v>#N/A</v>
      </c>
      <c r="V914" s="1"/>
    </row>
    <row r="915" spans="8:22" x14ac:dyDescent="0.35">
      <c r="H915" s="1"/>
      <c r="L915" t="e">
        <f>VLOOKUP(salidas[[#This Row],[Codigo de producto]],productos[],2,FALSE)</f>
        <v>#N/A</v>
      </c>
      <c r="N915" s="10">
        <f>+salidas[[#This Row],[Cantidad]]*salidas[[#This Row],[Precio U.]]</f>
        <v>0</v>
      </c>
      <c r="P915" s="1"/>
      <c r="T915" t="e">
        <f>VLOOKUP(entradas[[#This Row],[Codigo de producto]],productos[],2,FALSE)</f>
        <v>#N/A</v>
      </c>
      <c r="V915" s="1"/>
    </row>
    <row r="916" spans="8:22" x14ac:dyDescent="0.35">
      <c r="H916" s="1"/>
      <c r="L916" t="e">
        <f>VLOOKUP(salidas[[#This Row],[Codigo de producto]],productos[],2,FALSE)</f>
        <v>#N/A</v>
      </c>
      <c r="N916" s="10">
        <f>+salidas[[#This Row],[Cantidad]]*salidas[[#This Row],[Precio U.]]</f>
        <v>0</v>
      </c>
      <c r="P916" s="1"/>
      <c r="T916" t="e">
        <f>VLOOKUP(entradas[[#This Row],[Codigo de producto]],productos[],2,FALSE)</f>
        <v>#N/A</v>
      </c>
      <c r="V916" s="1"/>
    </row>
    <row r="917" spans="8:22" x14ac:dyDescent="0.35">
      <c r="H917" s="1"/>
      <c r="L917" t="e">
        <f>VLOOKUP(salidas[[#This Row],[Codigo de producto]],productos[],2,FALSE)</f>
        <v>#N/A</v>
      </c>
      <c r="N917" s="10">
        <f>+salidas[[#This Row],[Cantidad]]*salidas[[#This Row],[Precio U.]]</f>
        <v>0</v>
      </c>
      <c r="P917" s="1"/>
      <c r="T917" t="e">
        <f>VLOOKUP(entradas[[#This Row],[Codigo de producto]],productos[],2,FALSE)</f>
        <v>#N/A</v>
      </c>
      <c r="V917" s="1"/>
    </row>
    <row r="918" spans="8:22" x14ac:dyDescent="0.35">
      <c r="H918" s="1"/>
      <c r="L918" t="e">
        <f>VLOOKUP(salidas[[#This Row],[Codigo de producto]],productos[],2,FALSE)</f>
        <v>#N/A</v>
      </c>
      <c r="N918" s="10">
        <f>+salidas[[#This Row],[Cantidad]]*salidas[[#This Row],[Precio U.]]</f>
        <v>0</v>
      </c>
      <c r="P918" s="1"/>
      <c r="T918" t="e">
        <f>VLOOKUP(entradas[[#This Row],[Codigo de producto]],productos[],2,FALSE)</f>
        <v>#N/A</v>
      </c>
      <c r="V918" s="1"/>
    </row>
    <row r="919" spans="8:22" x14ac:dyDescent="0.35">
      <c r="H919" s="1"/>
      <c r="L919" t="e">
        <f>VLOOKUP(salidas[[#This Row],[Codigo de producto]],productos[],2,FALSE)</f>
        <v>#N/A</v>
      </c>
      <c r="N919" s="10">
        <f>+salidas[[#This Row],[Cantidad]]*salidas[[#This Row],[Precio U.]]</f>
        <v>0</v>
      </c>
      <c r="P919" s="1"/>
      <c r="T919" t="e">
        <f>VLOOKUP(entradas[[#This Row],[Codigo de producto]],productos[],2,FALSE)</f>
        <v>#N/A</v>
      </c>
      <c r="V919" s="1"/>
    </row>
    <row r="920" spans="8:22" x14ac:dyDescent="0.35">
      <c r="H920" s="1"/>
      <c r="L920" t="e">
        <f>VLOOKUP(salidas[[#This Row],[Codigo de producto]],productos[],2,FALSE)</f>
        <v>#N/A</v>
      </c>
      <c r="N920" s="10">
        <f>+salidas[[#This Row],[Cantidad]]*salidas[[#This Row],[Precio U.]]</f>
        <v>0</v>
      </c>
      <c r="P920" s="1"/>
      <c r="T920" t="e">
        <f>VLOOKUP(entradas[[#This Row],[Codigo de producto]],productos[],2,FALSE)</f>
        <v>#N/A</v>
      </c>
      <c r="V920" s="1"/>
    </row>
    <row r="921" spans="8:22" x14ac:dyDescent="0.35">
      <c r="H921" s="1"/>
      <c r="L921" t="e">
        <f>VLOOKUP(salidas[[#This Row],[Codigo de producto]],productos[],2,FALSE)</f>
        <v>#N/A</v>
      </c>
      <c r="N921" s="10">
        <f>+salidas[[#This Row],[Cantidad]]*salidas[[#This Row],[Precio U.]]</f>
        <v>0</v>
      </c>
      <c r="P921" s="1"/>
      <c r="T921" t="e">
        <f>VLOOKUP(entradas[[#This Row],[Codigo de producto]],productos[],2,FALSE)</f>
        <v>#N/A</v>
      </c>
      <c r="V921" s="1"/>
    </row>
    <row r="922" spans="8:22" x14ac:dyDescent="0.35">
      <c r="H922" s="1"/>
      <c r="L922" t="e">
        <f>VLOOKUP(salidas[[#This Row],[Codigo de producto]],productos[],2,FALSE)</f>
        <v>#N/A</v>
      </c>
      <c r="N922" s="10">
        <f>+salidas[[#This Row],[Cantidad]]*salidas[[#This Row],[Precio U.]]</f>
        <v>0</v>
      </c>
      <c r="P922" s="1"/>
      <c r="T922" t="e">
        <f>VLOOKUP(entradas[[#This Row],[Codigo de producto]],productos[],2,FALSE)</f>
        <v>#N/A</v>
      </c>
      <c r="V922" s="1"/>
    </row>
    <row r="923" spans="8:22" x14ac:dyDescent="0.35">
      <c r="H923" s="1"/>
      <c r="L923" t="e">
        <f>VLOOKUP(salidas[[#This Row],[Codigo de producto]],productos[],2,FALSE)</f>
        <v>#N/A</v>
      </c>
      <c r="N923" s="10">
        <f>+salidas[[#This Row],[Cantidad]]*salidas[[#This Row],[Precio U.]]</f>
        <v>0</v>
      </c>
      <c r="P923" s="1"/>
      <c r="T923" t="e">
        <f>VLOOKUP(entradas[[#This Row],[Codigo de producto]],productos[],2,FALSE)</f>
        <v>#N/A</v>
      </c>
      <c r="V923" s="1"/>
    </row>
    <row r="924" spans="8:22" x14ac:dyDescent="0.35">
      <c r="H924" s="1"/>
      <c r="L924" t="e">
        <f>VLOOKUP(salidas[[#This Row],[Codigo de producto]],productos[],2,FALSE)</f>
        <v>#N/A</v>
      </c>
      <c r="N924" s="10">
        <f>+salidas[[#This Row],[Cantidad]]*salidas[[#This Row],[Precio U.]]</f>
        <v>0</v>
      </c>
      <c r="P924" s="1"/>
      <c r="T924" t="e">
        <f>VLOOKUP(entradas[[#This Row],[Codigo de producto]],productos[],2,FALSE)</f>
        <v>#N/A</v>
      </c>
      <c r="V924" s="1"/>
    </row>
    <row r="925" spans="8:22" x14ac:dyDescent="0.35">
      <c r="H925" s="1"/>
      <c r="L925" t="e">
        <f>VLOOKUP(salidas[[#This Row],[Codigo de producto]],productos[],2,FALSE)</f>
        <v>#N/A</v>
      </c>
      <c r="N925" s="10">
        <f>+salidas[[#This Row],[Cantidad]]*salidas[[#This Row],[Precio U.]]</f>
        <v>0</v>
      </c>
      <c r="P925" s="1"/>
      <c r="T925" t="e">
        <f>VLOOKUP(entradas[[#This Row],[Codigo de producto]],productos[],2,FALSE)</f>
        <v>#N/A</v>
      </c>
      <c r="V925" s="1"/>
    </row>
    <row r="926" spans="8:22" x14ac:dyDescent="0.35">
      <c r="H926" s="1"/>
      <c r="L926" t="e">
        <f>VLOOKUP(salidas[[#This Row],[Codigo de producto]],productos[],2,FALSE)</f>
        <v>#N/A</v>
      </c>
      <c r="N926" s="10">
        <f>+salidas[[#This Row],[Cantidad]]*salidas[[#This Row],[Precio U.]]</f>
        <v>0</v>
      </c>
      <c r="P926" s="1"/>
      <c r="T926" t="e">
        <f>VLOOKUP(entradas[[#This Row],[Codigo de producto]],productos[],2,FALSE)</f>
        <v>#N/A</v>
      </c>
      <c r="V926" s="1"/>
    </row>
    <row r="927" spans="8:22" x14ac:dyDescent="0.35">
      <c r="H927" s="1"/>
      <c r="L927" t="e">
        <f>VLOOKUP(salidas[[#This Row],[Codigo de producto]],productos[],2,FALSE)</f>
        <v>#N/A</v>
      </c>
      <c r="N927" s="10">
        <f>+salidas[[#This Row],[Cantidad]]*salidas[[#This Row],[Precio U.]]</f>
        <v>0</v>
      </c>
      <c r="P927" s="1"/>
      <c r="T927" t="e">
        <f>VLOOKUP(entradas[[#This Row],[Codigo de producto]],productos[],2,FALSE)</f>
        <v>#N/A</v>
      </c>
      <c r="V927" s="1"/>
    </row>
    <row r="928" spans="8:22" x14ac:dyDescent="0.35">
      <c r="H928" s="1"/>
      <c r="L928" t="e">
        <f>VLOOKUP(salidas[[#This Row],[Codigo de producto]],productos[],2,FALSE)</f>
        <v>#N/A</v>
      </c>
      <c r="N928" s="10">
        <f>+salidas[[#This Row],[Cantidad]]*salidas[[#This Row],[Precio U.]]</f>
        <v>0</v>
      </c>
      <c r="P928" s="1"/>
      <c r="T928" t="e">
        <f>VLOOKUP(entradas[[#This Row],[Codigo de producto]],productos[],2,FALSE)</f>
        <v>#N/A</v>
      </c>
      <c r="V928" s="1"/>
    </row>
    <row r="929" spans="8:22" x14ac:dyDescent="0.35">
      <c r="H929" s="1"/>
      <c r="L929" t="e">
        <f>VLOOKUP(salidas[[#This Row],[Codigo de producto]],productos[],2,FALSE)</f>
        <v>#N/A</v>
      </c>
      <c r="N929" s="10">
        <f>+salidas[[#This Row],[Cantidad]]*salidas[[#This Row],[Precio U.]]</f>
        <v>0</v>
      </c>
      <c r="P929" s="1"/>
      <c r="T929" t="e">
        <f>VLOOKUP(entradas[[#This Row],[Codigo de producto]],productos[],2,FALSE)</f>
        <v>#N/A</v>
      </c>
      <c r="V929" s="1"/>
    </row>
    <row r="930" spans="8:22" x14ac:dyDescent="0.35">
      <c r="H930" s="1"/>
      <c r="L930" t="e">
        <f>VLOOKUP(salidas[[#This Row],[Codigo de producto]],productos[],2,FALSE)</f>
        <v>#N/A</v>
      </c>
      <c r="N930" s="10">
        <f>+salidas[[#This Row],[Cantidad]]*salidas[[#This Row],[Precio U.]]</f>
        <v>0</v>
      </c>
      <c r="P930" s="1"/>
      <c r="T930" t="e">
        <f>VLOOKUP(entradas[[#This Row],[Codigo de producto]],productos[],2,FALSE)</f>
        <v>#N/A</v>
      </c>
      <c r="V930" s="1"/>
    </row>
    <row r="931" spans="8:22" x14ac:dyDescent="0.35">
      <c r="H931" s="1"/>
      <c r="L931" t="e">
        <f>VLOOKUP(salidas[[#This Row],[Codigo de producto]],productos[],2,FALSE)</f>
        <v>#N/A</v>
      </c>
      <c r="N931" s="10">
        <f>+salidas[[#This Row],[Cantidad]]*salidas[[#This Row],[Precio U.]]</f>
        <v>0</v>
      </c>
      <c r="P931" s="1"/>
      <c r="T931" t="e">
        <f>VLOOKUP(entradas[[#This Row],[Codigo de producto]],productos[],2,FALSE)</f>
        <v>#N/A</v>
      </c>
      <c r="V931" s="1"/>
    </row>
    <row r="932" spans="8:22" x14ac:dyDescent="0.35">
      <c r="H932" s="1"/>
      <c r="L932" t="e">
        <f>VLOOKUP(salidas[[#This Row],[Codigo de producto]],productos[],2,FALSE)</f>
        <v>#N/A</v>
      </c>
      <c r="N932" s="10">
        <f>+salidas[[#This Row],[Cantidad]]*salidas[[#This Row],[Precio U.]]</f>
        <v>0</v>
      </c>
      <c r="P932" s="1"/>
      <c r="T932" t="e">
        <f>VLOOKUP(entradas[[#This Row],[Codigo de producto]],productos[],2,FALSE)</f>
        <v>#N/A</v>
      </c>
      <c r="V932" s="1"/>
    </row>
    <row r="933" spans="8:22" x14ac:dyDescent="0.35">
      <c r="H933" s="1"/>
      <c r="L933" t="e">
        <f>VLOOKUP(salidas[[#This Row],[Codigo de producto]],productos[],2,FALSE)</f>
        <v>#N/A</v>
      </c>
      <c r="N933" s="10">
        <f>+salidas[[#This Row],[Cantidad]]*salidas[[#This Row],[Precio U.]]</f>
        <v>0</v>
      </c>
      <c r="P933" s="1"/>
      <c r="T933" t="e">
        <f>VLOOKUP(entradas[[#This Row],[Codigo de producto]],productos[],2,FALSE)</f>
        <v>#N/A</v>
      </c>
      <c r="V933" s="1"/>
    </row>
    <row r="934" spans="8:22" x14ac:dyDescent="0.35">
      <c r="H934" s="1"/>
      <c r="L934" t="e">
        <f>VLOOKUP(salidas[[#This Row],[Codigo de producto]],productos[],2,FALSE)</f>
        <v>#N/A</v>
      </c>
      <c r="N934" s="10">
        <f>+salidas[[#This Row],[Cantidad]]*salidas[[#This Row],[Precio U.]]</f>
        <v>0</v>
      </c>
      <c r="P934" s="1"/>
      <c r="T934" t="e">
        <f>VLOOKUP(entradas[[#This Row],[Codigo de producto]],productos[],2,FALSE)</f>
        <v>#N/A</v>
      </c>
      <c r="V934" s="1"/>
    </row>
    <row r="935" spans="8:22" x14ac:dyDescent="0.35">
      <c r="H935" s="1"/>
      <c r="L935" t="e">
        <f>VLOOKUP(salidas[[#This Row],[Codigo de producto]],productos[],2,FALSE)</f>
        <v>#N/A</v>
      </c>
      <c r="N935" s="10">
        <f>+salidas[[#This Row],[Cantidad]]*salidas[[#This Row],[Precio U.]]</f>
        <v>0</v>
      </c>
      <c r="P935" s="1"/>
      <c r="T935" t="e">
        <f>VLOOKUP(entradas[[#This Row],[Codigo de producto]],productos[],2,FALSE)</f>
        <v>#N/A</v>
      </c>
      <c r="V935" s="1"/>
    </row>
    <row r="936" spans="8:22" x14ac:dyDescent="0.35">
      <c r="H936" s="1"/>
      <c r="L936" t="e">
        <f>VLOOKUP(salidas[[#This Row],[Codigo de producto]],productos[],2,FALSE)</f>
        <v>#N/A</v>
      </c>
      <c r="N936" s="10">
        <f>+salidas[[#This Row],[Cantidad]]*salidas[[#This Row],[Precio U.]]</f>
        <v>0</v>
      </c>
      <c r="P936" s="1"/>
      <c r="T936" t="e">
        <f>VLOOKUP(entradas[[#This Row],[Codigo de producto]],productos[],2,FALSE)</f>
        <v>#N/A</v>
      </c>
      <c r="V936" s="1"/>
    </row>
    <row r="937" spans="8:22" x14ac:dyDescent="0.35">
      <c r="H937" s="1"/>
      <c r="L937" t="e">
        <f>VLOOKUP(salidas[[#This Row],[Codigo de producto]],productos[],2,FALSE)</f>
        <v>#N/A</v>
      </c>
      <c r="N937" s="10">
        <f>+salidas[[#This Row],[Cantidad]]*salidas[[#This Row],[Precio U.]]</f>
        <v>0</v>
      </c>
      <c r="P937" s="1"/>
      <c r="T937" t="e">
        <f>VLOOKUP(entradas[[#This Row],[Codigo de producto]],productos[],2,FALSE)</f>
        <v>#N/A</v>
      </c>
      <c r="V937" s="1"/>
    </row>
    <row r="938" spans="8:22" x14ac:dyDescent="0.35">
      <c r="H938" s="1"/>
      <c r="L938" t="e">
        <f>VLOOKUP(salidas[[#This Row],[Codigo de producto]],productos[],2,FALSE)</f>
        <v>#N/A</v>
      </c>
      <c r="N938" s="10">
        <f>+salidas[[#This Row],[Cantidad]]*salidas[[#This Row],[Precio U.]]</f>
        <v>0</v>
      </c>
      <c r="P938" s="1"/>
      <c r="T938" t="e">
        <f>VLOOKUP(entradas[[#This Row],[Codigo de producto]],productos[],2,FALSE)</f>
        <v>#N/A</v>
      </c>
      <c r="V938" s="1"/>
    </row>
    <row r="939" spans="8:22" x14ac:dyDescent="0.35">
      <c r="H939" s="1"/>
      <c r="L939" t="e">
        <f>VLOOKUP(salidas[[#This Row],[Codigo de producto]],productos[],2,FALSE)</f>
        <v>#N/A</v>
      </c>
      <c r="N939" s="10">
        <f>+salidas[[#This Row],[Cantidad]]*salidas[[#This Row],[Precio U.]]</f>
        <v>0</v>
      </c>
      <c r="P939" s="1"/>
      <c r="T939" t="e">
        <f>VLOOKUP(entradas[[#This Row],[Codigo de producto]],productos[],2,FALSE)</f>
        <v>#N/A</v>
      </c>
      <c r="V939" s="1"/>
    </row>
    <row r="940" spans="8:22" x14ac:dyDescent="0.35">
      <c r="H940" s="1"/>
      <c r="L940" t="e">
        <f>VLOOKUP(salidas[[#This Row],[Codigo de producto]],productos[],2,FALSE)</f>
        <v>#N/A</v>
      </c>
      <c r="N940" s="10">
        <f>+salidas[[#This Row],[Cantidad]]*salidas[[#This Row],[Precio U.]]</f>
        <v>0</v>
      </c>
      <c r="P940" s="1"/>
      <c r="T940" t="e">
        <f>VLOOKUP(entradas[[#This Row],[Codigo de producto]],productos[],2,FALSE)</f>
        <v>#N/A</v>
      </c>
      <c r="V940" s="1"/>
    </row>
    <row r="941" spans="8:22" x14ac:dyDescent="0.35">
      <c r="H941" s="1"/>
      <c r="L941" t="e">
        <f>VLOOKUP(salidas[[#This Row],[Codigo de producto]],productos[],2,FALSE)</f>
        <v>#N/A</v>
      </c>
      <c r="N941" s="10">
        <f>+salidas[[#This Row],[Cantidad]]*salidas[[#This Row],[Precio U.]]</f>
        <v>0</v>
      </c>
      <c r="P941" s="1"/>
      <c r="T941" t="e">
        <f>VLOOKUP(entradas[[#This Row],[Codigo de producto]],productos[],2,FALSE)</f>
        <v>#N/A</v>
      </c>
      <c r="V941" s="1"/>
    </row>
    <row r="942" spans="8:22" x14ac:dyDescent="0.35">
      <c r="H942" s="1"/>
      <c r="L942" t="e">
        <f>VLOOKUP(salidas[[#This Row],[Codigo de producto]],productos[],2,FALSE)</f>
        <v>#N/A</v>
      </c>
      <c r="N942" s="10">
        <f>+salidas[[#This Row],[Cantidad]]*salidas[[#This Row],[Precio U.]]</f>
        <v>0</v>
      </c>
      <c r="P942" s="1"/>
      <c r="T942" t="e">
        <f>VLOOKUP(entradas[[#This Row],[Codigo de producto]],productos[],2,FALSE)</f>
        <v>#N/A</v>
      </c>
      <c r="V942" s="1"/>
    </row>
    <row r="943" spans="8:22" x14ac:dyDescent="0.35">
      <c r="H943" s="1"/>
      <c r="L943" t="e">
        <f>VLOOKUP(salidas[[#This Row],[Codigo de producto]],productos[],2,FALSE)</f>
        <v>#N/A</v>
      </c>
      <c r="N943" s="10">
        <f>+salidas[[#This Row],[Cantidad]]*salidas[[#This Row],[Precio U.]]</f>
        <v>0</v>
      </c>
      <c r="P943" s="1"/>
      <c r="T943" t="e">
        <f>VLOOKUP(entradas[[#This Row],[Codigo de producto]],productos[],2,FALSE)</f>
        <v>#N/A</v>
      </c>
      <c r="V943" s="1"/>
    </row>
    <row r="944" spans="8:22" x14ac:dyDescent="0.35">
      <c r="H944" s="1"/>
      <c r="L944" t="e">
        <f>VLOOKUP(salidas[[#This Row],[Codigo de producto]],productos[],2,FALSE)</f>
        <v>#N/A</v>
      </c>
      <c r="N944" s="10">
        <f>+salidas[[#This Row],[Cantidad]]*salidas[[#This Row],[Precio U.]]</f>
        <v>0</v>
      </c>
      <c r="P944" s="1"/>
      <c r="T944" t="e">
        <f>VLOOKUP(entradas[[#This Row],[Codigo de producto]],productos[],2,FALSE)</f>
        <v>#N/A</v>
      </c>
      <c r="V944" s="1"/>
    </row>
    <row r="945" spans="8:22" x14ac:dyDescent="0.35">
      <c r="H945" s="1"/>
      <c r="L945" t="e">
        <f>VLOOKUP(salidas[[#This Row],[Codigo de producto]],productos[],2,FALSE)</f>
        <v>#N/A</v>
      </c>
      <c r="N945" s="10">
        <f>+salidas[[#This Row],[Cantidad]]*salidas[[#This Row],[Precio U.]]</f>
        <v>0</v>
      </c>
      <c r="P945" s="1"/>
      <c r="T945" t="e">
        <f>VLOOKUP(entradas[[#This Row],[Codigo de producto]],productos[],2,FALSE)</f>
        <v>#N/A</v>
      </c>
      <c r="V945" s="1"/>
    </row>
    <row r="946" spans="8:22" x14ac:dyDescent="0.35">
      <c r="H946" s="1"/>
      <c r="L946" t="e">
        <f>VLOOKUP(salidas[[#This Row],[Codigo de producto]],productos[],2,FALSE)</f>
        <v>#N/A</v>
      </c>
      <c r="N946" s="10">
        <f>+salidas[[#This Row],[Cantidad]]*salidas[[#This Row],[Precio U.]]</f>
        <v>0</v>
      </c>
      <c r="P946" s="1"/>
      <c r="T946" t="e">
        <f>VLOOKUP(entradas[[#This Row],[Codigo de producto]],productos[],2,FALSE)</f>
        <v>#N/A</v>
      </c>
      <c r="V946" s="1"/>
    </row>
    <row r="947" spans="8:22" x14ac:dyDescent="0.35">
      <c r="H947" s="1"/>
      <c r="L947" t="e">
        <f>VLOOKUP(salidas[[#This Row],[Codigo de producto]],productos[],2,FALSE)</f>
        <v>#N/A</v>
      </c>
      <c r="N947" s="10">
        <f>+salidas[[#This Row],[Cantidad]]*salidas[[#This Row],[Precio U.]]</f>
        <v>0</v>
      </c>
      <c r="P947" s="1"/>
      <c r="T947" t="e">
        <f>VLOOKUP(entradas[[#This Row],[Codigo de producto]],productos[],2,FALSE)</f>
        <v>#N/A</v>
      </c>
      <c r="V947" s="1"/>
    </row>
    <row r="948" spans="8:22" x14ac:dyDescent="0.35">
      <c r="H948" s="1"/>
      <c r="L948" t="e">
        <f>VLOOKUP(salidas[[#This Row],[Codigo de producto]],productos[],2,FALSE)</f>
        <v>#N/A</v>
      </c>
      <c r="N948" s="10">
        <f>+salidas[[#This Row],[Cantidad]]*salidas[[#This Row],[Precio U.]]</f>
        <v>0</v>
      </c>
      <c r="P948" s="1"/>
      <c r="T948" t="e">
        <f>VLOOKUP(entradas[[#This Row],[Codigo de producto]],productos[],2,FALSE)</f>
        <v>#N/A</v>
      </c>
      <c r="V948" s="1"/>
    </row>
    <row r="949" spans="8:22" x14ac:dyDescent="0.35">
      <c r="H949" s="1"/>
      <c r="L949" t="e">
        <f>VLOOKUP(salidas[[#This Row],[Codigo de producto]],productos[],2,FALSE)</f>
        <v>#N/A</v>
      </c>
      <c r="N949" s="10">
        <f>+salidas[[#This Row],[Cantidad]]*salidas[[#This Row],[Precio U.]]</f>
        <v>0</v>
      </c>
      <c r="P949" s="1"/>
      <c r="T949" t="e">
        <f>VLOOKUP(entradas[[#This Row],[Codigo de producto]],productos[],2,FALSE)</f>
        <v>#N/A</v>
      </c>
      <c r="V949" s="1"/>
    </row>
    <row r="950" spans="8:22" x14ac:dyDescent="0.35">
      <c r="H950" s="1"/>
      <c r="L950" t="e">
        <f>VLOOKUP(salidas[[#This Row],[Codigo de producto]],productos[],2,FALSE)</f>
        <v>#N/A</v>
      </c>
      <c r="N950" s="10">
        <f>+salidas[[#This Row],[Cantidad]]*salidas[[#This Row],[Precio U.]]</f>
        <v>0</v>
      </c>
      <c r="P950" s="1"/>
      <c r="T950" t="e">
        <f>VLOOKUP(entradas[[#This Row],[Codigo de producto]],productos[],2,FALSE)</f>
        <v>#N/A</v>
      </c>
      <c r="V950" s="1"/>
    </row>
    <row r="951" spans="8:22" x14ac:dyDescent="0.35">
      <c r="H951" s="1"/>
      <c r="L951" t="e">
        <f>VLOOKUP(salidas[[#This Row],[Codigo de producto]],productos[],2,FALSE)</f>
        <v>#N/A</v>
      </c>
      <c r="N951" s="10">
        <f>+salidas[[#This Row],[Cantidad]]*salidas[[#This Row],[Precio U.]]</f>
        <v>0</v>
      </c>
      <c r="P951" s="1"/>
      <c r="T951" t="e">
        <f>VLOOKUP(entradas[[#This Row],[Codigo de producto]],productos[],2,FALSE)</f>
        <v>#N/A</v>
      </c>
      <c r="V951" s="1"/>
    </row>
    <row r="952" spans="8:22" x14ac:dyDescent="0.35">
      <c r="H952" s="1"/>
      <c r="L952" t="e">
        <f>VLOOKUP(salidas[[#This Row],[Codigo de producto]],productos[],2,FALSE)</f>
        <v>#N/A</v>
      </c>
      <c r="N952" s="10">
        <f>+salidas[[#This Row],[Cantidad]]*salidas[[#This Row],[Precio U.]]</f>
        <v>0</v>
      </c>
      <c r="P952" s="1"/>
      <c r="T952" t="e">
        <f>VLOOKUP(entradas[[#This Row],[Codigo de producto]],productos[],2,FALSE)</f>
        <v>#N/A</v>
      </c>
      <c r="V952" s="1"/>
    </row>
    <row r="953" spans="8:22" x14ac:dyDescent="0.35">
      <c r="H953" s="1"/>
      <c r="L953" t="e">
        <f>VLOOKUP(salidas[[#This Row],[Codigo de producto]],productos[],2,FALSE)</f>
        <v>#N/A</v>
      </c>
      <c r="N953" s="10">
        <f>+salidas[[#This Row],[Cantidad]]*salidas[[#This Row],[Precio U.]]</f>
        <v>0</v>
      </c>
      <c r="P953" s="1"/>
      <c r="T953" t="e">
        <f>VLOOKUP(entradas[[#This Row],[Codigo de producto]],productos[],2,FALSE)</f>
        <v>#N/A</v>
      </c>
      <c r="V953" s="1"/>
    </row>
    <row r="954" spans="8:22" x14ac:dyDescent="0.35">
      <c r="H954" s="1"/>
      <c r="L954" t="e">
        <f>VLOOKUP(salidas[[#This Row],[Codigo de producto]],productos[],2,FALSE)</f>
        <v>#N/A</v>
      </c>
      <c r="N954" s="10">
        <f>+salidas[[#This Row],[Cantidad]]*salidas[[#This Row],[Precio U.]]</f>
        <v>0</v>
      </c>
      <c r="P954" s="1"/>
      <c r="T954" t="e">
        <f>VLOOKUP(entradas[[#This Row],[Codigo de producto]],productos[],2,FALSE)</f>
        <v>#N/A</v>
      </c>
      <c r="V954" s="1"/>
    </row>
    <row r="955" spans="8:22" x14ac:dyDescent="0.35">
      <c r="H955" s="1"/>
      <c r="L955" t="e">
        <f>VLOOKUP(salidas[[#This Row],[Codigo de producto]],productos[],2,FALSE)</f>
        <v>#N/A</v>
      </c>
      <c r="N955" s="10">
        <f>+salidas[[#This Row],[Cantidad]]*salidas[[#This Row],[Precio U.]]</f>
        <v>0</v>
      </c>
      <c r="P955" s="1"/>
      <c r="T955" t="e">
        <f>VLOOKUP(entradas[[#This Row],[Codigo de producto]],productos[],2,FALSE)</f>
        <v>#N/A</v>
      </c>
      <c r="V955" s="1"/>
    </row>
    <row r="956" spans="8:22" x14ac:dyDescent="0.35">
      <c r="H956" s="1"/>
      <c r="L956" t="e">
        <f>VLOOKUP(salidas[[#This Row],[Codigo de producto]],productos[],2,FALSE)</f>
        <v>#N/A</v>
      </c>
      <c r="N956" s="10">
        <f>+salidas[[#This Row],[Cantidad]]*salidas[[#This Row],[Precio U.]]</f>
        <v>0</v>
      </c>
      <c r="P956" s="1"/>
      <c r="T956" t="e">
        <f>VLOOKUP(entradas[[#This Row],[Codigo de producto]],productos[],2,FALSE)</f>
        <v>#N/A</v>
      </c>
      <c r="V956" s="1"/>
    </row>
    <row r="957" spans="8:22" x14ac:dyDescent="0.35">
      <c r="H957" s="1"/>
      <c r="L957" t="e">
        <f>VLOOKUP(salidas[[#This Row],[Codigo de producto]],productos[],2,FALSE)</f>
        <v>#N/A</v>
      </c>
      <c r="N957" s="10">
        <f>+salidas[[#This Row],[Cantidad]]*salidas[[#This Row],[Precio U.]]</f>
        <v>0</v>
      </c>
      <c r="P957" s="1"/>
      <c r="T957" t="e">
        <f>VLOOKUP(entradas[[#This Row],[Codigo de producto]],productos[],2,FALSE)</f>
        <v>#N/A</v>
      </c>
      <c r="V957" s="1"/>
    </row>
    <row r="958" spans="8:22" x14ac:dyDescent="0.35">
      <c r="H958" s="1"/>
      <c r="L958" t="e">
        <f>VLOOKUP(salidas[[#This Row],[Codigo de producto]],productos[],2,FALSE)</f>
        <v>#N/A</v>
      </c>
      <c r="N958" s="10">
        <f>+salidas[[#This Row],[Cantidad]]*salidas[[#This Row],[Precio U.]]</f>
        <v>0</v>
      </c>
      <c r="P958" s="1"/>
      <c r="T958" t="e">
        <f>VLOOKUP(entradas[[#This Row],[Codigo de producto]],productos[],2,FALSE)</f>
        <v>#N/A</v>
      </c>
      <c r="V958" s="1"/>
    </row>
    <row r="959" spans="8:22" x14ac:dyDescent="0.35">
      <c r="H959" s="1"/>
      <c r="L959" t="e">
        <f>VLOOKUP(salidas[[#This Row],[Codigo de producto]],productos[],2,FALSE)</f>
        <v>#N/A</v>
      </c>
      <c r="N959" s="10">
        <f>+salidas[[#This Row],[Cantidad]]*salidas[[#This Row],[Precio U.]]</f>
        <v>0</v>
      </c>
      <c r="P959" s="1"/>
      <c r="T959" t="e">
        <f>VLOOKUP(entradas[[#This Row],[Codigo de producto]],productos[],2,FALSE)</f>
        <v>#N/A</v>
      </c>
      <c r="V959" s="1"/>
    </row>
    <row r="960" spans="8:22" x14ac:dyDescent="0.35">
      <c r="H960" s="1"/>
      <c r="L960" t="e">
        <f>VLOOKUP(salidas[[#This Row],[Codigo de producto]],productos[],2,FALSE)</f>
        <v>#N/A</v>
      </c>
      <c r="N960" s="10">
        <f>+salidas[[#This Row],[Cantidad]]*salidas[[#This Row],[Precio U.]]</f>
        <v>0</v>
      </c>
      <c r="P960" s="1"/>
      <c r="T960" t="e">
        <f>VLOOKUP(entradas[[#This Row],[Codigo de producto]],productos[],2,FALSE)</f>
        <v>#N/A</v>
      </c>
      <c r="V960" s="1"/>
    </row>
    <row r="961" spans="8:22" x14ac:dyDescent="0.35">
      <c r="H961" s="1"/>
      <c r="L961" t="e">
        <f>VLOOKUP(salidas[[#This Row],[Codigo de producto]],productos[],2,FALSE)</f>
        <v>#N/A</v>
      </c>
      <c r="N961" s="10">
        <f>+salidas[[#This Row],[Cantidad]]*salidas[[#This Row],[Precio U.]]</f>
        <v>0</v>
      </c>
      <c r="P961" s="1"/>
      <c r="T961" t="e">
        <f>VLOOKUP(entradas[[#This Row],[Codigo de producto]],productos[],2,FALSE)</f>
        <v>#N/A</v>
      </c>
      <c r="V961" s="1"/>
    </row>
    <row r="962" spans="8:22" x14ac:dyDescent="0.35">
      <c r="H962" s="1"/>
      <c r="L962" t="e">
        <f>VLOOKUP(salidas[[#This Row],[Codigo de producto]],productos[],2,FALSE)</f>
        <v>#N/A</v>
      </c>
      <c r="N962" s="10">
        <f>+salidas[[#This Row],[Cantidad]]*salidas[[#This Row],[Precio U.]]</f>
        <v>0</v>
      </c>
      <c r="P962" s="1"/>
      <c r="T962" t="e">
        <f>VLOOKUP(entradas[[#This Row],[Codigo de producto]],productos[],2,FALSE)</f>
        <v>#N/A</v>
      </c>
      <c r="V962" s="1"/>
    </row>
    <row r="963" spans="8:22" x14ac:dyDescent="0.35">
      <c r="H963" s="1"/>
      <c r="L963" t="e">
        <f>VLOOKUP(salidas[[#This Row],[Codigo de producto]],productos[],2,FALSE)</f>
        <v>#N/A</v>
      </c>
      <c r="N963" s="10">
        <f>+salidas[[#This Row],[Cantidad]]*salidas[[#This Row],[Precio U.]]</f>
        <v>0</v>
      </c>
      <c r="P963" s="1"/>
      <c r="T963" t="e">
        <f>VLOOKUP(entradas[[#This Row],[Codigo de producto]],productos[],2,FALSE)</f>
        <v>#N/A</v>
      </c>
      <c r="V963" s="1"/>
    </row>
    <row r="964" spans="8:22" x14ac:dyDescent="0.35">
      <c r="H964" s="1"/>
      <c r="L964" t="e">
        <f>VLOOKUP(salidas[[#This Row],[Codigo de producto]],productos[],2,FALSE)</f>
        <v>#N/A</v>
      </c>
      <c r="N964" s="10">
        <f>+salidas[[#This Row],[Cantidad]]*salidas[[#This Row],[Precio U.]]</f>
        <v>0</v>
      </c>
      <c r="P964" s="1"/>
      <c r="T964" t="e">
        <f>VLOOKUP(entradas[[#This Row],[Codigo de producto]],productos[],2,FALSE)</f>
        <v>#N/A</v>
      </c>
      <c r="V964" s="1"/>
    </row>
    <row r="965" spans="8:22" x14ac:dyDescent="0.35">
      <c r="H965" s="1"/>
      <c r="L965" t="e">
        <f>VLOOKUP(salidas[[#This Row],[Codigo de producto]],productos[],2,FALSE)</f>
        <v>#N/A</v>
      </c>
      <c r="N965" s="10">
        <f>+salidas[[#This Row],[Cantidad]]*salidas[[#This Row],[Precio U.]]</f>
        <v>0</v>
      </c>
      <c r="P965" s="1"/>
      <c r="T965" t="e">
        <f>VLOOKUP(entradas[[#This Row],[Codigo de producto]],productos[],2,FALSE)</f>
        <v>#N/A</v>
      </c>
      <c r="V965" s="1"/>
    </row>
    <row r="966" spans="8:22" x14ac:dyDescent="0.35">
      <c r="H966" s="1"/>
      <c r="L966" t="e">
        <f>VLOOKUP(salidas[[#This Row],[Codigo de producto]],productos[],2,FALSE)</f>
        <v>#N/A</v>
      </c>
      <c r="N966" s="10">
        <f>+salidas[[#This Row],[Cantidad]]*salidas[[#This Row],[Precio U.]]</f>
        <v>0</v>
      </c>
      <c r="P966" s="1"/>
      <c r="T966" t="e">
        <f>VLOOKUP(entradas[[#This Row],[Codigo de producto]],productos[],2,FALSE)</f>
        <v>#N/A</v>
      </c>
      <c r="V966" s="1"/>
    </row>
    <row r="967" spans="8:22" x14ac:dyDescent="0.35">
      <c r="H967" s="1"/>
      <c r="L967" t="e">
        <f>VLOOKUP(salidas[[#This Row],[Codigo de producto]],productos[],2,FALSE)</f>
        <v>#N/A</v>
      </c>
      <c r="N967" s="10">
        <f>+salidas[[#This Row],[Cantidad]]*salidas[[#This Row],[Precio U.]]</f>
        <v>0</v>
      </c>
      <c r="P967" s="1"/>
      <c r="T967" t="e">
        <f>VLOOKUP(entradas[[#This Row],[Codigo de producto]],productos[],2,FALSE)</f>
        <v>#N/A</v>
      </c>
      <c r="V967" s="1"/>
    </row>
    <row r="968" spans="8:22" x14ac:dyDescent="0.35">
      <c r="H968" s="1"/>
      <c r="L968" t="e">
        <f>VLOOKUP(salidas[[#This Row],[Codigo de producto]],productos[],2,FALSE)</f>
        <v>#N/A</v>
      </c>
      <c r="N968" s="10">
        <f>+salidas[[#This Row],[Cantidad]]*salidas[[#This Row],[Precio U.]]</f>
        <v>0</v>
      </c>
      <c r="P968" s="1"/>
      <c r="T968" t="e">
        <f>VLOOKUP(entradas[[#This Row],[Codigo de producto]],productos[],2,FALSE)</f>
        <v>#N/A</v>
      </c>
      <c r="V968" s="1"/>
    </row>
    <row r="969" spans="8:22" x14ac:dyDescent="0.35">
      <c r="H969" s="1"/>
      <c r="L969" t="e">
        <f>VLOOKUP(salidas[[#This Row],[Codigo de producto]],productos[],2,FALSE)</f>
        <v>#N/A</v>
      </c>
      <c r="N969" s="10">
        <f>+salidas[[#This Row],[Cantidad]]*salidas[[#This Row],[Precio U.]]</f>
        <v>0</v>
      </c>
      <c r="P969" s="1"/>
      <c r="T969" t="e">
        <f>VLOOKUP(entradas[[#This Row],[Codigo de producto]],productos[],2,FALSE)</f>
        <v>#N/A</v>
      </c>
      <c r="V969" s="1"/>
    </row>
    <row r="970" spans="8:22" x14ac:dyDescent="0.35">
      <c r="H970" s="1"/>
      <c r="L970" t="e">
        <f>VLOOKUP(salidas[[#This Row],[Codigo de producto]],productos[],2,FALSE)</f>
        <v>#N/A</v>
      </c>
      <c r="N970" s="10">
        <f>+salidas[[#This Row],[Cantidad]]*salidas[[#This Row],[Precio U.]]</f>
        <v>0</v>
      </c>
      <c r="P970" s="1"/>
      <c r="T970" t="e">
        <f>VLOOKUP(entradas[[#This Row],[Codigo de producto]],productos[],2,FALSE)</f>
        <v>#N/A</v>
      </c>
      <c r="V970" s="1"/>
    </row>
    <row r="971" spans="8:22" x14ac:dyDescent="0.35">
      <c r="H971" s="1"/>
      <c r="L971" t="e">
        <f>VLOOKUP(salidas[[#This Row],[Codigo de producto]],productos[],2,FALSE)</f>
        <v>#N/A</v>
      </c>
      <c r="N971" s="10">
        <f>+salidas[[#This Row],[Cantidad]]*salidas[[#This Row],[Precio U.]]</f>
        <v>0</v>
      </c>
      <c r="P971" s="1"/>
      <c r="T971" t="e">
        <f>VLOOKUP(entradas[[#This Row],[Codigo de producto]],productos[],2,FALSE)</f>
        <v>#N/A</v>
      </c>
      <c r="V971" s="1"/>
    </row>
    <row r="972" spans="8:22" x14ac:dyDescent="0.35">
      <c r="H972" s="1"/>
      <c r="L972" t="e">
        <f>VLOOKUP(salidas[[#This Row],[Codigo de producto]],productos[],2,FALSE)</f>
        <v>#N/A</v>
      </c>
      <c r="N972" s="10">
        <f>+salidas[[#This Row],[Cantidad]]*salidas[[#This Row],[Precio U.]]</f>
        <v>0</v>
      </c>
      <c r="P972" s="1"/>
      <c r="T972" t="e">
        <f>VLOOKUP(entradas[[#This Row],[Codigo de producto]],productos[],2,FALSE)</f>
        <v>#N/A</v>
      </c>
      <c r="V972" s="1"/>
    </row>
    <row r="973" spans="8:22" x14ac:dyDescent="0.35">
      <c r="H973" s="1"/>
      <c r="L973" t="e">
        <f>VLOOKUP(salidas[[#This Row],[Codigo de producto]],productos[],2,FALSE)</f>
        <v>#N/A</v>
      </c>
      <c r="N973" s="10">
        <f>+salidas[[#This Row],[Cantidad]]*salidas[[#This Row],[Precio U.]]</f>
        <v>0</v>
      </c>
      <c r="P973" s="1"/>
      <c r="T973" t="e">
        <f>VLOOKUP(entradas[[#This Row],[Codigo de producto]],productos[],2,FALSE)</f>
        <v>#N/A</v>
      </c>
      <c r="V973" s="1"/>
    </row>
    <row r="974" spans="8:22" x14ac:dyDescent="0.35">
      <c r="H974" s="1"/>
      <c r="L974" t="e">
        <f>VLOOKUP(salidas[[#This Row],[Codigo de producto]],productos[],2,FALSE)</f>
        <v>#N/A</v>
      </c>
      <c r="N974" s="10">
        <f>+salidas[[#This Row],[Cantidad]]*salidas[[#This Row],[Precio U.]]</f>
        <v>0</v>
      </c>
      <c r="P974" s="1"/>
      <c r="T974" t="e">
        <f>VLOOKUP(entradas[[#This Row],[Codigo de producto]],productos[],2,FALSE)</f>
        <v>#N/A</v>
      </c>
      <c r="V974" s="1"/>
    </row>
    <row r="975" spans="8:22" x14ac:dyDescent="0.35">
      <c r="H975" s="1"/>
      <c r="L975" t="e">
        <f>VLOOKUP(salidas[[#This Row],[Codigo de producto]],productos[],2,FALSE)</f>
        <v>#N/A</v>
      </c>
      <c r="N975" s="10">
        <f>+salidas[[#This Row],[Cantidad]]*salidas[[#This Row],[Precio U.]]</f>
        <v>0</v>
      </c>
      <c r="P975" s="1"/>
      <c r="T975" t="e">
        <f>VLOOKUP(entradas[[#This Row],[Codigo de producto]],productos[],2,FALSE)</f>
        <v>#N/A</v>
      </c>
      <c r="V975" s="1"/>
    </row>
    <row r="976" spans="8:22" x14ac:dyDescent="0.35">
      <c r="H976" s="1"/>
      <c r="L976" t="e">
        <f>VLOOKUP(salidas[[#This Row],[Codigo de producto]],productos[],2,FALSE)</f>
        <v>#N/A</v>
      </c>
      <c r="N976" s="10">
        <f>+salidas[[#This Row],[Cantidad]]*salidas[[#This Row],[Precio U.]]</f>
        <v>0</v>
      </c>
      <c r="P976" s="1"/>
      <c r="T976" t="e">
        <f>VLOOKUP(entradas[[#This Row],[Codigo de producto]],productos[],2,FALSE)</f>
        <v>#N/A</v>
      </c>
      <c r="V976" s="1"/>
    </row>
    <row r="977" spans="8:22" x14ac:dyDescent="0.35">
      <c r="H977" s="1"/>
      <c r="L977" t="e">
        <f>VLOOKUP(salidas[[#This Row],[Codigo de producto]],productos[],2,FALSE)</f>
        <v>#N/A</v>
      </c>
      <c r="N977" s="10">
        <f>+salidas[[#This Row],[Cantidad]]*salidas[[#This Row],[Precio U.]]</f>
        <v>0</v>
      </c>
      <c r="P977" s="1"/>
      <c r="T977" t="e">
        <f>VLOOKUP(entradas[[#This Row],[Codigo de producto]],productos[],2,FALSE)</f>
        <v>#N/A</v>
      </c>
      <c r="V977" s="1"/>
    </row>
    <row r="978" spans="8:22" x14ac:dyDescent="0.35">
      <c r="H978" s="1"/>
      <c r="L978" t="e">
        <f>VLOOKUP(salidas[[#This Row],[Codigo de producto]],productos[],2,FALSE)</f>
        <v>#N/A</v>
      </c>
      <c r="N978" s="10">
        <f>+salidas[[#This Row],[Cantidad]]*salidas[[#This Row],[Precio U.]]</f>
        <v>0</v>
      </c>
      <c r="P978" s="1"/>
      <c r="T978" t="e">
        <f>VLOOKUP(entradas[[#This Row],[Codigo de producto]],productos[],2,FALSE)</f>
        <v>#N/A</v>
      </c>
      <c r="V978" s="1"/>
    </row>
    <row r="979" spans="8:22" x14ac:dyDescent="0.35">
      <c r="H979" s="1"/>
      <c r="L979" t="e">
        <f>VLOOKUP(salidas[[#This Row],[Codigo de producto]],productos[],2,FALSE)</f>
        <v>#N/A</v>
      </c>
      <c r="N979" s="10">
        <f>+salidas[[#This Row],[Cantidad]]*salidas[[#This Row],[Precio U.]]</f>
        <v>0</v>
      </c>
      <c r="P979" s="1"/>
      <c r="T979" t="e">
        <f>VLOOKUP(entradas[[#This Row],[Codigo de producto]],productos[],2,FALSE)</f>
        <v>#N/A</v>
      </c>
      <c r="V979" s="1"/>
    </row>
    <row r="980" spans="8:22" x14ac:dyDescent="0.35">
      <c r="H980" s="1"/>
      <c r="L980" t="e">
        <f>VLOOKUP(salidas[[#This Row],[Codigo de producto]],productos[],2,FALSE)</f>
        <v>#N/A</v>
      </c>
      <c r="N980" s="10">
        <f>+salidas[[#This Row],[Cantidad]]*salidas[[#This Row],[Precio U.]]</f>
        <v>0</v>
      </c>
      <c r="P980" s="1"/>
      <c r="T980" t="e">
        <f>VLOOKUP(entradas[[#This Row],[Codigo de producto]],productos[],2,FALSE)</f>
        <v>#N/A</v>
      </c>
      <c r="V980" s="1"/>
    </row>
    <row r="981" spans="8:22" x14ac:dyDescent="0.35">
      <c r="H981" s="1"/>
      <c r="L981" t="e">
        <f>VLOOKUP(salidas[[#This Row],[Codigo de producto]],productos[],2,FALSE)</f>
        <v>#N/A</v>
      </c>
      <c r="N981" s="10">
        <f>+salidas[[#This Row],[Cantidad]]*salidas[[#This Row],[Precio U.]]</f>
        <v>0</v>
      </c>
      <c r="P981" s="1"/>
      <c r="T981" t="e">
        <f>VLOOKUP(entradas[[#This Row],[Codigo de producto]],productos[],2,FALSE)</f>
        <v>#N/A</v>
      </c>
      <c r="V981" s="1"/>
    </row>
    <row r="982" spans="8:22" x14ac:dyDescent="0.35">
      <c r="H982" s="1"/>
      <c r="L982" t="e">
        <f>VLOOKUP(salidas[[#This Row],[Codigo de producto]],productos[],2,FALSE)</f>
        <v>#N/A</v>
      </c>
      <c r="N982" s="10">
        <f>+salidas[[#This Row],[Cantidad]]*salidas[[#This Row],[Precio U.]]</f>
        <v>0</v>
      </c>
      <c r="P982" s="1"/>
      <c r="T982" t="e">
        <f>VLOOKUP(entradas[[#This Row],[Codigo de producto]],productos[],2,FALSE)</f>
        <v>#N/A</v>
      </c>
      <c r="V982" s="1"/>
    </row>
    <row r="983" spans="8:22" x14ac:dyDescent="0.35">
      <c r="H983" s="1"/>
      <c r="L983" t="e">
        <f>VLOOKUP(salidas[[#This Row],[Codigo de producto]],productos[],2,FALSE)</f>
        <v>#N/A</v>
      </c>
      <c r="N983" s="10">
        <f>+salidas[[#This Row],[Cantidad]]*salidas[[#This Row],[Precio U.]]</f>
        <v>0</v>
      </c>
      <c r="P983" s="1"/>
      <c r="T983" t="e">
        <f>VLOOKUP(entradas[[#This Row],[Codigo de producto]],productos[],2,FALSE)</f>
        <v>#N/A</v>
      </c>
      <c r="V983" s="1"/>
    </row>
    <row r="984" spans="8:22" x14ac:dyDescent="0.35">
      <c r="H984" s="1"/>
      <c r="L984" t="e">
        <f>VLOOKUP(salidas[[#This Row],[Codigo de producto]],productos[],2,FALSE)</f>
        <v>#N/A</v>
      </c>
      <c r="N984" s="10">
        <f>+salidas[[#This Row],[Cantidad]]*salidas[[#This Row],[Precio U.]]</f>
        <v>0</v>
      </c>
      <c r="P984" s="1"/>
      <c r="T984" t="e">
        <f>VLOOKUP(entradas[[#This Row],[Codigo de producto]],productos[],2,FALSE)</f>
        <v>#N/A</v>
      </c>
      <c r="V984" s="1"/>
    </row>
    <row r="985" spans="8:22" x14ac:dyDescent="0.35">
      <c r="H985" s="1"/>
      <c r="L985" t="e">
        <f>VLOOKUP(salidas[[#This Row],[Codigo de producto]],productos[],2,FALSE)</f>
        <v>#N/A</v>
      </c>
      <c r="N985" s="10">
        <f>+salidas[[#This Row],[Cantidad]]*salidas[[#This Row],[Precio U.]]</f>
        <v>0</v>
      </c>
      <c r="P985" s="1"/>
      <c r="T985" t="e">
        <f>VLOOKUP(entradas[[#This Row],[Codigo de producto]],productos[],2,FALSE)</f>
        <v>#N/A</v>
      </c>
      <c r="V985" s="1"/>
    </row>
    <row r="986" spans="8:22" x14ac:dyDescent="0.35">
      <c r="H986" s="1"/>
      <c r="L986" t="e">
        <f>VLOOKUP(salidas[[#This Row],[Codigo de producto]],productos[],2,FALSE)</f>
        <v>#N/A</v>
      </c>
      <c r="N986" s="10">
        <f>+salidas[[#This Row],[Cantidad]]*salidas[[#This Row],[Precio U.]]</f>
        <v>0</v>
      </c>
      <c r="P986" s="1"/>
      <c r="T986" t="e">
        <f>VLOOKUP(entradas[[#This Row],[Codigo de producto]],productos[],2,FALSE)</f>
        <v>#N/A</v>
      </c>
      <c r="V986" s="1"/>
    </row>
    <row r="987" spans="8:22" x14ac:dyDescent="0.35">
      <c r="H987" s="1"/>
      <c r="L987" t="e">
        <f>VLOOKUP(salidas[[#This Row],[Codigo de producto]],productos[],2,FALSE)</f>
        <v>#N/A</v>
      </c>
      <c r="N987" s="10">
        <f>+salidas[[#This Row],[Cantidad]]*salidas[[#This Row],[Precio U.]]</f>
        <v>0</v>
      </c>
      <c r="P987" s="1"/>
      <c r="T987" t="e">
        <f>VLOOKUP(entradas[[#This Row],[Codigo de producto]],productos[],2,FALSE)</f>
        <v>#N/A</v>
      </c>
      <c r="V987" s="1"/>
    </row>
    <row r="988" spans="8:22" x14ac:dyDescent="0.35">
      <c r="H988" s="1"/>
      <c r="L988" t="e">
        <f>VLOOKUP(salidas[[#This Row],[Codigo de producto]],productos[],2,FALSE)</f>
        <v>#N/A</v>
      </c>
      <c r="N988" s="10">
        <f>+salidas[[#This Row],[Cantidad]]*salidas[[#This Row],[Precio U.]]</f>
        <v>0</v>
      </c>
      <c r="P988" s="1"/>
      <c r="T988" t="e">
        <f>VLOOKUP(entradas[[#This Row],[Codigo de producto]],productos[],2,FALSE)</f>
        <v>#N/A</v>
      </c>
      <c r="V988" s="1"/>
    </row>
    <row r="989" spans="8:22" x14ac:dyDescent="0.35">
      <c r="H989" s="1"/>
      <c r="L989" t="e">
        <f>VLOOKUP(salidas[[#This Row],[Codigo de producto]],productos[],2,FALSE)</f>
        <v>#N/A</v>
      </c>
      <c r="N989" s="10">
        <f>+salidas[[#This Row],[Cantidad]]*salidas[[#This Row],[Precio U.]]</f>
        <v>0</v>
      </c>
      <c r="P989" s="1"/>
      <c r="T989" t="e">
        <f>VLOOKUP(entradas[[#This Row],[Codigo de producto]],productos[],2,FALSE)</f>
        <v>#N/A</v>
      </c>
      <c r="V989" s="1"/>
    </row>
    <row r="990" spans="8:22" x14ac:dyDescent="0.35">
      <c r="H990" s="1"/>
      <c r="L990" t="e">
        <f>VLOOKUP(salidas[[#This Row],[Codigo de producto]],productos[],2,FALSE)</f>
        <v>#N/A</v>
      </c>
      <c r="N990" s="10">
        <f>+salidas[[#This Row],[Cantidad]]*salidas[[#This Row],[Precio U.]]</f>
        <v>0</v>
      </c>
      <c r="P990" s="1"/>
      <c r="T990" t="e">
        <f>VLOOKUP(entradas[[#This Row],[Codigo de producto]],productos[],2,FALSE)</f>
        <v>#N/A</v>
      </c>
      <c r="V990" s="1"/>
    </row>
    <row r="991" spans="8:22" x14ac:dyDescent="0.35">
      <c r="H991" s="1"/>
      <c r="L991" t="e">
        <f>VLOOKUP(salidas[[#This Row],[Codigo de producto]],productos[],2,FALSE)</f>
        <v>#N/A</v>
      </c>
      <c r="N991" s="10">
        <f>+salidas[[#This Row],[Cantidad]]*salidas[[#This Row],[Precio U.]]</f>
        <v>0</v>
      </c>
      <c r="P991" s="1"/>
      <c r="T991" t="e">
        <f>VLOOKUP(entradas[[#This Row],[Codigo de producto]],productos[],2,FALSE)</f>
        <v>#N/A</v>
      </c>
      <c r="V991" s="1"/>
    </row>
    <row r="992" spans="8:22" x14ac:dyDescent="0.35">
      <c r="H992" s="1"/>
      <c r="L992" t="e">
        <f>VLOOKUP(salidas[[#This Row],[Codigo de producto]],productos[],2,FALSE)</f>
        <v>#N/A</v>
      </c>
      <c r="N992" s="10">
        <f>+salidas[[#This Row],[Cantidad]]*salidas[[#This Row],[Precio U.]]</f>
        <v>0</v>
      </c>
      <c r="P992" s="1"/>
      <c r="T992" t="e">
        <f>VLOOKUP(entradas[[#This Row],[Codigo de producto]],productos[],2,FALSE)</f>
        <v>#N/A</v>
      </c>
      <c r="V992" s="1"/>
    </row>
    <row r="993" spans="8:22" x14ac:dyDescent="0.35">
      <c r="H993" s="1"/>
      <c r="L993" t="e">
        <f>VLOOKUP(salidas[[#This Row],[Codigo de producto]],productos[],2,FALSE)</f>
        <v>#N/A</v>
      </c>
      <c r="N993" s="10">
        <f>+salidas[[#This Row],[Cantidad]]*salidas[[#This Row],[Precio U.]]</f>
        <v>0</v>
      </c>
      <c r="P993" s="1"/>
      <c r="T993" t="e">
        <f>VLOOKUP(entradas[[#This Row],[Codigo de producto]],productos[],2,FALSE)</f>
        <v>#N/A</v>
      </c>
      <c r="V993" s="1"/>
    </row>
    <row r="994" spans="8:22" x14ac:dyDescent="0.35">
      <c r="H994" s="1"/>
      <c r="L994" t="e">
        <f>VLOOKUP(salidas[[#This Row],[Codigo de producto]],productos[],2,FALSE)</f>
        <v>#N/A</v>
      </c>
      <c r="N994" s="10">
        <f>+salidas[[#This Row],[Cantidad]]*salidas[[#This Row],[Precio U.]]</f>
        <v>0</v>
      </c>
      <c r="P994" s="1"/>
      <c r="T994" t="e">
        <f>VLOOKUP(entradas[[#This Row],[Codigo de producto]],productos[],2,FALSE)</f>
        <v>#N/A</v>
      </c>
      <c r="V994" s="1"/>
    </row>
    <row r="995" spans="8:22" x14ac:dyDescent="0.35">
      <c r="H995" s="1"/>
      <c r="L995" t="e">
        <f>VLOOKUP(salidas[[#This Row],[Codigo de producto]],productos[],2,FALSE)</f>
        <v>#N/A</v>
      </c>
      <c r="N995" s="10">
        <f>+salidas[[#This Row],[Cantidad]]*salidas[[#This Row],[Precio U.]]</f>
        <v>0</v>
      </c>
      <c r="P995" s="1"/>
      <c r="T995" t="e">
        <f>VLOOKUP(entradas[[#This Row],[Codigo de producto]],productos[],2,FALSE)</f>
        <v>#N/A</v>
      </c>
      <c r="V995" s="1"/>
    </row>
    <row r="996" spans="8:22" x14ac:dyDescent="0.35">
      <c r="H996" s="1"/>
      <c r="L996" t="e">
        <f>VLOOKUP(salidas[[#This Row],[Codigo de producto]],productos[],2,FALSE)</f>
        <v>#N/A</v>
      </c>
      <c r="N996" s="10">
        <f>+salidas[[#This Row],[Cantidad]]*salidas[[#This Row],[Precio U.]]</f>
        <v>0</v>
      </c>
      <c r="P996" s="1"/>
      <c r="T996" t="e">
        <f>VLOOKUP(entradas[[#This Row],[Codigo de producto]],productos[],2,FALSE)</f>
        <v>#N/A</v>
      </c>
      <c r="V996" s="1"/>
    </row>
    <row r="997" spans="8:22" x14ac:dyDescent="0.35">
      <c r="H997" s="1"/>
      <c r="L997" t="e">
        <f>VLOOKUP(salidas[[#This Row],[Codigo de producto]],productos[],2,FALSE)</f>
        <v>#N/A</v>
      </c>
      <c r="N997" s="10">
        <f>+salidas[[#This Row],[Cantidad]]*salidas[[#This Row],[Precio U.]]</f>
        <v>0</v>
      </c>
      <c r="P997" s="1"/>
      <c r="T997" t="e">
        <f>VLOOKUP(entradas[[#This Row],[Codigo de producto]],productos[],2,FALSE)</f>
        <v>#N/A</v>
      </c>
      <c r="V997" s="1"/>
    </row>
    <row r="998" spans="8:22" x14ac:dyDescent="0.35">
      <c r="H998" s="1"/>
      <c r="L998" t="e">
        <f>VLOOKUP(salidas[[#This Row],[Codigo de producto]],productos[],2,FALSE)</f>
        <v>#N/A</v>
      </c>
      <c r="N998" s="10">
        <f>+salidas[[#This Row],[Cantidad]]*salidas[[#This Row],[Precio U.]]</f>
        <v>0</v>
      </c>
      <c r="P998" s="1"/>
      <c r="T998" t="e">
        <f>VLOOKUP(entradas[[#This Row],[Codigo de producto]],productos[],2,FALSE)</f>
        <v>#N/A</v>
      </c>
      <c r="V998" s="1"/>
    </row>
    <row r="999" spans="8:22" x14ac:dyDescent="0.35">
      <c r="H999" s="1"/>
      <c r="L999" t="e">
        <f>VLOOKUP(salidas[[#This Row],[Codigo de producto]],productos[],2,FALSE)</f>
        <v>#N/A</v>
      </c>
      <c r="N999" s="10">
        <f>+salidas[[#This Row],[Cantidad]]*salidas[[#This Row],[Precio U.]]</f>
        <v>0</v>
      </c>
      <c r="P999" s="1"/>
      <c r="T999" t="e">
        <f>VLOOKUP(entradas[[#This Row],[Codigo de producto]],productos[],2,FALSE)</f>
        <v>#N/A</v>
      </c>
      <c r="V999" s="1"/>
    </row>
    <row r="1000" spans="8:22" x14ac:dyDescent="0.35">
      <c r="H1000" s="1"/>
      <c r="L1000" t="e">
        <f>VLOOKUP(salidas[[#This Row],[Codigo de producto]],productos[],2,FALSE)</f>
        <v>#N/A</v>
      </c>
      <c r="N1000" s="10">
        <f>+salidas[[#This Row],[Cantidad]]*salidas[[#This Row],[Precio U.]]</f>
        <v>0</v>
      </c>
      <c r="P1000" s="1"/>
      <c r="T1000" t="e">
        <f>VLOOKUP(entradas[[#This Row],[Codigo de producto]],productos[],2,FALSE)</f>
        <v>#N/A</v>
      </c>
      <c r="V1000" s="1"/>
    </row>
  </sheetData>
  <mergeCells count="3">
    <mergeCell ref="I1:O1"/>
    <mergeCell ref="Q1:U1"/>
    <mergeCell ref="A1:G1"/>
  </mergeCells>
  <phoneticPr fontId="1" type="noConversion"/>
  <conditionalFormatting sqref="M1:N1048576">
    <cfRule type="cellIs" dxfId="1" priority="1" operator="lessThan">
      <formula>0</formula>
    </cfRule>
  </conditionalFormatting>
  <pageMargins left="0.7" right="0.7" top="0.75" bottom="0.75" header="0.3" footer="0.3"/>
  <pageSetup orientation="portrait" verticalDpi="0" r:id="rId1"/>
  <ignoredErrors>
    <ignoredError sqref="A3:A91" numberStoredAsText="1"/>
  </ignoredErrors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8525-EC1D-4CF9-954E-BF6139374E9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F16" sqref="F16"/>
    </sheetView>
  </sheetViews>
  <sheetFormatPr baseColWidth="10" defaultRowHeight="14.5" x14ac:dyDescent="0.35"/>
  <cols>
    <col min="1" max="1" width="2" customWidth="1"/>
    <col min="2" max="2" width="6.54296875" style="24" customWidth="1"/>
    <col min="3" max="3" width="10.54296875" customWidth="1"/>
    <col min="4" max="4" width="8.54296875" customWidth="1"/>
    <col min="5" max="5" width="14.81640625" customWidth="1"/>
    <col min="6" max="6" width="26.26953125" customWidth="1"/>
    <col min="7" max="7" width="11.1796875" customWidth="1"/>
    <col min="8" max="8" width="10.7265625" style="10" customWidth="1"/>
    <col min="9" max="9" width="11.1796875" customWidth="1"/>
    <col min="10" max="10" width="10.7265625" style="10" customWidth="1"/>
    <col min="11" max="11" width="11.1796875" customWidth="1"/>
    <col min="12" max="12" width="10.7265625" style="10" customWidth="1"/>
    <col min="13" max="14" width="11" customWidth="1"/>
    <col min="15" max="15" width="8.7265625" style="29" customWidth="1"/>
    <col min="16" max="16" width="10.7265625" style="31" customWidth="1"/>
    <col min="17" max="17" width="7.26953125" customWidth="1"/>
    <col min="18" max="18" width="2.7265625" customWidth="1"/>
  </cols>
  <sheetData>
    <row r="1" spans="1:20" x14ac:dyDescent="0.35">
      <c r="A1" s="1"/>
      <c r="B1" s="39" t="s">
        <v>19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1"/>
    </row>
    <row r="2" spans="1:20" ht="30.75" customHeight="1" x14ac:dyDescent="0.35">
      <c r="A2" s="1"/>
      <c r="B2" s="14" t="s">
        <v>6</v>
      </c>
      <c r="C2" s="14" t="s">
        <v>7</v>
      </c>
      <c r="D2" s="20" t="s">
        <v>1</v>
      </c>
      <c r="E2" s="20" t="s">
        <v>8</v>
      </c>
      <c r="F2" s="20" t="s">
        <v>20</v>
      </c>
      <c r="G2" s="14" t="s">
        <v>27</v>
      </c>
      <c r="H2" s="15" t="s">
        <v>22</v>
      </c>
      <c r="I2" s="14" t="s">
        <v>25</v>
      </c>
      <c r="J2" s="15" t="s">
        <v>23</v>
      </c>
      <c r="K2" s="14" t="s">
        <v>26</v>
      </c>
      <c r="L2" s="15" t="s">
        <v>24</v>
      </c>
      <c r="M2" s="14" t="s">
        <v>29</v>
      </c>
      <c r="N2" s="20" t="s">
        <v>30</v>
      </c>
      <c r="O2" s="27" t="s">
        <v>33</v>
      </c>
      <c r="P2" s="15" t="s">
        <v>10</v>
      </c>
      <c r="Q2" s="14" t="s">
        <v>9</v>
      </c>
      <c r="R2" s="1"/>
    </row>
    <row r="3" spans="1:20" x14ac:dyDescent="0.35">
      <c r="A3" s="1"/>
      <c r="B3" s="23">
        <v>170</v>
      </c>
      <c r="C3" s="8">
        <v>44197</v>
      </c>
      <c r="D3" s="21" t="s">
        <v>12</v>
      </c>
      <c r="E3" s="21" t="e">
        <f>VLOOKUP(salidas2[[#This Row],[Codigo de producto]],productos[],2,FALSE)</f>
        <v>#N/A</v>
      </c>
      <c r="F3" s="21" t="s">
        <v>28</v>
      </c>
      <c r="G3" s="8">
        <v>44197</v>
      </c>
      <c r="H3" s="9">
        <v>190</v>
      </c>
      <c r="I3" s="2"/>
      <c r="J3" s="9"/>
      <c r="K3" s="2"/>
      <c r="L3" s="9"/>
      <c r="M3" s="17">
        <f>+salidas2[[#This Row],[Abono 1]]+salidas2[[#This Row],[Abono 2]]+salidas2[[#This Row],[Abono 3]]</f>
        <v>190</v>
      </c>
      <c r="N3" s="21" t="str">
        <f>IF(P3&lt;=0,"*",IF(salidas2[[#This Row],[Abono total]]=salidas2[[#This Row],[Precio]],"PAGADO",IF(salidas2[[#This Row],[Abono total]]&lt;salidas2[[#This Row],[Precio]],"DEUDA")))</f>
        <v>PAGADO</v>
      </c>
      <c r="O3" s="28">
        <v>190</v>
      </c>
      <c r="P3" s="30">
        <f>+salidas2[[#This Row],[Precio U.]]*salidas2[[#This Row],[Cantidad]]</f>
        <v>190</v>
      </c>
      <c r="Q3" s="2">
        <v>1</v>
      </c>
      <c r="R3" s="1"/>
      <c r="T3">
        <v>170</v>
      </c>
    </row>
    <row r="4" spans="1:20" x14ac:dyDescent="0.35">
      <c r="A4" s="1"/>
      <c r="B4" s="24">
        <v>171</v>
      </c>
      <c r="C4" s="8">
        <v>44409</v>
      </c>
      <c r="D4" t="s">
        <v>13</v>
      </c>
      <c r="E4" t="e">
        <f>VLOOKUP(salidas2[[#This Row],[Codigo de producto]],productos[],2,FALSE)</f>
        <v>#N/A</v>
      </c>
      <c r="F4" t="s">
        <v>31</v>
      </c>
      <c r="G4" s="19">
        <v>44229</v>
      </c>
      <c r="M4" s="18">
        <f>+salidas2[[#This Row],[Abono 1]]+salidas2[[#This Row],[Abono 2]]+salidas2[[#This Row],[Abono 3]]</f>
        <v>0</v>
      </c>
      <c r="N4" t="str">
        <f>IF(P4&lt;=0,"*",IF(salidas2[[#This Row],[Abono total]]=salidas2[[#This Row],[Precio]],"PAGADO",IF(salidas2[[#This Row],[Abono total]]&lt;salidas2[[#This Row],[Precio]],"DEUDA")))</f>
        <v>DEUDA</v>
      </c>
      <c r="O4" s="29">
        <v>4</v>
      </c>
      <c r="P4" s="31">
        <f>+salidas2[[#This Row],[Precio U.]]*salidas2[[#This Row],[Cantidad]]</f>
        <v>200</v>
      </c>
      <c r="Q4">
        <v>50</v>
      </c>
      <c r="R4" s="1"/>
      <c r="T4">
        <v>171</v>
      </c>
    </row>
    <row r="5" spans="1:20" x14ac:dyDescent="0.35">
      <c r="A5" s="1"/>
      <c r="B5" s="24">
        <v>171</v>
      </c>
      <c r="C5" s="8">
        <v>44409</v>
      </c>
      <c r="D5" s="21" t="s">
        <v>14</v>
      </c>
      <c r="E5" t="e">
        <f>VLOOKUP(salidas2[[#This Row],[Codigo de producto]],productos[],2,FALSE)</f>
        <v>#N/A</v>
      </c>
      <c r="F5" t="s">
        <v>31</v>
      </c>
      <c r="G5" s="19">
        <v>44229</v>
      </c>
      <c r="M5" s="18">
        <f>+salidas2[[#This Row],[Abono 1]]+salidas2[[#This Row],[Abono 2]]+salidas2[[#This Row],[Abono 3]]</f>
        <v>0</v>
      </c>
      <c r="N5" t="str">
        <f>IF(P5&lt;=0,"*",IF(salidas2[[#This Row],[Abono total]]=salidas2[[#This Row],[Precio]],"PAGADO",IF(salidas2[[#This Row],[Abono total]]&lt;salidas2[[#This Row],[Precio]],"DEUDA")))</f>
        <v>DEUDA</v>
      </c>
      <c r="O5" s="29">
        <v>60</v>
      </c>
      <c r="P5" s="31">
        <f>+salidas2[[#This Row],[Precio U.]]*salidas2[[#This Row],[Cantidad]]</f>
        <v>600</v>
      </c>
      <c r="Q5">
        <v>10</v>
      </c>
      <c r="R5" s="1"/>
      <c r="T5">
        <v>172</v>
      </c>
    </row>
    <row r="6" spans="1:20" x14ac:dyDescent="0.35">
      <c r="A6" s="1"/>
      <c r="B6" s="24">
        <v>171</v>
      </c>
      <c r="C6" s="8">
        <v>44409</v>
      </c>
      <c r="D6" t="s">
        <v>15</v>
      </c>
      <c r="E6" t="e">
        <f>VLOOKUP(salidas2[[#This Row],[Codigo de producto]],productos[],2,FALSE)</f>
        <v>#N/A</v>
      </c>
      <c r="F6" t="s">
        <v>31</v>
      </c>
      <c r="G6" s="19">
        <v>44229</v>
      </c>
      <c r="M6" s="18">
        <f>+salidas2[[#This Row],[Abono 1]]+salidas2[[#This Row],[Abono 2]]+salidas2[[#This Row],[Abono 3]]</f>
        <v>0</v>
      </c>
      <c r="N6" t="str">
        <f>IF(P6&lt;=0,"*",IF(salidas2[[#This Row],[Abono total]]=salidas2[[#This Row],[Precio]],"PAGADO",IF(salidas2[[#This Row],[Abono total]]&lt;salidas2[[#This Row],[Precio]],"DEUDA")))</f>
        <v>DEUDA</v>
      </c>
      <c r="O6" s="29">
        <v>25</v>
      </c>
      <c r="P6" s="31">
        <f>+salidas2[[#This Row],[Precio U.]]*salidas2[[#This Row],[Cantidad]]</f>
        <v>250</v>
      </c>
      <c r="Q6">
        <v>10</v>
      </c>
      <c r="R6" s="1"/>
      <c r="T6">
        <v>173</v>
      </c>
    </row>
    <row r="7" spans="1:20" x14ac:dyDescent="0.35">
      <c r="A7" s="1"/>
      <c r="B7" s="24">
        <v>171</v>
      </c>
      <c r="C7" s="8">
        <v>44409</v>
      </c>
      <c r="D7" s="21" t="s">
        <v>16</v>
      </c>
      <c r="E7" t="e">
        <f>VLOOKUP(salidas2[[#This Row],[Codigo de producto]],productos[],2,FALSE)</f>
        <v>#N/A</v>
      </c>
      <c r="F7" t="s">
        <v>31</v>
      </c>
      <c r="G7" s="19">
        <v>44229</v>
      </c>
      <c r="M7" s="18">
        <f>+salidas2[[#This Row],[Abono 1]]+salidas2[[#This Row],[Abono 2]]+salidas2[[#This Row],[Abono 3]]</f>
        <v>0</v>
      </c>
      <c r="N7" t="str">
        <f>IF(P7&lt;=0,"*",IF(salidas2[[#This Row],[Abono total]]=salidas2[[#This Row],[Precio]],"PAGADO",IF(salidas2[[#This Row],[Abono total]]&lt;salidas2[[#This Row],[Precio]],"DEUDA")))</f>
        <v>DEUDA</v>
      </c>
      <c r="O7" s="29">
        <v>280</v>
      </c>
      <c r="P7" s="31">
        <f>+salidas2[[#This Row],[Precio U.]]*salidas2[[#This Row],[Cantidad]]</f>
        <v>280</v>
      </c>
      <c r="Q7">
        <v>1</v>
      </c>
      <c r="R7" s="1"/>
      <c r="T7">
        <v>174</v>
      </c>
    </row>
    <row r="8" spans="1:20" x14ac:dyDescent="0.35">
      <c r="A8" s="1"/>
      <c r="B8" s="24">
        <v>171</v>
      </c>
      <c r="C8" s="8">
        <v>44409</v>
      </c>
      <c r="D8" t="s">
        <v>17</v>
      </c>
      <c r="E8" t="e">
        <f>VLOOKUP(salidas2[[#This Row],[Codigo de producto]],productos[],2,FALSE)</f>
        <v>#N/A</v>
      </c>
      <c r="F8" t="s">
        <v>31</v>
      </c>
      <c r="G8" s="19">
        <v>44229</v>
      </c>
      <c r="M8" s="18">
        <f>+salidas2[[#This Row],[Abono 1]]+salidas2[[#This Row],[Abono 2]]+salidas2[[#This Row],[Abono 3]]</f>
        <v>0</v>
      </c>
      <c r="N8" t="str">
        <f>IF(P8&lt;=0,"*",IF(salidas2[[#This Row],[Abono total]]=salidas2[[#This Row],[Precio]],"PAGADO",IF(salidas2[[#This Row],[Abono total]]&lt;salidas2[[#This Row],[Precio]],"DEUDA")))</f>
        <v>DEUDA</v>
      </c>
      <c r="O8" s="29">
        <v>80</v>
      </c>
      <c r="P8" s="31">
        <f>+salidas2[[#This Row],[Precio U.]]*salidas2[[#This Row],[Cantidad]]</f>
        <v>80</v>
      </c>
      <c r="Q8">
        <v>1</v>
      </c>
      <c r="R8" s="1"/>
      <c r="T8">
        <v>175</v>
      </c>
    </row>
    <row r="9" spans="1:20" x14ac:dyDescent="0.35">
      <c r="A9" s="1"/>
      <c r="B9" s="24">
        <v>172</v>
      </c>
      <c r="C9" s="8">
        <v>44409</v>
      </c>
      <c r="D9" t="s">
        <v>17</v>
      </c>
      <c r="E9" t="e">
        <f>VLOOKUP(salidas2[[#This Row],[Codigo de producto]],productos[],2,FALSE)</f>
        <v>#N/A</v>
      </c>
      <c r="F9" t="s">
        <v>31</v>
      </c>
      <c r="G9" s="19">
        <v>44229</v>
      </c>
      <c r="H9" s="10">
        <v>80</v>
      </c>
      <c r="M9" s="18">
        <f>+salidas2[[#This Row],[Abono 1]]+salidas2[[#This Row],[Abono 2]]+salidas2[[#This Row],[Abono 3]]</f>
        <v>80</v>
      </c>
      <c r="N9" t="str">
        <f>IF(P9&lt;=0,"*",IF(salidas2[[#This Row],[Abono total]]=salidas2[[#This Row],[Precio]],"PAGADO",IF(salidas2[[#This Row],[Abono total]]&lt;salidas2[[#This Row],[Precio]],"DEUDA")))</f>
        <v>PAGADO</v>
      </c>
      <c r="O9" s="29">
        <v>80</v>
      </c>
      <c r="P9" s="31">
        <f>+salidas2[[#This Row],[Precio U.]]*salidas2[[#This Row],[Cantidad]]</f>
        <v>80</v>
      </c>
      <c r="Q9">
        <v>1</v>
      </c>
      <c r="R9" s="1"/>
      <c r="T9">
        <v>176</v>
      </c>
    </row>
    <row r="10" spans="1:20" x14ac:dyDescent="0.35">
      <c r="A10" s="1"/>
      <c r="B10" s="24">
        <v>173</v>
      </c>
      <c r="C10" s="8">
        <v>44409</v>
      </c>
      <c r="D10" t="s">
        <v>13</v>
      </c>
      <c r="E10" t="e">
        <f>VLOOKUP(salidas2[[#This Row],[Codigo de producto]],productos[],2,FALSE)</f>
        <v>#N/A</v>
      </c>
      <c r="F10" t="s">
        <v>32</v>
      </c>
      <c r="G10" s="19">
        <v>44229</v>
      </c>
      <c r="M10" s="18">
        <f>+salidas2[[#This Row],[Abono 1]]+salidas2[[#This Row],[Abono 2]]+salidas2[[#This Row],[Abono 3]]</f>
        <v>0</v>
      </c>
      <c r="N10" t="str">
        <f>IF(P10&lt;=0,"*",IF(salidas2[[#This Row],[Abono total]]=salidas2[[#This Row],[Precio]],"PAGADO",IF(salidas2[[#This Row],[Abono total]]&lt;salidas2[[#This Row],[Precio]],"DEUDA")))</f>
        <v>DEUDA</v>
      </c>
      <c r="O10" s="29">
        <v>20</v>
      </c>
      <c r="P10" s="30">
        <f>+salidas2[[#This Row],[Precio U.]]*salidas2[[#This Row],[Cantidad]]</f>
        <v>20</v>
      </c>
      <c r="Q10">
        <v>1</v>
      </c>
      <c r="R10" s="1"/>
      <c r="T10">
        <v>177</v>
      </c>
    </row>
    <row r="11" spans="1:20" x14ac:dyDescent="0.35">
      <c r="A11" s="1"/>
      <c r="B11" s="24">
        <v>174</v>
      </c>
      <c r="C11" s="8">
        <v>44409</v>
      </c>
      <c r="D11" t="s">
        <v>14</v>
      </c>
      <c r="E11" t="e">
        <f>VLOOKUP(salidas2[[#This Row],[Codigo de producto]],productos[],2,FALSE)</f>
        <v>#N/A</v>
      </c>
      <c r="F11" s="21" t="s">
        <v>28</v>
      </c>
      <c r="G11" s="19">
        <v>44229</v>
      </c>
      <c r="M11" s="18">
        <f>+salidas2[[#This Row],[Abono 1]]+salidas2[[#This Row],[Abono 2]]+salidas2[[#This Row],[Abono 3]]</f>
        <v>0</v>
      </c>
      <c r="N11" t="str">
        <f>IF(P11&lt;=0,"*",IF(salidas2[[#This Row],[Abono total]]=salidas2[[#This Row],[Precio]],"PAGADO",IF(salidas2[[#This Row],[Abono total]]&lt;salidas2[[#This Row],[Precio]],"DEUDA")))</f>
        <v>DEUDA</v>
      </c>
      <c r="O11" s="29">
        <v>20</v>
      </c>
      <c r="P11" s="31">
        <f>+salidas2[[#This Row],[Precio U.]]*salidas2[[#This Row],[Cantidad]]</f>
        <v>20</v>
      </c>
      <c r="Q11">
        <v>1</v>
      </c>
      <c r="R11" s="1"/>
      <c r="T11">
        <v>178</v>
      </c>
    </row>
    <row r="12" spans="1:20" x14ac:dyDescent="0.35">
      <c r="A12" s="1"/>
      <c r="B12" s="24">
        <v>174</v>
      </c>
      <c r="C12" s="8">
        <v>44409</v>
      </c>
      <c r="D12" t="s">
        <v>15</v>
      </c>
      <c r="E12" t="e">
        <f>VLOOKUP(salidas2[[#This Row],[Codigo de producto]],productos[],2,FALSE)</f>
        <v>#N/A</v>
      </c>
      <c r="F12" t="s">
        <v>32</v>
      </c>
      <c r="G12" s="19">
        <v>44229</v>
      </c>
      <c r="M12" s="18">
        <f>+salidas2[[#This Row],[Abono 1]]+salidas2[[#This Row],[Abono 2]]+salidas2[[#This Row],[Abono 3]]</f>
        <v>0</v>
      </c>
      <c r="N12" t="str">
        <f>IF(P12&lt;=0,"*",IF(salidas2[[#This Row],[Abono total]]=salidas2[[#This Row],[Precio]],"PAGADO",IF(salidas2[[#This Row],[Abono total]]&lt;salidas2[[#This Row],[Precio]],"DEUDA")))</f>
        <v>DEUDA</v>
      </c>
      <c r="O12" s="29">
        <v>20</v>
      </c>
      <c r="P12" s="31">
        <f>+salidas2[[#This Row],[Precio U.]]*salidas2[[#This Row],[Cantidad]]</f>
        <v>20</v>
      </c>
      <c r="Q12">
        <v>1</v>
      </c>
      <c r="R12" s="1"/>
      <c r="T12">
        <v>179</v>
      </c>
    </row>
    <row r="13" spans="1:20" x14ac:dyDescent="0.35">
      <c r="A13" s="1"/>
      <c r="B13" s="24">
        <v>174</v>
      </c>
      <c r="C13" s="8">
        <v>44409</v>
      </c>
      <c r="D13" t="s">
        <v>16</v>
      </c>
      <c r="E13" t="e">
        <f>VLOOKUP(salidas2[[#This Row],[Codigo de producto]],productos[],2,FALSE)</f>
        <v>#N/A</v>
      </c>
      <c r="F13" t="s">
        <v>32</v>
      </c>
      <c r="G13" s="19">
        <v>44229</v>
      </c>
      <c r="M13" s="18">
        <f>+salidas2[[#This Row],[Abono 1]]+salidas2[[#This Row],[Abono 2]]+salidas2[[#This Row],[Abono 3]]</f>
        <v>0</v>
      </c>
      <c r="N13" t="str">
        <f>IF(P13&lt;=0,"*",IF(salidas2[[#This Row],[Abono total]]=salidas2[[#This Row],[Precio]],"PAGADO",IF(salidas2[[#This Row],[Abono total]]&lt;salidas2[[#This Row],[Precio]],"DEUDA")))</f>
        <v>DEUDA</v>
      </c>
      <c r="O13" s="29">
        <v>20</v>
      </c>
      <c r="P13" s="31">
        <f>+salidas2[[#This Row],[Precio U.]]*salidas2[[#This Row],[Cantidad]]</f>
        <v>20</v>
      </c>
      <c r="Q13">
        <v>1</v>
      </c>
      <c r="R13" s="1"/>
      <c r="T13">
        <v>180</v>
      </c>
    </row>
    <row r="14" spans="1:20" x14ac:dyDescent="0.35">
      <c r="A14" s="1"/>
      <c r="E14" t="e">
        <f>VLOOKUP(salidas2[[#This Row],[Codigo de producto]],productos[],2,FALSE)</f>
        <v>#N/A</v>
      </c>
      <c r="M14" s="18">
        <f>+salidas2[[#This Row],[Abono 1]]+salidas2[[#This Row],[Abono 2]]+salidas2[[#This Row],[Abono 3]]</f>
        <v>0</v>
      </c>
      <c r="N14" t="str">
        <f>IF(P14&lt;=0,"*",IF(salidas2[[#This Row],[Abono total]]=salidas2[[#This Row],[Precio]],"PAGADO",IF(salidas2[[#This Row],[Abono total]]&lt;salidas2[[#This Row],[Precio]],"DEUDA")))</f>
        <v>*</v>
      </c>
      <c r="P14" s="31">
        <f>+salidas2[[#This Row],[Precio U.]]*salidas2[[#This Row],[Cantidad]]</f>
        <v>0</v>
      </c>
      <c r="R14" s="1"/>
      <c r="T14">
        <v>181</v>
      </c>
    </row>
    <row r="15" spans="1:20" x14ac:dyDescent="0.35">
      <c r="A15" s="1"/>
      <c r="E15" t="e">
        <f>VLOOKUP(salidas2[[#This Row],[Codigo de producto]],productos[],2,FALSE)</f>
        <v>#N/A</v>
      </c>
      <c r="F15" s="21"/>
      <c r="M15" s="18">
        <f>+salidas2[[#This Row],[Abono 1]]+salidas2[[#This Row],[Abono 2]]+salidas2[[#This Row],[Abono 3]]</f>
        <v>0</v>
      </c>
      <c r="N15" t="str">
        <f>IF(P15&lt;=0,"*",IF(salidas2[[#This Row],[Abono total]]=salidas2[[#This Row],[Precio]],"PAGADO",IF(salidas2[[#This Row],[Abono total]]&lt;salidas2[[#This Row],[Precio]],"DEUDA")))</f>
        <v>*</v>
      </c>
      <c r="P15" s="31">
        <f>+salidas2[[#This Row],[Precio U.]]*salidas2[[#This Row],[Cantidad]]</f>
        <v>0</v>
      </c>
      <c r="R15" s="1"/>
      <c r="T15">
        <v>182</v>
      </c>
    </row>
    <row r="16" spans="1:20" x14ac:dyDescent="0.35">
      <c r="A16" s="1"/>
      <c r="E16" t="e">
        <f>VLOOKUP(salidas2[[#This Row],[Codigo de producto]],productos[],2,FALSE)</f>
        <v>#N/A</v>
      </c>
      <c r="M16" s="18">
        <f>+salidas2[[#This Row],[Abono 1]]+salidas2[[#This Row],[Abono 2]]+salidas2[[#This Row],[Abono 3]]</f>
        <v>0</v>
      </c>
      <c r="N16" t="str">
        <f>IF(P16&lt;=0,"*",IF(salidas2[[#This Row],[Abono total]]=salidas2[[#This Row],[Precio]],"PAGADO",IF(salidas2[[#This Row],[Abono total]]&lt;salidas2[[#This Row],[Precio]],"DEUDA")))</f>
        <v>*</v>
      </c>
      <c r="P16" s="31">
        <f>+salidas2[[#This Row],[Precio U.]]*salidas2[[#This Row],[Cantidad]]</f>
        <v>0</v>
      </c>
      <c r="R16" s="1"/>
      <c r="T16">
        <v>183</v>
      </c>
    </row>
    <row r="17" spans="1:20" x14ac:dyDescent="0.35">
      <c r="A17" s="1"/>
      <c r="E17" t="e">
        <f>VLOOKUP(salidas2[[#This Row],[Codigo de producto]],productos[],2,FALSE)</f>
        <v>#N/A</v>
      </c>
      <c r="M17" s="18">
        <f>+salidas2[[#This Row],[Abono 1]]+salidas2[[#This Row],[Abono 2]]+salidas2[[#This Row],[Abono 3]]</f>
        <v>0</v>
      </c>
      <c r="N17" t="str">
        <f>IF(P17&lt;=0,"*",IF(salidas2[[#This Row],[Abono total]]=salidas2[[#This Row],[Precio]],"PAGADO",IF(salidas2[[#This Row],[Abono total]]&lt;salidas2[[#This Row],[Precio]],"DEUDA")))</f>
        <v>*</v>
      </c>
      <c r="P17" s="30">
        <f>+salidas2[[#This Row],[Precio U.]]*salidas2[[#This Row],[Cantidad]]</f>
        <v>0</v>
      </c>
      <c r="R17" s="1"/>
      <c r="T17">
        <v>184</v>
      </c>
    </row>
    <row r="18" spans="1:20" x14ac:dyDescent="0.35">
      <c r="A18" s="1"/>
      <c r="E18" t="e">
        <f>VLOOKUP(salidas2[[#This Row],[Codigo de producto]],productos[],2,FALSE)</f>
        <v>#N/A</v>
      </c>
      <c r="F18" s="21"/>
      <c r="M18" s="18">
        <f>+salidas2[[#This Row],[Abono 1]]+salidas2[[#This Row],[Abono 2]]+salidas2[[#This Row],[Abono 3]]</f>
        <v>0</v>
      </c>
      <c r="N18" t="str">
        <f>IF(P18&lt;=0,"*",IF(salidas2[[#This Row],[Abono total]]=salidas2[[#This Row],[Precio]],"PAGADO",IF(salidas2[[#This Row],[Abono total]]&lt;salidas2[[#This Row],[Precio]],"DEUDA")))</f>
        <v>*</v>
      </c>
      <c r="P18" s="31">
        <f>+salidas2[[#This Row],[Precio U.]]*salidas2[[#This Row],[Cantidad]]</f>
        <v>0</v>
      </c>
      <c r="R18" s="1"/>
      <c r="T18">
        <v>185</v>
      </c>
    </row>
    <row r="19" spans="1:20" x14ac:dyDescent="0.35">
      <c r="A19" s="1"/>
      <c r="E19" t="e">
        <f>VLOOKUP(salidas2[[#This Row],[Codigo de producto]],productos[],2,FALSE)</f>
        <v>#N/A</v>
      </c>
      <c r="M19" s="18">
        <f>+salidas2[[#This Row],[Abono 1]]+salidas2[[#This Row],[Abono 2]]+salidas2[[#This Row],[Abono 3]]</f>
        <v>0</v>
      </c>
      <c r="N19" t="str">
        <f>IF(P19&lt;=0,"*",IF(salidas2[[#This Row],[Abono total]]=salidas2[[#This Row],[Precio]],"PAGADO",IF(salidas2[[#This Row],[Abono total]]&lt;salidas2[[#This Row],[Precio]],"DEUDA")))</f>
        <v>*</v>
      </c>
      <c r="P19" s="31">
        <f>+salidas2[[#This Row],[Precio U.]]*salidas2[[#This Row],[Cantidad]]</f>
        <v>0</v>
      </c>
      <c r="R19" s="1"/>
      <c r="T19">
        <v>186</v>
      </c>
    </row>
    <row r="20" spans="1:20" x14ac:dyDescent="0.35">
      <c r="A20" s="1"/>
      <c r="E20" t="e">
        <f>VLOOKUP(salidas2[[#This Row],[Codigo de producto]],productos[],2,FALSE)</f>
        <v>#N/A</v>
      </c>
      <c r="M20" s="18">
        <f>+salidas2[[#This Row],[Abono 1]]+salidas2[[#This Row],[Abono 2]]+salidas2[[#This Row],[Abono 3]]</f>
        <v>0</v>
      </c>
      <c r="N20" t="str">
        <f>IF(P20&lt;=0,"*",IF(salidas2[[#This Row],[Abono total]]=salidas2[[#This Row],[Precio]],"PAGADO",IF(salidas2[[#This Row],[Abono total]]&lt;salidas2[[#This Row],[Precio]],"DEUDA")))</f>
        <v>*</v>
      </c>
      <c r="P20" s="31">
        <f>+salidas2[[#This Row],[Precio U.]]*salidas2[[#This Row],[Cantidad]]</f>
        <v>0</v>
      </c>
      <c r="R20" s="1"/>
      <c r="T20">
        <v>187</v>
      </c>
    </row>
    <row r="21" spans="1:20" x14ac:dyDescent="0.35">
      <c r="A21" s="1"/>
      <c r="E21" t="e">
        <f>VLOOKUP(salidas2[[#This Row],[Codigo de producto]],productos[],2,FALSE)</f>
        <v>#N/A</v>
      </c>
      <c r="F21" s="21"/>
      <c r="M21" s="18">
        <f>+salidas2[[#This Row],[Abono 1]]+salidas2[[#This Row],[Abono 2]]+salidas2[[#This Row],[Abono 3]]</f>
        <v>0</v>
      </c>
      <c r="N21" t="str">
        <f>IF(P21&lt;=0,"*",IF(salidas2[[#This Row],[Abono total]]=salidas2[[#This Row],[Precio]],"PAGADO",IF(salidas2[[#This Row],[Abono total]]&lt;salidas2[[#This Row],[Precio]],"DEUDA")))</f>
        <v>*</v>
      </c>
      <c r="P21" s="31">
        <f>+salidas2[[#This Row],[Precio U.]]*salidas2[[#This Row],[Cantidad]]</f>
        <v>0</v>
      </c>
      <c r="R21" s="1"/>
      <c r="T21">
        <v>188</v>
      </c>
    </row>
    <row r="22" spans="1:20" x14ac:dyDescent="0.35">
      <c r="E22" t="e">
        <f>VLOOKUP(salidas2[[#This Row],[Codigo de producto]],productos[],2,FALSE)</f>
        <v>#N/A</v>
      </c>
      <c r="M22" s="18">
        <f>+salidas2[[#This Row],[Abono 1]]+salidas2[[#This Row],[Abono 2]]+salidas2[[#This Row],[Abono 3]]</f>
        <v>0</v>
      </c>
      <c r="N22" t="str">
        <f>IF(P22&lt;=0,"*",IF(salidas2[[#This Row],[Abono total]]=salidas2[[#This Row],[Precio]],"PAGADO",IF(salidas2[[#This Row],[Abono total]]&lt;salidas2[[#This Row],[Precio]],"DEUDA")))</f>
        <v>*</v>
      </c>
      <c r="P22" s="31">
        <f>+salidas2[[#This Row],[Precio U.]]*salidas2[[#This Row],[Cantidad]]</f>
        <v>0</v>
      </c>
      <c r="T22">
        <v>189</v>
      </c>
    </row>
    <row r="23" spans="1:20" x14ac:dyDescent="0.35">
      <c r="E23" t="e">
        <f>VLOOKUP(salidas2[[#This Row],[Codigo de producto]],productos[],2,FALSE)</f>
        <v>#N/A</v>
      </c>
      <c r="M23" s="18">
        <f>+salidas2[[#This Row],[Abono 1]]+salidas2[[#This Row],[Abono 2]]+salidas2[[#This Row],[Abono 3]]</f>
        <v>0</v>
      </c>
      <c r="N23" t="str">
        <f>IF(P23&lt;=0,"*",IF(salidas2[[#This Row],[Abono total]]=salidas2[[#This Row],[Precio]],"PAGADO",IF(salidas2[[#This Row],[Abono total]]&lt;salidas2[[#This Row],[Precio]],"DEUDA")))</f>
        <v>*</v>
      </c>
      <c r="P23" s="31">
        <f>+salidas2[[#This Row],[Precio U.]]*salidas2[[#This Row],[Cantidad]]</f>
        <v>0</v>
      </c>
      <c r="T23">
        <v>190</v>
      </c>
    </row>
    <row r="24" spans="1:20" x14ac:dyDescent="0.35">
      <c r="T24">
        <v>191</v>
      </c>
    </row>
    <row r="25" spans="1:20" x14ac:dyDescent="0.35">
      <c r="T25">
        <v>192</v>
      </c>
    </row>
    <row r="26" spans="1:20" x14ac:dyDescent="0.35">
      <c r="T26">
        <v>193</v>
      </c>
    </row>
    <row r="27" spans="1:20" x14ac:dyDescent="0.35">
      <c r="T27">
        <v>194</v>
      </c>
    </row>
  </sheetData>
  <mergeCells count="1">
    <mergeCell ref="B1:Q1"/>
  </mergeCells>
  <phoneticPr fontId="1" type="noConversion"/>
  <conditionalFormatting sqref="N1:O1048576">
    <cfRule type="containsText" dxfId="0" priority="1" operator="containsText" text="DEUDA">
      <formula>NOT(ISERROR(SEARCH("DEUDA",N1)))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vtas menudeo y stock</vt:lpstr>
      <vt:lpstr>perdidas o ganancias</vt:lpstr>
      <vt:lpstr>ventas mayoreo y credito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SEBASTIAN VAZQUEZ</cp:lastModifiedBy>
  <dcterms:created xsi:type="dcterms:W3CDTF">2021-09-15T20:48:19Z</dcterms:created>
  <dcterms:modified xsi:type="dcterms:W3CDTF">2026-01-25T01:46:55Z</dcterms:modified>
</cp:coreProperties>
</file>